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295" yWindow="360" windowWidth="12045" windowHeight="9690" tabRatio="148"/>
  </bookViews>
  <sheets>
    <sheet name="indice cap.3" sheetId="1" r:id="rId1"/>
    <sheet name="3.1" sheetId="2" r:id="rId2"/>
    <sheet name="3.2" sheetId="3" r:id="rId3"/>
    <sheet name="3.3" sheetId="4" r:id="rId4"/>
    <sheet name="3.4" sheetId="5" r:id="rId5"/>
    <sheet name="3.4cont" sheetId="10" r:id="rId6"/>
    <sheet name="3.5" sheetId="6" r:id="rId7"/>
    <sheet name="3.6" sheetId="7" r:id="rId8"/>
    <sheet name="3.7" sheetId="8" r:id="rId9"/>
    <sheet name="3.8" sheetId="9" r:id="rId10"/>
  </sheets>
  <definedNames>
    <definedName name="_xlnm.Print_Area" localSheetId="2">'3.2'!$A$1:$I$62</definedName>
    <definedName name="_xlnm.Print_Area" localSheetId="3">'3.3'!$A$1:$I$38</definedName>
    <definedName name="_xlnm.Print_Area" localSheetId="4">'3.4'!$A$1:$K$44</definedName>
    <definedName name="_xlnm.Print_Area" localSheetId="5">'3.4cont'!$A$1:$L$54</definedName>
    <definedName name="_xlnm.Print_Area" localSheetId="6">'3.5'!$A$1:$AE$78</definedName>
    <definedName name="_xlnm.Print_Area" localSheetId="7">'3.6'!$A$1:$X$78</definedName>
    <definedName name="_xlnm.Print_Area" localSheetId="8">'3.7'!$A$1:$H$74</definedName>
    <definedName name="_xlnm.Print_Area" localSheetId="9">'3.8'!$A$1:$H$38</definedName>
    <definedName name="_xlnm.Print_Area" localSheetId="0">'indice cap.3'!$A$1:$H$17</definedName>
  </definedNames>
  <calcPr calcId="125725"/>
</workbook>
</file>

<file path=xl/calcChain.xml><?xml version="1.0" encoding="utf-8"?>
<calcChain xmlns="http://schemas.openxmlformats.org/spreadsheetml/2006/main">
  <c r="W65" i="7"/>
  <c r="W68"/>
  <c r="W40"/>
  <c r="W38"/>
  <c r="W35"/>
  <c r="W50"/>
  <c r="W59"/>
  <c r="W31"/>
  <c r="W63"/>
</calcChain>
</file>

<file path=xl/sharedStrings.xml><?xml version="1.0" encoding="utf-8"?>
<sst xmlns="http://schemas.openxmlformats.org/spreadsheetml/2006/main" count="487" uniqueCount="230">
  <si>
    <t>FINANZAS PÚBLICAS</t>
  </si>
  <si>
    <t>3.1    Presupuesto del Gobierno Central (1927-1949) (1)</t>
  </si>
  <si>
    <t>3.2    Gobierno Central  /  Principales Variables (1950 - 1999) (1)</t>
  </si>
  <si>
    <t>3.5    Operaciones del Gobierno Central (1971-1999) (1)</t>
  </si>
  <si>
    <t>3.7    Deuda Pública Interna / Por Niveles de Gobierno (1938 - 1999)</t>
  </si>
  <si>
    <t>capítulo 3</t>
  </si>
  <si>
    <t>3.1 PRESUPUESTO DEL GOBIERNO CENTRAL (1927-1949) (1)</t>
  </si>
  <si>
    <t>Millones de sucres</t>
  </si>
  <si>
    <t>Año</t>
  </si>
  <si>
    <t>INGRESOS EFECTIVOS</t>
  </si>
  <si>
    <t>EGRESOS EFECTIVOS (2)</t>
  </si>
  <si>
    <t>Ordinarios</t>
  </si>
  <si>
    <t>Extraordinarios</t>
  </si>
  <si>
    <t>Totales</t>
  </si>
  <si>
    <t>a</t>
  </si>
  <si>
    <t>b</t>
  </si>
  <si>
    <t>c = a+b</t>
  </si>
  <si>
    <t>d</t>
  </si>
  <si>
    <t>e</t>
  </si>
  <si>
    <t>f = d+e</t>
  </si>
  <si>
    <t>en millones</t>
  </si>
  <si>
    <t xml:space="preserve">  (3)</t>
  </si>
  <si>
    <t xml:space="preserve">  (15)</t>
  </si>
  <si>
    <t xml:space="preserve">  (4)</t>
  </si>
  <si>
    <t xml:space="preserve">  (16)</t>
  </si>
  <si>
    <t xml:space="preserve">  (5)</t>
  </si>
  <si>
    <t xml:space="preserve">  (17)</t>
  </si>
  <si>
    <t xml:space="preserve">  (6)</t>
  </si>
  <si>
    <t>-</t>
  </si>
  <si>
    <t xml:space="preserve">  (7)</t>
  </si>
  <si>
    <t xml:space="preserve">  (8)</t>
  </si>
  <si>
    <t xml:space="preserve">  (18)</t>
  </si>
  <si>
    <t xml:space="preserve">  (9)</t>
  </si>
  <si>
    <t xml:space="preserve">  (13)</t>
  </si>
  <si>
    <t xml:space="preserve">  (10)</t>
  </si>
  <si>
    <t xml:space="preserve">  (14)</t>
  </si>
  <si>
    <t xml:space="preserve">  (11)</t>
  </si>
  <si>
    <t xml:space="preserve">  (12)</t>
  </si>
  <si>
    <t>3.2 GOBIERNO CENTRAL</t>
  </si>
  <si>
    <t>PRINCIPALES VARIABLES (1950 - 1999) (1)</t>
  </si>
  <si>
    <t>Total Ingresos</t>
  </si>
  <si>
    <t>Ingresos Tributarios</t>
  </si>
  <si>
    <t>Egresos Corrientes</t>
  </si>
  <si>
    <t>Egresos de Capital</t>
  </si>
  <si>
    <t>Millones</t>
  </si>
  <si>
    <t>% del PIB</t>
  </si>
  <si>
    <t>3.3 GOBIERNO CENTRAL</t>
  </si>
  <si>
    <t>Millones de dólares</t>
  </si>
  <si>
    <t>Egresos Corriente</t>
  </si>
  <si>
    <t>Milones de sucres</t>
  </si>
  <si>
    <t>INGRESOS</t>
  </si>
  <si>
    <t>Impuestos</t>
  </si>
  <si>
    <t xml:space="preserve">     Importación</t>
  </si>
  <si>
    <t xml:space="preserve">     Exportación</t>
  </si>
  <si>
    <t xml:space="preserve">     Transportes</t>
  </si>
  <si>
    <t xml:space="preserve">     Ventas y Consumos</t>
  </si>
  <si>
    <t xml:space="preserve">     A las industrias</t>
  </si>
  <si>
    <t xml:space="preserve">     Al Capital</t>
  </si>
  <si>
    <t xml:space="preserve">     Utilidades (Renta)</t>
  </si>
  <si>
    <t xml:space="preserve">     Otros Impuestos</t>
  </si>
  <si>
    <t>Total Impuestos</t>
  </si>
  <si>
    <t xml:space="preserve">     Tasas</t>
  </si>
  <si>
    <t xml:space="preserve">     Timbres</t>
  </si>
  <si>
    <t>Total Impuestos y Tasas</t>
  </si>
  <si>
    <t>Otros Ingresos</t>
  </si>
  <si>
    <t xml:space="preserve">     Rentas Patrimoniales</t>
  </si>
  <si>
    <t>Subtotal General</t>
  </si>
  <si>
    <t xml:space="preserve">     Saldos de Caja</t>
  </si>
  <si>
    <t>TOTAL</t>
  </si>
  <si>
    <t xml:space="preserve">    (+ o -) Subvenciones</t>
  </si>
  <si>
    <t>TOTALES     (4)</t>
  </si>
  <si>
    <t>EGRESOS</t>
  </si>
  <si>
    <t xml:space="preserve">    Gastos de Consumo</t>
  </si>
  <si>
    <t xml:space="preserve">    Inversión de Capital</t>
  </si>
  <si>
    <t>Deuda Pública Externa</t>
  </si>
  <si>
    <t xml:space="preserve">    Amortización</t>
  </si>
  <si>
    <t xml:space="preserve">    Intereses</t>
  </si>
  <si>
    <t xml:space="preserve">    Saldo Final  en Caja</t>
  </si>
  <si>
    <t xml:space="preserve">TOTALES </t>
  </si>
  <si>
    <t>3.5  OPERACIONES DEL GOBIERNO CENTRAL (1971-1999) (1)</t>
  </si>
  <si>
    <t xml:space="preserve"> </t>
  </si>
  <si>
    <t>I</t>
  </si>
  <si>
    <t>INGRESOS TOTALES (I1+I2)</t>
  </si>
  <si>
    <t>I1</t>
  </si>
  <si>
    <t>CORRIENTES (I11+I12+T1)</t>
  </si>
  <si>
    <t>I11</t>
  </si>
  <si>
    <t>NO PETROLEROS (I111+I112+I113)</t>
  </si>
  <si>
    <t>I111</t>
  </si>
  <si>
    <t>TRIBUTARIOS</t>
  </si>
  <si>
    <t xml:space="preserve">   Exportaciones</t>
  </si>
  <si>
    <t xml:space="preserve">   Importaciones</t>
  </si>
  <si>
    <t xml:space="preserve">   A la renta</t>
  </si>
  <si>
    <t xml:space="preserve">   Al patrimonio</t>
  </si>
  <si>
    <t xml:space="preserve">   Transmisiones de dominio</t>
  </si>
  <si>
    <t xml:space="preserve">   A la producción y ventas</t>
  </si>
  <si>
    <t xml:space="preserve">   Transportes y comunicaciones</t>
  </si>
  <si>
    <t xml:space="preserve">   Transacciones financieras</t>
  </si>
  <si>
    <t xml:space="preserve">   Timbres</t>
  </si>
  <si>
    <t xml:space="preserve">   Contribución especial de mejoras</t>
  </si>
  <si>
    <t xml:space="preserve">   Otros ingresos tributarios</t>
  </si>
  <si>
    <t>I112</t>
  </si>
  <si>
    <t>NO TRIBUTARIOS</t>
  </si>
  <si>
    <t>I113</t>
  </si>
  <si>
    <t>CONTRIBUCIONES AL SEGURO SOCIAL</t>
  </si>
  <si>
    <t>I12</t>
  </si>
  <si>
    <t>PETROLEROS</t>
  </si>
  <si>
    <t>I2</t>
  </si>
  <si>
    <t>DE CAPITAL (I21+I22+I23+T2)</t>
  </si>
  <si>
    <t>I21</t>
  </si>
  <si>
    <t xml:space="preserve">   Venta de activos de capital fijo</t>
  </si>
  <si>
    <t>I22</t>
  </si>
  <si>
    <t xml:space="preserve">   Venta de existencias</t>
  </si>
  <si>
    <t>I23</t>
  </si>
  <si>
    <t xml:space="preserve">   Venta de terrenos y activos intangibles</t>
  </si>
  <si>
    <t>T</t>
  </si>
  <si>
    <t>TRANSFERENCIAS (T1+T2)</t>
  </si>
  <si>
    <t>T1</t>
  </si>
  <si>
    <t>CORRIENTES</t>
  </si>
  <si>
    <t>T2</t>
  </si>
  <si>
    <t>CAPITAL</t>
  </si>
  <si>
    <t>E</t>
  </si>
  <si>
    <t>III.GASTO TOTAL Y CONCESION DE PRESTAMOS</t>
  </si>
  <si>
    <t>MENOS RECUPERACIONES (G+P)</t>
  </si>
  <si>
    <t>G</t>
  </si>
  <si>
    <t>GASTO TOTAL (G1+G2)</t>
  </si>
  <si>
    <t xml:space="preserve">      </t>
  </si>
  <si>
    <t>G1</t>
  </si>
  <si>
    <t>GASTO CORRIENTE (G11+G12+G13+T1)</t>
  </si>
  <si>
    <t>G11</t>
  </si>
  <si>
    <t>GASTOS EN BIENES Y SERVICIOS</t>
  </si>
  <si>
    <t xml:space="preserve">   Sueldos y salarios</t>
  </si>
  <si>
    <t xml:space="preserve">   Aportaciones al IESS</t>
  </si>
  <si>
    <t xml:space="preserve">   Otros gastos en bienes y servicios</t>
  </si>
  <si>
    <t>G12</t>
  </si>
  <si>
    <t>INTERESES</t>
  </si>
  <si>
    <t xml:space="preserve">   Internos</t>
  </si>
  <si>
    <t xml:space="preserve">   Externos</t>
  </si>
  <si>
    <t>G13</t>
  </si>
  <si>
    <t>PRESTACIONES DEL SEGURO SOCIAL</t>
  </si>
  <si>
    <t>G2</t>
  </si>
  <si>
    <t>DE CAPITAL (G21+G22+G23+T2)</t>
  </si>
  <si>
    <t>G21</t>
  </si>
  <si>
    <t xml:space="preserve">   Adquisición de activos de capital fijo</t>
  </si>
  <si>
    <t>G22</t>
  </si>
  <si>
    <t xml:space="preserve">   Compras de existencias</t>
  </si>
  <si>
    <t>G23</t>
  </si>
  <si>
    <t xml:space="preserve">   Compra de tierras y activos intangibles</t>
  </si>
  <si>
    <t>P</t>
  </si>
  <si>
    <t>CONCESION DE PREST. (-) RECUPERACIONES (P1-P2)</t>
  </si>
  <si>
    <t>P1</t>
  </si>
  <si>
    <t>CONCESION DE PRESTAMOS</t>
  </si>
  <si>
    <t>P2</t>
  </si>
  <si>
    <t>REEMBOLSOS POR CREDITO</t>
  </si>
  <si>
    <t>F</t>
  </si>
  <si>
    <t>FINANCIAMIENTO (F1-F2+F3+F4+F5)</t>
  </si>
  <si>
    <t>F1</t>
  </si>
  <si>
    <t xml:space="preserve">DESEMBOLSOS </t>
  </si>
  <si>
    <t xml:space="preserve">   Externa</t>
  </si>
  <si>
    <t xml:space="preserve">   Interna</t>
  </si>
  <si>
    <t>F2</t>
  </si>
  <si>
    <t xml:space="preserve">AMORTIZACION </t>
  </si>
  <si>
    <t>F3</t>
  </si>
  <si>
    <t>FONDOS DE TERCEROS</t>
  </si>
  <si>
    <t>F4</t>
  </si>
  <si>
    <t>VARIACION DE SALDOS</t>
  </si>
  <si>
    <t>F5</t>
  </si>
  <si>
    <t>OTROS</t>
  </si>
  <si>
    <t xml:space="preserve">    Importaciones</t>
  </si>
  <si>
    <t>Gobierno General</t>
  </si>
  <si>
    <t>Gobierno Central</t>
  </si>
  <si>
    <t>Consejos Provinciales</t>
  </si>
  <si>
    <t>Consejos Municipales</t>
  </si>
  <si>
    <t>Entidades Autónomas</t>
  </si>
  <si>
    <t>Empresas Públicas</t>
  </si>
  <si>
    <t>a=b+g</t>
  </si>
  <si>
    <t>b=c+d+e+f</t>
  </si>
  <si>
    <t>c</t>
  </si>
  <si>
    <t>f</t>
  </si>
  <si>
    <t>g</t>
  </si>
  <si>
    <t>regresar al índice</t>
  </si>
  <si>
    <t>INGRESOS TRIBUTARIOS</t>
  </si>
  <si>
    <t xml:space="preserve">     Transporte</t>
  </si>
  <si>
    <t xml:space="preserve">     Industria </t>
  </si>
  <si>
    <t xml:space="preserve">     Capital </t>
  </si>
  <si>
    <t xml:space="preserve">     Varios Impuestos</t>
  </si>
  <si>
    <t>INGRESOS NO TRIBUTARIOS</t>
  </si>
  <si>
    <t xml:space="preserve">     Patrimoniales</t>
  </si>
  <si>
    <t>INGRESOS EXTRAORDINARIOS</t>
  </si>
  <si>
    <t xml:space="preserve">     Empréstitos Externos </t>
  </si>
  <si>
    <t xml:space="preserve">     Recursos del ejercicio inmediato posterior</t>
  </si>
  <si>
    <t xml:space="preserve">     Saldo Inicial</t>
  </si>
  <si>
    <t>SUBVENCIONES  (+ ó - )</t>
  </si>
  <si>
    <t xml:space="preserve">     Gastos de Consumo</t>
  </si>
  <si>
    <t xml:space="preserve">     Inversión de Capital</t>
  </si>
  <si>
    <t xml:space="preserve">     Entrega de recursos para financiar el</t>
  </si>
  <si>
    <t xml:space="preserve">     Inversión Financiera</t>
  </si>
  <si>
    <t>DEUDA PUBLICA EXTERNA</t>
  </si>
  <si>
    <t xml:space="preserve">     Amortización</t>
  </si>
  <si>
    <t xml:space="preserve">     Intereses</t>
  </si>
  <si>
    <t>Saldo final de caja</t>
  </si>
  <si>
    <t>3.4a   Consolidación de Ingresos y Egresos del Gobierno Central (1960-1970) (Cont.)</t>
  </si>
  <si>
    <t xml:space="preserve">3.4    Consolidación de Ingresos y Egresos del Gobierno Central (1950-1959) </t>
  </si>
  <si>
    <r>
      <t xml:space="preserve">     Artículos Monopolizados   (</t>
    </r>
    <r>
      <rPr>
        <b/>
        <sz val="10"/>
        <rFont val="Calibri"/>
        <family val="2"/>
      </rPr>
      <t>1)</t>
    </r>
  </si>
  <si>
    <r>
      <t xml:space="preserve">     Ingresos Varios    (</t>
    </r>
    <r>
      <rPr>
        <b/>
        <sz val="10"/>
        <rFont val="Calibri"/>
        <family val="2"/>
      </rPr>
      <t>2)</t>
    </r>
  </si>
  <si>
    <r>
      <t xml:space="preserve">     Empréstitos Exteriores   (</t>
    </r>
    <r>
      <rPr>
        <b/>
        <sz val="10"/>
        <rFont val="Calibri"/>
        <family val="2"/>
      </rPr>
      <t>3)</t>
    </r>
  </si>
  <si>
    <r>
      <t xml:space="preserve">    Administración    (</t>
    </r>
    <r>
      <rPr>
        <b/>
        <sz val="10"/>
        <rFont val="Calibri"/>
        <family val="2"/>
      </rPr>
      <t>5)</t>
    </r>
  </si>
  <si>
    <t>Período</t>
  </si>
  <si>
    <t>período</t>
  </si>
  <si>
    <r>
      <t xml:space="preserve">     Renta </t>
    </r>
    <r>
      <rPr>
        <b/>
        <sz val="10"/>
        <rFont val="Calibri"/>
        <family val="2"/>
      </rPr>
      <t xml:space="preserve"> (7)</t>
    </r>
  </si>
  <si>
    <r>
      <t xml:space="preserve">     Artículos Monopolizados </t>
    </r>
    <r>
      <rPr>
        <b/>
        <sz val="10"/>
        <rFont val="Calibri"/>
        <family val="2"/>
      </rPr>
      <t>(1)</t>
    </r>
  </si>
  <si>
    <r>
      <t xml:space="preserve">     Ingresos Varios  </t>
    </r>
    <r>
      <rPr>
        <b/>
        <sz val="10"/>
        <rFont val="Calibri"/>
        <family val="2"/>
      </rPr>
      <t>(2)</t>
    </r>
  </si>
  <si>
    <r>
      <t xml:space="preserve">     Empréstitos Internos </t>
    </r>
    <r>
      <rPr>
        <b/>
        <sz val="10"/>
        <rFont val="Calibri"/>
        <family val="2"/>
      </rPr>
      <t xml:space="preserve"> (8) </t>
    </r>
  </si>
  <si>
    <t>TOTAL  (4)</t>
  </si>
  <si>
    <r>
      <t xml:space="preserve">     Administración  </t>
    </r>
    <r>
      <rPr>
        <b/>
        <sz val="10"/>
        <rFont val="Calibri"/>
        <family val="2"/>
      </rPr>
      <t>(5)</t>
    </r>
  </si>
  <si>
    <t xml:space="preserve">     ejercicio inmediato anterior</t>
  </si>
  <si>
    <t>Cuentas de compensación  (6)</t>
  </si>
  <si>
    <t>Saldos en millones de sucres al final de período</t>
  </si>
  <si>
    <t>POR NIVELES DE GOBIERNO (1938 - 1999)</t>
  </si>
  <si>
    <t>Saldos en millones de dólares al final de período</t>
  </si>
  <si>
    <t>Notas metodológicas de este capítulo</t>
  </si>
  <si>
    <t>3.4  CONSOLIDACIÓN DE INGRESOS Y EGRESOS DEL GOBIERNO CENTRAL (1950-1959)</t>
  </si>
  <si>
    <t>3.4  CONSOLIDACIÓN DE INGRESOS Y EGRESOS DEL GOBIERNO CENTRAL (1960-1970) (cont.)</t>
  </si>
  <si>
    <t>3.7 DEUDA PÚBLICA INTERNA</t>
  </si>
  <si>
    <t>3.8 DEUDA PÚBLICA INTERNA</t>
  </si>
  <si>
    <t>3.3    Gobierno Central  /  Principales Variables (1990 - 2015) (1) (2)</t>
  </si>
  <si>
    <t>3.6  OPERACIONES DEL GOBIERNO CENTRAL (1990-2015) (1)</t>
  </si>
  <si>
    <t>3.6    Operaciones del Gobierno Central (1990-2015) (1)</t>
  </si>
  <si>
    <t>POR NIVELES DE GOBIERNO (1988 - 2015) (1)</t>
  </si>
  <si>
    <t>3.8    Deuda Pública Interna / Por Niveles de Gobierno (1988 - 2015) (1)</t>
  </si>
  <si>
    <t>PRINCIPALES VARIABLES (1990 - 2015) (1) (2)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</si>
</sst>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#,##0.0"/>
    <numFmt numFmtId="165" formatCode="0.0"/>
    <numFmt numFmtId="166" formatCode="#,##0.0;\-#,##0.0"/>
    <numFmt numFmtId="167" formatCode="0.0%"/>
    <numFmt numFmtId="168" formatCode="_ * #,##0_ ;_ * \-#,##0_ ;_ * &quot;-&quot;??_ ;_ @_ "/>
    <numFmt numFmtId="169" formatCode="_ * #,##0.0_ ;_ * \-#,##0.0_ ;_ * &quot;-&quot;??_ ;_ @_ "/>
  </numFmts>
  <fonts count="20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u/>
      <sz val="10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</cellStyleXfs>
  <cellXfs count="172">
    <xf numFmtId="0" fontId="0" fillId="0" borderId="0" xfId="0"/>
    <xf numFmtId="0" fontId="8" fillId="0" borderId="0" xfId="0" applyFont="1"/>
    <xf numFmtId="0" fontId="7" fillId="0" borderId="0" xfId="0" applyFont="1"/>
    <xf numFmtId="0" fontId="6" fillId="0" borderId="0" xfId="2" applyAlignment="1" applyProtection="1"/>
    <xf numFmtId="0" fontId="6" fillId="2" borderId="0" xfId="2" applyFill="1" applyAlignment="1" applyProtection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49" fontId="9" fillId="2" borderId="0" xfId="0" applyNumberFormat="1" applyFont="1" applyFill="1" applyAlignment="1">
      <alignment horizontal="left"/>
    </xf>
    <xf numFmtId="3" fontId="9" fillId="2" borderId="0" xfId="0" applyNumberFormat="1" applyFont="1" applyFill="1"/>
    <xf numFmtId="3" fontId="9" fillId="0" borderId="0" xfId="0" applyNumberFormat="1" applyFont="1"/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/>
    <xf numFmtId="3" fontId="10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Continuous"/>
    </xf>
    <xf numFmtId="0" fontId="9" fillId="0" borderId="0" xfId="0" applyFont="1" applyAlignment="1"/>
    <xf numFmtId="165" fontId="9" fillId="0" borderId="0" xfId="0" applyNumberFormat="1" applyFont="1" applyAlignment="1">
      <alignment horizontal="centerContinuous"/>
    </xf>
    <xf numFmtId="0" fontId="9" fillId="0" borderId="1" xfId="0" applyFont="1" applyBorder="1"/>
    <xf numFmtId="3" fontId="10" fillId="0" borderId="0" xfId="0" applyNumberFormat="1" applyFont="1" applyAlignment="1">
      <alignment horizontal="centerContinuous"/>
    </xf>
    <xf numFmtId="3" fontId="10" fillId="0" borderId="0" xfId="0" applyNumberFormat="1" applyFont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9" fillId="2" borderId="0" xfId="0" applyFont="1" applyFill="1"/>
    <xf numFmtId="164" fontId="9" fillId="2" borderId="0" xfId="0" applyNumberFormat="1" applyFont="1" applyFill="1"/>
    <xf numFmtId="164" fontId="9" fillId="2" borderId="0" xfId="4" applyNumberFormat="1" applyFont="1" applyFill="1" applyProtection="1"/>
    <xf numFmtId="0" fontId="10" fillId="4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/>
    </xf>
    <xf numFmtId="165" fontId="10" fillId="0" borderId="0" xfId="0" applyNumberFormat="1" applyFont="1"/>
    <xf numFmtId="0" fontId="10" fillId="0" borderId="1" xfId="0" applyFont="1" applyBorder="1"/>
    <xf numFmtId="166" fontId="9" fillId="0" borderId="0" xfId="4" applyNumberFormat="1" applyFont="1" applyProtection="1"/>
    <xf numFmtId="166" fontId="9" fillId="0" borderId="0" xfId="0" applyNumberFormat="1" applyFont="1"/>
    <xf numFmtId="167" fontId="9" fillId="0" borderId="0" xfId="5" applyNumberFormat="1" applyFont="1" applyProtection="1"/>
    <xf numFmtId="167" fontId="9" fillId="0" borderId="0" xfId="5" applyNumberFormat="1" applyFont="1"/>
    <xf numFmtId="166" fontId="9" fillId="2" borderId="0" xfId="4" applyNumberFormat="1" applyFont="1" applyFill="1" applyProtection="1"/>
    <xf numFmtId="166" fontId="9" fillId="2" borderId="0" xfId="0" applyNumberFormat="1" applyFont="1" applyFill="1"/>
    <xf numFmtId="0" fontId="10" fillId="4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9" fillId="0" borderId="0" xfId="0" applyFont="1" applyBorder="1"/>
    <xf numFmtId="0" fontId="11" fillId="0" borderId="0" xfId="0" applyFont="1"/>
    <xf numFmtId="0" fontId="10" fillId="2" borderId="0" xfId="0" applyFont="1" applyFill="1"/>
    <xf numFmtId="0" fontId="11" fillId="2" borderId="0" xfId="0" applyFont="1" applyFill="1"/>
    <xf numFmtId="164" fontId="10" fillId="2" borderId="0" xfId="0" applyNumberFormat="1" applyFont="1" applyFill="1"/>
    <xf numFmtId="0" fontId="10" fillId="0" borderId="0" xfId="0" applyFont="1" applyBorder="1" applyAlignment="1">
      <alignment horizontal="centerContinuous"/>
    </xf>
    <xf numFmtId="0" fontId="10" fillId="0" borderId="0" xfId="0" applyFont="1" applyBorder="1"/>
    <xf numFmtId="3" fontId="9" fillId="0" borderId="0" xfId="0" applyNumberFormat="1" applyFont="1" applyBorder="1"/>
    <xf numFmtId="164" fontId="9" fillId="0" borderId="1" xfId="0" applyNumberFormat="1" applyFont="1" applyBorder="1"/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centerContinuous"/>
    </xf>
    <xf numFmtId="0" fontId="10" fillId="2" borderId="0" xfId="0" applyFont="1" applyFill="1" applyBorder="1" applyAlignment="1">
      <alignment horizontal="left"/>
    </xf>
    <xf numFmtId="164" fontId="10" fillId="2" borderId="0" xfId="0" applyNumberFormat="1" applyFont="1" applyFill="1" applyBorder="1"/>
    <xf numFmtId="164" fontId="9" fillId="2" borderId="0" xfId="0" applyNumberFormat="1" applyFont="1" applyFill="1" applyAlignment="1">
      <alignment horizontal="right"/>
    </xf>
    <xf numFmtId="0" fontId="9" fillId="2" borderId="0" xfId="0" applyFont="1" applyFill="1" applyBorder="1"/>
    <xf numFmtId="164" fontId="9" fillId="2" borderId="0" xfId="0" applyNumberFormat="1" applyFont="1" applyFill="1" applyBorder="1"/>
    <xf numFmtId="0" fontId="9" fillId="0" borderId="0" xfId="0" applyFont="1" applyAlignment="1">
      <alignment vertical="center"/>
    </xf>
    <xf numFmtId="1" fontId="10" fillId="0" borderId="0" xfId="4" applyNumberFormat="1" applyFont="1" applyAlignment="1" applyProtection="1">
      <alignment horizontal="centerContinuous"/>
    </xf>
    <xf numFmtId="0" fontId="9" fillId="0" borderId="0" xfId="1" applyFont="1"/>
    <xf numFmtId="0" fontId="9" fillId="0" borderId="0" xfId="4" applyFont="1"/>
    <xf numFmtId="0" fontId="9" fillId="0" borderId="0" xfId="4" applyFont="1" applyAlignment="1" applyProtection="1">
      <alignment horizontal="left"/>
    </xf>
    <xf numFmtId="37" fontId="9" fillId="0" borderId="0" xfId="4" applyNumberFormat="1" applyFont="1" applyProtection="1"/>
    <xf numFmtId="0" fontId="9" fillId="0" borderId="1" xfId="4" applyFont="1" applyBorder="1"/>
    <xf numFmtId="166" fontId="9" fillId="0" borderId="1" xfId="4" applyNumberFormat="1" applyFont="1" applyBorder="1" applyAlignment="1" applyProtection="1">
      <alignment horizontal="left"/>
    </xf>
    <xf numFmtId="166" fontId="9" fillId="0" borderId="1" xfId="4" applyNumberFormat="1" applyFont="1" applyBorder="1" applyProtection="1"/>
    <xf numFmtId="166" fontId="9" fillId="0" borderId="1" xfId="4" applyNumberFormat="1" applyFont="1" applyBorder="1"/>
    <xf numFmtId="166" fontId="9" fillId="0" borderId="1" xfId="1" applyNumberFormat="1" applyFont="1" applyBorder="1"/>
    <xf numFmtId="0" fontId="9" fillId="0" borderId="0" xfId="4" applyFont="1" applyBorder="1"/>
    <xf numFmtId="166" fontId="9" fillId="0" borderId="0" xfId="4" applyNumberFormat="1" applyFont="1" applyBorder="1"/>
    <xf numFmtId="166" fontId="9" fillId="0" borderId="0" xfId="4" applyNumberFormat="1" applyFont="1" applyBorder="1" applyAlignment="1" applyProtection="1">
      <alignment horizontal="left"/>
    </xf>
    <xf numFmtId="166" fontId="9" fillId="0" borderId="0" xfId="4" applyNumberFormat="1" applyFont="1"/>
    <xf numFmtId="37" fontId="9" fillId="0" borderId="0" xfId="4" applyNumberFormat="1" applyFont="1" applyAlignment="1" applyProtection="1">
      <alignment horizontal="left"/>
    </xf>
    <xf numFmtId="37" fontId="9" fillId="0" borderId="0" xfId="1" applyNumberFormat="1" applyFont="1"/>
    <xf numFmtId="0" fontId="9" fillId="0" borderId="0" xfId="4" applyFont="1" applyProtection="1"/>
    <xf numFmtId="1" fontId="10" fillId="4" borderId="2" xfId="4" applyNumberFormat="1" applyFont="1" applyFill="1" applyBorder="1" applyAlignment="1" applyProtection="1">
      <alignment horizontal="center" vertical="center"/>
    </xf>
    <xf numFmtId="1" fontId="10" fillId="4" borderId="5" xfId="4" applyNumberFormat="1" applyFont="1" applyFill="1" applyBorder="1" applyAlignment="1" applyProtection="1">
      <alignment horizontal="center" vertical="center"/>
    </xf>
    <xf numFmtId="0" fontId="10" fillId="2" borderId="0" xfId="4" applyFont="1" applyFill="1" applyAlignment="1" applyProtection="1">
      <alignment horizontal="left"/>
    </xf>
    <xf numFmtId="164" fontId="10" fillId="2" borderId="0" xfId="4" applyNumberFormat="1" applyFont="1" applyFill="1" applyProtection="1"/>
    <xf numFmtId="0" fontId="9" fillId="2" borderId="0" xfId="4" applyFont="1" applyFill="1"/>
    <xf numFmtId="0" fontId="9" fillId="2" borderId="0" xfId="4" applyFont="1" applyFill="1" applyAlignment="1" applyProtection="1">
      <alignment horizontal="left"/>
    </xf>
    <xf numFmtId="164" fontId="9" fillId="2" borderId="0" xfId="4" applyNumberFormat="1" applyFont="1" applyFill="1" applyAlignment="1" applyProtection="1">
      <alignment horizontal="right"/>
    </xf>
    <xf numFmtId="164" fontId="9" fillId="2" borderId="0" xfId="4" applyNumberFormat="1" applyFont="1" applyFill="1"/>
    <xf numFmtId="164" fontId="10" fillId="2" borderId="0" xfId="1" applyNumberFormat="1" applyFont="1" applyFill="1"/>
    <xf numFmtId="164" fontId="9" fillId="2" borderId="0" xfId="1" applyNumberFormat="1" applyFont="1" applyFill="1"/>
    <xf numFmtId="164" fontId="9" fillId="2" borderId="0" xfId="4" applyNumberFormat="1" applyFont="1" applyFill="1" applyAlignment="1" applyProtection="1">
      <alignment horizontal="left"/>
    </xf>
    <xf numFmtId="0" fontId="10" fillId="2" borderId="0" xfId="4" applyFont="1" applyFill="1"/>
    <xf numFmtId="164" fontId="10" fillId="2" borderId="0" xfId="4" applyNumberFormat="1" applyFont="1" applyFill="1" applyAlignment="1" applyProtection="1">
      <alignment horizontal="left"/>
    </xf>
    <xf numFmtId="164" fontId="10" fillId="2" borderId="0" xfId="4" applyNumberFormat="1" applyFont="1" applyFill="1"/>
    <xf numFmtId="0" fontId="13" fillId="0" borderId="0" xfId="2" applyFont="1" applyAlignment="1" applyProtection="1">
      <alignment horizontal="left"/>
    </xf>
    <xf numFmtId="37" fontId="10" fillId="0" borderId="0" xfId="4" applyNumberFormat="1" applyFont="1" applyFill="1" applyAlignment="1" applyProtection="1">
      <alignment horizontal="centerContinuous"/>
    </xf>
    <xf numFmtId="37" fontId="9" fillId="0" borderId="0" xfId="4" applyNumberFormat="1" applyFont="1" applyFill="1" applyProtection="1"/>
    <xf numFmtId="37" fontId="9" fillId="0" borderId="0" xfId="4" applyNumberFormat="1" applyFont="1" applyBorder="1" applyProtection="1"/>
    <xf numFmtId="0" fontId="9" fillId="0" borderId="0" xfId="0" applyFont="1" applyFill="1" applyBorder="1" applyAlignment="1">
      <alignment horizontal="center"/>
    </xf>
    <xf numFmtId="49" fontId="10" fillId="4" borderId="2" xfId="4" applyNumberFormat="1" applyFont="1" applyFill="1" applyBorder="1" applyAlignment="1" applyProtection="1">
      <alignment horizontal="center" vertical="center"/>
    </xf>
    <xf numFmtId="49" fontId="10" fillId="4" borderId="5" xfId="4" applyNumberFormat="1" applyFont="1" applyFill="1" applyBorder="1" applyAlignment="1" applyProtection="1">
      <alignment horizontal="center" vertical="center"/>
    </xf>
    <xf numFmtId="166" fontId="10" fillId="2" borderId="0" xfId="4" applyNumberFormat="1" applyFont="1" applyFill="1" applyProtection="1"/>
    <xf numFmtId="166" fontId="9" fillId="2" borderId="0" xfId="4" applyNumberFormat="1" applyFont="1" applyFill="1"/>
    <xf numFmtId="166" fontId="9" fillId="2" borderId="0" xfId="4" applyNumberFormat="1" applyFont="1" applyFill="1" applyAlignment="1" applyProtection="1">
      <alignment horizontal="right"/>
    </xf>
    <xf numFmtId="166" fontId="10" fillId="2" borderId="0" xfId="4" applyNumberFormat="1" applyFont="1" applyFill="1"/>
    <xf numFmtId="166" fontId="10" fillId="2" borderId="0" xfId="0" applyNumberFormat="1" applyFont="1" applyFill="1"/>
    <xf numFmtId="166" fontId="9" fillId="2" borderId="0" xfId="4" applyNumberFormat="1" applyFont="1" applyFill="1" applyAlignment="1" applyProtection="1">
      <alignment horizontal="left"/>
    </xf>
    <xf numFmtId="165" fontId="9" fillId="2" borderId="0" xfId="0" applyNumberFormat="1" applyFont="1" applyFill="1"/>
    <xf numFmtId="166" fontId="10" fillId="2" borderId="0" xfId="4" applyNumberFormat="1" applyFont="1" applyFill="1" applyAlignment="1" applyProtection="1">
      <alignment horizontal="left"/>
    </xf>
    <xf numFmtId="166" fontId="10" fillId="2" borderId="0" xfId="4" applyNumberFormat="1" applyFont="1" applyFill="1" applyAlignment="1" applyProtection="1">
      <alignment horizontal="right"/>
    </xf>
    <xf numFmtId="0" fontId="10" fillId="4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9" fillId="3" borderId="6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168" fontId="9" fillId="0" borderId="0" xfId="3" applyNumberFormat="1" applyFont="1"/>
    <xf numFmtId="0" fontId="9" fillId="2" borderId="0" xfId="0" applyFont="1" applyFill="1" applyAlignment="1">
      <alignment horizontal="left"/>
    </xf>
    <xf numFmtId="169" fontId="9" fillId="2" borderId="0" xfId="0" applyNumberFormat="1" applyFont="1" applyFill="1"/>
    <xf numFmtId="169" fontId="9" fillId="2" borderId="0" xfId="3" applyNumberFormat="1" applyFont="1" applyFill="1"/>
    <xf numFmtId="0" fontId="9" fillId="0" borderId="1" xfId="0" applyFont="1" applyBorder="1" applyAlignment="1">
      <alignment horizontal="left"/>
    </xf>
    <xf numFmtId="0" fontId="14" fillId="0" borderId="0" xfId="0" applyFont="1"/>
    <xf numFmtId="169" fontId="14" fillId="0" borderId="0" xfId="3" applyNumberFormat="1" applyFont="1"/>
    <xf numFmtId="0" fontId="14" fillId="0" borderId="1" xfId="0" applyFont="1" applyBorder="1"/>
    <xf numFmtId="0" fontId="9" fillId="0" borderId="6" xfId="0" applyFont="1" applyBorder="1" applyAlignment="1">
      <alignment horizontal="left"/>
    </xf>
    <xf numFmtId="0" fontId="15" fillId="0" borderId="0" xfId="0" applyFont="1"/>
    <xf numFmtId="0" fontId="16" fillId="0" borderId="0" xfId="2" applyFont="1" applyAlignment="1" applyProtection="1"/>
    <xf numFmtId="0" fontId="9" fillId="0" borderId="0" xfId="0" applyFont="1" applyBorder="1" applyAlignment="1">
      <alignment horizontal="left"/>
    </xf>
    <xf numFmtId="37" fontId="9" fillId="0" borderId="1" xfId="4" applyNumberFormat="1" applyFont="1" applyBorder="1" applyProtection="1"/>
    <xf numFmtId="166" fontId="9" fillId="0" borderId="1" xfId="0" applyNumberFormat="1" applyFont="1" applyBorder="1"/>
    <xf numFmtId="166" fontId="9" fillId="0" borderId="0" xfId="4" applyNumberFormat="1" applyFont="1" applyBorder="1" applyProtection="1"/>
    <xf numFmtId="166" fontId="9" fillId="0" borderId="0" xfId="1" applyNumberFormat="1" applyFont="1" applyBorder="1"/>
    <xf numFmtId="37" fontId="12" fillId="6" borderId="0" xfId="4" applyNumberFormat="1" applyFont="1" applyFill="1" applyAlignment="1" applyProtection="1">
      <alignment horizontal="left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7" fillId="0" borderId="0" xfId="2" applyFont="1" applyAlignment="1" applyProtection="1">
      <alignment horizontal="left"/>
    </xf>
    <xf numFmtId="0" fontId="12" fillId="6" borderId="0" xfId="0" applyFont="1" applyFill="1" applyAlignment="1">
      <alignment horizontal="left"/>
    </xf>
    <xf numFmtId="0" fontId="18" fillId="6" borderId="0" xfId="0" applyFont="1" applyFill="1" applyAlignment="1">
      <alignment horizontal="left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9" fillId="0" borderId="0" xfId="2" applyFont="1" applyAlignment="1" applyProtection="1">
      <alignment horizontal="left"/>
    </xf>
    <xf numFmtId="0" fontId="10" fillId="4" borderId="10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vertical="center"/>
    </xf>
    <xf numFmtId="0" fontId="5" fillId="6" borderId="0" xfId="0" applyFont="1" applyFill="1" applyAlignment="1"/>
    <xf numFmtId="0" fontId="10" fillId="4" borderId="8" xfId="0" applyFont="1" applyFill="1" applyBorder="1" applyAlignment="1">
      <alignment horizontal="center" wrapText="1"/>
    </xf>
    <xf numFmtId="0" fontId="10" fillId="4" borderId="9" xfId="0" applyFont="1" applyFill="1" applyBorder="1" applyAlignment="1">
      <alignment horizontal="center" wrapText="1"/>
    </xf>
    <xf numFmtId="0" fontId="5" fillId="6" borderId="0" xfId="0" applyFont="1" applyFill="1" applyAlignment="1">
      <alignment horizontal="left"/>
    </xf>
    <xf numFmtId="0" fontId="0" fillId="0" borderId="6" xfId="0" applyBorder="1" applyAlignment="1">
      <alignment vertical="center"/>
    </xf>
    <xf numFmtId="0" fontId="13" fillId="0" borderId="0" xfId="2" applyFont="1" applyAlignment="1" applyProtection="1">
      <alignment horizontal="left"/>
    </xf>
    <xf numFmtId="0" fontId="18" fillId="6" borderId="0" xfId="0" applyFont="1" applyFill="1" applyAlignment="1"/>
    <xf numFmtId="0" fontId="12" fillId="5" borderId="0" xfId="0" applyFont="1" applyFill="1" applyAlignment="1">
      <alignment horizontal="left"/>
    </xf>
    <xf numFmtId="0" fontId="5" fillId="5" borderId="0" xfId="0" applyFont="1" applyFill="1" applyAlignment="1"/>
    <xf numFmtId="37" fontId="10" fillId="4" borderId="6" xfId="4" applyNumberFormat="1" applyFont="1" applyFill="1" applyBorder="1" applyAlignment="1" applyProtection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1" fontId="12" fillId="5" borderId="0" xfId="4" applyNumberFormat="1" applyFont="1" applyFill="1" applyAlignment="1" applyProtection="1">
      <alignment horizontal="left"/>
    </xf>
    <xf numFmtId="0" fontId="18" fillId="5" borderId="0" xfId="0" applyFont="1" applyFill="1" applyAlignment="1"/>
    <xf numFmtId="37" fontId="12" fillId="6" borderId="0" xfId="4" applyNumberFormat="1" applyFont="1" applyFill="1" applyAlignment="1" applyProtection="1">
      <alignment horizontal="left"/>
    </xf>
    <xf numFmtId="37" fontId="10" fillId="4" borderId="2" xfId="4" applyNumberFormat="1" applyFont="1" applyFill="1" applyBorder="1" applyAlignment="1" applyProtection="1">
      <alignment horizontal="center" vertical="center"/>
    </xf>
    <xf numFmtId="0" fontId="12" fillId="5" borderId="0" xfId="0" applyFont="1" applyFill="1" applyAlignment="1"/>
  </cellXfs>
  <cellStyles count="6">
    <cellStyle name="ANCLAS,REZONES Y SUS PARTES,DE FUNDICION,DE HIERRO O DE ACERO" xfId="1"/>
    <cellStyle name="Hipervínculo" xfId="2" builtinId="8"/>
    <cellStyle name="Millares" xfId="3" builtinId="3"/>
    <cellStyle name="Normal" xfId="0" builtinId="0"/>
    <cellStyle name="Normal_Hoja13" xfId="4"/>
    <cellStyle name="Porcentual" xfId="5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6000750</xdr:colOff>
      <xdr:row>0</xdr:row>
      <xdr:rowOff>0</xdr:rowOff>
    </xdr:from>
    <xdr:to>
      <xdr:col>0</xdr:col>
      <xdr:colOff>7038975</xdr:colOff>
      <xdr:row>3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lc="http://schemas.openxmlformats.org/drawingml/2006/lockedCanvas" xmlns="" xmlns:a14="http://schemas.microsoft.com/office/drawing/2010/main" xmlns:p="http://schemas.openxmlformats.org/presentationml/2006/main" val="0"/>
            </a:ext>
          </a:extLst>
        </a:blip>
        <a:stretch>
          <a:fillRect/>
        </a:stretch>
      </xdr:blipFill>
      <xdr:spPr>
        <a:xfrm>
          <a:off x="6000750" y="0"/>
          <a:ext cx="103822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NOTAS%20Cap3-90anio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GridLines="0" tabSelected="1" workbookViewId="0">
      <selection activeCell="A14" sqref="A14"/>
    </sheetView>
  </sheetViews>
  <sheetFormatPr baseColWidth="10" defaultRowHeight="15"/>
  <cols>
    <col min="1" max="1" width="105.7109375" customWidth="1"/>
  </cols>
  <sheetData>
    <row r="1" spans="1:7" ht="23.25">
      <c r="A1" s="1" t="s">
        <v>5</v>
      </c>
    </row>
    <row r="2" spans="1:7">
      <c r="A2" s="2" t="s">
        <v>0</v>
      </c>
    </row>
    <row r="4" spans="1:7">
      <c r="A4" s="4" t="s">
        <v>1</v>
      </c>
    </row>
    <row r="5" spans="1:7">
      <c r="A5" s="4" t="s">
        <v>2</v>
      </c>
    </row>
    <row r="6" spans="1:7">
      <c r="A6" s="4" t="s">
        <v>224</v>
      </c>
    </row>
    <row r="7" spans="1:7">
      <c r="A7" s="4" t="s">
        <v>201</v>
      </c>
    </row>
    <row r="8" spans="1:7">
      <c r="A8" s="4" t="s">
        <v>200</v>
      </c>
      <c r="B8" s="3"/>
      <c r="C8" s="3"/>
      <c r="D8" s="3"/>
      <c r="E8" s="3"/>
      <c r="F8" s="3"/>
      <c r="G8" s="3"/>
    </row>
    <row r="9" spans="1:7">
      <c r="A9" s="4" t="s">
        <v>3</v>
      </c>
    </row>
    <row r="10" spans="1:7">
      <c r="A10" s="4" t="s">
        <v>226</v>
      </c>
    </row>
    <row r="11" spans="1:7">
      <c r="A11" s="4" t="s">
        <v>4</v>
      </c>
    </row>
    <row r="12" spans="1:7">
      <c r="A12" s="4" t="s">
        <v>228</v>
      </c>
    </row>
    <row r="13" spans="1:7">
      <c r="A13" s="3"/>
      <c r="B13" s="3"/>
      <c r="C13" s="3"/>
      <c r="D13" s="3"/>
      <c r="E13" s="3"/>
      <c r="F13" s="3"/>
    </row>
    <row r="14" spans="1:7">
      <c r="A14" s="3" t="s">
        <v>219</v>
      </c>
    </row>
  </sheetData>
  <hyperlinks>
    <hyperlink ref="A4" location="'3.1'!A1" display="3.1    Presupuesto del Gobierno Central (1927-1949) (1)"/>
    <hyperlink ref="A5" location="'3.2'!A1" display="3.2    Gobierno Central  /  Principales Variables (1950 - 1999) (1)"/>
    <hyperlink ref="A6" location="'3.3'!A1" display="3.3    Gobierno Central  /  Principales Variables (1990 - 2006) (1) (2)"/>
    <hyperlink ref="A7" location="'3.4'!A1" display="3.4    Consolidación de Ingresos y Egresos del Gobierno Central (1950-1959) "/>
    <hyperlink ref="A8" location="'3.4cont'!A1" display="3.4a   Consolidación de Ingresos y Egresos del Gobierno Central (1960-1970) (Cont.)"/>
    <hyperlink ref="A9" location="'3.5'!A1" display="3.5    Operaciones del Gobierno Central (1971-1999) (1)"/>
    <hyperlink ref="A10" location="'3.6'!A1" display="3.6    Operaciones del Gobierno Central (1990-2006) (1)"/>
    <hyperlink ref="A11" location="'3.7'!A1" display="3.7    Deuda Pública Interna / Por Niveles de Gobierno (1938 - 1999)"/>
    <hyperlink ref="A12" location="'3.8'!A1" display="3.8    Deuda Pública Interna / Por Niveles de Gobierno (1988 - 2001) (1)"/>
    <hyperlink ref="A14" r:id="rId1"/>
  </hyperlinks>
  <pageMargins left="0.7" right="0.7" top="0.75" bottom="0.75" header="0.3" footer="0.3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77"/>
  <sheetViews>
    <sheetView showGridLines="0" workbookViewId="0">
      <selection sqref="A1:J1"/>
    </sheetView>
  </sheetViews>
  <sheetFormatPr baseColWidth="10" defaultRowHeight="12.75"/>
  <cols>
    <col min="1" max="1" width="12.140625" style="5" customWidth="1"/>
    <col min="2" max="2" width="12" style="5" customWidth="1"/>
    <col min="3" max="3" width="16.5703125" style="5" customWidth="1"/>
    <col min="4" max="4" width="6.5703125" style="5" customWidth="1"/>
    <col min="5" max="5" width="10" style="5" customWidth="1"/>
    <col min="6" max="6" width="12.140625" style="5" customWidth="1"/>
    <col min="7" max="7" width="5.85546875" style="5" customWidth="1"/>
    <col min="8" max="8" width="17" style="5" customWidth="1"/>
    <col min="9" max="9" width="6.5703125" style="5" customWidth="1"/>
    <col min="10" max="10" width="11.42578125" style="5"/>
    <col min="11" max="11" width="12.85546875" style="5" hidden="1" customWidth="1"/>
    <col min="12" max="12" width="5.140625" style="5" customWidth="1"/>
    <col min="13" max="13" width="13" style="5" customWidth="1"/>
    <col min="14" max="14" width="4.42578125" style="5" customWidth="1"/>
    <col min="15" max="15" width="12.85546875" style="5" customWidth="1"/>
    <col min="16" max="16" width="5.5703125" style="5" customWidth="1"/>
    <col min="17" max="17" width="15.140625" style="5" customWidth="1"/>
    <col min="18" max="18" width="5.140625" style="5" customWidth="1"/>
    <col min="19" max="19" width="12.85546875" style="5" customWidth="1"/>
    <col min="20" max="20" width="13.7109375" style="5" customWidth="1"/>
    <col min="21" max="16384" width="11.42578125" style="5"/>
  </cols>
  <sheetData>
    <row r="1" spans="1:13" ht="17.25" customHeight="1">
      <c r="A1" s="146" t="s">
        <v>6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3" s="6" customFormat="1" ht="17.25" customHeight="1">
      <c r="A2" s="146" t="s">
        <v>7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3">
      <c r="A3" s="7"/>
      <c r="B3" s="8"/>
      <c r="C3" s="8"/>
      <c r="D3" s="8"/>
      <c r="E3" s="8"/>
      <c r="F3" s="8"/>
      <c r="G3" s="8"/>
      <c r="H3" s="8"/>
      <c r="I3" s="8"/>
      <c r="J3" s="8"/>
    </row>
    <row r="4" spans="1:13">
      <c r="A4" s="143" t="s">
        <v>8</v>
      </c>
      <c r="B4" s="148" t="s">
        <v>9</v>
      </c>
      <c r="C4" s="148"/>
      <c r="D4" s="148"/>
      <c r="E4" s="148"/>
      <c r="F4" s="148" t="s">
        <v>10</v>
      </c>
      <c r="G4" s="148"/>
      <c r="H4" s="148"/>
      <c r="I4" s="148"/>
      <c r="J4" s="149"/>
      <c r="M4" s="6"/>
    </row>
    <row r="5" spans="1:13" s="9" customFormat="1">
      <c r="A5" s="144"/>
      <c r="B5" s="36" t="s">
        <v>11</v>
      </c>
      <c r="C5" s="150" t="s">
        <v>12</v>
      </c>
      <c r="D5" s="150"/>
      <c r="E5" s="36" t="s">
        <v>13</v>
      </c>
      <c r="F5" s="151" t="s">
        <v>11</v>
      </c>
      <c r="G5" s="152"/>
      <c r="H5" s="150" t="s">
        <v>12</v>
      </c>
      <c r="I5" s="150"/>
      <c r="J5" s="39" t="s">
        <v>13</v>
      </c>
      <c r="M5" s="10"/>
    </row>
    <row r="6" spans="1:13">
      <c r="A6" s="11"/>
      <c r="B6" s="38" t="s">
        <v>14</v>
      </c>
      <c r="C6" s="141" t="s">
        <v>15</v>
      </c>
      <c r="D6" s="142"/>
      <c r="E6" s="12" t="s">
        <v>16</v>
      </c>
      <c r="F6" s="141" t="s">
        <v>17</v>
      </c>
      <c r="G6" s="142"/>
      <c r="H6" s="141" t="s">
        <v>18</v>
      </c>
      <c r="I6" s="142"/>
      <c r="J6" s="37" t="s">
        <v>19</v>
      </c>
      <c r="K6" s="6" t="s">
        <v>20</v>
      </c>
      <c r="M6" s="13"/>
    </row>
    <row r="7" spans="1:13">
      <c r="A7" s="11"/>
      <c r="B7" s="13"/>
      <c r="C7" s="13"/>
      <c r="D7" s="13"/>
      <c r="E7" s="13"/>
      <c r="F7" s="13"/>
      <c r="G7" s="13"/>
      <c r="H7" s="13"/>
      <c r="I7" s="13"/>
      <c r="J7" s="13"/>
      <c r="K7" s="6"/>
      <c r="M7" s="13"/>
    </row>
    <row r="8" spans="1:13">
      <c r="A8" s="14">
        <v>1927</v>
      </c>
      <c r="B8" s="15">
        <v>51.138500000000001</v>
      </c>
      <c r="C8" s="15">
        <v>24.072800000000001</v>
      </c>
      <c r="D8" s="16" t="s">
        <v>21</v>
      </c>
      <c r="E8" s="15">
        <v>75.211299999999994</v>
      </c>
      <c r="F8" s="15">
        <v>46.1997</v>
      </c>
      <c r="G8" s="17"/>
      <c r="H8" s="15">
        <v>25.4466</v>
      </c>
      <c r="I8" s="16" t="s">
        <v>22</v>
      </c>
      <c r="J8" s="15">
        <v>71.646299999999997</v>
      </c>
      <c r="K8" s="5">
        <v>7.1646299999999996E-2</v>
      </c>
      <c r="M8" s="18"/>
    </row>
    <row r="9" spans="1:13">
      <c r="A9" s="14">
        <v>1928</v>
      </c>
      <c r="B9" s="15">
        <v>58.010899999999999</v>
      </c>
      <c r="C9" s="15">
        <v>16.854700000000001</v>
      </c>
      <c r="D9" s="16" t="s">
        <v>23</v>
      </c>
      <c r="E9" s="15">
        <v>74.865600000000001</v>
      </c>
      <c r="F9" s="15">
        <v>58.595699999999994</v>
      </c>
      <c r="G9" s="17"/>
      <c r="H9" s="15">
        <v>12.2494</v>
      </c>
      <c r="I9" s="16" t="s">
        <v>24</v>
      </c>
      <c r="J9" s="15">
        <v>70.845099999999988</v>
      </c>
      <c r="K9" s="5">
        <v>7.0845099999999994E-2</v>
      </c>
      <c r="M9" s="18"/>
    </row>
    <row r="10" spans="1:13">
      <c r="A10" s="14">
        <v>1929</v>
      </c>
      <c r="B10" s="15">
        <v>60.459099999999999</v>
      </c>
      <c r="C10" s="15">
        <v>4.0206</v>
      </c>
      <c r="D10" s="16" t="s">
        <v>25</v>
      </c>
      <c r="E10" s="15">
        <v>64.479699999999994</v>
      </c>
      <c r="F10" s="15">
        <v>60.510400000000004</v>
      </c>
      <c r="G10" s="17"/>
      <c r="H10" s="15">
        <v>2.7841</v>
      </c>
      <c r="I10" s="16" t="s">
        <v>26</v>
      </c>
      <c r="J10" s="15">
        <v>63.294500000000006</v>
      </c>
      <c r="K10" s="5">
        <v>6.3294500000000004E-2</v>
      </c>
      <c r="M10" s="18"/>
    </row>
    <row r="11" spans="1:13">
      <c r="A11" s="14">
        <v>1930</v>
      </c>
      <c r="B11" s="15">
        <v>60.494199999999999</v>
      </c>
      <c r="C11" s="15">
        <v>0.32730000000000004</v>
      </c>
      <c r="D11" s="16" t="s">
        <v>27</v>
      </c>
      <c r="E11" s="15">
        <v>60.8215</v>
      </c>
      <c r="F11" s="15">
        <v>60.177699999999994</v>
      </c>
      <c r="G11" s="17"/>
      <c r="H11" s="15" t="s">
        <v>28</v>
      </c>
      <c r="I11" s="17"/>
      <c r="J11" s="15">
        <v>60.177699999999994</v>
      </c>
      <c r="K11" s="5">
        <v>6.0177699999999994E-2</v>
      </c>
      <c r="M11" s="18"/>
    </row>
    <row r="12" spans="1:13">
      <c r="A12" s="14">
        <v>1931</v>
      </c>
      <c r="B12" s="15">
        <v>43.259900000000002</v>
      </c>
      <c r="C12" s="15">
        <v>2.0105999999999997</v>
      </c>
      <c r="D12" s="16" t="s">
        <v>29</v>
      </c>
      <c r="E12" s="15">
        <v>45.270499999999998</v>
      </c>
      <c r="F12" s="15">
        <v>45.1768</v>
      </c>
      <c r="G12" s="17"/>
      <c r="H12" s="15" t="s">
        <v>28</v>
      </c>
      <c r="I12" s="17"/>
      <c r="J12" s="15">
        <v>45.1768</v>
      </c>
      <c r="K12" s="5">
        <v>4.5176800000000003E-2</v>
      </c>
      <c r="M12" s="18"/>
    </row>
    <row r="13" spans="1:13">
      <c r="A13" s="14">
        <v>1932</v>
      </c>
      <c r="B13" s="15">
        <v>34.267900000000004</v>
      </c>
      <c r="C13" s="15">
        <v>7.8943000000000003</v>
      </c>
      <c r="D13" s="16" t="s">
        <v>30</v>
      </c>
      <c r="E13" s="15">
        <v>42.162200000000006</v>
      </c>
      <c r="F13" s="15">
        <v>41.9816</v>
      </c>
      <c r="G13" s="17"/>
      <c r="H13" s="15">
        <v>0.1757</v>
      </c>
      <c r="I13" s="16" t="s">
        <v>31</v>
      </c>
      <c r="J13" s="15">
        <v>42.157299999999999</v>
      </c>
      <c r="K13" s="5">
        <v>4.2157300000000002E-2</v>
      </c>
      <c r="M13" s="18"/>
    </row>
    <row r="14" spans="1:13">
      <c r="A14" s="14">
        <v>1933</v>
      </c>
      <c r="B14" s="15">
        <v>39.342300000000002</v>
      </c>
      <c r="C14" s="15">
        <v>2.5</v>
      </c>
      <c r="D14" s="16" t="s">
        <v>32</v>
      </c>
      <c r="E14" s="15">
        <v>41.842300000000002</v>
      </c>
      <c r="F14" s="15">
        <v>41.842300000000002</v>
      </c>
      <c r="G14" s="17"/>
      <c r="H14" s="15" t="s">
        <v>28</v>
      </c>
      <c r="I14" s="17"/>
      <c r="J14" s="15">
        <v>41.842300000000002</v>
      </c>
      <c r="K14" s="5">
        <v>4.1842299999999999E-2</v>
      </c>
      <c r="M14" s="18"/>
    </row>
    <row r="15" spans="1:13">
      <c r="A15" s="14">
        <v>1934</v>
      </c>
      <c r="B15" s="15">
        <v>48.282199999999996</v>
      </c>
      <c r="C15" s="15" t="s">
        <v>28</v>
      </c>
      <c r="D15" s="16"/>
      <c r="E15" s="15">
        <v>48.282199999999996</v>
      </c>
      <c r="F15" s="15">
        <v>48.282199999999996</v>
      </c>
      <c r="G15" s="16" t="s">
        <v>33</v>
      </c>
      <c r="H15" s="15" t="s">
        <v>28</v>
      </c>
      <c r="I15" s="17"/>
      <c r="J15" s="15">
        <v>48.282199999999996</v>
      </c>
      <c r="K15" s="5">
        <v>4.8282199999999997E-2</v>
      </c>
      <c r="M15" s="18"/>
    </row>
    <row r="16" spans="1:13">
      <c r="A16" s="14">
        <v>1935</v>
      </c>
      <c r="B16" s="15">
        <v>66.486100000000008</v>
      </c>
      <c r="C16" s="15">
        <v>3.0139999999999998</v>
      </c>
      <c r="D16" s="16" t="s">
        <v>34</v>
      </c>
      <c r="E16" s="15">
        <v>69.500100000000003</v>
      </c>
      <c r="F16" s="15">
        <v>65.099999999999994</v>
      </c>
      <c r="G16" s="16" t="s">
        <v>35</v>
      </c>
      <c r="H16" s="15" t="s">
        <v>28</v>
      </c>
      <c r="I16" s="17"/>
      <c r="J16" s="15">
        <v>65.099999999999994</v>
      </c>
      <c r="K16" s="5">
        <v>6.5099999999999991E-2</v>
      </c>
      <c r="M16" s="18"/>
    </row>
    <row r="17" spans="1:13">
      <c r="A17" s="14">
        <v>1936</v>
      </c>
      <c r="B17" s="15">
        <v>77.4636</v>
      </c>
      <c r="C17" s="15">
        <v>43.196800000000003</v>
      </c>
      <c r="D17" s="16" t="s">
        <v>36</v>
      </c>
      <c r="E17" s="15">
        <v>120.66040000000001</v>
      </c>
      <c r="F17" s="15">
        <v>76.39139999999999</v>
      </c>
      <c r="G17" s="17"/>
      <c r="H17" s="15">
        <v>36.849299999999999</v>
      </c>
      <c r="I17" s="17"/>
      <c r="J17" s="15">
        <v>113.24069999999999</v>
      </c>
      <c r="K17" s="5">
        <v>0.11324069999999999</v>
      </c>
      <c r="M17" s="18"/>
    </row>
    <row r="18" spans="1:13">
      <c r="A18" s="14">
        <v>1937</v>
      </c>
      <c r="B18" s="15">
        <v>86.584500000000006</v>
      </c>
      <c r="C18" s="15">
        <v>30.0989</v>
      </c>
      <c r="D18" s="16" t="s">
        <v>37</v>
      </c>
      <c r="E18" s="15">
        <v>116.68340000000001</v>
      </c>
      <c r="F18" s="15">
        <v>80.9208</v>
      </c>
      <c r="G18" s="17"/>
      <c r="H18" s="15">
        <v>22.894200000000001</v>
      </c>
      <c r="I18" s="17"/>
      <c r="J18" s="15">
        <v>103.815</v>
      </c>
      <c r="K18" s="5">
        <v>0.103815</v>
      </c>
      <c r="M18" s="18"/>
    </row>
    <row r="19" spans="1:13">
      <c r="A19" s="14">
        <v>1938</v>
      </c>
      <c r="B19" s="15">
        <v>120.83330000000001</v>
      </c>
      <c r="C19" s="15">
        <v>3.2004999999999999</v>
      </c>
      <c r="D19" s="17"/>
      <c r="E19" s="15">
        <v>124.03380000000001</v>
      </c>
      <c r="F19" s="15">
        <v>129.63319999999999</v>
      </c>
      <c r="G19" s="17"/>
      <c r="H19" s="15">
        <v>2.4988000000000001</v>
      </c>
      <c r="I19" s="17"/>
      <c r="J19" s="15">
        <v>132.13199999999998</v>
      </c>
      <c r="K19" s="5">
        <v>0.13213199999999997</v>
      </c>
      <c r="M19" s="18"/>
    </row>
    <row r="20" spans="1:13">
      <c r="A20" s="14">
        <v>1939</v>
      </c>
      <c r="B20" s="15">
        <v>117.1867</v>
      </c>
      <c r="C20" s="15">
        <v>4.8763999999999994</v>
      </c>
      <c r="D20" s="17"/>
      <c r="E20" s="15">
        <v>122.06310000000001</v>
      </c>
      <c r="F20" s="15">
        <v>113.12519999999999</v>
      </c>
      <c r="G20" s="17"/>
      <c r="H20" s="15">
        <v>4.0753000000000004</v>
      </c>
      <c r="I20" s="17"/>
      <c r="J20" s="15">
        <v>117.20049999999999</v>
      </c>
      <c r="K20" s="5">
        <v>0.11720049999999999</v>
      </c>
      <c r="M20" s="18"/>
    </row>
    <row r="21" spans="1:13">
      <c r="A21" s="14">
        <v>1940</v>
      </c>
      <c r="B21" s="15">
        <v>108.5326</v>
      </c>
      <c r="C21" s="15">
        <v>7.8253999999999992</v>
      </c>
      <c r="D21" s="17"/>
      <c r="E21" s="15">
        <v>116.358</v>
      </c>
      <c r="F21" s="15">
        <v>107.3447</v>
      </c>
      <c r="G21" s="17"/>
      <c r="H21" s="15">
        <v>6.7060000000000004</v>
      </c>
      <c r="I21" s="17"/>
      <c r="J21" s="15">
        <v>114.05070000000001</v>
      </c>
      <c r="K21" s="5">
        <v>0.1140507</v>
      </c>
      <c r="M21" s="18"/>
    </row>
    <row r="22" spans="1:13">
      <c r="A22" s="14">
        <v>1941</v>
      </c>
      <c r="B22" s="15">
        <v>109.0013</v>
      </c>
      <c r="C22" s="15">
        <v>9.8287000000000013</v>
      </c>
      <c r="D22" s="17"/>
      <c r="E22" s="15">
        <v>118.83</v>
      </c>
      <c r="F22" s="15">
        <v>104.81489999999999</v>
      </c>
      <c r="G22" s="17"/>
      <c r="H22" s="15">
        <v>8.0730000000000004</v>
      </c>
      <c r="I22" s="17"/>
      <c r="J22" s="15">
        <v>112.8879</v>
      </c>
      <c r="K22" s="5">
        <v>0.1128879</v>
      </c>
      <c r="M22" s="18"/>
    </row>
    <row r="23" spans="1:13">
      <c r="A23" s="14">
        <v>1942</v>
      </c>
      <c r="B23" s="15">
        <v>128.98519999999999</v>
      </c>
      <c r="C23" s="15">
        <v>11.1754</v>
      </c>
      <c r="D23" s="17"/>
      <c r="E23" s="15">
        <v>140.16059999999999</v>
      </c>
      <c r="F23" s="15">
        <v>117.7957</v>
      </c>
      <c r="G23" s="17"/>
      <c r="H23" s="15">
        <v>9.1166</v>
      </c>
      <c r="I23" s="17"/>
      <c r="J23" s="15">
        <v>126.9123</v>
      </c>
      <c r="K23" s="5">
        <v>0.12691230000000001</v>
      </c>
      <c r="M23" s="18"/>
    </row>
    <row r="24" spans="1:13">
      <c r="A24" s="14">
        <v>1943</v>
      </c>
      <c r="B24" s="15">
        <v>168.28399999999999</v>
      </c>
      <c r="C24" s="15">
        <v>11.6127</v>
      </c>
      <c r="D24" s="17"/>
      <c r="E24" s="15">
        <v>179.89669999999998</v>
      </c>
      <c r="F24" s="15">
        <v>161.42439999999999</v>
      </c>
      <c r="G24" s="17"/>
      <c r="H24" s="15">
        <v>11.0379</v>
      </c>
      <c r="I24" s="17"/>
      <c r="J24" s="15">
        <v>172.4623</v>
      </c>
      <c r="K24" s="5">
        <v>0.17246230000000001</v>
      </c>
      <c r="M24" s="18"/>
    </row>
    <row r="25" spans="1:13">
      <c r="A25" s="14">
        <v>1944</v>
      </c>
      <c r="B25" s="15">
        <v>211.95820000000001</v>
      </c>
      <c r="C25" s="15">
        <v>21.6493</v>
      </c>
      <c r="D25" s="17"/>
      <c r="E25" s="15">
        <v>233.60749999999999</v>
      </c>
      <c r="F25" s="15">
        <v>209.06059999999999</v>
      </c>
      <c r="G25" s="17"/>
      <c r="H25" s="15">
        <v>20.679599999999997</v>
      </c>
      <c r="I25" s="17"/>
      <c r="J25" s="15">
        <v>229.74019999999999</v>
      </c>
      <c r="K25" s="5">
        <v>0.22974019999999998</v>
      </c>
      <c r="M25" s="18"/>
    </row>
    <row r="26" spans="1:13">
      <c r="A26" s="14">
        <v>1945</v>
      </c>
      <c r="B26" s="15">
        <v>252.7166</v>
      </c>
      <c r="C26" s="15">
        <v>57.252499999999998</v>
      </c>
      <c r="D26" s="17"/>
      <c r="E26" s="15">
        <v>309.96910000000003</v>
      </c>
      <c r="F26" s="15">
        <v>252.63749999999999</v>
      </c>
      <c r="G26" s="17"/>
      <c r="H26" s="15">
        <v>57.252499999999998</v>
      </c>
      <c r="I26" s="17"/>
      <c r="J26" s="15">
        <v>309.89</v>
      </c>
      <c r="K26" s="5">
        <v>0.30989</v>
      </c>
      <c r="M26" s="18"/>
    </row>
    <row r="27" spans="1:13">
      <c r="A27" s="14">
        <v>1946</v>
      </c>
      <c r="B27" s="15">
        <v>298.81270000000001</v>
      </c>
      <c r="C27" s="15">
        <v>67.7239</v>
      </c>
      <c r="D27" s="17"/>
      <c r="E27" s="15">
        <v>366.53660000000002</v>
      </c>
      <c r="F27" s="15">
        <v>297.54500000000002</v>
      </c>
      <c r="G27" s="17"/>
      <c r="H27" s="15">
        <v>66.955399999999997</v>
      </c>
      <c r="I27" s="17"/>
      <c r="J27" s="15">
        <v>364.50040000000001</v>
      </c>
      <c r="K27" s="5">
        <v>0.3645004</v>
      </c>
      <c r="M27" s="18"/>
    </row>
    <row r="28" spans="1:13">
      <c r="A28" s="14">
        <v>1947</v>
      </c>
      <c r="B28" s="15">
        <v>394.52140000000003</v>
      </c>
      <c r="C28" s="15">
        <v>14.293700000000001</v>
      </c>
      <c r="D28" s="17"/>
      <c r="E28" s="15">
        <v>408.81510000000003</v>
      </c>
      <c r="F28" s="15">
        <v>391.51779999999997</v>
      </c>
      <c r="G28" s="17"/>
      <c r="H28" s="15">
        <v>11.3803</v>
      </c>
      <c r="I28" s="17"/>
      <c r="J28" s="15">
        <v>402.89809999999994</v>
      </c>
      <c r="K28" s="5">
        <v>0.40289809999999993</v>
      </c>
      <c r="M28" s="18"/>
    </row>
    <row r="29" spans="1:13">
      <c r="A29" s="14">
        <v>1948</v>
      </c>
      <c r="B29" s="15">
        <v>373.40309999999999</v>
      </c>
      <c r="C29" s="15">
        <v>22.549700000000001</v>
      </c>
      <c r="D29" s="17"/>
      <c r="E29" s="15">
        <v>395.95280000000002</v>
      </c>
      <c r="F29" s="15">
        <v>373.23140000000001</v>
      </c>
      <c r="G29" s="17"/>
      <c r="H29" s="15">
        <v>17.725900000000003</v>
      </c>
      <c r="I29" s="17"/>
      <c r="J29" s="15">
        <v>390.95730000000003</v>
      </c>
      <c r="K29" s="5">
        <v>0.39095730000000001</v>
      </c>
      <c r="M29" s="18"/>
    </row>
    <row r="30" spans="1:13">
      <c r="A30" s="14">
        <v>1949</v>
      </c>
      <c r="B30" s="15">
        <v>390.64749999999998</v>
      </c>
      <c r="C30" s="15">
        <v>6.2008000000000001</v>
      </c>
      <c r="D30" s="17"/>
      <c r="E30" s="15">
        <v>396.84829999999999</v>
      </c>
      <c r="F30" s="15">
        <v>390.15390000000002</v>
      </c>
      <c r="G30" s="17"/>
      <c r="H30" s="15">
        <v>6.2008000000000001</v>
      </c>
      <c r="I30" s="17"/>
      <c r="J30" s="15">
        <v>396.35470000000004</v>
      </c>
      <c r="K30" s="5">
        <v>0.39635470000000006</v>
      </c>
      <c r="M30" s="18"/>
    </row>
    <row r="31" spans="1:13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5">
        <v>0</v>
      </c>
      <c r="M31" s="18"/>
    </row>
    <row r="32" spans="1:13">
      <c r="A32" s="11"/>
      <c r="B32" s="18"/>
      <c r="C32" s="18"/>
      <c r="D32" s="18"/>
      <c r="E32" s="18"/>
      <c r="F32" s="18"/>
      <c r="G32" s="18"/>
      <c r="H32" s="18"/>
      <c r="I32" s="18"/>
      <c r="J32" s="18"/>
    </row>
    <row r="33" spans="1:10">
      <c r="C33" s="18"/>
      <c r="D33" s="21"/>
      <c r="E33" s="18"/>
      <c r="F33" s="18"/>
      <c r="G33" s="18"/>
      <c r="H33" s="18"/>
      <c r="I33" s="18"/>
      <c r="J33" s="18"/>
    </row>
    <row r="34" spans="1:10">
      <c r="A34" s="134"/>
      <c r="B34" s="18"/>
      <c r="C34" s="18"/>
      <c r="D34" s="18"/>
      <c r="E34" s="18"/>
      <c r="F34" s="18"/>
      <c r="G34" s="18"/>
      <c r="H34" s="18"/>
      <c r="I34" s="18"/>
      <c r="J34" s="18"/>
    </row>
    <row r="35" spans="1:10">
      <c r="A35" s="145" t="s">
        <v>179</v>
      </c>
      <c r="B35" s="145"/>
      <c r="C35" s="18"/>
      <c r="D35" s="18"/>
      <c r="E35" s="18"/>
      <c r="F35" s="18"/>
      <c r="G35" s="18"/>
      <c r="H35" s="18"/>
      <c r="I35" s="18"/>
      <c r="J35" s="18"/>
    </row>
    <row r="36" spans="1:10">
      <c r="A36" s="11"/>
      <c r="B36" s="18"/>
      <c r="C36" s="18"/>
      <c r="D36" s="18"/>
      <c r="E36" s="18"/>
      <c r="F36" s="18"/>
      <c r="G36" s="18"/>
      <c r="H36" s="18"/>
      <c r="I36" s="18"/>
      <c r="J36" s="18"/>
    </row>
    <row r="37" spans="1:10">
      <c r="A37" s="6"/>
    </row>
    <row r="38" spans="1:10">
      <c r="A38" s="6"/>
    </row>
    <row r="45" spans="1:10">
      <c r="A45" s="6"/>
    </row>
    <row r="47" spans="1:10">
      <c r="A47" s="6"/>
    </row>
    <row r="49" spans="1:1">
      <c r="A49" s="6"/>
    </row>
    <row r="53" spans="1:1">
      <c r="A53" s="6"/>
    </row>
    <row r="55" spans="1:1">
      <c r="A55" s="6"/>
    </row>
    <row r="56" spans="1:1">
      <c r="A56" s="6"/>
    </row>
    <row r="57" spans="1:1">
      <c r="A57" s="6"/>
    </row>
    <row r="60" spans="1:1">
      <c r="A60" s="6"/>
    </row>
    <row r="61" spans="1:1">
      <c r="A61" s="6"/>
    </row>
    <row r="62" spans="1:1">
      <c r="A62" s="6"/>
    </row>
    <row r="64" spans="1:1">
      <c r="A64" s="6"/>
    </row>
    <row r="66" spans="1:1">
      <c r="A66" s="6"/>
    </row>
    <row r="68" spans="1:1">
      <c r="A68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85" spans="1:21">
      <c r="A85" s="7"/>
      <c r="B85" s="8"/>
      <c r="C85" s="7"/>
      <c r="D85" s="7"/>
      <c r="E85" s="7"/>
      <c r="F85" s="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1">
      <c r="A86" s="7"/>
      <c r="B86" s="8"/>
      <c r="C86" s="8"/>
      <c r="D86" s="7"/>
      <c r="E86" s="7"/>
      <c r="F86" s="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1">
      <c r="A88" s="6"/>
    </row>
    <row r="89" spans="1:21">
      <c r="A89" s="1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1" spans="1:21">
      <c r="A91" s="6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spans="1:21"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spans="1:21">
      <c r="A93" s="6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spans="1:21">
      <c r="C94" s="18"/>
      <c r="D94" s="18"/>
      <c r="E94" s="18"/>
      <c r="F94" s="18"/>
      <c r="G94" s="18"/>
      <c r="H94" s="21"/>
      <c r="I94" s="18"/>
      <c r="J94" s="21"/>
      <c r="K94" s="18"/>
      <c r="L94" s="21"/>
      <c r="M94" s="18"/>
      <c r="N94" s="21"/>
      <c r="O94" s="18"/>
      <c r="P94" s="21"/>
      <c r="Q94" s="18"/>
      <c r="R94" s="18"/>
      <c r="S94" s="18"/>
      <c r="T94" s="18"/>
    </row>
    <row r="95" spans="1:21"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1:21"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1:20"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1:20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1:20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1:20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1:20"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1:20"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1:20"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1:20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>
      <c r="A108" s="6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1:20"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1:20"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1:20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1:20"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0"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1:20">
      <c r="A114" s="6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1:20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1:20">
      <c r="C116" s="18"/>
      <c r="D116" s="18"/>
      <c r="E116" s="18"/>
      <c r="F116" s="21"/>
      <c r="G116" s="18"/>
      <c r="H116" s="21"/>
      <c r="I116" s="18"/>
      <c r="J116" s="18"/>
      <c r="K116" s="18"/>
      <c r="L116" s="18"/>
      <c r="M116" s="18"/>
      <c r="N116" s="18"/>
      <c r="O116" s="18"/>
      <c r="P116" s="18"/>
      <c r="Q116" s="18"/>
      <c r="R116" s="21"/>
      <c r="S116" s="18"/>
      <c r="T116" s="18"/>
    </row>
    <row r="117" spans="1:20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1:20"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1:20"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1:20">
      <c r="A120" s="6"/>
      <c r="B120" s="6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1:20"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spans="1:20">
      <c r="A122" s="6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1:20"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spans="1:20"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spans="1:20"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1:20"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spans="1:20"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spans="1:20"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1:20"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1:20"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1:20"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1:20"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1:20"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1:20"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1:20"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1:20"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>
      <c r="C141" s="18"/>
      <c r="D141" s="18"/>
      <c r="E141" s="18"/>
      <c r="F141" s="18"/>
      <c r="G141" s="18"/>
      <c r="H141" s="21"/>
      <c r="I141" s="18"/>
      <c r="J141" s="21"/>
      <c r="K141" s="18"/>
      <c r="L141" s="21"/>
      <c r="M141" s="18"/>
      <c r="N141" s="21"/>
      <c r="O141" s="18"/>
      <c r="P141" s="21"/>
      <c r="Q141" s="18"/>
      <c r="R141" s="18"/>
      <c r="S141" s="18"/>
      <c r="T141" s="18"/>
    </row>
    <row r="142" spans="1:20"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spans="1:20"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1:20">
      <c r="A144" s="6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1:28"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1:28">
      <c r="A146" s="6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spans="1:28"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1:28"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8"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1:28">
      <c r="A150" s="6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1:28"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spans="1:28"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8"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spans="1:28"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1:28">
      <c r="A155" s="6"/>
      <c r="B155" s="6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6"/>
      <c r="V155" s="6"/>
      <c r="W155" s="6"/>
      <c r="X155" s="6"/>
      <c r="Y155" s="6"/>
      <c r="Z155" s="6"/>
      <c r="AA155" s="6"/>
      <c r="AB155" s="6"/>
    </row>
    <row r="156" spans="1:28">
      <c r="S156" s="22"/>
      <c r="T156" s="22"/>
    </row>
    <row r="158" spans="1:28">
      <c r="A158" s="6"/>
    </row>
    <row r="160" spans="1:28">
      <c r="A160" s="6"/>
    </row>
    <row r="161" spans="1:1">
      <c r="A161" s="6"/>
    </row>
    <row r="169" spans="1:1">
      <c r="A169" s="6"/>
    </row>
    <row r="171" spans="1:1">
      <c r="A171" s="6"/>
    </row>
    <row r="175" spans="1:1">
      <c r="A175" s="6"/>
    </row>
    <row r="177" spans="1:1">
      <c r="A177" s="6"/>
    </row>
  </sheetData>
  <mergeCells count="12">
    <mergeCell ref="H6:I6"/>
    <mergeCell ref="A4:A5"/>
    <mergeCell ref="A35:B35"/>
    <mergeCell ref="A1:J1"/>
    <mergeCell ref="A2:J2"/>
    <mergeCell ref="B4:E4"/>
    <mergeCell ref="F4:J4"/>
    <mergeCell ref="C5:D5"/>
    <mergeCell ref="H5:I5"/>
    <mergeCell ref="C6:D6"/>
    <mergeCell ref="F5:G5"/>
    <mergeCell ref="F6:G6"/>
  </mergeCells>
  <hyperlinks>
    <hyperlink ref="A35:B35" location="'indice cap.3'!A1" display="regresar al índice"/>
  </hyperlinks>
  <pageMargins left="0.70866141732283472" right="0.70866141732283472" top="0.74803149606299213" bottom="0.74803149606299213" header="0.31496062992125984" footer="0.31496062992125984"/>
  <pageSetup orientation="landscape" horizontalDpi="1200" verticalDpi="1200" r:id="rId1"/>
  <ignoredErrors>
    <ignoredError sqref="D8:D14 D16:D18 G15:G16 I8:I10 I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5"/>
  <sheetViews>
    <sheetView showGridLines="0" workbookViewId="0">
      <selection activeCell="A5" sqref="A5:A6"/>
    </sheetView>
  </sheetViews>
  <sheetFormatPr baseColWidth="10" defaultRowHeight="12.75"/>
  <cols>
    <col min="1" max="1" width="8" style="5" customWidth="1"/>
    <col min="2" max="2" width="14.140625" style="5" customWidth="1"/>
    <col min="3" max="3" width="12" style="5" customWidth="1"/>
    <col min="4" max="4" width="12.42578125" style="5" customWidth="1"/>
    <col min="5" max="5" width="11.42578125" style="5"/>
    <col min="6" max="6" width="12.42578125" style="5" customWidth="1"/>
    <col min="7" max="7" width="11.42578125" style="5"/>
    <col min="8" max="8" width="12.42578125" style="5" customWidth="1"/>
    <col min="9" max="12" width="11.42578125" style="5"/>
    <col min="13" max="14" width="11.42578125" style="23"/>
    <col min="15" max="16384" width="11.42578125" style="5"/>
  </cols>
  <sheetData>
    <row r="1" spans="1:16" ht="15">
      <c r="A1" s="146" t="s">
        <v>38</v>
      </c>
      <c r="B1" s="156"/>
      <c r="C1" s="156"/>
      <c r="D1" s="156"/>
      <c r="E1" s="156"/>
      <c r="F1" s="156"/>
      <c r="G1" s="156"/>
      <c r="H1" s="156"/>
      <c r="I1" s="156"/>
    </row>
    <row r="2" spans="1:16" ht="15">
      <c r="A2" s="146" t="s">
        <v>39</v>
      </c>
      <c r="B2" s="156"/>
      <c r="C2" s="156"/>
      <c r="D2" s="156"/>
      <c r="E2" s="156"/>
      <c r="F2" s="156"/>
      <c r="G2" s="156"/>
      <c r="H2" s="156"/>
      <c r="I2" s="156"/>
      <c r="P2" s="18"/>
    </row>
    <row r="3" spans="1:16" ht="15">
      <c r="A3" s="146" t="s">
        <v>7</v>
      </c>
      <c r="B3" s="156"/>
      <c r="C3" s="156"/>
      <c r="D3" s="156"/>
      <c r="E3" s="156"/>
      <c r="F3" s="156"/>
      <c r="G3" s="156"/>
      <c r="H3" s="156"/>
      <c r="I3" s="156"/>
      <c r="P3" s="18"/>
    </row>
    <row r="4" spans="1:16">
      <c r="A4" s="8"/>
      <c r="B4" s="8"/>
      <c r="C4" s="8"/>
      <c r="D4" s="8"/>
      <c r="E4" s="8"/>
      <c r="F4" s="8"/>
      <c r="G4" s="8"/>
      <c r="H4" s="8"/>
      <c r="I4" s="8"/>
      <c r="P4" s="18"/>
    </row>
    <row r="5" spans="1:16" s="6" customFormat="1">
      <c r="A5" s="154" t="s">
        <v>8</v>
      </c>
      <c r="B5" s="157" t="s">
        <v>40</v>
      </c>
      <c r="C5" s="157"/>
      <c r="D5" s="157" t="s">
        <v>41</v>
      </c>
      <c r="E5" s="157"/>
      <c r="F5" s="157" t="s">
        <v>42</v>
      </c>
      <c r="G5" s="157"/>
      <c r="H5" s="157" t="s">
        <v>43</v>
      </c>
      <c r="I5" s="158"/>
      <c r="J5" s="13"/>
      <c r="K5" s="13"/>
      <c r="L5" s="13"/>
      <c r="M5" s="24"/>
      <c r="N5" s="24"/>
      <c r="P5" s="21"/>
    </row>
    <row r="6" spans="1:16" s="6" customFormat="1">
      <c r="A6" s="155"/>
      <c r="B6" s="31" t="s">
        <v>44</v>
      </c>
      <c r="C6" s="31" t="s">
        <v>45</v>
      </c>
      <c r="D6" s="31" t="s">
        <v>44</v>
      </c>
      <c r="E6" s="31" t="s">
        <v>45</v>
      </c>
      <c r="F6" s="31" t="s">
        <v>44</v>
      </c>
      <c r="G6" s="31" t="s">
        <v>45</v>
      </c>
      <c r="H6" s="31" t="s">
        <v>44</v>
      </c>
      <c r="I6" s="32" t="s">
        <v>45</v>
      </c>
      <c r="M6" s="25"/>
      <c r="N6" s="25"/>
      <c r="P6" s="21"/>
    </row>
    <row r="7" spans="1:16">
      <c r="B7" s="11"/>
      <c r="C7" s="26"/>
      <c r="D7" s="11"/>
      <c r="E7" s="26"/>
      <c r="F7" s="11"/>
      <c r="G7" s="26"/>
      <c r="H7" s="11"/>
      <c r="I7" s="26"/>
      <c r="M7" s="27"/>
      <c r="N7" s="27"/>
      <c r="P7" s="18"/>
    </row>
    <row r="8" spans="1:16">
      <c r="A8" s="33">
        <v>1950</v>
      </c>
      <c r="B8" s="34">
        <v>441.29400000000004</v>
      </c>
      <c r="C8" s="34">
        <v>6.1044957808825568</v>
      </c>
      <c r="D8" s="34">
        <v>384.67300000000006</v>
      </c>
      <c r="E8" s="34">
        <v>5.32124775210956</v>
      </c>
      <c r="F8" s="34">
        <v>370.64499999999998</v>
      </c>
      <c r="G8" s="34">
        <v>5.1271960160464793</v>
      </c>
      <c r="H8" s="34">
        <v>37.616999999999997</v>
      </c>
      <c r="I8" s="34">
        <v>0.52036242910499375</v>
      </c>
      <c r="J8" s="18"/>
      <c r="K8" s="18"/>
      <c r="L8" s="18"/>
      <c r="P8" s="18"/>
    </row>
    <row r="9" spans="1:16">
      <c r="A9" s="33">
        <v>1951</v>
      </c>
      <c r="B9" s="34">
        <v>532.71500000000003</v>
      </c>
      <c r="C9" s="34">
        <v>6.8701960278565899</v>
      </c>
      <c r="D9" s="34">
        <v>449.29599999999999</v>
      </c>
      <c r="E9" s="34">
        <v>5.7943770956925453</v>
      </c>
      <c r="F9" s="34">
        <v>445.00700000000001</v>
      </c>
      <c r="G9" s="34">
        <v>5.7390637090533918</v>
      </c>
      <c r="H9" s="34">
        <v>44.276000000000003</v>
      </c>
      <c r="I9" s="34">
        <v>0.5710085117358783</v>
      </c>
      <c r="J9" s="18"/>
      <c r="K9" s="18"/>
      <c r="L9" s="18"/>
      <c r="P9" s="18"/>
    </row>
    <row r="10" spans="1:16">
      <c r="A10" s="33">
        <v>1952</v>
      </c>
      <c r="B10" s="34">
        <v>552.52</v>
      </c>
      <c r="C10" s="34">
        <v>6.261559383499546</v>
      </c>
      <c r="D10" s="34">
        <v>471.48299999999995</v>
      </c>
      <c r="E10" s="34">
        <v>5.3431890299184035</v>
      </c>
      <c r="F10" s="34">
        <v>476.13800000000003</v>
      </c>
      <c r="G10" s="34">
        <v>5.3959428830462377</v>
      </c>
      <c r="H10" s="34">
        <v>53.052999999999997</v>
      </c>
      <c r="I10" s="34">
        <v>0.60123526745240252</v>
      </c>
      <c r="J10" s="18"/>
      <c r="K10" s="18"/>
      <c r="L10" s="18"/>
      <c r="P10" s="18"/>
    </row>
    <row r="11" spans="1:16">
      <c r="A11" s="33">
        <v>1953</v>
      </c>
      <c r="B11" s="34">
        <v>700.81400000000008</v>
      </c>
      <c r="C11" s="34">
        <v>7.5001498287671247</v>
      </c>
      <c r="D11" s="34">
        <v>593.28599999999994</v>
      </c>
      <c r="E11" s="34">
        <v>6.3493792808219167</v>
      </c>
      <c r="F11" s="34">
        <v>591.72800000000007</v>
      </c>
      <c r="G11" s="34">
        <v>6.3327054794520556</v>
      </c>
      <c r="H11" s="34">
        <v>74.194999999999993</v>
      </c>
      <c r="I11" s="34">
        <v>0.79403895547945202</v>
      </c>
      <c r="J11" s="18"/>
      <c r="K11" s="18"/>
      <c r="L11" s="18"/>
      <c r="P11" s="18"/>
    </row>
    <row r="12" spans="1:16">
      <c r="A12" s="33">
        <v>1954</v>
      </c>
      <c r="B12" s="34">
        <v>822.79100000000005</v>
      </c>
      <c r="C12" s="34">
        <v>7.9274592928027756</v>
      </c>
      <c r="D12" s="34">
        <v>697.798</v>
      </c>
      <c r="E12" s="34">
        <v>6.7231717891897098</v>
      </c>
      <c r="F12" s="34">
        <v>748.64</v>
      </c>
      <c r="G12" s="34">
        <v>7.2130263031120538</v>
      </c>
      <c r="H12" s="34">
        <v>138.27000000000001</v>
      </c>
      <c r="I12" s="34">
        <v>1.3322092687156759</v>
      </c>
      <c r="J12" s="18"/>
      <c r="K12" s="18"/>
      <c r="L12" s="18"/>
      <c r="P12" s="18"/>
    </row>
    <row r="13" spans="1:16">
      <c r="A13" s="33">
        <v>1955</v>
      </c>
      <c r="B13" s="34">
        <v>972.27</v>
      </c>
      <c r="C13" s="34">
        <v>8.8251792684033763</v>
      </c>
      <c r="D13" s="34">
        <v>804.26799999999992</v>
      </c>
      <c r="E13" s="34">
        <v>7.300245075791957</v>
      </c>
      <c r="F13" s="34">
        <v>860.62</v>
      </c>
      <c r="G13" s="34">
        <v>7.8117454842516114</v>
      </c>
      <c r="H13" s="34">
        <v>236.06</v>
      </c>
      <c r="I13" s="34">
        <v>2.1426885722065898</v>
      </c>
      <c r="J13" s="18"/>
      <c r="K13" s="18"/>
      <c r="L13" s="18"/>
      <c r="P13" s="18"/>
    </row>
    <row r="14" spans="1:16">
      <c r="A14" s="33">
        <v>1956</v>
      </c>
      <c r="B14" s="34">
        <v>939.80099999999982</v>
      </c>
      <c r="C14" s="34">
        <v>8.3679191523461824</v>
      </c>
      <c r="D14" s="34">
        <v>762.10599999999988</v>
      </c>
      <c r="E14" s="34">
        <v>6.7857359095361041</v>
      </c>
      <c r="F14" s="34">
        <v>751.55499999999995</v>
      </c>
      <c r="G14" s="34">
        <v>6.6917905796456232</v>
      </c>
      <c r="H14" s="34">
        <v>242.18299999999999</v>
      </c>
      <c r="I14" s="34">
        <v>2.1563796634315731</v>
      </c>
      <c r="J14" s="18"/>
      <c r="K14" s="18"/>
      <c r="L14" s="18"/>
      <c r="P14" s="18"/>
    </row>
    <row r="15" spans="1:16">
      <c r="A15" s="33">
        <v>1957</v>
      </c>
      <c r="B15" s="34">
        <v>1143.28</v>
      </c>
      <c r="C15" s="34">
        <v>9.5336891260840559</v>
      </c>
      <c r="D15" s="34">
        <v>942.26700000000005</v>
      </c>
      <c r="E15" s="34">
        <v>7.8574633088725827</v>
      </c>
      <c r="F15" s="34">
        <v>846.49700000000007</v>
      </c>
      <c r="G15" s="34">
        <v>7.0588475650433633</v>
      </c>
      <c r="H15" s="34">
        <v>166.214</v>
      </c>
      <c r="I15" s="34">
        <v>1.3860406937958638</v>
      </c>
      <c r="J15" s="18"/>
      <c r="K15" s="18"/>
      <c r="L15" s="18"/>
      <c r="P15" s="18"/>
    </row>
    <row r="16" spans="1:16">
      <c r="A16" s="33">
        <v>1958</v>
      </c>
      <c r="B16" s="34">
        <v>1192.3859999999997</v>
      </c>
      <c r="C16" s="34">
        <v>9.6214475913822302</v>
      </c>
      <c r="D16" s="34">
        <v>988.375</v>
      </c>
      <c r="E16" s="34">
        <v>7.9752682966190589</v>
      </c>
      <c r="F16" s="34">
        <v>862.55600000000004</v>
      </c>
      <c r="G16" s="34">
        <v>6.9600258210280002</v>
      </c>
      <c r="H16" s="34">
        <v>147.464</v>
      </c>
      <c r="I16" s="34">
        <v>1.1898975227951263</v>
      </c>
      <c r="J16" s="18"/>
      <c r="K16" s="18"/>
      <c r="L16" s="18"/>
      <c r="P16" s="18"/>
    </row>
    <row r="17" spans="1:16">
      <c r="A17" s="33">
        <v>1959</v>
      </c>
      <c r="B17" s="34">
        <v>1175.4289999999999</v>
      </c>
      <c r="C17" s="34">
        <v>9.066170458927882</v>
      </c>
      <c r="D17" s="34">
        <v>1018.0780000000001</v>
      </c>
      <c r="E17" s="34">
        <v>7.852510605476283</v>
      </c>
      <c r="F17" s="34">
        <v>812.92900000000009</v>
      </c>
      <c r="G17" s="34">
        <v>6.2701812572310072</v>
      </c>
      <c r="H17" s="34">
        <v>225.61199999999999</v>
      </c>
      <c r="I17" s="34">
        <v>1.7401619745468568</v>
      </c>
      <c r="J17" s="18"/>
      <c r="K17" s="18"/>
      <c r="L17" s="18"/>
      <c r="P17" s="18"/>
    </row>
    <row r="18" spans="1:16">
      <c r="A18" s="33">
        <v>1960</v>
      </c>
      <c r="B18" s="34">
        <v>1245</v>
      </c>
      <c r="C18" s="34">
        <v>8.8479852178238936</v>
      </c>
      <c r="D18" s="34">
        <v>1132</v>
      </c>
      <c r="E18" s="34">
        <v>8.0449150735555399</v>
      </c>
      <c r="F18" s="34">
        <v>956</v>
      </c>
      <c r="G18" s="34">
        <v>6.7941155568189897</v>
      </c>
      <c r="H18" s="34">
        <v>284</v>
      </c>
      <c r="I18" s="34">
        <v>2.018335583824888</v>
      </c>
      <c r="J18" s="18"/>
      <c r="K18" s="18"/>
      <c r="L18" s="18"/>
      <c r="P18" s="18"/>
    </row>
    <row r="19" spans="1:16">
      <c r="A19" s="33">
        <v>1961</v>
      </c>
      <c r="B19" s="34">
        <v>1396</v>
      </c>
      <c r="C19" s="34">
        <v>9.3278097019911801</v>
      </c>
      <c r="D19" s="34">
        <v>1233</v>
      </c>
      <c r="E19" s="34">
        <v>8.2386743284778845</v>
      </c>
      <c r="F19" s="34">
        <v>1183</v>
      </c>
      <c r="G19" s="34">
        <v>7.9045837231057057</v>
      </c>
      <c r="H19" s="34">
        <v>342</v>
      </c>
      <c r="I19" s="34">
        <v>2.28517974074569</v>
      </c>
      <c r="J19" s="18"/>
      <c r="K19" s="18"/>
      <c r="L19" s="18"/>
      <c r="P19" s="18"/>
    </row>
    <row r="20" spans="1:16">
      <c r="A20" s="33">
        <v>1962</v>
      </c>
      <c r="B20" s="34">
        <v>1424</v>
      </c>
      <c r="C20" s="34">
        <v>8.9122543497308797</v>
      </c>
      <c r="D20" s="34">
        <v>1251</v>
      </c>
      <c r="E20" s="34">
        <v>7.8295155839279014</v>
      </c>
      <c r="F20" s="34">
        <v>1159</v>
      </c>
      <c r="G20" s="34">
        <v>7.253723870321692</v>
      </c>
      <c r="H20" s="34">
        <v>238</v>
      </c>
      <c r="I20" s="34">
        <v>1.4895481286769308</v>
      </c>
      <c r="J20" s="18"/>
      <c r="K20" s="18"/>
      <c r="L20" s="18"/>
      <c r="P20" s="18"/>
    </row>
    <row r="21" spans="1:16">
      <c r="A21" s="33">
        <v>1963</v>
      </c>
      <c r="B21" s="34">
        <v>1638</v>
      </c>
      <c r="C21" s="34">
        <v>9.4202898550724647</v>
      </c>
      <c r="D21" s="34">
        <v>1409</v>
      </c>
      <c r="E21" s="34">
        <v>8.1032896250287543</v>
      </c>
      <c r="F21" s="34">
        <v>1227</v>
      </c>
      <c r="G21" s="34">
        <v>7.0565907522429265</v>
      </c>
      <c r="H21" s="34">
        <v>220</v>
      </c>
      <c r="I21" s="34">
        <v>1.2652403956751783</v>
      </c>
      <c r="J21" s="18"/>
      <c r="K21" s="18"/>
      <c r="L21" s="18"/>
      <c r="P21" s="18"/>
    </row>
    <row r="22" spans="1:16">
      <c r="A22" s="33">
        <v>1964</v>
      </c>
      <c r="B22" s="34">
        <v>2095</v>
      </c>
      <c r="C22" s="34">
        <v>10.82295810301183</v>
      </c>
      <c r="D22" s="34">
        <v>1859</v>
      </c>
      <c r="E22" s="34">
        <v>9.603760913364674</v>
      </c>
      <c r="F22" s="34">
        <v>1499</v>
      </c>
      <c r="G22" s="34">
        <v>7.7439685901740969</v>
      </c>
      <c r="H22" s="34">
        <v>350</v>
      </c>
      <c r="I22" s="34">
        <v>1.808131425324172</v>
      </c>
      <c r="J22" s="18"/>
      <c r="K22" s="18"/>
      <c r="L22" s="18"/>
      <c r="P22" s="18"/>
    </row>
    <row r="23" spans="1:16">
      <c r="A23" s="33">
        <v>1965</v>
      </c>
      <c r="B23" s="34">
        <v>1980</v>
      </c>
      <c r="C23" s="34">
        <v>8.8917194108922484</v>
      </c>
      <c r="D23" s="34">
        <v>1695</v>
      </c>
      <c r="E23" s="34">
        <v>7.6118507078092739</v>
      </c>
      <c r="F23" s="34">
        <v>1736</v>
      </c>
      <c r="G23" s="34">
        <v>7.795972170358052</v>
      </c>
      <c r="H23" s="34">
        <v>383</v>
      </c>
      <c r="I23" s="34">
        <v>1.7199639062483494</v>
      </c>
      <c r="J23" s="18"/>
      <c r="K23" s="18"/>
      <c r="L23" s="18"/>
      <c r="P23" s="18"/>
    </row>
    <row r="24" spans="1:16">
      <c r="A24" s="33">
        <v>1966</v>
      </c>
      <c r="B24" s="34">
        <v>2192</v>
      </c>
      <c r="C24" s="34">
        <v>9.1309043271709704</v>
      </c>
      <c r="D24" s="34">
        <v>1849</v>
      </c>
      <c r="E24" s="34">
        <v>7.7021177467787982</v>
      </c>
      <c r="F24" s="34">
        <v>1984</v>
      </c>
      <c r="G24" s="34">
        <v>8.2644681501401482</v>
      </c>
      <c r="H24" s="34">
        <v>312</v>
      </c>
      <c r="I24" s="34">
        <v>1.2996542655462331</v>
      </c>
      <c r="J24" s="18"/>
      <c r="K24" s="18"/>
      <c r="L24" s="18"/>
      <c r="P24" s="18"/>
    </row>
    <row r="25" spans="1:16">
      <c r="A25" s="33">
        <v>1967</v>
      </c>
      <c r="B25" s="34">
        <v>2626</v>
      </c>
      <c r="C25" s="34">
        <v>9.9981353797912895</v>
      </c>
      <c r="D25" s="34">
        <v>2268</v>
      </c>
      <c r="E25" s="34">
        <v>8.6350994064610234</v>
      </c>
      <c r="F25" s="34">
        <v>2043</v>
      </c>
      <c r="G25" s="34">
        <v>7.7784427193121122</v>
      </c>
      <c r="H25" s="34">
        <v>391</v>
      </c>
      <c r="I25" s="34">
        <v>1.4886789541121077</v>
      </c>
      <c r="J25" s="18"/>
      <c r="K25" s="18"/>
      <c r="L25" s="18"/>
      <c r="P25" s="18"/>
    </row>
    <row r="26" spans="1:16">
      <c r="A26" s="33">
        <v>1968</v>
      </c>
      <c r="B26" s="34">
        <v>2911</v>
      </c>
      <c r="C26" s="34">
        <v>10.377727668411413</v>
      </c>
      <c r="D26" s="34">
        <v>2510</v>
      </c>
      <c r="E26" s="34">
        <v>8.9481609232953101</v>
      </c>
      <c r="F26" s="34">
        <v>2512</v>
      </c>
      <c r="G26" s="34">
        <v>8.9552909319991318</v>
      </c>
      <c r="H26" s="34">
        <v>546</v>
      </c>
      <c r="I26" s="34">
        <v>1.9464923761431232</v>
      </c>
      <c r="J26" s="18"/>
      <c r="K26" s="18"/>
      <c r="L26" s="18"/>
      <c r="P26" s="18"/>
    </row>
    <row r="27" spans="1:16">
      <c r="A27" s="33">
        <v>1969</v>
      </c>
      <c r="B27" s="34">
        <v>3352</v>
      </c>
      <c r="C27" s="34">
        <v>10.716272034255041</v>
      </c>
      <c r="D27" s="34">
        <v>2716</v>
      </c>
      <c r="E27" s="34">
        <v>8.6829936888534291</v>
      </c>
      <c r="F27" s="34">
        <v>2942</v>
      </c>
      <c r="G27" s="34">
        <v>9.4055108367477125</v>
      </c>
      <c r="H27" s="34">
        <v>605</v>
      </c>
      <c r="I27" s="34">
        <v>1.9341720109559368</v>
      </c>
      <c r="J27" s="18"/>
      <c r="K27" s="18"/>
      <c r="L27" s="18"/>
      <c r="P27" s="18"/>
    </row>
    <row r="28" spans="1:16">
      <c r="A28" s="33">
        <v>1970</v>
      </c>
      <c r="B28" s="34">
        <v>4223</v>
      </c>
      <c r="C28" s="34">
        <v>11.73274997945685</v>
      </c>
      <c r="D28" s="34">
        <v>3623</v>
      </c>
      <c r="E28" s="34">
        <v>10.06577153103769</v>
      </c>
      <c r="F28" s="34">
        <v>3560</v>
      </c>
      <c r="G28" s="34">
        <v>9.8907387939536786</v>
      </c>
      <c r="H28" s="34">
        <v>680</v>
      </c>
      <c r="I28" s="34">
        <v>1.8892422415417136</v>
      </c>
      <c r="J28" s="18"/>
      <c r="K28" s="18"/>
      <c r="L28" s="18"/>
      <c r="P28" s="18"/>
    </row>
    <row r="29" spans="1:16">
      <c r="A29" s="33">
        <v>1971</v>
      </c>
      <c r="B29" s="35">
        <v>4911</v>
      </c>
      <c r="C29" s="34">
        <v>12.130465937339659</v>
      </c>
      <c r="D29" s="34">
        <v>3974</v>
      </c>
      <c r="E29" s="34">
        <v>9.8160194736281419</v>
      </c>
      <c r="F29" s="34">
        <v>5111</v>
      </c>
      <c r="G29" s="34">
        <v>12.624477989359193</v>
      </c>
      <c r="H29" s="34">
        <v>1773</v>
      </c>
      <c r="I29" s="34">
        <v>4.3794168411531702</v>
      </c>
      <c r="J29" s="18"/>
      <c r="K29" s="18"/>
      <c r="L29" s="18"/>
      <c r="P29" s="18"/>
    </row>
    <row r="30" spans="1:16">
      <c r="A30" s="33">
        <v>1972</v>
      </c>
      <c r="B30" s="35">
        <v>7215</v>
      </c>
      <c r="C30" s="34">
        <v>14.946454016951231</v>
      </c>
      <c r="D30" s="34">
        <v>5390</v>
      </c>
      <c r="E30" s="34">
        <v>11.16581942499891</v>
      </c>
      <c r="F30" s="34">
        <v>5748</v>
      </c>
      <c r="G30" s="34">
        <v>11.907445279201063</v>
      </c>
      <c r="H30" s="34">
        <v>2455</v>
      </c>
      <c r="I30" s="34">
        <v>5.0857303689002462</v>
      </c>
      <c r="J30" s="18"/>
      <c r="K30" s="18"/>
      <c r="L30" s="18"/>
    </row>
    <row r="31" spans="1:16">
      <c r="A31" s="33">
        <v>1973</v>
      </c>
      <c r="B31" s="35">
        <v>12365</v>
      </c>
      <c r="C31" s="34">
        <v>19.075244861492678</v>
      </c>
      <c r="D31" s="34">
        <v>7209</v>
      </c>
      <c r="E31" s="34">
        <v>11.121184003760671</v>
      </c>
      <c r="F31" s="34">
        <v>7555</v>
      </c>
      <c r="G31" s="34">
        <v>11.654951470163946</v>
      </c>
      <c r="H31" s="34">
        <v>4848</v>
      </c>
      <c r="I31" s="34">
        <v>7.4789152518007675</v>
      </c>
      <c r="J31" s="18"/>
      <c r="K31" s="18"/>
      <c r="L31" s="18"/>
    </row>
    <row r="32" spans="1:16">
      <c r="A32" s="33">
        <v>1974</v>
      </c>
      <c r="B32" s="35">
        <v>23630</v>
      </c>
      <c r="C32" s="34">
        <v>24.07673624389696</v>
      </c>
      <c r="D32" s="34">
        <v>8768</v>
      </c>
      <c r="E32" s="34">
        <v>8.9337631564320166</v>
      </c>
      <c r="F32" s="34">
        <v>11902</v>
      </c>
      <c r="G32" s="34">
        <v>12.127012897793552</v>
      </c>
      <c r="H32" s="34">
        <v>9292</v>
      </c>
      <c r="I32" s="34">
        <v>9.4676696224414112</v>
      </c>
      <c r="J32" s="18"/>
      <c r="K32" s="18"/>
      <c r="L32" s="18"/>
    </row>
    <row r="33" spans="1:12">
      <c r="A33" s="33">
        <v>1975</v>
      </c>
      <c r="B33" s="35">
        <v>27201</v>
      </c>
      <c r="C33" s="34">
        <v>23.406711168205483</v>
      </c>
      <c r="D33" s="34">
        <v>9541</v>
      </c>
      <c r="E33" s="34">
        <v>8.2101184241700125</v>
      </c>
      <c r="F33" s="34">
        <v>17482</v>
      </c>
      <c r="G33" s="34">
        <v>15.043422103693549</v>
      </c>
      <c r="H33" s="34">
        <v>11179</v>
      </c>
      <c r="I33" s="34">
        <v>9.6196325190018417</v>
      </c>
      <c r="J33" s="18"/>
      <c r="K33" s="18"/>
      <c r="L33" s="18"/>
    </row>
    <row r="34" spans="1:12">
      <c r="A34" s="33">
        <v>1976</v>
      </c>
      <c r="B34" s="35">
        <v>28925</v>
      </c>
      <c r="C34" s="34">
        <v>20.35601478665502</v>
      </c>
      <c r="D34" s="34">
        <v>11270</v>
      </c>
      <c r="E34" s="34">
        <v>7.9312804371858965</v>
      </c>
      <c r="F34" s="34">
        <v>21989</v>
      </c>
      <c r="G34" s="34">
        <v>15.474793747407336</v>
      </c>
      <c r="H34" s="34">
        <v>12267</v>
      </c>
      <c r="I34" s="34">
        <v>8.6329207739981726</v>
      </c>
      <c r="J34" s="18"/>
      <c r="K34" s="18"/>
      <c r="L34" s="18"/>
    </row>
    <row r="35" spans="1:12">
      <c r="A35" s="33">
        <v>1977</v>
      </c>
      <c r="B35" s="35">
        <v>33288</v>
      </c>
      <c r="C35" s="34">
        <v>19.235644415515825</v>
      </c>
      <c r="D35" s="34">
        <v>14614</v>
      </c>
      <c r="E35" s="34">
        <v>8.444776120173886</v>
      </c>
      <c r="F35" s="34">
        <v>28983</v>
      </c>
      <c r="G35" s="34">
        <v>16.747977712535906</v>
      </c>
      <c r="H35" s="34">
        <v>12779</v>
      </c>
      <c r="I35" s="34">
        <v>7.3844117996237912</v>
      </c>
      <c r="J35" s="18"/>
      <c r="K35" s="18"/>
      <c r="L35" s="18"/>
    </row>
    <row r="36" spans="1:12">
      <c r="A36" s="33">
        <v>1978</v>
      </c>
      <c r="B36" s="35">
        <v>41189</v>
      </c>
      <c r="C36" s="34">
        <v>21.190961174272264</v>
      </c>
      <c r="D36" s="34">
        <v>18054</v>
      </c>
      <c r="E36" s="34">
        <v>9.288441405237112</v>
      </c>
      <c r="F36" s="34">
        <v>30525</v>
      </c>
      <c r="G36" s="34">
        <v>15.704534944879963</v>
      </c>
      <c r="H36" s="34">
        <v>17671</v>
      </c>
      <c r="I36" s="34">
        <v>9.0913951518746554</v>
      </c>
      <c r="J36" s="18"/>
      <c r="K36" s="18"/>
      <c r="L36" s="18"/>
    </row>
    <row r="37" spans="1:12">
      <c r="A37" s="33">
        <v>1979</v>
      </c>
      <c r="B37" s="35">
        <v>48187</v>
      </c>
      <c r="C37" s="34">
        <v>20.112132686595608</v>
      </c>
      <c r="D37" s="34">
        <v>20381</v>
      </c>
      <c r="E37" s="34">
        <v>8.5065552179115755</v>
      </c>
      <c r="F37" s="34">
        <v>35502</v>
      </c>
      <c r="G37" s="34">
        <v>14.817708814400508</v>
      </c>
      <c r="H37" s="34">
        <v>13585</v>
      </c>
      <c r="I37" s="34">
        <v>5.6700629328947922</v>
      </c>
      <c r="J37" s="18"/>
      <c r="K37" s="18"/>
      <c r="L37" s="18"/>
    </row>
    <row r="38" spans="1:12">
      <c r="A38" s="33">
        <v>1980</v>
      </c>
      <c r="B38" s="35">
        <v>60399</v>
      </c>
      <c r="C38" s="34">
        <v>20.31032318589822</v>
      </c>
      <c r="D38" s="34">
        <v>22889</v>
      </c>
      <c r="E38" s="34">
        <v>7.6968656335704964</v>
      </c>
      <c r="F38" s="34">
        <v>47484</v>
      </c>
      <c r="G38" s="34">
        <v>15.967406515988527</v>
      </c>
      <c r="H38" s="34">
        <v>18772</v>
      </c>
      <c r="I38" s="34">
        <v>6.3124453525005624</v>
      </c>
      <c r="J38" s="18"/>
      <c r="K38" s="18"/>
      <c r="L38" s="18"/>
    </row>
    <row r="39" spans="1:12">
      <c r="A39" s="33">
        <v>1981</v>
      </c>
      <c r="B39" s="35">
        <v>67074</v>
      </c>
      <c r="C39" s="34">
        <v>19.206695820083485</v>
      </c>
      <c r="D39" s="34">
        <v>25479</v>
      </c>
      <c r="E39" s="34">
        <v>7.2959328920283131</v>
      </c>
      <c r="F39" s="34">
        <v>58781</v>
      </c>
      <c r="G39" s="34">
        <v>16.831988356148841</v>
      </c>
      <c r="H39" s="34">
        <v>22939</v>
      </c>
      <c r="I39" s="34">
        <v>6.5686017744117695</v>
      </c>
      <c r="J39" s="18"/>
      <c r="K39" s="18"/>
      <c r="L39" s="18"/>
    </row>
    <row r="40" spans="1:12">
      <c r="A40" s="33">
        <v>1982</v>
      </c>
      <c r="B40" s="35">
        <v>75773</v>
      </c>
      <c r="C40" s="34">
        <v>18.456119213946696</v>
      </c>
      <c r="D40" s="34">
        <v>25794</v>
      </c>
      <c r="E40" s="34">
        <v>6.2826750822132027</v>
      </c>
      <c r="F40" s="34">
        <v>69154</v>
      </c>
      <c r="G40" s="34">
        <v>16.8439215567718</v>
      </c>
      <c r="H40" s="34">
        <v>22862</v>
      </c>
      <c r="I40" s="34">
        <v>5.5685243750313349</v>
      </c>
      <c r="J40" s="18"/>
      <c r="K40" s="18"/>
      <c r="L40" s="18"/>
    </row>
    <row r="41" spans="1:12">
      <c r="A41" s="33">
        <v>1983</v>
      </c>
      <c r="B41" s="35">
        <v>103482</v>
      </c>
      <c r="C41" s="34">
        <v>18.355669291719135</v>
      </c>
      <c r="D41" s="34">
        <v>35304</v>
      </c>
      <c r="E41" s="34">
        <v>6.2622344820824143</v>
      </c>
      <c r="F41" s="34">
        <v>84873</v>
      </c>
      <c r="G41" s="34">
        <v>15.054799093524265</v>
      </c>
      <c r="H41" s="34">
        <v>26386</v>
      </c>
      <c r="I41" s="34">
        <v>4.680356872995314</v>
      </c>
      <c r="J41" s="18"/>
      <c r="K41" s="18"/>
      <c r="L41" s="18"/>
    </row>
    <row r="42" spans="1:12">
      <c r="A42" s="33">
        <v>1984</v>
      </c>
      <c r="B42" s="35">
        <v>152910</v>
      </c>
      <c r="C42" s="34">
        <v>19.029982289864609</v>
      </c>
      <c r="D42" s="34">
        <v>57436</v>
      </c>
      <c r="E42" s="34">
        <v>7.1480352024109832</v>
      </c>
      <c r="F42" s="34">
        <v>116375</v>
      </c>
      <c r="G42" s="34">
        <v>14.483122025917163</v>
      </c>
      <c r="H42" s="34">
        <v>38560</v>
      </c>
      <c r="I42" s="34">
        <v>4.7988759211116294</v>
      </c>
      <c r="J42" s="18"/>
      <c r="K42" s="18"/>
      <c r="L42" s="18"/>
    </row>
    <row r="43" spans="1:12">
      <c r="A43" s="33">
        <v>1985</v>
      </c>
      <c r="B43" s="35">
        <v>272149</v>
      </c>
      <c r="C43" s="34">
        <v>24.633456559109295</v>
      </c>
      <c r="D43" s="34">
        <v>83563</v>
      </c>
      <c r="E43" s="34">
        <v>7.5636711156346346</v>
      </c>
      <c r="F43" s="34">
        <v>176397</v>
      </c>
      <c r="G43" s="34">
        <v>15.966503043028645</v>
      </c>
      <c r="H43" s="34">
        <v>69270</v>
      </c>
      <c r="I43" s="34">
        <v>6.269946006964938</v>
      </c>
      <c r="J43" s="18"/>
      <c r="K43" s="18"/>
      <c r="L43" s="18"/>
    </row>
    <row r="44" spans="1:12">
      <c r="A44" s="33">
        <v>1986</v>
      </c>
      <c r="B44" s="35">
        <v>273537</v>
      </c>
      <c r="C44" s="34">
        <v>20.179028560459638</v>
      </c>
      <c r="D44" s="34">
        <v>125472</v>
      </c>
      <c r="E44" s="34">
        <v>9.256163047551123</v>
      </c>
      <c r="F44" s="34">
        <v>226563</v>
      </c>
      <c r="G44" s="34">
        <v>16.713721535819349</v>
      </c>
      <c r="H44" s="34">
        <v>77925</v>
      </c>
      <c r="I44" s="34">
        <v>5.7485853854279938</v>
      </c>
      <c r="J44" s="18"/>
      <c r="K44" s="18"/>
      <c r="L44" s="18"/>
    </row>
    <row r="45" spans="1:12">
      <c r="A45" s="33">
        <v>1987</v>
      </c>
      <c r="B45" s="35">
        <v>339665</v>
      </c>
      <c r="C45" s="34">
        <v>19.666307627042297</v>
      </c>
      <c r="D45" s="34">
        <v>158735</v>
      </c>
      <c r="E45" s="34">
        <v>9.1906182302520385</v>
      </c>
      <c r="F45" s="34">
        <v>297439</v>
      </c>
      <c r="G45" s="34">
        <v>17.221459008964224</v>
      </c>
      <c r="H45" s="34">
        <v>103832</v>
      </c>
      <c r="I45" s="34">
        <v>6.0117823547644171</v>
      </c>
      <c r="J45" s="18"/>
      <c r="K45" s="18"/>
      <c r="L45" s="18"/>
    </row>
    <row r="46" spans="1:12">
      <c r="A46" s="33">
        <v>1988</v>
      </c>
      <c r="B46" s="35">
        <v>569128</v>
      </c>
      <c r="C46" s="34">
        <v>18.918881404569909</v>
      </c>
      <c r="D46" s="34">
        <v>253823</v>
      </c>
      <c r="E46" s="34">
        <v>8.4375522461592958</v>
      </c>
      <c r="F46" s="34">
        <v>490918</v>
      </c>
      <c r="G46" s="34">
        <v>16.319034419969938</v>
      </c>
      <c r="H46" s="34">
        <v>117186</v>
      </c>
      <c r="I46" s="34">
        <v>3.8954822751225202</v>
      </c>
      <c r="J46" s="18"/>
      <c r="K46" s="18"/>
      <c r="L46" s="18"/>
    </row>
    <row r="47" spans="1:12">
      <c r="A47" s="33">
        <v>1989</v>
      </c>
      <c r="B47" s="35">
        <v>1097280</v>
      </c>
      <c r="C47" s="34">
        <v>21.64765822356669</v>
      </c>
      <c r="D47" s="34">
        <v>450001</v>
      </c>
      <c r="E47" s="34">
        <v>8.877832320158241</v>
      </c>
      <c r="F47" s="34">
        <v>830814</v>
      </c>
      <c r="G47" s="34">
        <v>16.390691090108575</v>
      </c>
      <c r="H47" s="34">
        <v>183804</v>
      </c>
      <c r="I47" s="34">
        <v>3.6261721457827099</v>
      </c>
      <c r="J47" s="18"/>
      <c r="K47" s="18"/>
      <c r="L47" s="18"/>
    </row>
    <row r="48" spans="1:12">
      <c r="A48" s="33">
        <v>1990</v>
      </c>
      <c r="B48" s="35">
        <v>1764264</v>
      </c>
      <c r="C48" s="34">
        <v>21.956681567615338</v>
      </c>
      <c r="D48" s="34">
        <v>641419</v>
      </c>
      <c r="E48" s="34">
        <v>7.982610728563448</v>
      </c>
      <c r="F48" s="34">
        <v>1257601</v>
      </c>
      <c r="G48" s="34">
        <v>15.651141040181409</v>
      </c>
      <c r="H48" s="34">
        <v>407492</v>
      </c>
      <c r="I48" s="34">
        <v>5.0713340437432883</v>
      </c>
      <c r="J48" s="18"/>
      <c r="K48" s="18"/>
      <c r="L48" s="18"/>
    </row>
    <row r="49" spans="1:12">
      <c r="A49" s="33">
        <v>1991</v>
      </c>
      <c r="B49" s="35">
        <v>2475483</v>
      </c>
      <c r="C49" s="34">
        <v>20.455951252670516</v>
      </c>
      <c r="D49" s="34">
        <v>972384</v>
      </c>
      <c r="E49" s="34">
        <v>8.0352156338285372</v>
      </c>
      <c r="F49" s="34">
        <v>1729773</v>
      </c>
      <c r="G49" s="34">
        <v>14.293837673773416</v>
      </c>
      <c r="H49" s="34">
        <v>571496</v>
      </c>
      <c r="I49" s="34">
        <v>4.7225104422434692</v>
      </c>
      <c r="J49" s="18"/>
      <c r="K49" s="18"/>
      <c r="L49" s="18"/>
    </row>
    <row r="50" spans="1:12">
      <c r="A50" s="33">
        <v>1992</v>
      </c>
      <c r="B50" s="35">
        <v>4075896</v>
      </c>
      <c r="C50" s="34">
        <v>21.763660228610505</v>
      </c>
      <c r="D50" s="34">
        <v>1407325</v>
      </c>
      <c r="E50" s="34">
        <v>7.5145546233832459</v>
      </c>
      <c r="F50" s="34">
        <v>2863168</v>
      </c>
      <c r="G50" s="34">
        <v>15.288176030357564</v>
      </c>
      <c r="H50" s="34">
        <v>602495</v>
      </c>
      <c r="I50" s="34">
        <v>3.2170831810813345</v>
      </c>
      <c r="J50" s="18"/>
      <c r="K50" s="18"/>
      <c r="L50" s="18"/>
    </row>
    <row r="51" spans="1:12">
      <c r="A51" s="33">
        <v>1993</v>
      </c>
      <c r="B51" s="35">
        <v>5695667</v>
      </c>
      <c r="C51" s="34">
        <v>19.967685235911695</v>
      </c>
      <c r="D51" s="34">
        <v>2086187</v>
      </c>
      <c r="E51" s="34">
        <v>7.313686941187207</v>
      </c>
      <c r="F51" s="34">
        <v>4107205</v>
      </c>
      <c r="G51" s="34">
        <v>14.398906508994063</v>
      </c>
      <c r="H51" s="34">
        <v>1272791</v>
      </c>
      <c r="I51" s="34">
        <v>4.4621095403051623</v>
      </c>
      <c r="J51" s="18"/>
      <c r="K51" s="18"/>
      <c r="L51" s="18"/>
    </row>
    <row r="52" spans="1:12">
      <c r="A52" s="33">
        <v>1994</v>
      </c>
      <c r="B52" s="35">
        <v>7046512</v>
      </c>
      <c r="C52" s="34">
        <v>17.593432728423053</v>
      </c>
      <c r="D52" s="34">
        <v>2916917</v>
      </c>
      <c r="E52" s="34">
        <v>7.2828348286206825</v>
      </c>
      <c r="F52" s="34">
        <v>5080559</v>
      </c>
      <c r="G52" s="34">
        <v>12.684924539869414</v>
      </c>
      <c r="H52" s="34">
        <v>1896411</v>
      </c>
      <c r="I52" s="34">
        <v>4.7348786681895225</v>
      </c>
      <c r="J52" s="18"/>
      <c r="K52" s="18"/>
      <c r="L52" s="18"/>
    </row>
    <row r="53" spans="1:12">
      <c r="A53" s="33">
        <v>1995</v>
      </c>
      <c r="B53" s="35">
        <v>9865804</v>
      </c>
      <c r="C53" s="34">
        <v>19.268795050809516</v>
      </c>
      <c r="D53" s="34">
        <v>4030358</v>
      </c>
      <c r="E53" s="34">
        <v>7.871648603944549</v>
      </c>
      <c r="F53" s="34">
        <v>7686924</v>
      </c>
      <c r="G53" s="34">
        <v>15.013248096875722</v>
      </c>
      <c r="H53" s="34">
        <v>2906285</v>
      </c>
      <c r="I53" s="34">
        <v>5.6762337893842139</v>
      </c>
      <c r="J53" s="18"/>
      <c r="K53" s="18"/>
      <c r="L53" s="18"/>
    </row>
    <row r="54" spans="1:12">
      <c r="A54" s="33">
        <v>1996</v>
      </c>
      <c r="B54" s="35">
        <v>11848929</v>
      </c>
      <c r="C54" s="34">
        <v>17.535645049068282</v>
      </c>
      <c r="D54" s="34">
        <v>4417950</v>
      </c>
      <c r="E54" s="34">
        <v>6.5382789486316621</v>
      </c>
      <c r="F54" s="34">
        <v>8670832</v>
      </c>
      <c r="G54" s="34">
        <v>12.832267982372317</v>
      </c>
      <c r="H54" s="34">
        <v>4339986</v>
      </c>
      <c r="I54" s="34">
        <v>6.4228972942555114</v>
      </c>
      <c r="J54" s="18"/>
      <c r="K54" s="18"/>
      <c r="L54" s="18"/>
    </row>
    <row r="55" spans="1:12">
      <c r="A55" s="33">
        <v>1997</v>
      </c>
      <c r="B55" s="35">
        <v>14542393</v>
      </c>
      <c r="C55" s="34">
        <v>15.445285466236831</v>
      </c>
      <c r="D55" s="34">
        <v>7490348</v>
      </c>
      <c r="E55" s="34">
        <v>7.955400675903622</v>
      </c>
      <c r="F55" s="34">
        <v>12000415</v>
      </c>
      <c r="G55" s="34">
        <v>12.745483868322802</v>
      </c>
      <c r="H55" s="34">
        <v>4353229</v>
      </c>
      <c r="I55" s="34">
        <v>4.6235076032466385</v>
      </c>
    </row>
    <row r="56" spans="1:12">
      <c r="A56" s="33">
        <v>1998</v>
      </c>
      <c r="B56" s="35">
        <v>18332109</v>
      </c>
      <c r="C56" s="34">
        <v>14.595492804545243</v>
      </c>
      <c r="D56" s="34">
        <v>10693002</v>
      </c>
      <c r="E56" s="34">
        <v>8.5134576578171064</v>
      </c>
      <c r="F56" s="34">
        <v>14428841</v>
      </c>
      <c r="G56" s="34">
        <v>11.487824177427017</v>
      </c>
      <c r="H56" s="34">
        <v>6768249</v>
      </c>
      <c r="I56" s="34">
        <v>5.388683297642979</v>
      </c>
    </row>
    <row r="57" spans="1:12">
      <c r="A57" s="33">
        <v>1999</v>
      </c>
      <c r="B57" s="35">
        <v>34138214</v>
      </c>
      <c r="C57" s="34">
        <v>17.9922087868215</v>
      </c>
      <c r="D57" s="34">
        <v>17211657</v>
      </c>
      <c r="E57" s="34">
        <v>9.0712339641188553</v>
      </c>
      <c r="F57" s="34">
        <v>24836260</v>
      </c>
      <c r="G57" s="34">
        <v>13.089705729883331</v>
      </c>
      <c r="H57" s="34">
        <v>17202430</v>
      </c>
      <c r="I57" s="34">
        <v>9.0663709648279127</v>
      </c>
    </row>
    <row r="58" spans="1:12">
      <c r="A58" s="28"/>
      <c r="B58" s="28"/>
      <c r="C58" s="20"/>
      <c r="D58" s="20"/>
      <c r="E58" s="20"/>
      <c r="F58" s="20"/>
      <c r="G58" s="20"/>
      <c r="H58" s="20"/>
      <c r="I58" s="20"/>
    </row>
    <row r="59" spans="1:12">
      <c r="A59" s="52"/>
      <c r="B59" s="52"/>
      <c r="C59" s="59"/>
      <c r="D59" s="59"/>
      <c r="E59" s="59"/>
      <c r="F59" s="59"/>
      <c r="G59" s="59"/>
      <c r="H59" s="59"/>
      <c r="I59" s="59"/>
    </row>
    <row r="60" spans="1:12">
      <c r="C60" s="18"/>
      <c r="D60" s="18"/>
      <c r="E60" s="18"/>
      <c r="F60" s="18"/>
      <c r="G60" s="18"/>
      <c r="H60" s="18"/>
      <c r="I60" s="18"/>
    </row>
    <row r="61" spans="1:12">
      <c r="A61" s="134"/>
      <c r="C61" s="18"/>
      <c r="D61" s="18"/>
      <c r="E61" s="18"/>
      <c r="F61" s="18"/>
      <c r="G61" s="18"/>
      <c r="H61" s="18"/>
      <c r="I61" s="18"/>
    </row>
    <row r="62" spans="1:12" ht="15">
      <c r="A62" s="153" t="s">
        <v>179</v>
      </c>
      <c r="B62" s="153"/>
      <c r="C62" s="18"/>
      <c r="D62" s="29"/>
      <c r="E62" s="29"/>
      <c r="F62" s="29"/>
      <c r="G62" s="29"/>
      <c r="H62" s="18"/>
      <c r="I62" s="18"/>
    </row>
    <row r="63" spans="1:12">
      <c r="C63" s="30"/>
      <c r="D63" s="30"/>
      <c r="E63" s="30"/>
      <c r="F63" s="30"/>
      <c r="G63" s="30"/>
      <c r="H63" s="18"/>
      <c r="I63" s="18"/>
    </row>
    <row r="64" spans="1:12">
      <c r="C64" s="18"/>
      <c r="D64" s="30"/>
      <c r="E64" s="30"/>
      <c r="F64" s="30"/>
      <c r="G64" s="30"/>
      <c r="H64" s="18"/>
      <c r="I64" s="18"/>
    </row>
    <row r="65" spans="3:9">
      <c r="C65" s="18"/>
      <c r="D65" s="22"/>
      <c r="E65" s="22"/>
      <c r="F65" s="22"/>
      <c r="G65" s="22"/>
      <c r="H65" s="18"/>
      <c r="I65" s="18"/>
    </row>
    <row r="66" spans="3:9">
      <c r="C66" s="18"/>
      <c r="D66" s="22"/>
      <c r="E66" s="22"/>
      <c r="F66" s="22"/>
      <c r="G66" s="22"/>
      <c r="H66" s="18"/>
      <c r="I66" s="18"/>
    </row>
    <row r="67" spans="3:9">
      <c r="C67" s="18"/>
      <c r="D67" s="22"/>
      <c r="E67" s="22"/>
      <c r="F67" s="22"/>
      <c r="G67" s="22"/>
      <c r="H67" s="18"/>
      <c r="I67" s="18"/>
    </row>
    <row r="68" spans="3:9">
      <c r="C68" s="18"/>
      <c r="D68" s="22"/>
      <c r="E68" s="22"/>
      <c r="F68" s="22"/>
      <c r="G68" s="22"/>
      <c r="H68" s="18"/>
      <c r="I68" s="18"/>
    </row>
    <row r="69" spans="3:9">
      <c r="C69" s="18"/>
      <c r="D69" s="22"/>
      <c r="E69" s="22"/>
      <c r="F69" s="22"/>
      <c r="G69" s="22"/>
      <c r="H69" s="18"/>
      <c r="I69" s="18"/>
    </row>
    <row r="70" spans="3:9">
      <c r="C70" s="18"/>
      <c r="D70" s="18"/>
      <c r="E70" s="18"/>
      <c r="F70" s="18"/>
      <c r="G70" s="18"/>
      <c r="H70" s="18"/>
      <c r="I70" s="18"/>
    </row>
    <row r="71" spans="3:9">
      <c r="C71" s="18"/>
      <c r="D71" s="18"/>
      <c r="E71" s="18"/>
      <c r="F71" s="18"/>
      <c r="G71" s="18"/>
      <c r="H71" s="18"/>
      <c r="I71" s="18"/>
    </row>
    <row r="72" spans="3:9">
      <c r="C72" s="18"/>
      <c r="D72" s="18"/>
      <c r="E72" s="18"/>
      <c r="F72" s="18"/>
      <c r="G72" s="18"/>
      <c r="H72" s="18"/>
      <c r="I72" s="18"/>
    </row>
    <row r="73" spans="3:9">
      <c r="C73" s="18"/>
      <c r="D73" s="18"/>
      <c r="E73" s="18"/>
      <c r="F73" s="18"/>
      <c r="G73" s="18"/>
      <c r="H73" s="18"/>
      <c r="I73" s="18"/>
    </row>
    <row r="74" spans="3:9">
      <c r="C74" s="18"/>
      <c r="D74" s="18"/>
      <c r="E74" s="18"/>
      <c r="F74" s="18"/>
      <c r="G74" s="18"/>
      <c r="H74" s="18"/>
      <c r="I74" s="18"/>
    </row>
    <row r="75" spans="3:9">
      <c r="C75" s="18"/>
      <c r="D75" s="18"/>
      <c r="E75" s="18"/>
      <c r="F75" s="18"/>
      <c r="G75" s="18"/>
      <c r="H75" s="18"/>
      <c r="I75" s="18"/>
    </row>
    <row r="76" spans="3:9">
      <c r="C76" s="18"/>
      <c r="D76" s="18"/>
      <c r="E76" s="18"/>
      <c r="F76" s="18"/>
      <c r="G76" s="18"/>
      <c r="H76" s="18"/>
      <c r="I76" s="18"/>
    </row>
    <row r="77" spans="3:9">
      <c r="C77" s="18"/>
      <c r="D77" s="18"/>
      <c r="E77" s="18"/>
      <c r="F77" s="18"/>
      <c r="G77" s="18"/>
      <c r="H77" s="18"/>
      <c r="I77" s="18"/>
    </row>
    <row r="78" spans="3:9">
      <c r="C78" s="18"/>
      <c r="D78" s="18"/>
      <c r="E78" s="18"/>
      <c r="F78" s="18"/>
      <c r="G78" s="18"/>
      <c r="H78" s="18"/>
      <c r="I78" s="18"/>
    </row>
    <row r="79" spans="3:9">
      <c r="C79" s="18"/>
      <c r="D79" s="18"/>
      <c r="E79" s="18"/>
      <c r="F79" s="18"/>
      <c r="G79" s="18"/>
      <c r="H79" s="18"/>
      <c r="I79" s="18"/>
    </row>
    <row r="80" spans="3:9">
      <c r="C80" s="18"/>
      <c r="D80" s="18"/>
      <c r="E80" s="18"/>
      <c r="F80" s="18"/>
      <c r="G80" s="18"/>
      <c r="H80" s="18"/>
      <c r="I80" s="18"/>
    </row>
    <row r="81" spans="3:9">
      <c r="C81" s="18"/>
      <c r="D81" s="18"/>
      <c r="E81" s="18"/>
      <c r="F81" s="18"/>
      <c r="G81" s="18"/>
      <c r="H81" s="18"/>
      <c r="I81" s="18"/>
    </row>
    <row r="82" spans="3:9">
      <c r="C82" s="18"/>
      <c r="D82" s="18"/>
      <c r="E82" s="18"/>
      <c r="F82" s="18"/>
      <c r="G82" s="18"/>
      <c r="H82" s="18"/>
      <c r="I82" s="18"/>
    </row>
    <row r="83" spans="3:9">
      <c r="C83" s="18"/>
      <c r="D83" s="18"/>
      <c r="E83" s="18"/>
      <c r="F83" s="18"/>
      <c r="G83" s="18"/>
      <c r="H83" s="18"/>
      <c r="I83" s="18"/>
    </row>
    <row r="84" spans="3:9">
      <c r="C84" s="18"/>
      <c r="D84" s="18"/>
      <c r="E84" s="18"/>
      <c r="F84" s="18"/>
      <c r="G84" s="18"/>
      <c r="H84" s="18"/>
      <c r="I84" s="18"/>
    </row>
    <row r="85" spans="3:9">
      <c r="C85" s="18"/>
      <c r="D85" s="18"/>
      <c r="E85" s="18"/>
      <c r="F85" s="18"/>
      <c r="G85" s="18"/>
      <c r="H85" s="18"/>
      <c r="I85" s="18"/>
    </row>
    <row r="86" spans="3:9">
      <c r="C86" s="18"/>
      <c r="D86" s="18"/>
      <c r="E86" s="18"/>
      <c r="F86" s="18"/>
      <c r="G86" s="18"/>
      <c r="H86" s="18"/>
      <c r="I86" s="18"/>
    </row>
    <row r="87" spans="3:9">
      <c r="C87" s="18"/>
      <c r="D87" s="18"/>
      <c r="E87" s="18"/>
      <c r="F87" s="18"/>
      <c r="G87" s="18"/>
      <c r="H87" s="18"/>
      <c r="I87" s="18"/>
    </row>
    <row r="88" spans="3:9">
      <c r="C88" s="18"/>
      <c r="D88" s="18"/>
      <c r="E88" s="18"/>
      <c r="F88" s="18"/>
      <c r="G88" s="18"/>
      <c r="H88" s="18"/>
      <c r="I88" s="18"/>
    </row>
    <row r="89" spans="3:9">
      <c r="C89" s="18"/>
      <c r="D89" s="18"/>
      <c r="E89" s="18"/>
      <c r="F89" s="18"/>
      <c r="G89" s="18"/>
      <c r="H89" s="18"/>
      <c r="I89" s="18"/>
    </row>
    <row r="90" spans="3:9">
      <c r="C90" s="18"/>
      <c r="D90" s="18"/>
      <c r="E90" s="18"/>
      <c r="F90" s="18"/>
      <c r="G90" s="18"/>
      <c r="H90" s="18"/>
      <c r="I90" s="18"/>
    </row>
    <row r="91" spans="3:9">
      <c r="C91" s="18"/>
      <c r="D91" s="18"/>
      <c r="E91" s="18"/>
      <c r="F91" s="18"/>
      <c r="G91" s="18"/>
      <c r="H91" s="18"/>
      <c r="I91" s="18"/>
    </row>
    <row r="92" spans="3:9">
      <c r="C92" s="18"/>
      <c r="D92" s="18"/>
      <c r="E92" s="18"/>
      <c r="F92" s="18"/>
      <c r="G92" s="18"/>
      <c r="H92" s="18"/>
      <c r="I92" s="18"/>
    </row>
    <row r="93" spans="3:9">
      <c r="C93" s="18"/>
      <c r="D93" s="18"/>
      <c r="E93" s="18"/>
      <c r="F93" s="18"/>
      <c r="G93" s="18"/>
      <c r="H93" s="18"/>
      <c r="I93" s="18"/>
    </row>
    <row r="94" spans="3:9">
      <c r="C94" s="18"/>
      <c r="D94" s="18"/>
      <c r="E94" s="18"/>
      <c r="F94" s="18"/>
      <c r="G94" s="18"/>
      <c r="H94" s="18"/>
      <c r="I94" s="18"/>
    </row>
    <row r="95" spans="3:9">
      <c r="C95" s="18"/>
      <c r="D95" s="18"/>
      <c r="E95" s="18"/>
      <c r="F95" s="18"/>
      <c r="G95" s="18"/>
      <c r="H95" s="18"/>
      <c r="I95" s="18"/>
    </row>
    <row r="96" spans="3:9">
      <c r="C96" s="18"/>
      <c r="D96" s="18"/>
      <c r="E96" s="18"/>
      <c r="F96" s="18"/>
      <c r="G96" s="18"/>
      <c r="H96" s="18"/>
      <c r="I96" s="18"/>
    </row>
    <row r="97" spans="3:9">
      <c r="C97" s="18"/>
      <c r="D97" s="18"/>
      <c r="E97" s="18"/>
      <c r="F97" s="18"/>
      <c r="G97" s="18"/>
      <c r="H97" s="18"/>
      <c r="I97" s="18"/>
    </row>
    <row r="98" spans="3:9">
      <c r="C98" s="18"/>
      <c r="D98" s="18"/>
      <c r="E98" s="18"/>
      <c r="F98" s="18"/>
      <c r="G98" s="18"/>
      <c r="H98" s="18"/>
      <c r="I98" s="18"/>
    </row>
    <row r="99" spans="3:9">
      <c r="C99" s="18"/>
      <c r="D99" s="18"/>
      <c r="E99" s="18"/>
      <c r="F99" s="18"/>
      <c r="G99" s="18"/>
      <c r="H99" s="18"/>
      <c r="I99" s="18"/>
    </row>
    <row r="100" spans="3:9">
      <c r="C100" s="18"/>
      <c r="D100" s="18"/>
      <c r="E100" s="18"/>
      <c r="F100" s="18"/>
      <c r="G100" s="18"/>
      <c r="H100" s="18"/>
      <c r="I100" s="18"/>
    </row>
    <row r="101" spans="3:9">
      <c r="C101" s="18"/>
      <c r="D101" s="18"/>
      <c r="E101" s="18"/>
      <c r="F101" s="18"/>
      <c r="G101" s="18"/>
      <c r="H101" s="18"/>
      <c r="I101" s="18"/>
    </row>
    <row r="102" spans="3:9">
      <c r="C102" s="18"/>
      <c r="D102" s="18"/>
      <c r="E102" s="18"/>
      <c r="F102" s="18"/>
      <c r="G102" s="18"/>
      <c r="H102" s="18"/>
      <c r="I102" s="18"/>
    </row>
    <row r="103" spans="3:9">
      <c r="C103" s="18"/>
      <c r="D103" s="18"/>
      <c r="E103" s="18"/>
      <c r="F103" s="18"/>
      <c r="G103" s="18"/>
      <c r="H103" s="18"/>
      <c r="I103" s="18"/>
    </row>
    <row r="104" spans="3:9">
      <c r="C104" s="18"/>
      <c r="D104" s="18"/>
      <c r="E104" s="18"/>
      <c r="F104" s="18"/>
      <c r="G104" s="18"/>
      <c r="H104" s="18"/>
      <c r="I104" s="18"/>
    </row>
    <row r="105" spans="3:9">
      <c r="C105" s="18"/>
      <c r="D105" s="18"/>
      <c r="E105" s="18"/>
      <c r="F105" s="18"/>
      <c r="G105" s="18"/>
      <c r="H105" s="18"/>
      <c r="I105" s="18"/>
    </row>
    <row r="106" spans="3:9">
      <c r="C106" s="18"/>
      <c r="D106" s="18"/>
      <c r="E106" s="18"/>
      <c r="F106" s="18"/>
      <c r="G106" s="18"/>
      <c r="H106" s="18"/>
      <c r="I106" s="18"/>
    </row>
    <row r="107" spans="3:9">
      <c r="C107" s="18"/>
      <c r="D107" s="18"/>
      <c r="E107" s="18"/>
      <c r="F107" s="18"/>
      <c r="G107" s="18"/>
      <c r="H107" s="18"/>
      <c r="I107" s="18"/>
    </row>
    <row r="108" spans="3:9">
      <c r="C108" s="18"/>
      <c r="D108" s="18"/>
      <c r="E108" s="18"/>
      <c r="F108" s="18"/>
      <c r="G108" s="18"/>
      <c r="H108" s="18"/>
      <c r="I108" s="18"/>
    </row>
    <row r="109" spans="3:9">
      <c r="C109" s="18"/>
      <c r="D109" s="18"/>
      <c r="E109" s="18"/>
      <c r="F109" s="18"/>
      <c r="G109" s="18"/>
      <c r="H109" s="18"/>
      <c r="I109" s="18"/>
    </row>
    <row r="110" spans="3:9">
      <c r="C110" s="18"/>
      <c r="D110" s="18"/>
      <c r="E110" s="18"/>
      <c r="F110" s="18"/>
      <c r="G110" s="18"/>
      <c r="H110" s="18"/>
      <c r="I110" s="18"/>
    </row>
    <row r="111" spans="3:9">
      <c r="C111" s="18"/>
      <c r="D111" s="18"/>
      <c r="E111" s="18"/>
      <c r="F111" s="18"/>
      <c r="G111" s="18"/>
      <c r="H111" s="18"/>
      <c r="I111" s="18"/>
    </row>
    <row r="112" spans="3:9">
      <c r="C112" s="18"/>
      <c r="D112" s="18"/>
      <c r="E112" s="18"/>
      <c r="F112" s="18"/>
      <c r="G112" s="18"/>
      <c r="H112" s="18"/>
      <c r="I112" s="18"/>
    </row>
    <row r="113" spans="3:9">
      <c r="C113" s="18"/>
      <c r="D113" s="18"/>
      <c r="E113" s="18"/>
      <c r="F113" s="18"/>
      <c r="G113" s="18"/>
      <c r="H113" s="18"/>
      <c r="I113" s="18"/>
    </row>
    <row r="114" spans="3:9">
      <c r="C114" s="18"/>
      <c r="D114" s="18"/>
      <c r="E114" s="18"/>
      <c r="F114" s="18"/>
      <c r="G114" s="18"/>
      <c r="H114" s="18"/>
      <c r="I114" s="18"/>
    </row>
    <row r="115" spans="3:9">
      <c r="C115" s="18"/>
      <c r="D115" s="18"/>
      <c r="E115" s="18"/>
      <c r="F115" s="18"/>
      <c r="G115" s="18"/>
      <c r="H115" s="18"/>
      <c r="I115" s="18"/>
    </row>
    <row r="116" spans="3:9">
      <c r="C116" s="18"/>
      <c r="D116" s="18"/>
      <c r="E116" s="18"/>
      <c r="F116" s="18"/>
      <c r="G116" s="18"/>
      <c r="H116" s="18"/>
      <c r="I116" s="18"/>
    </row>
    <row r="117" spans="3:9">
      <c r="C117" s="18"/>
      <c r="D117" s="18"/>
      <c r="E117" s="18"/>
      <c r="F117" s="18"/>
      <c r="G117" s="18"/>
      <c r="H117" s="18"/>
      <c r="I117" s="18"/>
    </row>
    <row r="118" spans="3:9">
      <c r="C118" s="18"/>
      <c r="D118" s="18"/>
      <c r="E118" s="18"/>
      <c r="F118" s="18"/>
      <c r="G118" s="18"/>
      <c r="H118" s="18"/>
      <c r="I118" s="18"/>
    </row>
    <row r="119" spans="3:9">
      <c r="C119" s="18"/>
      <c r="D119" s="18"/>
      <c r="E119" s="18"/>
      <c r="F119" s="18"/>
      <c r="G119" s="18"/>
      <c r="H119" s="18"/>
      <c r="I119" s="18"/>
    </row>
    <row r="120" spans="3:9">
      <c r="C120" s="18"/>
      <c r="D120" s="18"/>
      <c r="E120" s="18"/>
      <c r="F120" s="18"/>
      <c r="G120" s="18"/>
      <c r="H120" s="18"/>
      <c r="I120" s="18"/>
    </row>
    <row r="121" spans="3:9">
      <c r="C121" s="18"/>
      <c r="D121" s="18"/>
      <c r="E121" s="18"/>
      <c r="F121" s="18"/>
      <c r="G121" s="18"/>
      <c r="H121" s="18"/>
      <c r="I121" s="18"/>
    </row>
    <row r="122" spans="3:9">
      <c r="C122" s="18"/>
      <c r="D122" s="18"/>
      <c r="E122" s="18"/>
      <c r="F122" s="18"/>
      <c r="G122" s="18"/>
      <c r="H122" s="18"/>
      <c r="I122" s="18"/>
    </row>
    <row r="123" spans="3:9">
      <c r="C123" s="18"/>
      <c r="D123" s="18"/>
      <c r="E123" s="18"/>
      <c r="F123" s="18"/>
      <c r="G123" s="18"/>
      <c r="H123" s="18"/>
      <c r="I123" s="18"/>
    </row>
    <row r="124" spans="3:9">
      <c r="C124" s="18"/>
      <c r="D124" s="18"/>
      <c r="E124" s="18"/>
      <c r="F124" s="18"/>
      <c r="G124" s="18"/>
      <c r="H124" s="18"/>
      <c r="I124" s="18"/>
    </row>
    <row r="125" spans="3:9">
      <c r="C125" s="18"/>
      <c r="D125" s="18"/>
      <c r="E125" s="18"/>
      <c r="F125" s="18"/>
      <c r="G125" s="18"/>
      <c r="H125" s="18"/>
      <c r="I125" s="18"/>
    </row>
    <row r="126" spans="3:9">
      <c r="C126" s="18"/>
      <c r="D126" s="18"/>
      <c r="E126" s="18"/>
      <c r="F126" s="18"/>
      <c r="G126" s="18"/>
      <c r="H126" s="18"/>
      <c r="I126" s="18"/>
    </row>
    <row r="127" spans="3:9">
      <c r="C127" s="18"/>
      <c r="D127" s="18"/>
      <c r="E127" s="18"/>
      <c r="F127" s="18"/>
      <c r="G127" s="18"/>
      <c r="H127" s="18"/>
      <c r="I127" s="18"/>
    </row>
    <row r="128" spans="3:9">
      <c r="C128" s="18"/>
      <c r="D128" s="18"/>
      <c r="E128" s="18"/>
      <c r="F128" s="18"/>
      <c r="G128" s="18"/>
      <c r="H128" s="18"/>
      <c r="I128" s="18"/>
    </row>
    <row r="129" spans="3:9">
      <c r="C129" s="18"/>
      <c r="D129" s="18"/>
      <c r="E129" s="18"/>
      <c r="F129" s="18"/>
      <c r="G129" s="18"/>
      <c r="H129" s="18"/>
      <c r="I129" s="18"/>
    </row>
    <row r="130" spans="3:9">
      <c r="C130" s="18"/>
      <c r="D130" s="18"/>
      <c r="E130" s="18"/>
      <c r="F130" s="18"/>
      <c r="G130" s="18"/>
      <c r="H130" s="18"/>
      <c r="I130" s="18"/>
    </row>
    <row r="131" spans="3:9">
      <c r="C131" s="18"/>
      <c r="D131" s="18"/>
      <c r="E131" s="18"/>
      <c r="F131" s="18"/>
      <c r="G131" s="18"/>
      <c r="H131" s="18"/>
      <c r="I131" s="18"/>
    </row>
    <row r="132" spans="3:9">
      <c r="C132" s="18"/>
      <c r="D132" s="18"/>
      <c r="E132" s="18"/>
      <c r="F132" s="18"/>
      <c r="G132" s="18"/>
      <c r="H132" s="18"/>
      <c r="I132" s="18"/>
    </row>
    <row r="133" spans="3:9">
      <c r="C133" s="18"/>
      <c r="D133" s="18"/>
      <c r="E133" s="18"/>
      <c r="F133" s="18"/>
      <c r="G133" s="18"/>
      <c r="H133" s="18"/>
      <c r="I133" s="18"/>
    </row>
    <row r="134" spans="3:9">
      <c r="C134" s="18"/>
      <c r="D134" s="18"/>
      <c r="E134" s="18"/>
      <c r="F134" s="18"/>
      <c r="G134" s="18"/>
      <c r="H134" s="18"/>
      <c r="I134" s="18"/>
    </row>
    <row r="135" spans="3:9">
      <c r="C135" s="18"/>
      <c r="D135" s="18"/>
      <c r="E135" s="18"/>
      <c r="F135" s="18"/>
      <c r="G135" s="18"/>
      <c r="H135" s="18"/>
      <c r="I135" s="18"/>
    </row>
    <row r="136" spans="3:9">
      <c r="C136" s="18"/>
      <c r="D136" s="18"/>
      <c r="E136" s="18"/>
      <c r="F136" s="18"/>
      <c r="G136" s="18"/>
      <c r="H136" s="18"/>
      <c r="I136" s="18"/>
    </row>
    <row r="137" spans="3:9">
      <c r="C137" s="18"/>
      <c r="D137" s="18"/>
      <c r="E137" s="18"/>
      <c r="F137" s="18"/>
      <c r="G137" s="18"/>
      <c r="H137" s="18"/>
      <c r="I137" s="18"/>
    </row>
    <row r="138" spans="3:9">
      <c r="C138" s="18"/>
      <c r="D138" s="18"/>
      <c r="E138" s="18"/>
      <c r="F138" s="18"/>
      <c r="G138" s="18"/>
      <c r="H138" s="18"/>
      <c r="I138" s="18"/>
    </row>
    <row r="139" spans="3:9">
      <c r="C139" s="18"/>
      <c r="D139" s="18"/>
      <c r="E139" s="18"/>
      <c r="F139" s="18"/>
      <c r="G139" s="18"/>
      <c r="H139" s="18"/>
      <c r="I139" s="18"/>
    </row>
    <row r="140" spans="3:9">
      <c r="C140" s="18"/>
      <c r="D140" s="18"/>
      <c r="E140" s="18"/>
      <c r="F140" s="18"/>
      <c r="G140" s="18"/>
      <c r="H140" s="18"/>
      <c r="I140" s="18"/>
    </row>
    <row r="141" spans="3:9">
      <c r="C141" s="18"/>
      <c r="D141" s="18"/>
      <c r="E141" s="18"/>
      <c r="F141" s="18"/>
      <c r="G141" s="18"/>
      <c r="H141" s="18"/>
      <c r="I141" s="18"/>
    </row>
    <row r="142" spans="3:9">
      <c r="C142" s="18"/>
      <c r="D142" s="18"/>
      <c r="E142" s="18"/>
      <c r="F142" s="18"/>
      <c r="G142" s="18"/>
      <c r="H142" s="18"/>
      <c r="I142" s="18"/>
    </row>
    <row r="143" spans="3:9">
      <c r="C143" s="18"/>
      <c r="D143" s="18"/>
      <c r="E143" s="18"/>
      <c r="F143" s="18"/>
      <c r="G143" s="18"/>
      <c r="H143" s="18"/>
      <c r="I143" s="18"/>
    </row>
    <row r="144" spans="3:9">
      <c r="C144" s="18"/>
      <c r="D144" s="18"/>
      <c r="E144" s="18"/>
      <c r="F144" s="18"/>
      <c r="G144" s="18"/>
      <c r="H144" s="18"/>
      <c r="I144" s="18"/>
    </row>
    <row r="145" spans="3:9">
      <c r="C145" s="18"/>
      <c r="D145" s="18"/>
      <c r="E145" s="18"/>
      <c r="F145" s="18"/>
      <c r="G145" s="18"/>
      <c r="H145" s="18"/>
      <c r="I145" s="18"/>
    </row>
    <row r="146" spans="3:9">
      <c r="C146" s="18"/>
      <c r="D146" s="18"/>
      <c r="E146" s="18"/>
      <c r="F146" s="18"/>
      <c r="G146" s="18"/>
      <c r="H146" s="18"/>
      <c r="I146" s="18"/>
    </row>
    <row r="147" spans="3:9">
      <c r="C147" s="18"/>
      <c r="D147" s="18"/>
      <c r="E147" s="18"/>
      <c r="F147" s="18"/>
      <c r="G147" s="18"/>
      <c r="H147" s="18"/>
      <c r="I147" s="18"/>
    </row>
    <row r="148" spans="3:9">
      <c r="C148" s="18"/>
      <c r="D148" s="18"/>
      <c r="E148" s="18"/>
      <c r="F148" s="18"/>
      <c r="G148" s="18"/>
      <c r="H148" s="18"/>
      <c r="I148" s="18"/>
    </row>
    <row r="149" spans="3:9">
      <c r="C149" s="18"/>
      <c r="D149" s="18"/>
      <c r="E149" s="18"/>
      <c r="F149" s="18"/>
      <c r="G149" s="18"/>
      <c r="H149" s="18"/>
      <c r="I149" s="18"/>
    </row>
    <row r="150" spans="3:9">
      <c r="C150" s="18"/>
      <c r="D150" s="18"/>
      <c r="E150" s="18"/>
      <c r="F150" s="18"/>
      <c r="G150" s="18"/>
      <c r="H150" s="18"/>
      <c r="I150" s="18"/>
    </row>
    <row r="151" spans="3:9">
      <c r="C151" s="18"/>
      <c r="D151" s="18"/>
      <c r="E151" s="18"/>
      <c r="F151" s="18"/>
      <c r="G151" s="18"/>
      <c r="H151" s="18"/>
      <c r="I151" s="18"/>
    </row>
    <row r="152" spans="3:9">
      <c r="C152" s="18"/>
      <c r="D152" s="18"/>
      <c r="E152" s="18"/>
      <c r="F152" s="18"/>
      <c r="G152" s="18"/>
      <c r="H152" s="18"/>
      <c r="I152" s="18"/>
    </row>
    <row r="153" spans="3:9">
      <c r="C153" s="18"/>
      <c r="D153" s="18"/>
      <c r="E153" s="18"/>
      <c r="F153" s="18"/>
      <c r="G153" s="18"/>
      <c r="H153" s="18"/>
      <c r="I153" s="18"/>
    </row>
    <row r="154" spans="3:9">
      <c r="C154" s="18"/>
      <c r="D154" s="18"/>
      <c r="E154" s="18"/>
      <c r="F154" s="18"/>
      <c r="G154" s="18"/>
      <c r="H154" s="18"/>
      <c r="I154" s="18"/>
    </row>
    <row r="155" spans="3:9">
      <c r="C155" s="18"/>
      <c r="D155" s="18"/>
      <c r="E155" s="18"/>
      <c r="F155" s="18"/>
      <c r="G155" s="18"/>
      <c r="H155" s="18"/>
      <c r="I155" s="18"/>
    </row>
    <row r="156" spans="3:9">
      <c r="C156" s="18"/>
      <c r="D156" s="18"/>
      <c r="E156" s="18"/>
      <c r="F156" s="18"/>
      <c r="G156" s="18"/>
      <c r="H156" s="18"/>
      <c r="I156" s="18"/>
    </row>
    <row r="157" spans="3:9">
      <c r="C157" s="18"/>
      <c r="D157" s="18"/>
      <c r="E157" s="18"/>
      <c r="F157" s="18"/>
      <c r="G157" s="18"/>
      <c r="H157" s="18"/>
      <c r="I157" s="18"/>
    </row>
    <row r="158" spans="3:9">
      <c r="C158" s="18"/>
      <c r="D158" s="18"/>
      <c r="E158" s="18"/>
      <c r="F158" s="18"/>
      <c r="G158" s="18"/>
      <c r="H158" s="18"/>
      <c r="I158" s="18"/>
    </row>
    <row r="159" spans="3:9">
      <c r="C159" s="18"/>
      <c r="D159" s="18"/>
      <c r="E159" s="18"/>
      <c r="F159" s="18"/>
      <c r="G159" s="18"/>
      <c r="H159" s="18"/>
      <c r="I159" s="18"/>
    </row>
    <row r="160" spans="3:9">
      <c r="C160" s="18"/>
      <c r="D160" s="18"/>
      <c r="E160" s="18"/>
      <c r="F160" s="18"/>
      <c r="G160" s="18"/>
      <c r="H160" s="18"/>
      <c r="I160" s="18"/>
    </row>
    <row r="161" spans="3:9">
      <c r="C161" s="18"/>
      <c r="D161" s="18"/>
      <c r="E161" s="18"/>
      <c r="F161" s="18"/>
      <c r="G161" s="18"/>
      <c r="H161" s="18"/>
      <c r="I161" s="18"/>
    </row>
    <row r="162" spans="3:9">
      <c r="C162" s="18"/>
      <c r="D162" s="18"/>
      <c r="E162" s="18"/>
      <c r="F162" s="18"/>
      <c r="G162" s="18"/>
      <c r="H162" s="18"/>
      <c r="I162" s="18"/>
    </row>
    <row r="163" spans="3:9">
      <c r="C163" s="18"/>
      <c r="D163" s="18"/>
      <c r="E163" s="18"/>
      <c r="F163" s="18"/>
      <c r="G163" s="18"/>
      <c r="H163" s="18"/>
      <c r="I163" s="18"/>
    </row>
    <row r="164" spans="3:9">
      <c r="C164" s="18"/>
      <c r="D164" s="18"/>
      <c r="E164" s="18"/>
      <c r="F164" s="18"/>
      <c r="G164" s="18"/>
      <c r="H164" s="18"/>
      <c r="I164" s="18"/>
    </row>
    <row r="165" spans="3:9">
      <c r="C165" s="18"/>
      <c r="D165" s="18"/>
      <c r="E165" s="18"/>
      <c r="F165" s="18"/>
      <c r="G165" s="18"/>
      <c r="H165" s="18"/>
      <c r="I165" s="18"/>
    </row>
    <row r="166" spans="3:9">
      <c r="C166" s="18"/>
      <c r="D166" s="18"/>
      <c r="E166" s="18"/>
      <c r="F166" s="18"/>
      <c r="G166" s="18"/>
      <c r="H166" s="18"/>
      <c r="I166" s="18"/>
    </row>
    <row r="167" spans="3:9">
      <c r="C167" s="18"/>
      <c r="D167" s="18"/>
      <c r="E167" s="18"/>
      <c r="F167" s="18"/>
      <c r="G167" s="18"/>
      <c r="H167" s="18"/>
      <c r="I167" s="18"/>
    </row>
    <row r="168" spans="3:9">
      <c r="C168" s="18"/>
      <c r="D168" s="18"/>
      <c r="E168" s="18"/>
      <c r="F168" s="18"/>
      <c r="G168" s="18"/>
      <c r="H168" s="18"/>
      <c r="I168" s="18"/>
    </row>
    <row r="169" spans="3:9">
      <c r="C169" s="18"/>
      <c r="D169" s="18"/>
      <c r="E169" s="18"/>
      <c r="F169" s="18"/>
      <c r="G169" s="18"/>
      <c r="H169" s="18"/>
      <c r="I169" s="18"/>
    </row>
    <row r="170" spans="3:9">
      <c r="C170" s="18"/>
      <c r="D170" s="18"/>
      <c r="E170" s="18"/>
      <c r="F170" s="18"/>
      <c r="G170" s="18"/>
      <c r="H170" s="18"/>
      <c r="I170" s="18"/>
    </row>
    <row r="171" spans="3:9">
      <c r="C171" s="18"/>
      <c r="D171" s="18"/>
      <c r="E171" s="18"/>
      <c r="F171" s="18"/>
      <c r="G171" s="18"/>
      <c r="H171" s="18"/>
      <c r="I171" s="18"/>
    </row>
    <row r="172" spans="3:9">
      <c r="C172" s="18"/>
      <c r="D172" s="18"/>
      <c r="E172" s="18"/>
      <c r="F172" s="18"/>
      <c r="G172" s="18"/>
      <c r="H172" s="18"/>
      <c r="I172" s="18"/>
    </row>
    <row r="173" spans="3:9">
      <c r="C173" s="18"/>
      <c r="D173" s="18"/>
      <c r="E173" s="18"/>
      <c r="F173" s="18"/>
      <c r="G173" s="18"/>
      <c r="H173" s="18"/>
      <c r="I173" s="18"/>
    </row>
    <row r="174" spans="3:9">
      <c r="C174" s="18"/>
      <c r="D174" s="18"/>
      <c r="E174" s="18"/>
      <c r="F174" s="18"/>
      <c r="G174" s="18"/>
      <c r="H174" s="18"/>
      <c r="I174" s="18"/>
    </row>
    <row r="175" spans="3:9">
      <c r="C175" s="18"/>
      <c r="D175" s="18"/>
      <c r="E175" s="18"/>
      <c r="F175" s="18"/>
      <c r="G175" s="18"/>
      <c r="H175" s="18"/>
      <c r="I175" s="18"/>
    </row>
  </sheetData>
  <mergeCells count="9">
    <mergeCell ref="A62:B62"/>
    <mergeCell ref="A5:A6"/>
    <mergeCell ref="A1:I1"/>
    <mergeCell ref="A2:I2"/>
    <mergeCell ref="A3:I3"/>
    <mergeCell ref="B5:C5"/>
    <mergeCell ref="D5:E5"/>
    <mergeCell ref="F5:G5"/>
    <mergeCell ref="H5:I5"/>
  </mergeCells>
  <hyperlinks>
    <hyperlink ref="A62:B62" location="'indice cap.3'!A1" display="regresar al índice"/>
  </hyperlinks>
  <pageMargins left="0.70866141732283472" right="0.70866141732283472" top="0.74803149606299213" bottom="0.74803149606299213" header="0.31496062992125984" footer="0.31496062992125984"/>
  <pageSetup paperSize="9" scale="75" orientation="portrait" verticalDpi="599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9"/>
  <sheetViews>
    <sheetView showGridLines="0" workbookViewId="0">
      <selection sqref="A1:I1"/>
    </sheetView>
  </sheetViews>
  <sheetFormatPr baseColWidth="10" defaultRowHeight="12.75"/>
  <cols>
    <col min="1" max="1" width="8" style="5" customWidth="1"/>
    <col min="2" max="9" width="15.7109375" style="5" customWidth="1"/>
    <col min="10" max="12" width="11.42578125" style="5"/>
    <col min="13" max="14" width="11.42578125" style="23"/>
    <col min="15" max="16384" width="11.42578125" style="5"/>
  </cols>
  <sheetData>
    <row r="1" spans="1:16" ht="15">
      <c r="A1" s="146" t="s">
        <v>46</v>
      </c>
      <c r="B1" s="159"/>
      <c r="C1" s="159"/>
      <c r="D1" s="159"/>
      <c r="E1" s="159"/>
      <c r="F1" s="159"/>
      <c r="G1" s="159"/>
      <c r="H1" s="159"/>
      <c r="I1" s="159"/>
    </row>
    <row r="2" spans="1:16" s="6" customFormat="1">
      <c r="A2" s="146" t="s">
        <v>229</v>
      </c>
      <c r="B2" s="146"/>
      <c r="C2" s="146"/>
      <c r="D2" s="146"/>
      <c r="E2" s="146"/>
      <c r="F2" s="146"/>
      <c r="G2" s="146"/>
      <c r="H2" s="146"/>
      <c r="I2" s="146"/>
      <c r="M2" s="40"/>
      <c r="N2" s="40"/>
      <c r="P2" s="21"/>
    </row>
    <row r="3" spans="1:16" s="6" customFormat="1">
      <c r="A3" s="146" t="s">
        <v>47</v>
      </c>
      <c r="B3" s="146"/>
      <c r="C3" s="146"/>
      <c r="D3" s="146"/>
      <c r="E3" s="146"/>
      <c r="F3" s="146"/>
      <c r="G3" s="146"/>
      <c r="H3" s="146"/>
      <c r="I3" s="146"/>
      <c r="M3" s="40"/>
      <c r="N3" s="40"/>
      <c r="P3" s="21"/>
    </row>
    <row r="4" spans="1:16" s="6" customFormat="1">
      <c r="A4" s="7"/>
      <c r="B4" s="7"/>
      <c r="C4" s="7"/>
      <c r="D4" s="7"/>
      <c r="E4" s="7"/>
      <c r="F4" s="7"/>
      <c r="G4" s="7"/>
      <c r="H4" s="7"/>
      <c r="I4" s="7"/>
      <c r="M4" s="40"/>
      <c r="N4" s="40"/>
      <c r="P4" s="21"/>
    </row>
    <row r="5" spans="1:16" s="6" customFormat="1">
      <c r="A5" s="143" t="s">
        <v>8</v>
      </c>
      <c r="B5" s="157" t="s">
        <v>40</v>
      </c>
      <c r="C5" s="157"/>
      <c r="D5" s="157" t="s">
        <v>41</v>
      </c>
      <c r="E5" s="157"/>
      <c r="F5" s="157" t="s">
        <v>48</v>
      </c>
      <c r="G5" s="157"/>
      <c r="H5" s="157" t="s">
        <v>43</v>
      </c>
      <c r="I5" s="158"/>
      <c r="J5" s="13"/>
      <c r="K5" s="13"/>
      <c r="L5" s="13"/>
      <c r="M5" s="24"/>
      <c r="N5" s="24"/>
      <c r="P5" s="21"/>
    </row>
    <row r="6" spans="1:16" s="6" customFormat="1">
      <c r="A6" s="160"/>
      <c r="B6" s="31" t="s">
        <v>44</v>
      </c>
      <c r="C6" s="31" t="s">
        <v>45</v>
      </c>
      <c r="D6" s="31" t="s">
        <v>44</v>
      </c>
      <c r="E6" s="31" t="s">
        <v>45</v>
      </c>
      <c r="F6" s="31" t="s">
        <v>44</v>
      </c>
      <c r="G6" s="31" t="s">
        <v>45</v>
      </c>
      <c r="H6" s="31" t="s">
        <v>44</v>
      </c>
      <c r="I6" s="32" t="s">
        <v>45</v>
      </c>
      <c r="M6" s="25"/>
      <c r="N6" s="25"/>
      <c r="P6" s="21"/>
    </row>
    <row r="7" spans="1:16">
      <c r="B7" s="11"/>
      <c r="C7" s="26"/>
      <c r="D7" s="11"/>
      <c r="E7" s="26"/>
      <c r="F7" s="11"/>
      <c r="G7" s="26"/>
      <c r="H7" s="11"/>
      <c r="I7" s="26"/>
      <c r="M7" s="27"/>
      <c r="N7" s="27"/>
      <c r="P7" s="18"/>
    </row>
    <row r="8" spans="1:16">
      <c r="A8" s="33">
        <v>1990</v>
      </c>
      <c r="B8" s="46">
        <v>2274.9725986769995</v>
      </c>
      <c r="C8" s="34">
        <v>14.935508346010065</v>
      </c>
      <c r="D8" s="34">
        <v>827.09313870872074</v>
      </c>
      <c r="E8" s="34">
        <v>5.4299803361568504</v>
      </c>
      <c r="F8" s="34">
        <v>1621.6438214852162</v>
      </c>
      <c r="G8" s="34">
        <v>10.646314968423436</v>
      </c>
      <c r="H8" s="34">
        <v>525.4503488027234</v>
      </c>
      <c r="I8" s="34">
        <v>3.4496538879285263</v>
      </c>
      <c r="J8" s="18"/>
      <c r="K8" s="18"/>
      <c r="L8" s="18"/>
    </row>
    <row r="9" spans="1:16">
      <c r="A9" s="33">
        <v>1991</v>
      </c>
      <c r="B9" s="46">
        <v>2334.4363554063484</v>
      </c>
      <c r="C9" s="34">
        <v>13.748119662410405</v>
      </c>
      <c r="D9" s="34">
        <v>916.98006450274409</v>
      </c>
      <c r="E9" s="34">
        <v>5.4003406970733696</v>
      </c>
      <c r="F9" s="34">
        <v>1631.2149902868673</v>
      </c>
      <c r="G9" s="34">
        <v>9.6066610810119197</v>
      </c>
      <c r="H9" s="34">
        <v>538.93363007110383</v>
      </c>
      <c r="I9" s="34">
        <v>3.1739241976571422</v>
      </c>
      <c r="J9" s="18"/>
      <c r="K9" s="18"/>
      <c r="L9" s="18"/>
    </row>
    <row r="10" spans="1:16">
      <c r="A10" s="33">
        <v>1992</v>
      </c>
      <c r="B10" s="46">
        <v>2584.8015372224727</v>
      </c>
      <c r="C10" s="34">
        <v>14.2923651578934</v>
      </c>
      <c r="D10" s="34">
        <v>892.48003957206367</v>
      </c>
      <c r="E10" s="34">
        <v>4.9348665412052535</v>
      </c>
      <c r="F10" s="34">
        <v>1815.7286269635417</v>
      </c>
      <c r="G10" s="34">
        <v>10.039864256692351</v>
      </c>
      <c r="H10" s="34">
        <v>382.08286034993375</v>
      </c>
      <c r="I10" s="34">
        <v>2.1126835782377626</v>
      </c>
      <c r="J10" s="18"/>
      <c r="K10" s="18"/>
      <c r="L10" s="18"/>
    </row>
    <row r="11" spans="1:16">
      <c r="A11" s="33">
        <v>1993</v>
      </c>
      <c r="B11" s="46">
        <v>2862.9498753418047</v>
      </c>
      <c r="C11" s="34">
        <v>15.124477609157031</v>
      </c>
      <c r="D11" s="34">
        <v>1048.6302678140582</v>
      </c>
      <c r="E11" s="34">
        <v>5.5397354813781208</v>
      </c>
      <c r="F11" s="34">
        <v>2064.5030762425608</v>
      </c>
      <c r="G11" s="34">
        <v>10.906418872226519</v>
      </c>
      <c r="H11" s="34">
        <v>639.77350410165673</v>
      </c>
      <c r="I11" s="34">
        <v>3.3798146873117023</v>
      </c>
      <c r="J11" s="18"/>
      <c r="K11" s="18"/>
      <c r="L11" s="18"/>
    </row>
    <row r="12" spans="1:16">
      <c r="A12" s="33">
        <v>1994</v>
      </c>
      <c r="B12" s="46">
        <v>3213.5940749388888</v>
      </c>
      <c r="C12" s="34">
        <v>14.158474289139122</v>
      </c>
      <c r="D12" s="34">
        <v>1330.2733591156191</v>
      </c>
      <c r="E12" s="34">
        <v>5.8609272712588618</v>
      </c>
      <c r="F12" s="34">
        <v>2317.0122040205774</v>
      </c>
      <c r="G12" s="34">
        <v>10.208307879977268</v>
      </c>
      <c r="H12" s="34">
        <v>864.86692327337744</v>
      </c>
      <c r="I12" s="34">
        <v>3.8104364805084576</v>
      </c>
      <c r="J12" s="18"/>
      <c r="K12" s="18"/>
      <c r="L12" s="18"/>
    </row>
    <row r="13" spans="1:16">
      <c r="A13" s="33">
        <v>1995</v>
      </c>
      <c r="B13" s="46">
        <v>3865.7894736842109</v>
      </c>
      <c r="C13" s="34">
        <v>15.829990701663895</v>
      </c>
      <c r="D13" s="34">
        <v>1579.2443810538855</v>
      </c>
      <c r="E13" s="34">
        <v>6.4668353095578111</v>
      </c>
      <c r="F13" s="34">
        <v>3012.0231340710325</v>
      </c>
      <c r="G13" s="34">
        <v>12.333909678764856</v>
      </c>
      <c r="H13" s="34">
        <v>1138.7907118899095</v>
      </c>
      <c r="I13" s="34">
        <v>4.663225067757808</v>
      </c>
      <c r="J13" s="18"/>
      <c r="K13" s="18"/>
      <c r="L13" s="18"/>
    </row>
    <row r="14" spans="1:16">
      <c r="A14" s="33">
        <v>1996</v>
      </c>
      <c r="B14" s="46">
        <v>3730.1251357604947</v>
      </c>
      <c r="C14" s="34">
        <v>14.793994140349026</v>
      </c>
      <c r="D14" s="34">
        <v>1390.8013410775841</v>
      </c>
      <c r="E14" s="34">
        <v>5.5160366318639413</v>
      </c>
      <c r="F14" s="34">
        <v>2729.6381294171347</v>
      </c>
      <c r="G14" s="34">
        <v>10.825977419558411</v>
      </c>
      <c r="H14" s="34">
        <v>1366.2577324455776</v>
      </c>
      <c r="I14" s="34">
        <v>5.4186945886161366</v>
      </c>
      <c r="J14" s="18"/>
      <c r="K14" s="18"/>
      <c r="L14" s="18"/>
    </row>
    <row r="15" spans="1:16">
      <c r="A15" s="33">
        <v>1997</v>
      </c>
      <c r="B15" s="46">
        <v>3651.0513247319277</v>
      </c>
      <c r="C15" s="34">
        <v>12.970921403261052</v>
      </c>
      <c r="D15" s="34">
        <v>1880.5464126917177</v>
      </c>
      <c r="E15" s="34">
        <v>6.680930379963848</v>
      </c>
      <c r="F15" s="34">
        <v>3012.8556615876696</v>
      </c>
      <c r="G15" s="34">
        <v>10.703633148376266</v>
      </c>
      <c r="H15" s="34">
        <v>1092.9330893004642</v>
      </c>
      <c r="I15" s="34">
        <v>3.882812904959775</v>
      </c>
      <c r="J15" s="18"/>
    </row>
    <row r="16" spans="1:16">
      <c r="A16" s="33">
        <v>1998</v>
      </c>
      <c r="B16" s="46">
        <v>3392.987706693023</v>
      </c>
      <c r="C16" s="34">
        <v>12.131718787573954</v>
      </c>
      <c r="D16" s="34">
        <v>1979.1080411775813</v>
      </c>
      <c r="E16" s="34">
        <v>7.0763540222767523</v>
      </c>
      <c r="F16" s="34">
        <v>2670.5536245081385</v>
      </c>
      <c r="G16" s="34">
        <v>9.5486362994359997</v>
      </c>
      <c r="H16" s="34">
        <v>1252.6974202933959</v>
      </c>
      <c r="I16" s="34">
        <v>4.4790533130846333</v>
      </c>
      <c r="J16" s="18"/>
    </row>
    <row r="17" spans="1:10">
      <c r="A17" s="33">
        <v>1999</v>
      </c>
      <c r="B17" s="46">
        <v>2934.8533356258595</v>
      </c>
      <c r="C17" s="34">
        <v>14.946707794452681</v>
      </c>
      <c r="D17" s="34">
        <v>1479.6816540577718</v>
      </c>
      <c r="E17" s="34">
        <v>7.5357664533166888</v>
      </c>
      <c r="F17" s="34">
        <v>2135.166781292985</v>
      </c>
      <c r="G17" s="34">
        <v>10.874040479301391</v>
      </c>
      <c r="H17" s="34">
        <v>1478.8884112792298</v>
      </c>
      <c r="I17" s="34">
        <v>7.5317266030533032</v>
      </c>
      <c r="J17" s="18"/>
    </row>
    <row r="18" spans="1:10">
      <c r="A18" s="33">
        <v>2000</v>
      </c>
      <c r="B18" s="47">
        <v>3489.574255</v>
      </c>
      <c r="C18" s="34">
        <v>19.049349101495253</v>
      </c>
      <c r="D18" s="34">
        <v>1714.34843</v>
      </c>
      <c r="E18" s="34">
        <v>9.3585117662642485</v>
      </c>
      <c r="F18" s="34">
        <v>2434.03629</v>
      </c>
      <c r="G18" s="34">
        <v>13.287238965464669</v>
      </c>
      <c r="H18" s="34">
        <v>976.15704000000005</v>
      </c>
      <c r="I18" s="34">
        <v>5.3287750521996742</v>
      </c>
      <c r="J18" s="18"/>
    </row>
    <row r="19" spans="1:10">
      <c r="A19" s="33">
        <v>2001</v>
      </c>
      <c r="B19" s="47">
        <v>4175.5034209999994</v>
      </c>
      <c r="C19" s="34">
        <v>17.064934324884693</v>
      </c>
      <c r="D19" s="34">
        <v>2328.676359</v>
      </c>
      <c r="E19" s="34">
        <v>9.5171061123761476</v>
      </c>
      <c r="F19" s="34">
        <v>2528.713718</v>
      </c>
      <c r="G19" s="34">
        <v>10.334642119337637</v>
      </c>
      <c r="H19" s="34">
        <v>2195.2318</v>
      </c>
      <c r="I19" s="34">
        <v>8.9717293264548879</v>
      </c>
      <c r="J19" s="18"/>
    </row>
    <row r="20" spans="1:10">
      <c r="A20" s="33">
        <v>2002</v>
      </c>
      <c r="B20" s="47">
        <v>4693.3885700000001</v>
      </c>
      <c r="C20" s="34">
        <v>16.439796882161495</v>
      </c>
      <c r="D20" s="34">
        <v>2646.0085710000008</v>
      </c>
      <c r="E20" s="34">
        <v>9.2683234739497404</v>
      </c>
      <c r="F20" s="34">
        <v>3490.3137809999998</v>
      </c>
      <c r="G20" s="34">
        <v>12.225718957390544</v>
      </c>
      <c r="H20" s="34">
        <v>1179.0138700000002</v>
      </c>
      <c r="I20" s="34">
        <v>4.1297983865953718</v>
      </c>
      <c r="J20" s="18"/>
    </row>
    <row r="21" spans="1:10">
      <c r="A21" s="33">
        <v>2003</v>
      </c>
      <c r="B21" s="47">
        <v>4870.3799900000004</v>
      </c>
      <c r="C21" s="34">
        <v>15.016807923618696</v>
      </c>
      <c r="D21" s="34">
        <v>2761.0810299999998</v>
      </c>
      <c r="E21" s="34">
        <v>8.5132214681789673</v>
      </c>
      <c r="F21" s="34">
        <v>4048.4038999999998</v>
      </c>
      <c r="G21" s="34">
        <v>12.482414901579132</v>
      </c>
      <c r="H21" s="34">
        <v>1426.9601499999999</v>
      </c>
      <c r="I21" s="34">
        <v>4.3997360639632808</v>
      </c>
      <c r="J21" s="18"/>
    </row>
    <row r="22" spans="1:10">
      <c r="A22" s="33">
        <v>2004</v>
      </c>
      <c r="B22" s="47">
        <v>5455.8021837200013</v>
      </c>
      <c r="C22" s="34">
        <v>14.909960451699641</v>
      </c>
      <c r="D22" s="34">
        <v>3042.3374213200004</v>
      </c>
      <c r="E22" s="34">
        <v>8.3142916669456479</v>
      </c>
      <c r="F22" s="34">
        <v>3780.9007668999998</v>
      </c>
      <c r="G22" s="34">
        <v>10.332684178780514</v>
      </c>
      <c r="H22" s="34">
        <v>1403.8236727000001</v>
      </c>
      <c r="I22" s="34">
        <v>3.836457909631378</v>
      </c>
      <c r="J22" s="18"/>
    </row>
    <row r="23" spans="1:10">
      <c r="A23" s="33">
        <v>2005</v>
      </c>
      <c r="B23" s="47">
        <v>6244.5436482000005</v>
      </c>
      <c r="C23" s="34">
        <v>15.044524683436574</v>
      </c>
      <c r="D23" s="34">
        <v>3589.0437706399998</v>
      </c>
      <c r="E23" s="34">
        <v>8.6468220320458542</v>
      </c>
      <c r="F23" s="34">
        <v>4079.5639567500002</v>
      </c>
      <c r="G23" s="34">
        <v>9.8285966281419199</v>
      </c>
      <c r="H23" s="34">
        <v>1721.3940237900001</v>
      </c>
      <c r="I23" s="34">
        <v>4.1472293797311961</v>
      </c>
      <c r="J23" s="18"/>
    </row>
    <row r="24" spans="1:10">
      <c r="A24" s="33">
        <v>2006</v>
      </c>
      <c r="B24" s="47">
        <v>6568.7840850100001</v>
      </c>
      <c r="C24" s="34">
        <v>14.035250436946727</v>
      </c>
      <c r="D24" s="34">
        <v>4131.9481861599998</v>
      </c>
      <c r="E24" s="34">
        <v>8.8285635263280362</v>
      </c>
      <c r="F24" s="34">
        <v>4529.6072834400002</v>
      </c>
      <c r="G24" s="34">
        <v>9.6782253429786103</v>
      </c>
      <c r="H24" s="34">
        <v>1574.1102470000001</v>
      </c>
      <c r="I24" s="34">
        <v>3.3633365393186674</v>
      </c>
      <c r="J24" s="18"/>
    </row>
    <row r="25" spans="1:10">
      <c r="A25" s="33">
        <v>2007</v>
      </c>
      <c r="B25" s="47">
        <v>8086.1092954800006</v>
      </c>
      <c r="C25" s="34">
        <v>15.852698884485791</v>
      </c>
      <c r="D25" s="34">
        <v>4622.6610336800004</v>
      </c>
      <c r="E25" s="34">
        <v>9.0626592758198434</v>
      </c>
      <c r="F25" s="34">
        <v>5899.7279730399996</v>
      </c>
      <c r="G25" s="34">
        <v>11.566330312807004</v>
      </c>
      <c r="H25" s="34">
        <v>2681.8358703900003</v>
      </c>
      <c r="I25" s="34">
        <v>5.2576999589493978</v>
      </c>
      <c r="J25" s="18"/>
    </row>
    <row r="26" spans="1:10">
      <c r="A26" s="33">
        <v>2008</v>
      </c>
      <c r="B26" s="47">
        <v>15831.626814920002</v>
      </c>
      <c r="C26" s="34">
        <v>25.633017138792734</v>
      </c>
      <c r="D26" s="34">
        <v>6951.2603907700004</v>
      </c>
      <c r="E26" s="34">
        <v>11.254798942386444</v>
      </c>
      <c r="F26" s="34">
        <v>10326.428410109998</v>
      </c>
      <c r="G26" s="34">
        <v>16.719539912942508</v>
      </c>
      <c r="H26" s="34">
        <v>4520.2</v>
      </c>
      <c r="I26" s="34">
        <v>7.3186644319822163</v>
      </c>
      <c r="J26" s="18"/>
    </row>
    <row r="27" spans="1:10">
      <c r="A27" s="33">
        <v>2009</v>
      </c>
      <c r="B27" s="47">
        <v>13682.247824530001</v>
      </c>
      <c r="C27" s="34">
        <v>21.884703362921563</v>
      </c>
      <c r="D27" s="34">
        <v>7508.5349328600005</v>
      </c>
      <c r="E27" s="34">
        <v>12.009873070795654</v>
      </c>
      <c r="F27" s="34">
        <v>10669.51945661</v>
      </c>
      <c r="G27" s="34">
        <v>17.06585579558093</v>
      </c>
      <c r="H27" s="34">
        <v>5855.4933812400013</v>
      </c>
      <c r="I27" s="34">
        <v>9.3658393953546106</v>
      </c>
      <c r="J27" s="18"/>
    </row>
    <row r="28" spans="1:10">
      <c r="A28" s="33">
        <v>2010</v>
      </c>
      <c r="B28" s="47">
        <v>15803.5</v>
      </c>
      <c r="C28" s="34">
        <v>22.720748493786253</v>
      </c>
      <c r="D28" s="34">
        <v>8503.8420000000006</v>
      </c>
      <c r="E28" s="34">
        <v>12.226004069534994</v>
      </c>
      <c r="F28" s="34">
        <v>11526.432000000001</v>
      </c>
      <c r="G28" s="34">
        <v>16.571592527144599</v>
      </c>
      <c r="H28" s="34">
        <v>6165.9979999999996</v>
      </c>
      <c r="I28" s="34">
        <v>8.8648773860973229</v>
      </c>
      <c r="J28" s="18"/>
    </row>
    <row r="29" spans="1:10">
      <c r="A29" s="33">
        <v>2011</v>
      </c>
      <c r="B29" s="47">
        <v>20101.56595393</v>
      </c>
      <c r="C29" s="34">
        <v>25.356220783874051</v>
      </c>
      <c r="D29" s="34">
        <v>9619.4409901300005</v>
      </c>
      <c r="E29" s="34">
        <v>12.134013346134243</v>
      </c>
      <c r="F29" s="34">
        <v>14229.610237070001</v>
      </c>
      <c r="G29" s="34">
        <v>17.949305027605604</v>
      </c>
      <c r="H29" s="34">
        <v>7733.4639999999999</v>
      </c>
      <c r="I29" s="34">
        <v>9.7550320734989544</v>
      </c>
      <c r="J29" s="18"/>
    </row>
    <row r="30" spans="1:10">
      <c r="A30" s="33">
        <v>2012</v>
      </c>
      <c r="B30" s="47">
        <v>24092.305</v>
      </c>
      <c r="C30" s="34">
        <v>27.401114528384706</v>
      </c>
      <c r="D30" s="34">
        <v>11632.799000000001</v>
      </c>
      <c r="E30" s="34">
        <v>13.230434268729335</v>
      </c>
      <c r="F30" s="34">
        <v>15445.222</v>
      </c>
      <c r="G30" s="34">
        <v>17.566451069680841</v>
      </c>
      <c r="H30" s="34">
        <v>8723.1470000000008</v>
      </c>
      <c r="I30" s="34">
        <v>9.9211740011981195</v>
      </c>
      <c r="J30" s="18"/>
    </row>
    <row r="31" spans="1:10">
      <c r="A31" s="33">
        <v>2013</v>
      </c>
      <c r="B31" s="47">
        <v>25750.164586000003</v>
      </c>
      <c r="C31" s="34">
        <v>27.068492472994148</v>
      </c>
      <c r="D31" s="34">
        <v>13572.446</v>
      </c>
      <c r="E31" s="34">
        <v>14.267312784123403</v>
      </c>
      <c r="F31" s="34">
        <v>19512.989000000001</v>
      </c>
      <c r="G31" s="34">
        <v>20.51199300525192</v>
      </c>
      <c r="H31" s="34">
        <v>11356.938988</v>
      </c>
      <c r="I31" s="34">
        <v>11.938378742637983</v>
      </c>
      <c r="J31" s="18"/>
    </row>
    <row r="32" spans="1:10">
      <c r="A32" s="33">
        <v>2014</v>
      </c>
      <c r="B32" s="47">
        <v>26078.712919999998</v>
      </c>
      <c r="C32" s="34">
        <v>25.494316891620151</v>
      </c>
      <c r="D32" s="34">
        <v>14282.145999999999</v>
      </c>
      <c r="E32" s="34">
        <v>13.962098403144088</v>
      </c>
      <c r="F32" s="34">
        <v>22055.093000000001</v>
      </c>
      <c r="G32" s="34">
        <v>21.560861985061237</v>
      </c>
      <c r="H32" s="34">
        <v>10990.587391000001</v>
      </c>
      <c r="I32" s="34">
        <v>10.744300097583142</v>
      </c>
      <c r="J32" s="18"/>
    </row>
    <row r="33" spans="1:10">
      <c r="A33" s="33">
        <v>2015</v>
      </c>
      <c r="B33" s="47">
        <v>25623.994644000002</v>
      </c>
      <c r="C33" s="34">
        <v>25.578769333516799</v>
      </c>
      <c r="D33" s="34">
        <v>15523.061618</v>
      </c>
      <c r="E33" s="34">
        <v>15.495664044316523</v>
      </c>
      <c r="F33" s="34">
        <v>19000.039999999997</v>
      </c>
      <c r="G33" s="34">
        <v>18.966505700600877</v>
      </c>
      <c r="H33" s="34">
        <v>9890.1435870000005</v>
      </c>
      <c r="I33" s="34">
        <v>9.8726878850042823</v>
      </c>
      <c r="J33" s="18"/>
    </row>
    <row r="34" spans="1:10">
      <c r="A34" s="28"/>
      <c r="B34" s="28"/>
      <c r="C34" s="20"/>
      <c r="D34" s="20"/>
      <c r="E34" s="20"/>
      <c r="F34" s="20"/>
      <c r="G34" s="20"/>
      <c r="H34" s="20"/>
      <c r="I34" s="20"/>
    </row>
    <row r="35" spans="1:10">
      <c r="A35" s="52"/>
      <c r="B35" s="52"/>
      <c r="C35" s="59"/>
      <c r="D35" s="59"/>
      <c r="E35" s="59"/>
      <c r="F35" s="59"/>
      <c r="G35" s="59"/>
      <c r="H35" s="59"/>
      <c r="I35" s="59"/>
    </row>
    <row r="36" spans="1:10">
      <c r="C36" s="18"/>
      <c r="D36" s="29"/>
      <c r="E36" s="29"/>
      <c r="F36" s="29"/>
      <c r="G36" s="29"/>
      <c r="H36" s="18"/>
      <c r="I36" s="18"/>
    </row>
    <row r="37" spans="1:10">
      <c r="A37" s="134"/>
      <c r="B37" s="6"/>
      <c r="C37" s="30"/>
      <c r="D37" s="30"/>
      <c r="E37" s="30"/>
      <c r="F37" s="30"/>
      <c r="G37" s="30"/>
      <c r="H37" s="18"/>
      <c r="I37" s="18"/>
    </row>
    <row r="38" spans="1:10">
      <c r="A38" s="145" t="s">
        <v>179</v>
      </c>
      <c r="B38" s="145"/>
      <c r="C38" s="21"/>
      <c r="D38" s="30"/>
      <c r="E38" s="30"/>
      <c r="F38" s="30"/>
      <c r="G38" s="30"/>
      <c r="H38" s="18"/>
      <c r="I38" s="18"/>
    </row>
    <row r="39" spans="1:10">
      <c r="C39" s="18"/>
      <c r="D39" s="44"/>
      <c r="E39" s="22"/>
      <c r="F39" s="22"/>
      <c r="G39" s="22"/>
      <c r="H39" s="18"/>
      <c r="I39" s="18"/>
    </row>
    <row r="40" spans="1:10">
      <c r="C40" s="18"/>
      <c r="D40" s="44"/>
      <c r="E40" s="22"/>
      <c r="F40" s="22"/>
      <c r="G40" s="22"/>
      <c r="H40" s="18"/>
      <c r="I40" s="18"/>
    </row>
    <row r="41" spans="1:10">
      <c r="C41" s="18"/>
      <c r="D41" s="44"/>
      <c r="E41" s="22"/>
      <c r="F41" s="22"/>
      <c r="G41" s="22"/>
      <c r="H41" s="18"/>
      <c r="I41" s="18"/>
    </row>
    <row r="42" spans="1:10">
      <c r="C42" s="18"/>
      <c r="D42" s="44"/>
      <c r="E42" s="22"/>
      <c r="F42" s="22"/>
      <c r="G42" s="22"/>
      <c r="H42" s="18"/>
      <c r="I42" s="18"/>
    </row>
    <row r="43" spans="1:10">
      <c r="C43" s="18"/>
      <c r="D43" s="44"/>
      <c r="E43" s="22"/>
      <c r="F43" s="22"/>
      <c r="G43" s="22"/>
      <c r="H43" s="18"/>
      <c r="I43" s="18"/>
    </row>
    <row r="44" spans="1:10">
      <c r="C44" s="18"/>
      <c r="D44" s="44"/>
      <c r="E44" s="18"/>
      <c r="F44" s="18"/>
      <c r="G44" s="18"/>
      <c r="H44" s="18"/>
      <c r="I44" s="18"/>
    </row>
    <row r="45" spans="1:10">
      <c r="C45" s="18"/>
      <c r="D45" s="44"/>
      <c r="E45" s="18"/>
      <c r="F45" s="18"/>
      <c r="G45" s="18"/>
      <c r="H45" s="18"/>
      <c r="I45" s="18"/>
    </row>
    <row r="46" spans="1:10">
      <c r="C46" s="18"/>
      <c r="D46" s="44"/>
      <c r="E46" s="18"/>
      <c r="F46" s="18"/>
      <c r="G46" s="18"/>
      <c r="H46" s="18"/>
      <c r="I46" s="18"/>
    </row>
    <row r="47" spans="1:10">
      <c r="C47" s="18"/>
      <c r="D47" s="44"/>
      <c r="E47" s="18"/>
      <c r="F47" s="18"/>
      <c r="G47" s="18"/>
      <c r="H47" s="18"/>
      <c r="I47" s="18"/>
    </row>
    <row r="48" spans="1:10">
      <c r="C48" s="18"/>
      <c r="D48" s="44"/>
      <c r="E48" s="18"/>
      <c r="F48" s="18"/>
      <c r="G48" s="18"/>
      <c r="H48" s="18"/>
      <c r="I48" s="18"/>
    </row>
    <row r="49" spans="3:9">
      <c r="C49" s="18"/>
      <c r="D49" s="45"/>
      <c r="E49" s="18"/>
      <c r="F49" s="18"/>
      <c r="G49" s="18"/>
      <c r="H49" s="18"/>
      <c r="I49" s="18"/>
    </row>
    <row r="50" spans="3:9">
      <c r="C50" s="18"/>
      <c r="D50" s="45"/>
      <c r="E50" s="18"/>
      <c r="F50" s="18"/>
      <c r="G50" s="18"/>
      <c r="H50" s="18"/>
      <c r="I50" s="18"/>
    </row>
    <row r="51" spans="3:9">
      <c r="C51" s="18"/>
      <c r="D51" s="18"/>
      <c r="E51" s="18"/>
      <c r="F51" s="18"/>
      <c r="G51" s="18"/>
      <c r="H51" s="18"/>
      <c r="I51" s="18"/>
    </row>
    <row r="52" spans="3:9">
      <c r="C52" s="18"/>
      <c r="D52" s="18"/>
      <c r="E52" s="18"/>
      <c r="F52" s="18"/>
      <c r="G52" s="18"/>
      <c r="H52" s="18"/>
      <c r="I52" s="18"/>
    </row>
    <row r="53" spans="3:9">
      <c r="C53" s="18"/>
      <c r="D53" s="18"/>
      <c r="E53" s="18"/>
      <c r="F53" s="18"/>
      <c r="G53" s="18"/>
      <c r="H53" s="18"/>
      <c r="I53" s="18"/>
    </row>
    <row r="54" spans="3:9">
      <c r="C54" s="18"/>
      <c r="D54" s="18"/>
      <c r="E54" s="18"/>
      <c r="F54" s="18"/>
      <c r="G54" s="18"/>
      <c r="H54" s="18"/>
      <c r="I54" s="18"/>
    </row>
    <row r="55" spans="3:9">
      <c r="C55" s="18"/>
      <c r="D55" s="18"/>
      <c r="E55" s="18"/>
      <c r="F55" s="18"/>
      <c r="G55" s="18"/>
      <c r="H55" s="18"/>
      <c r="I55" s="18"/>
    </row>
    <row r="56" spans="3:9">
      <c r="C56" s="18"/>
      <c r="D56" s="18"/>
      <c r="E56" s="18"/>
      <c r="F56" s="18"/>
      <c r="G56" s="18"/>
      <c r="H56" s="18"/>
      <c r="I56" s="18"/>
    </row>
    <row r="57" spans="3:9">
      <c r="C57" s="18"/>
      <c r="D57" s="18"/>
      <c r="E57" s="18"/>
      <c r="F57" s="18"/>
      <c r="G57" s="18"/>
      <c r="H57" s="18"/>
      <c r="I57" s="18"/>
    </row>
    <row r="58" spans="3:9">
      <c r="C58" s="18"/>
      <c r="D58" s="18"/>
      <c r="E58" s="18"/>
      <c r="F58" s="18"/>
      <c r="G58" s="18"/>
      <c r="H58" s="18"/>
      <c r="I58" s="18"/>
    </row>
    <row r="59" spans="3:9">
      <c r="C59" s="18"/>
      <c r="D59" s="18"/>
      <c r="E59" s="18"/>
      <c r="F59" s="18"/>
      <c r="G59" s="18"/>
      <c r="H59" s="18"/>
      <c r="I59" s="18"/>
    </row>
    <row r="60" spans="3:9">
      <c r="C60" s="18"/>
      <c r="D60" s="18"/>
      <c r="E60" s="18"/>
      <c r="F60" s="18"/>
      <c r="G60" s="18"/>
      <c r="H60" s="18"/>
      <c r="I60" s="18"/>
    </row>
    <row r="61" spans="3:9">
      <c r="C61" s="18"/>
      <c r="D61" s="18"/>
      <c r="E61" s="18"/>
      <c r="F61" s="18"/>
      <c r="G61" s="18"/>
      <c r="H61" s="18"/>
      <c r="I61" s="18"/>
    </row>
    <row r="62" spans="3:9">
      <c r="C62" s="18"/>
      <c r="D62" s="18"/>
      <c r="E62" s="18"/>
      <c r="F62" s="18"/>
      <c r="G62" s="18"/>
      <c r="H62" s="18"/>
      <c r="I62" s="18"/>
    </row>
    <row r="63" spans="3:9">
      <c r="C63" s="18"/>
      <c r="D63" s="18"/>
      <c r="E63" s="18"/>
      <c r="F63" s="18"/>
      <c r="G63" s="18"/>
      <c r="H63" s="18"/>
      <c r="I63" s="18"/>
    </row>
    <row r="64" spans="3:9">
      <c r="C64" s="18"/>
      <c r="D64" s="18"/>
      <c r="E64" s="18"/>
      <c r="F64" s="18"/>
      <c r="G64" s="18"/>
      <c r="H64" s="18"/>
      <c r="I64" s="18"/>
    </row>
    <row r="65" spans="3:9">
      <c r="C65" s="18"/>
      <c r="D65" s="18"/>
      <c r="E65" s="18"/>
      <c r="F65" s="18"/>
      <c r="G65" s="18"/>
      <c r="H65" s="18"/>
      <c r="I65" s="18"/>
    </row>
    <row r="66" spans="3:9">
      <c r="C66" s="18"/>
      <c r="D66" s="18"/>
      <c r="E66" s="18"/>
      <c r="F66" s="18"/>
      <c r="G66" s="18"/>
      <c r="H66" s="18"/>
      <c r="I66" s="18"/>
    </row>
    <row r="67" spans="3:9">
      <c r="C67" s="18"/>
      <c r="D67" s="18"/>
      <c r="E67" s="18"/>
      <c r="F67" s="18"/>
      <c r="G67" s="18"/>
      <c r="H67" s="18"/>
      <c r="I67" s="18"/>
    </row>
    <row r="68" spans="3:9">
      <c r="C68" s="18"/>
      <c r="D68" s="18"/>
      <c r="E68" s="18"/>
      <c r="F68" s="18"/>
      <c r="G68" s="18"/>
      <c r="H68" s="18"/>
      <c r="I68" s="18"/>
    </row>
    <row r="69" spans="3:9">
      <c r="C69" s="18"/>
      <c r="D69" s="18"/>
      <c r="E69" s="18"/>
      <c r="F69" s="18"/>
      <c r="G69" s="18"/>
      <c r="H69" s="18"/>
      <c r="I69" s="18"/>
    </row>
    <row r="70" spans="3:9">
      <c r="C70" s="18"/>
      <c r="D70" s="18"/>
      <c r="E70" s="18"/>
      <c r="F70" s="18"/>
      <c r="G70" s="18"/>
      <c r="H70" s="18"/>
      <c r="I70" s="18"/>
    </row>
    <row r="71" spans="3:9">
      <c r="C71" s="18"/>
      <c r="D71" s="18"/>
      <c r="E71" s="18"/>
      <c r="F71" s="18"/>
      <c r="G71" s="18"/>
      <c r="H71" s="18"/>
      <c r="I71" s="18"/>
    </row>
    <row r="72" spans="3:9">
      <c r="C72" s="18"/>
      <c r="D72" s="18"/>
      <c r="E72" s="18"/>
      <c r="F72" s="18"/>
      <c r="G72" s="18"/>
      <c r="H72" s="18"/>
      <c r="I72" s="18"/>
    </row>
    <row r="73" spans="3:9">
      <c r="C73" s="18"/>
      <c r="D73" s="18"/>
      <c r="E73" s="18"/>
      <c r="F73" s="18"/>
      <c r="G73" s="18"/>
      <c r="H73" s="18"/>
      <c r="I73" s="18"/>
    </row>
    <row r="74" spans="3:9">
      <c r="C74" s="18"/>
      <c r="D74" s="18"/>
      <c r="E74" s="18"/>
      <c r="F74" s="18"/>
      <c r="G74" s="18"/>
      <c r="H74" s="18"/>
      <c r="I74" s="18"/>
    </row>
    <row r="75" spans="3:9">
      <c r="C75" s="18"/>
      <c r="D75" s="18"/>
      <c r="E75" s="18"/>
      <c r="F75" s="18"/>
      <c r="G75" s="18"/>
      <c r="H75" s="18"/>
      <c r="I75" s="18"/>
    </row>
    <row r="76" spans="3:9">
      <c r="C76" s="18"/>
      <c r="D76" s="18"/>
      <c r="E76" s="18"/>
      <c r="F76" s="18"/>
      <c r="G76" s="18"/>
      <c r="H76" s="18"/>
      <c r="I76" s="18"/>
    </row>
    <row r="77" spans="3:9">
      <c r="C77" s="18"/>
      <c r="D77" s="18"/>
      <c r="E77" s="18"/>
      <c r="F77" s="18"/>
      <c r="G77" s="18"/>
      <c r="H77" s="18"/>
      <c r="I77" s="18"/>
    </row>
    <row r="78" spans="3:9">
      <c r="C78" s="18"/>
      <c r="D78" s="18"/>
      <c r="E78" s="18"/>
      <c r="F78" s="18"/>
      <c r="G78" s="18"/>
      <c r="H78" s="18"/>
      <c r="I78" s="18"/>
    </row>
    <row r="79" spans="3:9">
      <c r="C79" s="18"/>
      <c r="D79" s="18"/>
      <c r="E79" s="18"/>
      <c r="F79" s="18"/>
      <c r="G79" s="18"/>
      <c r="H79" s="18"/>
      <c r="I79" s="18"/>
    </row>
    <row r="80" spans="3:9">
      <c r="C80" s="18"/>
      <c r="D80" s="18"/>
      <c r="E80" s="18"/>
      <c r="F80" s="18"/>
      <c r="G80" s="18"/>
      <c r="H80" s="18"/>
      <c r="I80" s="18"/>
    </row>
    <row r="81" spans="3:9">
      <c r="C81" s="18"/>
      <c r="D81" s="18"/>
      <c r="E81" s="18"/>
      <c r="F81" s="18"/>
      <c r="G81" s="18"/>
      <c r="H81" s="18"/>
      <c r="I81" s="18"/>
    </row>
    <row r="82" spans="3:9">
      <c r="C82" s="18"/>
      <c r="D82" s="18"/>
      <c r="E82" s="18"/>
      <c r="F82" s="18"/>
      <c r="G82" s="18"/>
      <c r="H82" s="18"/>
      <c r="I82" s="18"/>
    </row>
    <row r="83" spans="3:9">
      <c r="C83" s="18"/>
      <c r="D83" s="18"/>
      <c r="E83" s="18"/>
      <c r="F83" s="18"/>
      <c r="G83" s="18"/>
      <c r="H83" s="18"/>
      <c r="I83" s="18"/>
    </row>
    <row r="84" spans="3:9">
      <c r="C84" s="18"/>
      <c r="D84" s="18"/>
      <c r="E84" s="18"/>
      <c r="F84" s="18"/>
      <c r="G84" s="18"/>
      <c r="H84" s="18"/>
      <c r="I84" s="18"/>
    </row>
    <row r="85" spans="3:9">
      <c r="C85" s="18"/>
      <c r="D85" s="18"/>
      <c r="E85" s="18"/>
      <c r="F85" s="18"/>
      <c r="G85" s="18"/>
      <c r="H85" s="18"/>
      <c r="I85" s="18"/>
    </row>
    <row r="86" spans="3:9">
      <c r="C86" s="18"/>
      <c r="D86" s="18"/>
      <c r="E86" s="18"/>
      <c r="F86" s="18"/>
      <c r="G86" s="18"/>
      <c r="H86" s="18"/>
      <c r="I86" s="18"/>
    </row>
    <row r="87" spans="3:9">
      <c r="C87" s="18"/>
      <c r="D87" s="18"/>
      <c r="E87" s="18"/>
      <c r="F87" s="18"/>
      <c r="G87" s="18"/>
      <c r="H87" s="18"/>
      <c r="I87" s="18"/>
    </row>
    <row r="88" spans="3:9">
      <c r="C88" s="18"/>
      <c r="D88" s="18"/>
      <c r="E88" s="18"/>
      <c r="F88" s="18"/>
      <c r="G88" s="18"/>
      <c r="H88" s="18"/>
      <c r="I88" s="18"/>
    </row>
    <row r="89" spans="3:9">
      <c r="C89" s="18"/>
      <c r="D89" s="18"/>
      <c r="E89" s="18"/>
      <c r="F89" s="18"/>
      <c r="G89" s="18"/>
      <c r="H89" s="18"/>
      <c r="I89" s="18"/>
    </row>
    <row r="90" spans="3:9">
      <c r="C90" s="18"/>
      <c r="D90" s="18"/>
      <c r="E90" s="18"/>
      <c r="F90" s="18"/>
      <c r="G90" s="18"/>
      <c r="H90" s="18"/>
      <c r="I90" s="18"/>
    </row>
    <row r="91" spans="3:9">
      <c r="C91" s="18"/>
      <c r="D91" s="18"/>
      <c r="E91" s="18"/>
      <c r="F91" s="18"/>
      <c r="G91" s="18"/>
      <c r="H91" s="18"/>
      <c r="I91" s="18"/>
    </row>
    <row r="92" spans="3:9">
      <c r="C92" s="18"/>
      <c r="D92" s="18"/>
      <c r="E92" s="18"/>
      <c r="F92" s="18"/>
      <c r="G92" s="18"/>
      <c r="H92" s="18"/>
      <c r="I92" s="18"/>
    </row>
    <row r="93" spans="3:9">
      <c r="C93" s="18"/>
      <c r="D93" s="18"/>
      <c r="E93" s="18"/>
      <c r="F93" s="18"/>
      <c r="G93" s="18"/>
      <c r="H93" s="18"/>
      <c r="I93" s="18"/>
    </row>
    <row r="94" spans="3:9">
      <c r="C94" s="18"/>
      <c r="D94" s="18"/>
      <c r="E94" s="18"/>
      <c r="F94" s="18"/>
      <c r="G94" s="18"/>
      <c r="H94" s="18"/>
      <c r="I94" s="18"/>
    </row>
    <row r="95" spans="3:9">
      <c r="C95" s="18"/>
      <c r="D95" s="18"/>
      <c r="E95" s="18"/>
      <c r="F95" s="18"/>
      <c r="G95" s="18"/>
      <c r="H95" s="18"/>
      <c r="I95" s="18"/>
    </row>
    <row r="96" spans="3:9">
      <c r="C96" s="18"/>
      <c r="D96" s="18"/>
      <c r="E96" s="18"/>
      <c r="F96" s="18"/>
      <c r="G96" s="18"/>
      <c r="H96" s="18"/>
      <c r="I96" s="18"/>
    </row>
    <row r="97" spans="3:9">
      <c r="C97" s="18"/>
      <c r="D97" s="18"/>
      <c r="E97" s="18"/>
      <c r="F97" s="18"/>
      <c r="G97" s="18"/>
      <c r="H97" s="18"/>
      <c r="I97" s="18"/>
    </row>
    <row r="98" spans="3:9">
      <c r="C98" s="18"/>
      <c r="D98" s="18"/>
      <c r="E98" s="18"/>
      <c r="F98" s="18"/>
      <c r="G98" s="18"/>
      <c r="H98" s="18"/>
      <c r="I98" s="18"/>
    </row>
    <row r="99" spans="3:9">
      <c r="C99" s="18"/>
      <c r="D99" s="18"/>
      <c r="E99" s="18"/>
      <c r="F99" s="18"/>
      <c r="G99" s="18"/>
      <c r="H99" s="18"/>
      <c r="I99" s="18"/>
    </row>
    <row r="100" spans="3:9">
      <c r="C100" s="18"/>
      <c r="D100" s="18"/>
      <c r="E100" s="18"/>
      <c r="F100" s="18"/>
      <c r="G100" s="18"/>
      <c r="H100" s="18"/>
      <c r="I100" s="18"/>
    </row>
    <row r="101" spans="3:9">
      <c r="C101" s="18"/>
      <c r="D101" s="18"/>
      <c r="E101" s="18"/>
      <c r="F101" s="18"/>
      <c r="G101" s="18"/>
      <c r="H101" s="18"/>
      <c r="I101" s="18"/>
    </row>
    <row r="102" spans="3:9">
      <c r="C102" s="18"/>
      <c r="D102" s="18"/>
      <c r="E102" s="18"/>
      <c r="F102" s="18"/>
      <c r="G102" s="18"/>
      <c r="H102" s="18"/>
      <c r="I102" s="18"/>
    </row>
    <row r="103" spans="3:9">
      <c r="C103" s="18"/>
      <c r="D103" s="18"/>
      <c r="E103" s="18"/>
      <c r="F103" s="18"/>
      <c r="G103" s="18"/>
      <c r="H103" s="18"/>
      <c r="I103" s="18"/>
    </row>
    <row r="104" spans="3:9">
      <c r="C104" s="18"/>
      <c r="D104" s="18"/>
      <c r="E104" s="18"/>
      <c r="F104" s="18"/>
      <c r="G104" s="18"/>
      <c r="H104" s="18"/>
      <c r="I104" s="18"/>
    </row>
    <row r="105" spans="3:9">
      <c r="C105" s="18"/>
      <c r="D105" s="18"/>
      <c r="E105" s="18"/>
      <c r="F105" s="18"/>
      <c r="G105" s="18"/>
      <c r="H105" s="18"/>
      <c r="I105" s="18"/>
    </row>
    <row r="106" spans="3:9">
      <c r="C106" s="18"/>
      <c r="D106" s="18"/>
      <c r="E106" s="18"/>
      <c r="F106" s="18"/>
      <c r="G106" s="18"/>
      <c r="H106" s="18"/>
      <c r="I106" s="18"/>
    </row>
    <row r="107" spans="3:9">
      <c r="C107" s="18"/>
      <c r="D107" s="18"/>
      <c r="E107" s="18"/>
      <c r="F107" s="18"/>
      <c r="G107" s="18"/>
      <c r="H107" s="18"/>
      <c r="I107" s="18"/>
    </row>
    <row r="108" spans="3:9">
      <c r="C108" s="18"/>
      <c r="D108" s="18"/>
      <c r="E108" s="18"/>
      <c r="F108" s="18"/>
      <c r="G108" s="18"/>
      <c r="H108" s="18"/>
      <c r="I108" s="18"/>
    </row>
    <row r="109" spans="3:9">
      <c r="C109" s="18"/>
      <c r="D109" s="18"/>
      <c r="E109" s="18"/>
      <c r="F109" s="18"/>
      <c r="G109" s="18"/>
      <c r="H109" s="18"/>
      <c r="I109" s="18"/>
    </row>
    <row r="110" spans="3:9">
      <c r="C110" s="18"/>
      <c r="D110" s="18"/>
      <c r="E110" s="18"/>
      <c r="F110" s="18"/>
      <c r="G110" s="18"/>
      <c r="H110" s="18"/>
      <c r="I110" s="18"/>
    </row>
    <row r="111" spans="3:9">
      <c r="C111" s="18"/>
      <c r="D111" s="18"/>
      <c r="E111" s="18"/>
      <c r="F111" s="18"/>
      <c r="G111" s="18"/>
      <c r="H111" s="18"/>
      <c r="I111" s="18"/>
    </row>
    <row r="112" spans="3:9">
      <c r="C112" s="18"/>
      <c r="D112" s="18"/>
      <c r="E112" s="18"/>
      <c r="F112" s="18"/>
      <c r="G112" s="18"/>
      <c r="H112" s="18"/>
      <c r="I112" s="18"/>
    </row>
    <row r="113" spans="3:9">
      <c r="C113" s="18"/>
      <c r="D113" s="18"/>
      <c r="E113" s="18"/>
      <c r="F113" s="18"/>
      <c r="G113" s="18"/>
      <c r="H113" s="18"/>
      <c r="I113" s="18"/>
    </row>
    <row r="114" spans="3:9">
      <c r="C114" s="18"/>
      <c r="D114" s="18"/>
      <c r="E114" s="18"/>
      <c r="F114" s="18"/>
      <c r="G114" s="18"/>
      <c r="H114" s="18"/>
      <c r="I114" s="18"/>
    </row>
    <row r="115" spans="3:9">
      <c r="C115" s="18"/>
      <c r="D115" s="18"/>
      <c r="E115" s="18"/>
      <c r="F115" s="18"/>
      <c r="G115" s="18"/>
      <c r="H115" s="18"/>
      <c r="I115" s="18"/>
    </row>
    <row r="116" spans="3:9">
      <c r="C116" s="18"/>
      <c r="D116" s="18"/>
      <c r="E116" s="18"/>
      <c r="F116" s="18"/>
      <c r="G116" s="18"/>
      <c r="H116" s="18"/>
      <c r="I116" s="18"/>
    </row>
    <row r="117" spans="3:9">
      <c r="C117" s="18"/>
      <c r="D117" s="18"/>
      <c r="E117" s="18"/>
      <c r="F117" s="18"/>
      <c r="G117" s="18"/>
      <c r="H117" s="18"/>
      <c r="I117" s="18"/>
    </row>
    <row r="118" spans="3:9">
      <c r="C118" s="18"/>
      <c r="D118" s="18"/>
      <c r="E118" s="18"/>
      <c r="F118" s="18"/>
      <c r="G118" s="18"/>
      <c r="H118" s="18"/>
      <c r="I118" s="18"/>
    </row>
    <row r="119" spans="3:9">
      <c r="C119" s="18"/>
      <c r="D119" s="18"/>
      <c r="E119" s="18"/>
      <c r="F119" s="18"/>
      <c r="G119" s="18"/>
      <c r="H119" s="18"/>
      <c r="I119" s="18"/>
    </row>
    <row r="120" spans="3:9">
      <c r="C120" s="18"/>
      <c r="D120" s="18"/>
      <c r="E120" s="18"/>
      <c r="F120" s="18"/>
      <c r="G120" s="18"/>
      <c r="H120" s="18"/>
      <c r="I120" s="18"/>
    </row>
    <row r="121" spans="3:9">
      <c r="C121" s="18"/>
      <c r="D121" s="18"/>
      <c r="E121" s="18"/>
      <c r="F121" s="18"/>
      <c r="G121" s="18"/>
      <c r="H121" s="18"/>
      <c r="I121" s="18"/>
    </row>
    <row r="122" spans="3:9">
      <c r="C122" s="18"/>
      <c r="D122" s="18"/>
      <c r="E122" s="18"/>
      <c r="F122" s="18"/>
      <c r="G122" s="18"/>
      <c r="H122" s="18"/>
      <c r="I122" s="18"/>
    </row>
    <row r="123" spans="3:9">
      <c r="C123" s="18"/>
      <c r="D123" s="18"/>
      <c r="E123" s="18"/>
      <c r="F123" s="18"/>
      <c r="G123" s="18"/>
      <c r="H123" s="18"/>
      <c r="I123" s="18"/>
    </row>
    <row r="124" spans="3:9">
      <c r="C124" s="18"/>
      <c r="D124" s="18"/>
      <c r="E124" s="18"/>
      <c r="F124" s="18"/>
      <c r="G124" s="18"/>
      <c r="H124" s="18"/>
      <c r="I124" s="18"/>
    </row>
    <row r="125" spans="3:9">
      <c r="C125" s="18"/>
      <c r="D125" s="18"/>
      <c r="E125" s="18"/>
      <c r="F125" s="18"/>
      <c r="G125" s="18"/>
      <c r="H125" s="18"/>
      <c r="I125" s="18"/>
    </row>
    <row r="126" spans="3:9">
      <c r="C126" s="18"/>
      <c r="D126" s="18"/>
      <c r="E126" s="18"/>
      <c r="F126" s="18"/>
      <c r="G126" s="18"/>
      <c r="H126" s="18"/>
      <c r="I126" s="18"/>
    </row>
    <row r="127" spans="3:9">
      <c r="C127" s="18"/>
      <c r="D127" s="18"/>
      <c r="E127" s="18"/>
      <c r="F127" s="18"/>
      <c r="G127" s="18"/>
      <c r="H127" s="18"/>
      <c r="I127" s="18"/>
    </row>
    <row r="128" spans="3:9">
      <c r="C128" s="18"/>
      <c r="D128" s="18"/>
      <c r="E128" s="18"/>
      <c r="F128" s="18"/>
      <c r="G128" s="18"/>
      <c r="H128" s="18"/>
      <c r="I128" s="18"/>
    </row>
    <row r="129" spans="3:9">
      <c r="C129" s="18"/>
      <c r="D129" s="18"/>
      <c r="E129" s="18"/>
      <c r="F129" s="18"/>
      <c r="G129" s="18"/>
      <c r="H129" s="18"/>
      <c r="I129" s="18"/>
    </row>
    <row r="130" spans="3:9">
      <c r="C130" s="18"/>
      <c r="D130" s="18"/>
      <c r="E130" s="18"/>
      <c r="F130" s="18"/>
      <c r="G130" s="18"/>
      <c r="H130" s="18"/>
      <c r="I130" s="18"/>
    </row>
    <row r="131" spans="3:9">
      <c r="C131" s="18"/>
      <c r="D131" s="18"/>
      <c r="E131" s="18"/>
      <c r="F131" s="18"/>
      <c r="G131" s="18"/>
      <c r="H131" s="18"/>
      <c r="I131" s="18"/>
    </row>
    <row r="132" spans="3:9">
      <c r="C132" s="18"/>
      <c r="D132" s="18"/>
      <c r="E132" s="18"/>
      <c r="F132" s="18"/>
      <c r="G132" s="18"/>
      <c r="H132" s="18"/>
      <c r="I132" s="18"/>
    </row>
    <row r="133" spans="3:9">
      <c r="C133" s="18"/>
      <c r="D133" s="18"/>
      <c r="E133" s="18"/>
      <c r="F133" s="18"/>
      <c r="G133" s="18"/>
      <c r="H133" s="18"/>
      <c r="I133" s="18"/>
    </row>
    <row r="134" spans="3:9">
      <c r="C134" s="18"/>
      <c r="D134" s="18"/>
      <c r="E134" s="18"/>
      <c r="F134" s="18"/>
      <c r="G134" s="18"/>
      <c r="H134" s="18"/>
      <c r="I134" s="18"/>
    </row>
    <row r="135" spans="3:9">
      <c r="C135" s="18"/>
      <c r="D135" s="18"/>
      <c r="E135" s="18"/>
      <c r="F135" s="18"/>
      <c r="G135" s="18"/>
      <c r="H135" s="18"/>
      <c r="I135" s="18"/>
    </row>
    <row r="136" spans="3:9">
      <c r="C136" s="18"/>
      <c r="D136" s="18"/>
      <c r="E136" s="18"/>
      <c r="F136" s="18"/>
      <c r="G136" s="18"/>
      <c r="H136" s="18"/>
      <c r="I136" s="18"/>
    </row>
    <row r="137" spans="3:9">
      <c r="C137" s="18"/>
      <c r="D137" s="18"/>
      <c r="E137" s="18"/>
      <c r="F137" s="18"/>
      <c r="G137" s="18"/>
      <c r="H137" s="18"/>
      <c r="I137" s="18"/>
    </row>
    <row r="138" spans="3:9">
      <c r="C138" s="18"/>
      <c r="D138" s="18"/>
      <c r="E138" s="18"/>
      <c r="F138" s="18"/>
      <c r="G138" s="18"/>
      <c r="H138" s="18"/>
      <c r="I138" s="18"/>
    </row>
    <row r="139" spans="3:9">
      <c r="C139" s="18"/>
      <c r="D139" s="18"/>
      <c r="E139" s="18"/>
      <c r="F139" s="18"/>
      <c r="G139" s="18"/>
      <c r="H139" s="18"/>
      <c r="I139" s="18"/>
    </row>
    <row r="140" spans="3:9">
      <c r="C140" s="18"/>
      <c r="D140" s="18"/>
      <c r="E140" s="18"/>
      <c r="F140" s="18"/>
      <c r="G140" s="18"/>
      <c r="H140" s="18"/>
      <c r="I140" s="18"/>
    </row>
    <row r="141" spans="3:9">
      <c r="C141" s="18"/>
      <c r="D141" s="18"/>
      <c r="E141" s="18"/>
      <c r="F141" s="18"/>
      <c r="G141" s="18"/>
      <c r="H141" s="18"/>
      <c r="I141" s="18"/>
    </row>
    <row r="142" spans="3:9">
      <c r="C142" s="18"/>
      <c r="D142" s="18"/>
      <c r="E142" s="18"/>
      <c r="F142" s="18"/>
      <c r="G142" s="18"/>
      <c r="H142" s="18"/>
      <c r="I142" s="18"/>
    </row>
    <row r="143" spans="3:9">
      <c r="C143" s="18"/>
      <c r="D143" s="18"/>
      <c r="E143" s="18"/>
      <c r="F143" s="18"/>
      <c r="G143" s="18"/>
      <c r="H143" s="18"/>
      <c r="I143" s="18"/>
    </row>
    <row r="144" spans="3:9">
      <c r="C144" s="18"/>
      <c r="D144" s="18"/>
      <c r="E144" s="18"/>
      <c r="F144" s="18"/>
      <c r="G144" s="18"/>
      <c r="H144" s="18"/>
      <c r="I144" s="18"/>
    </row>
    <row r="145" spans="3:9">
      <c r="C145" s="18"/>
      <c r="D145" s="18"/>
      <c r="E145" s="18"/>
      <c r="F145" s="18"/>
      <c r="G145" s="18"/>
      <c r="H145" s="18"/>
      <c r="I145" s="18"/>
    </row>
    <row r="146" spans="3:9">
      <c r="C146" s="18"/>
      <c r="D146" s="18"/>
      <c r="E146" s="18"/>
      <c r="F146" s="18"/>
      <c r="G146" s="18"/>
      <c r="H146" s="18"/>
      <c r="I146" s="18"/>
    </row>
    <row r="147" spans="3:9">
      <c r="C147" s="18"/>
      <c r="D147" s="18"/>
      <c r="E147" s="18"/>
      <c r="F147" s="18"/>
      <c r="G147" s="18"/>
      <c r="H147" s="18"/>
      <c r="I147" s="18"/>
    </row>
    <row r="148" spans="3:9">
      <c r="C148" s="18"/>
      <c r="D148" s="18"/>
      <c r="E148" s="18"/>
      <c r="F148" s="18"/>
      <c r="G148" s="18"/>
      <c r="H148" s="18"/>
      <c r="I148" s="18"/>
    </row>
    <row r="149" spans="3:9">
      <c r="C149" s="18"/>
      <c r="D149" s="18"/>
      <c r="E149" s="18"/>
      <c r="F149" s="18"/>
      <c r="G149" s="18"/>
      <c r="H149" s="18"/>
      <c r="I149" s="18"/>
    </row>
  </sheetData>
  <mergeCells count="9">
    <mergeCell ref="A38:B38"/>
    <mergeCell ref="A1:I1"/>
    <mergeCell ref="A2:I2"/>
    <mergeCell ref="A3:I3"/>
    <mergeCell ref="B5:C5"/>
    <mergeCell ref="D5:E5"/>
    <mergeCell ref="F5:G5"/>
    <mergeCell ref="H5:I5"/>
    <mergeCell ref="A5:A6"/>
  </mergeCells>
  <hyperlinks>
    <hyperlink ref="A38:B38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verticalDpi="599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50"/>
  <sheetViews>
    <sheetView showGridLines="0" workbookViewId="0">
      <selection sqref="A1:K1"/>
    </sheetView>
  </sheetViews>
  <sheetFormatPr baseColWidth="10" defaultRowHeight="12.75"/>
  <cols>
    <col min="1" max="1" width="29.42578125" style="5" customWidth="1"/>
    <col min="2" max="6" width="11.42578125" style="5"/>
    <col min="7" max="7" width="12.140625" style="5" customWidth="1"/>
    <col min="8" max="8" width="11.42578125" style="5"/>
    <col min="9" max="9" width="10.42578125" style="5" customWidth="1"/>
    <col min="10" max="10" width="11.42578125" style="5"/>
    <col min="11" max="11" width="10.7109375" style="5" customWidth="1"/>
    <col min="12" max="16384" width="11.42578125" style="5"/>
  </cols>
  <sheetData>
    <row r="1" spans="1:12">
      <c r="A1" s="146" t="s">
        <v>220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2" s="6" customFormat="1">
      <c r="A2" s="146" t="s">
        <v>49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2" s="6" customForma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2" ht="21.75" customHeight="1">
      <c r="A4" s="48" t="s">
        <v>206</v>
      </c>
      <c r="B4" s="49">
        <v>1950</v>
      </c>
      <c r="C4" s="49">
        <v>1951</v>
      </c>
      <c r="D4" s="49">
        <v>1952</v>
      </c>
      <c r="E4" s="49">
        <v>1953</v>
      </c>
      <c r="F4" s="49">
        <v>1954</v>
      </c>
      <c r="G4" s="49">
        <v>1955</v>
      </c>
      <c r="H4" s="49">
        <v>1956</v>
      </c>
      <c r="I4" s="49">
        <v>1957</v>
      </c>
      <c r="J4" s="49">
        <v>1958</v>
      </c>
      <c r="K4" s="50">
        <v>1959</v>
      </c>
      <c r="L4" s="51"/>
    </row>
    <row r="5" spans="1:12">
      <c r="A5" s="13"/>
      <c r="B5" s="6"/>
      <c r="C5" s="6"/>
      <c r="D5" s="6"/>
      <c r="E5" s="6"/>
      <c r="F5" s="6"/>
      <c r="G5" s="6"/>
      <c r="H5" s="6"/>
      <c r="I5" s="6"/>
      <c r="J5" s="6"/>
      <c r="K5" s="6"/>
      <c r="L5" s="51"/>
    </row>
    <row r="6" spans="1:12">
      <c r="A6" s="54" t="s">
        <v>50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52"/>
    </row>
    <row r="7" spans="1:12">
      <c r="A7" s="54" t="s">
        <v>51</v>
      </c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2">
      <c r="A8" s="33" t="s">
        <v>52</v>
      </c>
      <c r="B8" s="34">
        <v>162.30799999999999</v>
      </c>
      <c r="C8" s="34">
        <v>198.11199999999999</v>
      </c>
      <c r="D8" s="34">
        <v>216.214</v>
      </c>
      <c r="E8" s="34">
        <v>293.512</v>
      </c>
      <c r="F8" s="34">
        <v>381.42899999999997</v>
      </c>
      <c r="G8" s="34">
        <v>345.53399999999999</v>
      </c>
      <c r="H8" s="34">
        <v>303.29000000000002</v>
      </c>
      <c r="I8" s="34">
        <v>421.76600000000002</v>
      </c>
      <c r="J8" s="34">
        <v>440.80399999999997</v>
      </c>
      <c r="K8" s="34">
        <v>461.02600000000001</v>
      </c>
    </row>
    <row r="9" spans="1:12">
      <c r="A9" s="33" t="s">
        <v>53</v>
      </c>
      <c r="B9" s="34">
        <v>9.5739999999999998</v>
      </c>
      <c r="C9" s="34">
        <v>6.4580000000000002</v>
      </c>
      <c r="D9" s="34">
        <v>12.667</v>
      </c>
      <c r="E9" s="34">
        <v>15.063000000000001</v>
      </c>
      <c r="F9" s="34">
        <v>7.0679999999999996</v>
      </c>
      <c r="G9" s="34">
        <v>58.387</v>
      </c>
      <c r="H9" s="34">
        <v>57.981000000000002</v>
      </c>
      <c r="I9" s="34">
        <v>79.218999999999994</v>
      </c>
      <c r="J9" s="34">
        <v>65.542000000000002</v>
      </c>
      <c r="K9" s="34">
        <v>72.361999999999995</v>
      </c>
    </row>
    <row r="10" spans="1:12">
      <c r="A10" s="33" t="s">
        <v>54</v>
      </c>
      <c r="B10" s="34">
        <v>1.55</v>
      </c>
      <c r="C10" s="34">
        <v>1.55</v>
      </c>
      <c r="D10" s="34">
        <v>2.3650000000000002</v>
      </c>
      <c r="E10" s="34">
        <v>3.2450000000000001</v>
      </c>
      <c r="F10" s="34">
        <v>6.0819999999999999</v>
      </c>
      <c r="G10" s="34">
        <v>6.7709999999999999</v>
      </c>
      <c r="H10" s="34">
        <v>5.3769999999999998</v>
      </c>
      <c r="I10" s="34">
        <v>7.4009999999999998</v>
      </c>
      <c r="J10" s="34">
        <v>7.9459999999999997</v>
      </c>
      <c r="K10" s="34">
        <v>9.4179999999999993</v>
      </c>
    </row>
    <row r="11" spans="1:12">
      <c r="A11" s="33" t="s">
        <v>55</v>
      </c>
      <c r="B11" s="34">
        <v>38.472000000000001</v>
      </c>
      <c r="C11" s="34">
        <v>50.113</v>
      </c>
      <c r="D11" s="34">
        <v>51.923000000000002</v>
      </c>
      <c r="E11" s="34">
        <v>69.995999999999995</v>
      </c>
      <c r="F11" s="34">
        <v>79.442999999999998</v>
      </c>
      <c r="G11" s="34">
        <v>93.671000000000006</v>
      </c>
      <c r="H11" s="34">
        <v>67.846999999999994</v>
      </c>
      <c r="I11" s="34">
        <v>87.369</v>
      </c>
      <c r="J11" s="34">
        <v>98.813999999999993</v>
      </c>
      <c r="K11" s="34">
        <v>140.46100000000001</v>
      </c>
    </row>
    <row r="12" spans="1:12">
      <c r="A12" s="33" t="s">
        <v>56</v>
      </c>
      <c r="B12" s="34">
        <v>7.43</v>
      </c>
      <c r="C12" s="34">
        <v>6.4359999999999999</v>
      </c>
      <c r="D12" s="34">
        <v>8.9909999999999997</v>
      </c>
      <c r="E12" s="34">
        <v>10.254</v>
      </c>
      <c r="F12" s="34">
        <v>16.074000000000002</v>
      </c>
      <c r="G12" s="34">
        <v>14.615</v>
      </c>
      <c r="H12" s="34">
        <v>18.472000000000001</v>
      </c>
      <c r="I12" s="34">
        <v>18.233000000000001</v>
      </c>
      <c r="J12" s="34">
        <v>17.501999999999999</v>
      </c>
      <c r="K12" s="34">
        <v>14.231</v>
      </c>
    </row>
    <row r="13" spans="1:12">
      <c r="A13" s="33" t="s">
        <v>57</v>
      </c>
      <c r="B13" s="34">
        <v>15.034000000000001</v>
      </c>
      <c r="C13" s="34">
        <v>16.402000000000001</v>
      </c>
      <c r="D13" s="34">
        <v>17.280999999999999</v>
      </c>
      <c r="E13" s="34">
        <v>14.484</v>
      </c>
      <c r="F13" s="34">
        <v>18.27</v>
      </c>
      <c r="G13" s="34">
        <v>25.204000000000001</v>
      </c>
      <c r="H13" s="34">
        <v>23.442</v>
      </c>
      <c r="I13" s="34">
        <v>25.088999999999999</v>
      </c>
      <c r="J13" s="34">
        <v>35.441000000000003</v>
      </c>
      <c r="K13" s="34">
        <v>33.878</v>
      </c>
    </row>
    <row r="14" spans="1:12">
      <c r="A14" s="33" t="s">
        <v>58</v>
      </c>
      <c r="B14" s="34">
        <v>51.140999999999998</v>
      </c>
      <c r="C14" s="34">
        <v>64.328999999999994</v>
      </c>
      <c r="D14" s="34">
        <v>73.241</v>
      </c>
      <c r="E14" s="34">
        <v>83.222999999999999</v>
      </c>
      <c r="F14" s="34">
        <v>92.483000000000004</v>
      </c>
      <c r="G14" s="34">
        <v>136.083</v>
      </c>
      <c r="H14" s="34">
        <v>147.31399999999999</v>
      </c>
      <c r="I14" s="34">
        <v>157.72499999999999</v>
      </c>
      <c r="J14" s="34">
        <v>183.261</v>
      </c>
      <c r="K14" s="34">
        <v>166.12200000000001</v>
      </c>
    </row>
    <row r="15" spans="1:12">
      <c r="A15" s="33" t="s">
        <v>202</v>
      </c>
      <c r="B15" s="34">
        <v>92.070999999999998</v>
      </c>
      <c r="C15" s="34">
        <v>101.437</v>
      </c>
      <c r="D15" s="34">
        <v>84.567999999999998</v>
      </c>
      <c r="E15" s="34">
        <v>97.331000000000003</v>
      </c>
      <c r="F15" s="34">
        <v>94.641999999999996</v>
      </c>
      <c r="G15" s="34">
        <v>120.88800000000001</v>
      </c>
      <c r="H15" s="34">
        <v>133.74199999999999</v>
      </c>
      <c r="I15" s="34">
        <v>140.30600000000001</v>
      </c>
      <c r="J15" s="34">
        <v>139.03100000000001</v>
      </c>
      <c r="K15" s="34">
        <v>118.58</v>
      </c>
    </row>
    <row r="16" spans="1:12">
      <c r="A16" s="33" t="s">
        <v>59</v>
      </c>
      <c r="B16" s="34">
        <v>7.093</v>
      </c>
      <c r="C16" s="34">
        <v>4.4589999999999996</v>
      </c>
      <c r="D16" s="34">
        <v>4.2329999999999997</v>
      </c>
      <c r="E16" s="34">
        <v>6.1779999999999999</v>
      </c>
      <c r="F16" s="34">
        <v>2.3069999999999999</v>
      </c>
      <c r="G16" s="34">
        <v>3.1150000000000002</v>
      </c>
      <c r="H16" s="34">
        <v>4.641</v>
      </c>
      <c r="I16" s="34">
        <v>5.1589999999999998</v>
      </c>
      <c r="J16" s="34">
        <v>3.4000000000000002E-2</v>
      </c>
      <c r="K16" s="34">
        <v>2</v>
      </c>
    </row>
    <row r="17" spans="1:12" s="6" customFormat="1">
      <c r="A17" s="55" t="s">
        <v>60</v>
      </c>
      <c r="B17" s="56">
        <v>384.67300000000006</v>
      </c>
      <c r="C17" s="56">
        <v>449.29599999999999</v>
      </c>
      <c r="D17" s="56">
        <v>471.48299999999995</v>
      </c>
      <c r="E17" s="56">
        <v>593.28599999999994</v>
      </c>
      <c r="F17" s="56">
        <v>697.798</v>
      </c>
      <c r="G17" s="56">
        <v>804.26799999999992</v>
      </c>
      <c r="H17" s="56">
        <v>762.10599999999988</v>
      </c>
      <c r="I17" s="56">
        <v>942.26700000000005</v>
      </c>
      <c r="J17" s="56">
        <v>988.375</v>
      </c>
      <c r="K17" s="56">
        <v>1018.0780000000001</v>
      </c>
    </row>
    <row r="18" spans="1:12">
      <c r="A18" s="33" t="s">
        <v>61</v>
      </c>
      <c r="B18" s="34">
        <v>15.298</v>
      </c>
      <c r="C18" s="34">
        <v>18.884</v>
      </c>
      <c r="D18" s="34">
        <v>21.68</v>
      </c>
      <c r="E18" s="34">
        <v>24.088999999999999</v>
      </c>
      <c r="F18" s="34">
        <v>40.162999999999997</v>
      </c>
      <c r="G18" s="34">
        <v>44.884999999999998</v>
      </c>
      <c r="H18" s="34">
        <v>53.755000000000003</v>
      </c>
      <c r="I18" s="34">
        <v>86.918000000000006</v>
      </c>
      <c r="J18" s="34">
        <v>75.540000000000006</v>
      </c>
      <c r="K18" s="34">
        <v>48.287999999999997</v>
      </c>
    </row>
    <row r="19" spans="1:12">
      <c r="A19" s="33" t="s">
        <v>62</v>
      </c>
      <c r="B19" s="34">
        <v>33.281999999999996</v>
      </c>
      <c r="C19" s="34">
        <v>40.512999999999998</v>
      </c>
      <c r="D19" s="34">
        <v>41.570999999999998</v>
      </c>
      <c r="E19" s="34">
        <v>46.36</v>
      </c>
      <c r="F19" s="34">
        <v>49.64</v>
      </c>
      <c r="G19" s="34">
        <v>63.371000000000002</v>
      </c>
      <c r="H19" s="34">
        <v>64.847999999999999</v>
      </c>
      <c r="I19" s="34">
        <v>60.19</v>
      </c>
      <c r="J19" s="34">
        <v>64.052000000000007</v>
      </c>
      <c r="K19" s="34">
        <v>67.811000000000007</v>
      </c>
    </row>
    <row r="20" spans="1:12" s="6" customFormat="1">
      <c r="A20" s="55" t="s">
        <v>63</v>
      </c>
      <c r="B20" s="56">
        <v>433.25300000000004</v>
      </c>
      <c r="C20" s="56">
        <v>508.69299999999998</v>
      </c>
      <c r="D20" s="56">
        <v>534.73399999999992</v>
      </c>
      <c r="E20" s="56">
        <v>663.73500000000001</v>
      </c>
      <c r="F20" s="56">
        <v>787.601</v>
      </c>
      <c r="G20" s="56">
        <v>912.52399999999989</v>
      </c>
      <c r="H20" s="56">
        <v>880.70899999999983</v>
      </c>
      <c r="I20" s="56">
        <v>1089.375</v>
      </c>
      <c r="J20" s="56">
        <v>1127.9669999999999</v>
      </c>
      <c r="K20" s="56">
        <v>1134.1769999999999</v>
      </c>
    </row>
    <row r="21" spans="1:12">
      <c r="A21" s="54" t="s">
        <v>64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2">
      <c r="A22" s="33" t="s">
        <v>65</v>
      </c>
      <c r="B22" s="34">
        <v>2.0670000000000002</v>
      </c>
      <c r="C22" s="34">
        <v>8.8049999999999997</v>
      </c>
      <c r="D22" s="34">
        <v>7.6440000000000001</v>
      </c>
      <c r="E22" s="34">
        <v>17.234999999999999</v>
      </c>
      <c r="F22" s="34">
        <v>15.537000000000001</v>
      </c>
      <c r="G22" s="34">
        <v>23.818999999999999</v>
      </c>
      <c r="H22" s="34">
        <v>25.649000000000001</v>
      </c>
      <c r="I22" s="34">
        <v>26.398</v>
      </c>
      <c r="J22" s="34">
        <v>27.648</v>
      </c>
      <c r="K22" s="34">
        <v>22.748000000000001</v>
      </c>
    </row>
    <row r="23" spans="1:12">
      <c r="A23" s="33" t="s">
        <v>203</v>
      </c>
      <c r="B23" s="34">
        <v>5.9740000000000002</v>
      </c>
      <c r="C23" s="34">
        <v>15.217000000000001</v>
      </c>
      <c r="D23" s="34">
        <v>10.141999999999999</v>
      </c>
      <c r="E23" s="34">
        <v>19.844000000000001</v>
      </c>
      <c r="F23" s="34">
        <v>19.652999999999999</v>
      </c>
      <c r="G23" s="34">
        <v>35.927</v>
      </c>
      <c r="H23" s="34">
        <v>33.442999999999998</v>
      </c>
      <c r="I23" s="34">
        <v>27.507000000000001</v>
      </c>
      <c r="J23" s="34">
        <v>36.771000000000001</v>
      </c>
      <c r="K23" s="34">
        <v>18.504000000000001</v>
      </c>
    </row>
    <row r="24" spans="1:12">
      <c r="A24" s="54" t="s">
        <v>66</v>
      </c>
      <c r="B24" s="56">
        <v>441.29400000000004</v>
      </c>
      <c r="C24" s="56">
        <v>532.71500000000003</v>
      </c>
      <c r="D24" s="56">
        <v>552.52</v>
      </c>
      <c r="E24" s="56">
        <v>700.81400000000008</v>
      </c>
      <c r="F24" s="56">
        <v>822.79100000000005</v>
      </c>
      <c r="G24" s="56">
        <v>972.27</v>
      </c>
      <c r="H24" s="56">
        <v>939.80099999999982</v>
      </c>
      <c r="I24" s="56">
        <v>1143.28</v>
      </c>
      <c r="J24" s="56">
        <v>1192.3859999999997</v>
      </c>
      <c r="K24" s="56">
        <v>1175.4289999999999</v>
      </c>
      <c r="L24" s="6"/>
    </row>
    <row r="25" spans="1:12">
      <c r="A25" s="33" t="s">
        <v>204</v>
      </c>
      <c r="B25" s="34">
        <v>11.124000000000001</v>
      </c>
      <c r="C25" s="34">
        <v>6.5460000000000003</v>
      </c>
      <c r="D25" s="34">
        <v>9.3480000000000008</v>
      </c>
      <c r="E25" s="34">
        <v>6.5709999999999997</v>
      </c>
      <c r="F25" s="34">
        <v>35.917000000000002</v>
      </c>
      <c r="G25" s="34">
        <v>64.557000000000002</v>
      </c>
      <c r="H25" s="34">
        <v>47.167999999999999</v>
      </c>
      <c r="I25" s="34">
        <v>4.9390000000000001</v>
      </c>
      <c r="J25" s="34">
        <v>16.145</v>
      </c>
      <c r="K25" s="34">
        <v>90.63</v>
      </c>
    </row>
    <row r="26" spans="1:12">
      <c r="A26" s="33" t="s">
        <v>67</v>
      </c>
      <c r="B26" s="34">
        <v>3.2690000000000001</v>
      </c>
      <c r="C26" s="34">
        <v>8.7370000000000001</v>
      </c>
      <c r="D26" s="34">
        <v>25.8</v>
      </c>
      <c r="E26" s="34">
        <v>42.942999999999998</v>
      </c>
      <c r="F26" s="34">
        <v>30.178000000000001</v>
      </c>
      <c r="G26" s="34">
        <v>31.783000000000001</v>
      </c>
      <c r="H26" s="34">
        <v>50.067999999999998</v>
      </c>
      <c r="I26" s="34">
        <v>30.347000000000001</v>
      </c>
      <c r="J26" s="34">
        <v>4.8810000000000002</v>
      </c>
      <c r="K26" s="34">
        <v>49.811999999999998</v>
      </c>
    </row>
    <row r="27" spans="1:12">
      <c r="A27" s="54" t="s">
        <v>68</v>
      </c>
      <c r="B27" s="56">
        <v>455.68700000000007</v>
      </c>
      <c r="C27" s="56">
        <v>547.99799999999993</v>
      </c>
      <c r="D27" s="56">
        <v>587.66799999999989</v>
      </c>
      <c r="E27" s="56">
        <v>750.32800000000009</v>
      </c>
      <c r="F27" s="56">
        <v>888.88600000000008</v>
      </c>
      <c r="G27" s="56">
        <v>1068.6099999999999</v>
      </c>
      <c r="H27" s="56">
        <v>1037.0369999999998</v>
      </c>
      <c r="I27" s="56">
        <v>1178.566</v>
      </c>
      <c r="J27" s="56">
        <v>1213.4119999999998</v>
      </c>
      <c r="K27" s="56">
        <v>1315.8709999999996</v>
      </c>
      <c r="L27" s="6"/>
    </row>
    <row r="28" spans="1:12">
      <c r="A28" s="33" t="s">
        <v>69</v>
      </c>
      <c r="B28" s="34">
        <v>61.271999999999998</v>
      </c>
      <c r="C28" s="34">
        <v>68.11</v>
      </c>
      <c r="D28" s="34">
        <v>56.094999999999999</v>
      </c>
      <c r="E28" s="34">
        <v>59.61</v>
      </c>
      <c r="F28" s="34">
        <v>68.975999999999999</v>
      </c>
      <c r="G28" s="34">
        <v>122.027</v>
      </c>
      <c r="H28" s="34">
        <v>120.152</v>
      </c>
      <c r="I28" s="34">
        <v>132.41300000000001</v>
      </c>
      <c r="J28" s="34">
        <v>166.97900000000001</v>
      </c>
      <c r="K28" s="34">
        <v>200.45599999999999</v>
      </c>
    </row>
    <row r="29" spans="1:12">
      <c r="A29" s="54" t="s">
        <v>70</v>
      </c>
      <c r="B29" s="56">
        <v>394.41500000000002</v>
      </c>
      <c r="C29" s="56">
        <v>479.88799999999992</v>
      </c>
      <c r="D29" s="56">
        <v>531.57299999999987</v>
      </c>
      <c r="E29" s="56">
        <v>690.71800000000007</v>
      </c>
      <c r="F29" s="56">
        <v>819.91</v>
      </c>
      <c r="G29" s="56">
        <v>946.58299999999963</v>
      </c>
      <c r="H29" s="56">
        <v>916.88499999999999</v>
      </c>
      <c r="I29" s="56">
        <v>1046.153</v>
      </c>
      <c r="J29" s="56">
        <v>1046.4329999999998</v>
      </c>
      <c r="K29" s="56">
        <v>1115.415</v>
      </c>
      <c r="L29" s="6"/>
    </row>
    <row r="30" spans="1:12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2">
      <c r="A31" s="54" t="s">
        <v>71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2">
      <c r="A32" s="33" t="s">
        <v>205</v>
      </c>
      <c r="B32" s="34">
        <v>279.89299999999997</v>
      </c>
      <c r="C32" s="34">
        <v>278.03100000000001</v>
      </c>
      <c r="D32" s="34">
        <v>306.91000000000003</v>
      </c>
      <c r="E32" s="34">
        <v>361.04</v>
      </c>
      <c r="F32" s="34">
        <v>437.53699999999998</v>
      </c>
      <c r="G32" s="34">
        <v>507.32400000000001</v>
      </c>
      <c r="H32" s="34">
        <v>491.57900000000001</v>
      </c>
      <c r="I32" s="34">
        <v>507</v>
      </c>
      <c r="J32" s="34">
        <v>493.40499999999997</v>
      </c>
      <c r="K32" s="34">
        <v>510.14800000000002</v>
      </c>
    </row>
    <row r="33" spans="1:11">
      <c r="A33" s="33" t="s">
        <v>72</v>
      </c>
      <c r="B33" s="34">
        <v>90.751999999999995</v>
      </c>
      <c r="C33" s="34">
        <v>166.976</v>
      </c>
      <c r="D33" s="34">
        <v>169.22800000000001</v>
      </c>
      <c r="E33" s="34">
        <v>230.68799999999999</v>
      </c>
      <c r="F33" s="34">
        <v>311.10300000000001</v>
      </c>
      <c r="G33" s="34">
        <v>353.29599999999999</v>
      </c>
      <c r="H33" s="34">
        <v>259.976</v>
      </c>
      <c r="I33" s="34">
        <v>339.49700000000001</v>
      </c>
      <c r="J33" s="34">
        <v>369.15100000000001</v>
      </c>
      <c r="K33" s="34">
        <v>302.78100000000001</v>
      </c>
    </row>
    <row r="34" spans="1:11">
      <c r="A34" s="33" t="s">
        <v>73</v>
      </c>
      <c r="B34" s="34">
        <v>37.616999999999997</v>
      </c>
      <c r="C34" s="34">
        <v>44.276000000000003</v>
      </c>
      <c r="D34" s="34">
        <v>53.052999999999997</v>
      </c>
      <c r="E34" s="34">
        <v>74.194999999999993</v>
      </c>
      <c r="F34" s="34">
        <v>138.27000000000001</v>
      </c>
      <c r="G34" s="34">
        <v>236.06</v>
      </c>
      <c r="H34" s="34">
        <v>242.18299999999999</v>
      </c>
      <c r="I34" s="34">
        <v>166.214</v>
      </c>
      <c r="J34" s="34">
        <v>147.464</v>
      </c>
      <c r="K34" s="34">
        <v>225.61199999999999</v>
      </c>
    </row>
    <row r="35" spans="1:11">
      <c r="A35" s="54" t="s">
        <v>74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>
      <c r="A36" s="33" t="s">
        <v>75</v>
      </c>
      <c r="B36" s="34">
        <v>6.1239999999999997</v>
      </c>
      <c r="C36" s="34">
        <v>19.515000000000001</v>
      </c>
      <c r="D36" s="34">
        <v>9.7349999999999994</v>
      </c>
      <c r="E36" s="34">
        <v>8.0779999999999994</v>
      </c>
      <c r="F36" s="34">
        <v>5.6840000000000002</v>
      </c>
      <c r="G36" s="34">
        <v>9.0990000000000002</v>
      </c>
      <c r="H36" s="34">
        <v>13.599</v>
      </c>
      <c r="I36" s="34">
        <v>25.661000000000001</v>
      </c>
      <c r="J36" s="34">
        <v>18.227</v>
      </c>
      <c r="K36" s="34">
        <v>77.951999999999998</v>
      </c>
    </row>
    <row r="37" spans="1:11">
      <c r="A37" s="33" t="s">
        <v>76</v>
      </c>
      <c r="B37" s="34">
        <v>3.968</v>
      </c>
      <c r="C37" s="34">
        <v>13.739000000000001</v>
      </c>
      <c r="D37" s="34">
        <v>4.6769999999999996</v>
      </c>
      <c r="E37" s="34">
        <v>4.5780000000000003</v>
      </c>
      <c r="F37" s="34">
        <v>3.99</v>
      </c>
      <c r="G37" s="34">
        <v>6.66</v>
      </c>
      <c r="H37" s="34">
        <v>19.82</v>
      </c>
      <c r="I37" s="34">
        <v>17.376999999999999</v>
      </c>
      <c r="J37" s="34">
        <v>16.13</v>
      </c>
      <c r="K37" s="34">
        <v>13.571</v>
      </c>
    </row>
    <row r="38" spans="1:11">
      <c r="A38" s="33" t="s">
        <v>77</v>
      </c>
      <c r="B38" s="34">
        <v>8.7370000000000001</v>
      </c>
      <c r="C38" s="34">
        <v>25.8</v>
      </c>
      <c r="D38" s="34">
        <v>42.942999999999998</v>
      </c>
      <c r="E38" s="34">
        <v>30.178000000000001</v>
      </c>
      <c r="F38" s="34">
        <v>23.78</v>
      </c>
      <c r="G38" s="34">
        <v>50.067999999999998</v>
      </c>
      <c r="H38" s="34">
        <v>30.347000000000001</v>
      </c>
      <c r="I38" s="34">
        <v>4.8810000000000002</v>
      </c>
      <c r="J38" s="34">
        <v>49.811999999999998</v>
      </c>
      <c r="K38" s="34">
        <v>67.578999999999994</v>
      </c>
    </row>
    <row r="39" spans="1:11">
      <c r="A39" s="54" t="s">
        <v>78</v>
      </c>
      <c r="B39" s="56">
        <v>427.09100000000001</v>
      </c>
      <c r="C39" s="56">
        <v>548.33699999999999</v>
      </c>
      <c r="D39" s="56">
        <v>586.54600000000005</v>
      </c>
      <c r="E39" s="56">
        <v>708.75700000000006</v>
      </c>
      <c r="F39" s="56">
        <v>920.36400000000003</v>
      </c>
      <c r="G39" s="56">
        <v>1162.5070000000001</v>
      </c>
      <c r="H39" s="56">
        <v>1057.5039999999999</v>
      </c>
      <c r="I39" s="56">
        <v>1060.6300000000001</v>
      </c>
      <c r="J39" s="56">
        <v>1094.1889999999999</v>
      </c>
      <c r="K39" s="56">
        <v>1197.643</v>
      </c>
    </row>
    <row r="40" spans="1:1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spans="1:11"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>
      <c r="A43" s="134"/>
    </row>
    <row r="44" spans="1:11">
      <c r="A44" s="161" t="s">
        <v>179</v>
      </c>
      <c r="B44" s="161"/>
    </row>
    <row r="52" spans="1:11">
      <c r="A52" s="13"/>
    </row>
    <row r="57" spans="1:1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>
      <c r="A59" s="11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6"/>
    </row>
    <row r="61" spans="1:11">
      <c r="A61" s="6"/>
    </row>
    <row r="62" spans="1:11"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>
      <c r="A71" s="53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11"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>
      <c r="A74" s="53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1">
      <c r="A75" s="6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>
      <c r="A78" s="6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1:11"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>
      <c r="A81" s="6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1:11"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>
      <c r="A83" s="6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1"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>
      <c r="A89" s="6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>
      <c r="A93" s="6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150" spans="1:1">
      <c r="A150" s="13"/>
    </row>
  </sheetData>
  <mergeCells count="3">
    <mergeCell ref="A44:B44"/>
    <mergeCell ref="A1:K1"/>
    <mergeCell ref="A2:K2"/>
  </mergeCells>
  <hyperlinks>
    <hyperlink ref="A44:B44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verticalDpi="599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7"/>
  <sheetViews>
    <sheetView showGridLines="0" workbookViewId="0">
      <selection sqref="A1:L1"/>
    </sheetView>
  </sheetViews>
  <sheetFormatPr baseColWidth="10" defaultRowHeight="12.75"/>
  <cols>
    <col min="1" max="1" width="41.28515625" style="5" customWidth="1"/>
    <col min="2" max="16384" width="11.42578125" style="5"/>
  </cols>
  <sheetData>
    <row r="1" spans="1:14" ht="17.25" customHeight="1">
      <c r="A1" s="163" t="s">
        <v>221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4" s="6" customFormat="1" ht="16.5" customHeight="1">
      <c r="A2" s="61" t="s">
        <v>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4" s="58" customForma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4" s="68" customFormat="1" ht="21.75" customHeight="1">
      <c r="A4" s="48" t="s">
        <v>206</v>
      </c>
      <c r="B4" s="49">
        <v>1960</v>
      </c>
      <c r="C4" s="49">
        <v>1961</v>
      </c>
      <c r="D4" s="49">
        <v>1962</v>
      </c>
      <c r="E4" s="49">
        <v>1963</v>
      </c>
      <c r="F4" s="49">
        <v>1964</v>
      </c>
      <c r="G4" s="49">
        <v>1965</v>
      </c>
      <c r="H4" s="49">
        <v>1966</v>
      </c>
      <c r="I4" s="49">
        <v>1967</v>
      </c>
      <c r="J4" s="49">
        <v>1968</v>
      </c>
      <c r="K4" s="49">
        <v>1969</v>
      </c>
      <c r="L4" s="50">
        <v>1970</v>
      </c>
    </row>
    <row r="5" spans="1:14" s="52" customFormat="1"/>
    <row r="6" spans="1:14">
      <c r="A6" s="54" t="s">
        <v>50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8"/>
    </row>
    <row r="7" spans="1:14">
      <c r="A7" s="5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18"/>
    </row>
    <row r="8" spans="1:14">
      <c r="A8" s="63" t="s">
        <v>68</v>
      </c>
      <c r="B8" s="64">
        <v>1122</v>
      </c>
      <c r="C8" s="64">
        <v>1537</v>
      </c>
      <c r="D8" s="64">
        <v>1426</v>
      </c>
      <c r="E8" s="64">
        <v>1340</v>
      </c>
      <c r="F8" s="64">
        <v>1718</v>
      </c>
      <c r="G8" s="64">
        <v>1991</v>
      </c>
      <c r="H8" s="64">
        <v>2274</v>
      </c>
      <c r="I8" s="64">
        <v>2708</v>
      </c>
      <c r="J8" s="64">
        <v>2703</v>
      </c>
      <c r="K8" s="64">
        <v>3395</v>
      </c>
      <c r="L8" s="64">
        <v>4703</v>
      </c>
      <c r="M8" s="59"/>
      <c r="N8" s="18"/>
    </row>
    <row r="9" spans="1:1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18"/>
      <c r="N9" s="18"/>
    </row>
    <row r="10" spans="1:14">
      <c r="A10" s="54" t="s">
        <v>180</v>
      </c>
      <c r="B10" s="56">
        <v>1132</v>
      </c>
      <c r="C10" s="56">
        <v>1233</v>
      </c>
      <c r="D10" s="56">
        <v>1251</v>
      </c>
      <c r="E10" s="56">
        <v>1409</v>
      </c>
      <c r="F10" s="56">
        <v>1859</v>
      </c>
      <c r="G10" s="56">
        <v>1695</v>
      </c>
      <c r="H10" s="56">
        <v>1849</v>
      </c>
      <c r="I10" s="56">
        <v>2268</v>
      </c>
      <c r="J10" s="56">
        <v>2510</v>
      </c>
      <c r="K10" s="56">
        <v>2716</v>
      </c>
      <c r="L10" s="56">
        <v>3623</v>
      </c>
      <c r="M10" s="18"/>
      <c r="N10" s="18"/>
    </row>
    <row r="11" spans="1:14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18"/>
      <c r="N11" s="18"/>
    </row>
    <row r="12" spans="1:14">
      <c r="A12" s="33" t="s">
        <v>52</v>
      </c>
      <c r="B12" s="34">
        <v>519</v>
      </c>
      <c r="C12" s="34">
        <v>520</v>
      </c>
      <c r="D12" s="34">
        <v>494</v>
      </c>
      <c r="E12" s="34">
        <v>645</v>
      </c>
      <c r="F12" s="34">
        <v>856</v>
      </c>
      <c r="G12" s="34">
        <v>806</v>
      </c>
      <c r="H12" s="34">
        <v>962</v>
      </c>
      <c r="I12" s="34">
        <v>1303</v>
      </c>
      <c r="J12" s="34">
        <v>1460</v>
      </c>
      <c r="K12" s="34">
        <v>1447</v>
      </c>
      <c r="L12" s="34">
        <v>1564</v>
      </c>
      <c r="M12" s="18"/>
      <c r="N12" s="18"/>
    </row>
    <row r="13" spans="1:14">
      <c r="A13" s="33" t="s">
        <v>53</v>
      </c>
      <c r="B13" s="34">
        <v>69</v>
      </c>
      <c r="C13" s="34">
        <v>87</v>
      </c>
      <c r="D13" s="34">
        <v>136</v>
      </c>
      <c r="E13" s="34">
        <v>144</v>
      </c>
      <c r="F13" s="34">
        <v>191</v>
      </c>
      <c r="G13" s="34">
        <v>152</v>
      </c>
      <c r="H13" s="34">
        <v>130</v>
      </c>
      <c r="I13" s="34">
        <v>140</v>
      </c>
      <c r="J13" s="34">
        <v>153</v>
      </c>
      <c r="K13" s="34">
        <v>157</v>
      </c>
      <c r="L13" s="34">
        <v>517</v>
      </c>
      <c r="M13" s="18"/>
      <c r="N13" s="18"/>
    </row>
    <row r="14" spans="1:14">
      <c r="A14" s="33" t="s">
        <v>181</v>
      </c>
      <c r="B14" s="34">
        <v>11</v>
      </c>
      <c r="C14" s="34">
        <v>15</v>
      </c>
      <c r="D14" s="34">
        <v>17</v>
      </c>
      <c r="E14" s="34">
        <v>22</v>
      </c>
      <c r="F14" s="34">
        <v>32</v>
      </c>
      <c r="G14" s="34">
        <v>24</v>
      </c>
      <c r="H14" s="34">
        <v>27</v>
      </c>
      <c r="I14" s="34">
        <v>30</v>
      </c>
      <c r="J14" s="34">
        <v>37</v>
      </c>
      <c r="K14" s="34">
        <v>48</v>
      </c>
      <c r="L14" s="34">
        <v>70</v>
      </c>
      <c r="M14" s="18"/>
      <c r="N14" s="18"/>
    </row>
    <row r="15" spans="1:14">
      <c r="A15" s="33" t="s">
        <v>55</v>
      </c>
      <c r="B15" s="34">
        <v>183</v>
      </c>
      <c r="C15" s="34">
        <v>211</v>
      </c>
      <c r="D15" s="34">
        <v>207</v>
      </c>
      <c r="E15" s="34">
        <v>215</v>
      </c>
      <c r="F15" s="34">
        <v>274</v>
      </c>
      <c r="G15" s="34">
        <v>237</v>
      </c>
      <c r="H15" s="34">
        <v>214</v>
      </c>
      <c r="I15" s="34">
        <v>230</v>
      </c>
      <c r="J15" s="34">
        <v>238</v>
      </c>
      <c r="K15" s="34">
        <v>312</v>
      </c>
      <c r="L15" s="34">
        <v>542</v>
      </c>
      <c r="M15" s="18"/>
      <c r="N15" s="18"/>
    </row>
    <row r="16" spans="1:14">
      <c r="A16" s="33" t="s">
        <v>182</v>
      </c>
      <c r="B16" s="34">
        <v>17</v>
      </c>
      <c r="C16" s="34">
        <v>27</v>
      </c>
      <c r="D16" s="34">
        <v>27</v>
      </c>
      <c r="E16" s="34">
        <v>13</v>
      </c>
      <c r="F16" s="34">
        <v>29</v>
      </c>
      <c r="G16" s="34">
        <v>37</v>
      </c>
      <c r="H16" s="34">
        <v>51</v>
      </c>
      <c r="I16" s="34">
        <v>55</v>
      </c>
      <c r="J16" s="34">
        <v>62</v>
      </c>
      <c r="K16" s="34">
        <v>74</v>
      </c>
      <c r="L16" s="34">
        <v>74</v>
      </c>
      <c r="M16" s="18"/>
      <c r="N16" s="18"/>
    </row>
    <row r="17" spans="1:14">
      <c r="A17" s="33" t="s">
        <v>183</v>
      </c>
      <c r="B17" s="34">
        <v>23</v>
      </c>
      <c r="C17" s="34">
        <v>28</v>
      </c>
      <c r="D17" s="34">
        <v>36</v>
      </c>
      <c r="E17" s="34">
        <v>35</v>
      </c>
      <c r="F17" s="34">
        <v>56</v>
      </c>
      <c r="G17" s="34">
        <v>48</v>
      </c>
      <c r="H17" s="34">
        <v>42</v>
      </c>
      <c r="I17" s="34">
        <v>45</v>
      </c>
      <c r="J17" s="34">
        <v>45</v>
      </c>
      <c r="K17" s="34">
        <v>51</v>
      </c>
      <c r="L17" s="34">
        <v>82</v>
      </c>
      <c r="M17" s="18"/>
      <c r="N17" s="18"/>
    </row>
    <row r="18" spans="1:14">
      <c r="A18" s="33" t="s">
        <v>208</v>
      </c>
      <c r="B18" s="34">
        <v>173</v>
      </c>
      <c r="C18" s="34">
        <v>207</v>
      </c>
      <c r="D18" s="34">
        <v>221</v>
      </c>
      <c r="E18" s="34">
        <v>194</v>
      </c>
      <c r="F18" s="34">
        <v>282</v>
      </c>
      <c r="G18" s="34">
        <v>295</v>
      </c>
      <c r="H18" s="34">
        <v>323</v>
      </c>
      <c r="I18" s="34">
        <v>337</v>
      </c>
      <c r="J18" s="34">
        <v>358</v>
      </c>
      <c r="K18" s="34">
        <v>453</v>
      </c>
      <c r="L18" s="34">
        <v>591</v>
      </c>
      <c r="M18" s="18"/>
      <c r="N18" s="18"/>
    </row>
    <row r="19" spans="1:14">
      <c r="A19" s="33" t="s">
        <v>209</v>
      </c>
      <c r="B19" s="34">
        <v>72</v>
      </c>
      <c r="C19" s="34">
        <v>62</v>
      </c>
      <c r="D19" s="34">
        <v>34</v>
      </c>
      <c r="E19" s="34">
        <v>48</v>
      </c>
      <c r="F19" s="34">
        <v>34</v>
      </c>
      <c r="G19" s="65" t="s">
        <v>28</v>
      </c>
      <c r="H19" s="65" t="s">
        <v>28</v>
      </c>
      <c r="I19" s="65" t="s">
        <v>28</v>
      </c>
      <c r="J19" s="65" t="s">
        <v>28</v>
      </c>
      <c r="K19" s="65" t="s">
        <v>28</v>
      </c>
      <c r="L19" s="65" t="s">
        <v>28</v>
      </c>
      <c r="M19" s="18"/>
      <c r="N19" s="18"/>
    </row>
    <row r="20" spans="1:14">
      <c r="A20" s="33" t="s">
        <v>184</v>
      </c>
      <c r="B20" s="34">
        <v>2</v>
      </c>
      <c r="C20" s="34">
        <v>3</v>
      </c>
      <c r="D20" s="34">
        <v>3</v>
      </c>
      <c r="E20" s="34">
        <v>5</v>
      </c>
      <c r="F20" s="34">
        <v>4</v>
      </c>
      <c r="G20" s="34">
        <v>6</v>
      </c>
      <c r="H20" s="34">
        <v>3</v>
      </c>
      <c r="I20" s="34">
        <v>5</v>
      </c>
      <c r="J20" s="65" t="s">
        <v>28</v>
      </c>
      <c r="K20" s="34">
        <v>15</v>
      </c>
      <c r="L20" s="34">
        <v>1</v>
      </c>
      <c r="M20" s="18"/>
      <c r="N20" s="18"/>
    </row>
    <row r="21" spans="1:14">
      <c r="A21" s="33" t="s">
        <v>62</v>
      </c>
      <c r="B21" s="34">
        <v>63</v>
      </c>
      <c r="C21" s="34">
        <v>73</v>
      </c>
      <c r="D21" s="34">
        <v>76</v>
      </c>
      <c r="E21" s="34">
        <v>88</v>
      </c>
      <c r="F21" s="34">
        <v>101</v>
      </c>
      <c r="G21" s="34">
        <v>90</v>
      </c>
      <c r="H21" s="34">
        <v>97</v>
      </c>
      <c r="I21" s="34">
        <v>123</v>
      </c>
      <c r="J21" s="34">
        <v>157</v>
      </c>
      <c r="K21" s="34">
        <v>159</v>
      </c>
      <c r="L21" s="34">
        <v>182</v>
      </c>
      <c r="M21" s="18"/>
      <c r="N21" s="18"/>
    </row>
    <row r="22" spans="1:14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18"/>
      <c r="N22" s="18"/>
    </row>
    <row r="23" spans="1:14">
      <c r="A23" s="54" t="s">
        <v>185</v>
      </c>
      <c r="B23" s="56">
        <v>113</v>
      </c>
      <c r="C23" s="56">
        <v>163</v>
      </c>
      <c r="D23" s="56">
        <v>173</v>
      </c>
      <c r="E23" s="56">
        <v>229</v>
      </c>
      <c r="F23" s="56">
        <v>236</v>
      </c>
      <c r="G23" s="56">
        <v>285</v>
      </c>
      <c r="H23" s="56">
        <v>343</v>
      </c>
      <c r="I23" s="56">
        <v>358</v>
      </c>
      <c r="J23" s="56">
        <v>401</v>
      </c>
      <c r="K23" s="56">
        <v>636</v>
      </c>
      <c r="L23" s="56">
        <v>600</v>
      </c>
      <c r="M23" s="18"/>
      <c r="N23" s="18"/>
    </row>
    <row r="24" spans="1:14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18"/>
      <c r="N24" s="18"/>
    </row>
    <row r="25" spans="1:14">
      <c r="A25" s="33" t="s">
        <v>61</v>
      </c>
      <c r="B25" s="34">
        <v>55</v>
      </c>
      <c r="C25" s="34">
        <v>98</v>
      </c>
      <c r="D25" s="34">
        <v>120</v>
      </c>
      <c r="E25" s="34">
        <v>175</v>
      </c>
      <c r="F25" s="34">
        <v>164</v>
      </c>
      <c r="G25" s="34">
        <v>169</v>
      </c>
      <c r="H25" s="34">
        <v>191</v>
      </c>
      <c r="I25" s="34">
        <v>216</v>
      </c>
      <c r="J25" s="34">
        <v>250</v>
      </c>
      <c r="K25" s="34">
        <v>267</v>
      </c>
      <c r="L25" s="34">
        <v>363</v>
      </c>
      <c r="M25" s="18"/>
      <c r="N25" s="18"/>
    </row>
    <row r="26" spans="1:14">
      <c r="A26" s="33" t="s">
        <v>186</v>
      </c>
      <c r="B26" s="34">
        <v>20</v>
      </c>
      <c r="C26" s="34">
        <v>27</v>
      </c>
      <c r="D26" s="34">
        <v>29</v>
      </c>
      <c r="E26" s="34">
        <v>30</v>
      </c>
      <c r="F26" s="34">
        <v>21</v>
      </c>
      <c r="G26" s="34">
        <v>17</v>
      </c>
      <c r="H26" s="34">
        <v>18</v>
      </c>
      <c r="I26" s="34">
        <v>20</v>
      </c>
      <c r="J26" s="34">
        <v>71</v>
      </c>
      <c r="K26" s="34">
        <v>241</v>
      </c>
      <c r="L26" s="34">
        <v>114</v>
      </c>
      <c r="M26" s="18"/>
      <c r="N26" s="18"/>
    </row>
    <row r="27" spans="1:14">
      <c r="A27" s="33" t="s">
        <v>210</v>
      </c>
      <c r="B27" s="34">
        <v>38</v>
      </c>
      <c r="C27" s="34">
        <v>38</v>
      </c>
      <c r="D27" s="34">
        <v>24</v>
      </c>
      <c r="E27" s="34">
        <v>24</v>
      </c>
      <c r="F27" s="34">
        <v>51</v>
      </c>
      <c r="G27" s="34">
        <v>99</v>
      </c>
      <c r="H27" s="34">
        <v>134</v>
      </c>
      <c r="I27" s="34">
        <v>122</v>
      </c>
      <c r="J27" s="34">
        <v>80</v>
      </c>
      <c r="K27" s="34">
        <v>128</v>
      </c>
      <c r="L27" s="34">
        <v>123</v>
      </c>
      <c r="M27" s="18"/>
      <c r="N27" s="18"/>
    </row>
    <row r="28" spans="1:14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18"/>
      <c r="N28" s="18"/>
    </row>
    <row r="29" spans="1:14">
      <c r="A29" s="54" t="s">
        <v>187</v>
      </c>
      <c r="B29" s="56">
        <v>262</v>
      </c>
      <c r="C29" s="56">
        <v>489</v>
      </c>
      <c r="D29" s="56">
        <v>289</v>
      </c>
      <c r="E29" s="56">
        <v>93</v>
      </c>
      <c r="F29" s="56">
        <v>133</v>
      </c>
      <c r="G29" s="56">
        <v>424</v>
      </c>
      <c r="H29" s="56">
        <v>525</v>
      </c>
      <c r="I29" s="56">
        <v>594</v>
      </c>
      <c r="J29" s="56">
        <v>722</v>
      </c>
      <c r="K29" s="56">
        <v>912</v>
      </c>
      <c r="L29" s="56">
        <v>1534</v>
      </c>
      <c r="M29" s="18"/>
      <c r="N29" s="18"/>
    </row>
    <row r="30" spans="1:14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18"/>
      <c r="N30" s="18"/>
    </row>
    <row r="31" spans="1:14">
      <c r="A31" s="33" t="s">
        <v>188</v>
      </c>
      <c r="B31" s="34">
        <v>194</v>
      </c>
      <c r="C31" s="34">
        <v>332</v>
      </c>
      <c r="D31" s="34">
        <v>199</v>
      </c>
      <c r="E31" s="34">
        <v>53</v>
      </c>
      <c r="F31" s="34">
        <v>115</v>
      </c>
      <c r="G31" s="34">
        <v>108</v>
      </c>
      <c r="H31" s="34">
        <v>170</v>
      </c>
      <c r="I31" s="34">
        <v>166</v>
      </c>
      <c r="J31" s="34">
        <v>196</v>
      </c>
      <c r="K31" s="34">
        <v>134</v>
      </c>
      <c r="L31" s="34">
        <v>132</v>
      </c>
      <c r="M31" s="18"/>
      <c r="N31" s="18"/>
    </row>
    <row r="32" spans="1:14">
      <c r="A32" s="33" t="s">
        <v>211</v>
      </c>
      <c r="B32" s="65" t="s">
        <v>28</v>
      </c>
      <c r="C32" s="65" t="s">
        <v>28</v>
      </c>
      <c r="D32" s="65" t="s">
        <v>28</v>
      </c>
      <c r="E32" s="65" t="s">
        <v>28</v>
      </c>
      <c r="F32" s="65" t="s">
        <v>28</v>
      </c>
      <c r="G32" s="65" t="s">
        <v>28</v>
      </c>
      <c r="H32" s="65" t="s">
        <v>28</v>
      </c>
      <c r="I32" s="65" t="s">
        <v>28</v>
      </c>
      <c r="J32" s="65" t="s">
        <v>28</v>
      </c>
      <c r="K32" s="65" t="s">
        <v>28</v>
      </c>
      <c r="L32" s="34">
        <v>1052</v>
      </c>
      <c r="M32" s="18"/>
      <c r="N32" s="18"/>
    </row>
    <row r="33" spans="1:14">
      <c r="A33" s="33" t="s">
        <v>189</v>
      </c>
      <c r="B33" s="65" t="s">
        <v>28</v>
      </c>
      <c r="C33" s="65" t="s">
        <v>28</v>
      </c>
      <c r="D33" s="65" t="s">
        <v>28</v>
      </c>
      <c r="E33" s="65" t="s">
        <v>28</v>
      </c>
      <c r="F33" s="65" t="s">
        <v>28</v>
      </c>
      <c r="G33" s="34">
        <v>246</v>
      </c>
      <c r="H33" s="34">
        <v>264</v>
      </c>
      <c r="I33" s="34">
        <v>292</v>
      </c>
      <c r="J33" s="34">
        <v>409</v>
      </c>
      <c r="K33" s="34">
        <v>649</v>
      </c>
      <c r="L33" s="34">
        <v>269</v>
      </c>
      <c r="M33" s="18"/>
      <c r="N33" s="18"/>
    </row>
    <row r="34" spans="1:14">
      <c r="A34" s="33" t="s">
        <v>190</v>
      </c>
      <c r="B34" s="34">
        <v>68</v>
      </c>
      <c r="C34" s="34">
        <v>157</v>
      </c>
      <c r="D34" s="34">
        <v>90</v>
      </c>
      <c r="E34" s="34">
        <v>40</v>
      </c>
      <c r="F34" s="34">
        <v>18</v>
      </c>
      <c r="G34" s="34">
        <v>70</v>
      </c>
      <c r="H34" s="34">
        <v>91</v>
      </c>
      <c r="I34" s="34">
        <v>136</v>
      </c>
      <c r="J34" s="34">
        <v>117</v>
      </c>
      <c r="K34" s="34">
        <v>129</v>
      </c>
      <c r="L34" s="34">
        <v>81</v>
      </c>
      <c r="M34" s="18"/>
      <c r="N34" s="18"/>
    </row>
    <row r="35" spans="1:14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18"/>
      <c r="N35" s="18"/>
    </row>
    <row r="36" spans="1:14">
      <c r="A36" s="54" t="s">
        <v>191</v>
      </c>
      <c r="B36" s="56">
        <v>-385</v>
      </c>
      <c r="C36" s="56">
        <v>-348</v>
      </c>
      <c r="D36" s="56">
        <v>-287</v>
      </c>
      <c r="E36" s="56">
        <v>-391</v>
      </c>
      <c r="F36" s="56">
        <v>-510</v>
      </c>
      <c r="G36" s="56">
        <v>-413</v>
      </c>
      <c r="H36" s="56">
        <v>-443</v>
      </c>
      <c r="I36" s="56">
        <v>-512</v>
      </c>
      <c r="J36" s="56">
        <v>-930</v>
      </c>
      <c r="K36" s="56">
        <v>-869</v>
      </c>
      <c r="L36" s="56">
        <v>-1054</v>
      </c>
      <c r="M36" s="18"/>
      <c r="N36" s="18"/>
    </row>
    <row r="37" spans="1:14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18"/>
      <c r="N37" s="18"/>
    </row>
    <row r="38" spans="1:14">
      <c r="A38" s="54" t="s">
        <v>71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18"/>
      <c r="N38" s="18"/>
    </row>
    <row r="39" spans="1:14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18"/>
      <c r="N39" s="18"/>
    </row>
    <row r="40" spans="1:14">
      <c r="A40" s="63" t="s">
        <v>212</v>
      </c>
      <c r="B40" s="64">
        <v>1466</v>
      </c>
      <c r="C40" s="64">
        <v>1687</v>
      </c>
      <c r="D40" s="64">
        <v>1581</v>
      </c>
      <c r="E40" s="64">
        <v>1647</v>
      </c>
      <c r="F40" s="64">
        <v>2110</v>
      </c>
      <c r="G40" s="64">
        <v>2405</v>
      </c>
      <c r="H40" s="64">
        <v>2725</v>
      </c>
      <c r="I40" s="64">
        <v>3230</v>
      </c>
      <c r="J40" s="64">
        <v>3418</v>
      </c>
      <c r="K40" s="64">
        <v>3931</v>
      </c>
      <c r="L40" s="64">
        <v>4662</v>
      </c>
      <c r="M40" s="59"/>
      <c r="N40" s="18"/>
    </row>
    <row r="41" spans="1:14">
      <c r="A41" s="66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59"/>
      <c r="N41" s="18"/>
    </row>
    <row r="42" spans="1:14">
      <c r="A42" s="33" t="s">
        <v>213</v>
      </c>
      <c r="B42" s="34">
        <v>536</v>
      </c>
      <c r="C42" s="34">
        <v>680</v>
      </c>
      <c r="D42" s="34">
        <v>687</v>
      </c>
      <c r="E42" s="34">
        <v>722</v>
      </c>
      <c r="F42" s="34">
        <v>843</v>
      </c>
      <c r="G42" s="34">
        <v>951</v>
      </c>
      <c r="H42" s="34">
        <v>1094</v>
      </c>
      <c r="I42" s="34">
        <v>1086</v>
      </c>
      <c r="J42" s="34">
        <v>1325</v>
      </c>
      <c r="K42" s="34">
        <v>1582</v>
      </c>
      <c r="L42" s="34">
        <v>1903</v>
      </c>
      <c r="M42" s="18"/>
      <c r="N42" s="18"/>
    </row>
    <row r="43" spans="1:14">
      <c r="A43" s="33" t="s">
        <v>192</v>
      </c>
      <c r="B43" s="34">
        <v>420</v>
      </c>
      <c r="C43" s="34">
        <v>503</v>
      </c>
      <c r="D43" s="34">
        <v>472</v>
      </c>
      <c r="E43" s="34">
        <v>505</v>
      </c>
      <c r="F43" s="34">
        <v>656</v>
      </c>
      <c r="G43" s="34">
        <v>785</v>
      </c>
      <c r="H43" s="34">
        <v>644</v>
      </c>
      <c r="I43" s="34">
        <v>693</v>
      </c>
      <c r="J43" s="34">
        <v>884</v>
      </c>
      <c r="K43" s="34">
        <v>1052</v>
      </c>
      <c r="L43" s="34">
        <v>1008</v>
      </c>
      <c r="M43" s="18"/>
      <c r="N43" s="18"/>
    </row>
    <row r="44" spans="1:14">
      <c r="A44" s="33" t="s">
        <v>193</v>
      </c>
      <c r="B44" s="34">
        <v>284</v>
      </c>
      <c r="C44" s="34">
        <v>342</v>
      </c>
      <c r="D44" s="34">
        <v>238</v>
      </c>
      <c r="E44" s="34">
        <v>220</v>
      </c>
      <c r="F44" s="34">
        <v>350</v>
      </c>
      <c r="G44" s="34">
        <v>383</v>
      </c>
      <c r="H44" s="34">
        <v>312</v>
      </c>
      <c r="I44" s="34">
        <v>391</v>
      </c>
      <c r="J44" s="34">
        <v>546</v>
      </c>
      <c r="K44" s="34">
        <v>605</v>
      </c>
      <c r="L44" s="34">
        <v>680</v>
      </c>
      <c r="M44" s="18"/>
      <c r="N44" s="18"/>
    </row>
    <row r="45" spans="1:14">
      <c r="A45" s="33" t="s">
        <v>194</v>
      </c>
      <c r="B45" s="65" t="s">
        <v>28</v>
      </c>
      <c r="C45" s="65" t="s">
        <v>28</v>
      </c>
      <c r="D45" s="65" t="s">
        <v>28</v>
      </c>
      <c r="E45" s="65" t="s">
        <v>28</v>
      </c>
      <c r="F45" s="65" t="s">
        <v>28</v>
      </c>
      <c r="G45" s="65" t="s">
        <v>28</v>
      </c>
      <c r="H45" s="34">
        <v>246</v>
      </c>
      <c r="I45" s="34">
        <v>264</v>
      </c>
      <c r="J45" s="34">
        <v>303</v>
      </c>
      <c r="K45" s="34">
        <v>308</v>
      </c>
      <c r="L45" s="34">
        <v>649</v>
      </c>
      <c r="M45" s="18"/>
      <c r="N45" s="18"/>
    </row>
    <row r="46" spans="1:14">
      <c r="A46" s="33" t="s">
        <v>214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18"/>
      <c r="N46" s="18"/>
    </row>
    <row r="47" spans="1:14">
      <c r="A47" s="33" t="s">
        <v>195</v>
      </c>
      <c r="B47" s="65" t="s">
        <v>28</v>
      </c>
      <c r="C47" s="65" t="s">
        <v>28</v>
      </c>
      <c r="D47" s="65" t="s">
        <v>28</v>
      </c>
      <c r="E47" s="34">
        <v>9</v>
      </c>
      <c r="F47" s="34">
        <v>4</v>
      </c>
      <c r="G47" s="34">
        <v>3</v>
      </c>
      <c r="H47" s="34">
        <v>3</v>
      </c>
      <c r="I47" s="65" t="s">
        <v>28</v>
      </c>
      <c r="J47" s="34">
        <v>10</v>
      </c>
      <c r="K47" s="34">
        <v>15</v>
      </c>
      <c r="L47" s="34">
        <v>5</v>
      </c>
      <c r="M47" s="18"/>
      <c r="N47" s="18"/>
    </row>
    <row r="48" spans="1:14">
      <c r="A48" s="54" t="s">
        <v>196</v>
      </c>
      <c r="B48" s="56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18"/>
      <c r="N48" s="18"/>
    </row>
    <row r="49" spans="1:14">
      <c r="A49" s="33" t="s">
        <v>197</v>
      </c>
      <c r="B49" s="34">
        <v>56</v>
      </c>
      <c r="C49" s="34">
        <v>43</v>
      </c>
      <c r="D49" s="34">
        <v>97</v>
      </c>
      <c r="E49" s="34">
        <v>120</v>
      </c>
      <c r="F49" s="34">
        <v>133</v>
      </c>
      <c r="G49" s="34">
        <v>126</v>
      </c>
      <c r="H49" s="34">
        <v>141</v>
      </c>
      <c r="I49" s="34">
        <v>132</v>
      </c>
      <c r="J49" s="34">
        <v>156</v>
      </c>
      <c r="K49" s="34">
        <v>214</v>
      </c>
      <c r="L49" s="34">
        <v>234</v>
      </c>
      <c r="M49" s="18"/>
      <c r="N49" s="18"/>
    </row>
    <row r="50" spans="1:14">
      <c r="A50" s="33" t="s">
        <v>198</v>
      </c>
      <c r="B50" s="34">
        <v>14</v>
      </c>
      <c r="C50" s="34">
        <v>29</v>
      </c>
      <c r="D50" s="34">
        <v>47</v>
      </c>
      <c r="E50" s="34">
        <v>52</v>
      </c>
      <c r="F50" s="34">
        <v>54</v>
      </c>
      <c r="G50" s="34">
        <v>62</v>
      </c>
      <c r="H50" s="34">
        <v>65</v>
      </c>
      <c r="I50" s="34">
        <v>57</v>
      </c>
      <c r="J50" s="34">
        <v>65</v>
      </c>
      <c r="K50" s="34">
        <v>74</v>
      </c>
      <c r="L50" s="34">
        <v>73</v>
      </c>
      <c r="M50" s="18"/>
      <c r="N50" s="18"/>
    </row>
    <row r="51" spans="1:14">
      <c r="A51" s="54" t="s">
        <v>199</v>
      </c>
      <c r="B51" s="34">
        <v>156</v>
      </c>
      <c r="C51" s="34">
        <v>90</v>
      </c>
      <c r="D51" s="34">
        <v>40</v>
      </c>
      <c r="E51" s="34">
        <v>19</v>
      </c>
      <c r="F51" s="34">
        <v>70</v>
      </c>
      <c r="G51" s="34">
        <v>91</v>
      </c>
      <c r="H51" s="34">
        <v>136</v>
      </c>
      <c r="I51" s="34">
        <v>117</v>
      </c>
      <c r="J51" s="34">
        <v>129</v>
      </c>
      <c r="K51" s="34">
        <v>81</v>
      </c>
      <c r="L51" s="34">
        <v>110</v>
      </c>
      <c r="M51" s="18"/>
      <c r="N51" s="18"/>
    </row>
    <row r="52" spans="1:14">
      <c r="A52" s="54" t="s">
        <v>215</v>
      </c>
      <c r="B52" s="65" t="s">
        <v>28</v>
      </c>
      <c r="C52" s="65" t="s">
        <v>28</v>
      </c>
      <c r="D52" s="65" t="s">
        <v>28</v>
      </c>
      <c r="E52" s="65" t="s">
        <v>28</v>
      </c>
      <c r="F52" s="65" t="s">
        <v>28</v>
      </c>
      <c r="G52" s="34">
        <v>4</v>
      </c>
      <c r="H52" s="34">
        <v>84</v>
      </c>
      <c r="I52" s="34">
        <v>490</v>
      </c>
      <c r="J52" s="65" t="s">
        <v>28</v>
      </c>
      <c r="K52" s="65" t="s">
        <v>28</v>
      </c>
      <c r="L52" s="65" t="s">
        <v>28</v>
      </c>
      <c r="M52" s="18"/>
      <c r="N52" s="18"/>
    </row>
    <row r="53" spans="1:14">
      <c r="A53" s="4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18"/>
      <c r="N53" s="18"/>
    </row>
    <row r="54" spans="1:14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8"/>
      <c r="N54" s="18"/>
    </row>
    <row r="55" spans="1:14">
      <c r="A55" s="6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8"/>
      <c r="N55" s="18"/>
    </row>
    <row r="56" spans="1:14">
      <c r="A56" s="13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8"/>
      <c r="N56" s="18"/>
    </row>
    <row r="57" spans="1:14">
      <c r="A57" s="100" t="s">
        <v>179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8"/>
      <c r="N57" s="18"/>
    </row>
    <row r="58" spans="1:14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8"/>
      <c r="N58" s="18"/>
    </row>
    <row r="59" spans="1:14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1:14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4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4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4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4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>
      <c r="A67" s="6"/>
    </row>
  </sheetData>
  <mergeCells count="1">
    <mergeCell ref="A1:L1"/>
  </mergeCells>
  <hyperlinks>
    <hyperlink ref="A57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1" orientation="landscape" verticalDpi="599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66"/>
  <sheetViews>
    <sheetView showGridLines="0" workbookViewId="0">
      <selection sqref="A1:AE1"/>
    </sheetView>
  </sheetViews>
  <sheetFormatPr baseColWidth="10" defaultRowHeight="12.75"/>
  <cols>
    <col min="1" max="1" width="6.7109375" style="70" customWidth="1"/>
    <col min="2" max="2" width="61.7109375" style="70" customWidth="1"/>
    <col min="3" max="20" width="11.42578125" style="70"/>
    <col min="21" max="26" width="12.5703125" style="70" customWidth="1"/>
    <col min="27" max="31" width="13.85546875" style="70" customWidth="1"/>
    <col min="32" max="16384" width="11.42578125" style="70"/>
  </cols>
  <sheetData>
    <row r="1" spans="1:31">
      <c r="A1" s="167" t="s">
        <v>79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</row>
    <row r="2" spans="1:31">
      <c r="A2" s="167" t="s">
        <v>47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</row>
    <row r="3" spans="1:3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</row>
    <row r="4" spans="1:31" ht="21" customHeight="1">
      <c r="A4" s="165" t="s">
        <v>207</v>
      </c>
      <c r="B4" s="166"/>
      <c r="C4" s="86">
        <v>1971</v>
      </c>
      <c r="D4" s="86">
        <v>1972</v>
      </c>
      <c r="E4" s="86">
        <v>1973</v>
      </c>
      <c r="F4" s="86">
        <v>1974</v>
      </c>
      <c r="G4" s="86">
        <v>1975</v>
      </c>
      <c r="H4" s="86">
        <v>1976</v>
      </c>
      <c r="I4" s="86">
        <v>1977</v>
      </c>
      <c r="J4" s="86">
        <v>1978</v>
      </c>
      <c r="K4" s="86">
        <v>1979</v>
      </c>
      <c r="L4" s="86">
        <v>1980</v>
      </c>
      <c r="M4" s="86">
        <v>1981</v>
      </c>
      <c r="N4" s="86">
        <v>1982</v>
      </c>
      <c r="O4" s="86">
        <v>1983</v>
      </c>
      <c r="P4" s="86">
        <v>1984</v>
      </c>
      <c r="Q4" s="86">
        <v>1985</v>
      </c>
      <c r="R4" s="86">
        <v>1986</v>
      </c>
      <c r="S4" s="86">
        <v>1987</v>
      </c>
      <c r="T4" s="86">
        <v>1988</v>
      </c>
      <c r="U4" s="86">
        <v>1989</v>
      </c>
      <c r="V4" s="86">
        <v>1990</v>
      </c>
      <c r="W4" s="86">
        <v>1991</v>
      </c>
      <c r="X4" s="86">
        <v>1992</v>
      </c>
      <c r="Y4" s="86">
        <v>1993</v>
      </c>
      <c r="Z4" s="86">
        <v>1994</v>
      </c>
      <c r="AA4" s="86">
        <v>1995</v>
      </c>
      <c r="AB4" s="86">
        <v>1996</v>
      </c>
      <c r="AC4" s="86">
        <v>1997</v>
      </c>
      <c r="AD4" s="86">
        <v>1998</v>
      </c>
      <c r="AE4" s="87">
        <v>1999</v>
      </c>
    </row>
    <row r="5" spans="1:31">
      <c r="A5" s="71"/>
      <c r="B5" s="72" t="s">
        <v>80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1"/>
      <c r="AB5" s="71"/>
    </row>
    <row r="6" spans="1:31">
      <c r="A6" s="88" t="s">
        <v>81</v>
      </c>
      <c r="B6" s="88" t="s">
        <v>82</v>
      </c>
      <c r="C6" s="89">
        <v>196.44</v>
      </c>
      <c r="D6" s="89">
        <v>288.60000000000002</v>
      </c>
      <c r="E6" s="89">
        <v>494.6</v>
      </c>
      <c r="F6" s="89">
        <v>945.2</v>
      </c>
      <c r="G6" s="89">
        <v>1088.04</v>
      </c>
      <c r="H6" s="89">
        <v>1157</v>
      </c>
      <c r="I6" s="89">
        <v>1331.52</v>
      </c>
      <c r="J6" s="89">
        <v>1535.2798658135057</v>
      </c>
      <c r="K6" s="89">
        <v>1854.5944385644182</v>
      </c>
      <c r="L6" s="89">
        <v>2220.5514705882351</v>
      </c>
      <c r="M6" s="89">
        <v>2404.0860215053763</v>
      </c>
      <c r="N6" s="89">
        <v>2222.0821114369501</v>
      </c>
      <c r="O6" s="89">
        <v>1243.7740384615383</v>
      </c>
      <c r="P6" s="89">
        <v>1649.514563106796</v>
      </c>
      <c r="Q6" s="89">
        <v>2820.1968911917097</v>
      </c>
      <c r="R6" s="89">
        <v>2216.6693679092382</v>
      </c>
      <c r="S6" s="89">
        <v>1986.3450292397661</v>
      </c>
      <c r="T6" s="89">
        <v>1842.4344448041438</v>
      </c>
      <c r="U6" s="89">
        <v>2024.1283895960155</v>
      </c>
      <c r="V6" s="89">
        <v>2275.0019342359769</v>
      </c>
      <c r="W6" s="89">
        <v>2334.4803847604676</v>
      </c>
      <c r="X6" s="89">
        <v>2584.7523622296912</v>
      </c>
      <c r="Y6" s="89">
        <v>2863.0074394289736</v>
      </c>
      <c r="Z6" s="89">
        <v>3213.6233866922062</v>
      </c>
      <c r="AA6" s="89">
        <v>3865.7591787155675</v>
      </c>
      <c r="AB6" s="89">
        <v>3730.1838501495358</v>
      </c>
      <c r="AC6" s="89">
        <v>3651.0238256634279</v>
      </c>
      <c r="AD6" s="89">
        <v>3393.0128264450577</v>
      </c>
      <c r="AE6" s="89">
        <v>2934.8533356258595</v>
      </c>
    </row>
    <row r="7" spans="1:31">
      <c r="A7" s="90"/>
      <c r="B7" s="91" t="s">
        <v>80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</row>
    <row r="8" spans="1:31">
      <c r="A8" s="88" t="s">
        <v>83</v>
      </c>
      <c r="B8" s="88" t="s">
        <v>84</v>
      </c>
      <c r="C8" s="89">
        <v>195.48</v>
      </c>
      <c r="D8" s="89">
        <v>281.48</v>
      </c>
      <c r="E8" s="89">
        <v>472.32</v>
      </c>
      <c r="F8" s="89">
        <v>875.04</v>
      </c>
      <c r="G8" s="89">
        <v>940.72</v>
      </c>
      <c r="H8" s="89">
        <v>1073.8399999999999</v>
      </c>
      <c r="I8" s="89">
        <v>1225.56</v>
      </c>
      <c r="J8" s="89">
        <v>1332.5464372243275</v>
      </c>
      <c r="K8" s="89">
        <v>1739.132108149716</v>
      </c>
      <c r="L8" s="89">
        <v>1992.5</v>
      </c>
      <c r="M8" s="89">
        <v>2187.7777777777778</v>
      </c>
      <c r="N8" s="89">
        <v>2086.5102639296188</v>
      </c>
      <c r="O8" s="89">
        <v>1164.1947115384614</v>
      </c>
      <c r="P8" s="89">
        <v>1568.2632146709816</v>
      </c>
      <c r="Q8" s="89">
        <v>2716.6943005181347</v>
      </c>
      <c r="R8" s="89">
        <v>2093.9708265802269</v>
      </c>
      <c r="S8" s="89">
        <v>1908.8830409356726</v>
      </c>
      <c r="T8" s="89">
        <v>1787.575267076724</v>
      </c>
      <c r="U8" s="89">
        <v>1932.606530160487</v>
      </c>
      <c r="V8" s="89">
        <v>2160.5609284332691</v>
      </c>
      <c r="W8" s="89">
        <v>2268.6948321388154</v>
      </c>
      <c r="X8" s="89">
        <v>2558.953643224047</v>
      </c>
      <c r="Y8" s="89">
        <v>2843.3422137327834</v>
      </c>
      <c r="Z8" s="89">
        <v>3093.2872714005566</v>
      </c>
      <c r="AA8" s="89">
        <v>3491.4956310489401</v>
      </c>
      <c r="AB8" s="89">
        <v>3518.7102156461515</v>
      </c>
      <c r="AC8" s="89">
        <v>3487.5752554542946</v>
      </c>
      <c r="AD8" s="89">
        <v>3328.7421569897651</v>
      </c>
      <c r="AE8" s="89">
        <v>2784.1735729023385</v>
      </c>
    </row>
    <row r="9" spans="1:31">
      <c r="A9" s="88" t="s">
        <v>85</v>
      </c>
      <c r="B9" s="88" t="s">
        <v>86</v>
      </c>
      <c r="C9" s="89">
        <v>168.92</v>
      </c>
      <c r="D9" s="89">
        <v>230.44</v>
      </c>
      <c r="E9" s="89">
        <v>309.04000000000002</v>
      </c>
      <c r="F9" s="89">
        <v>396.4</v>
      </c>
      <c r="G9" s="89">
        <v>448.64</v>
      </c>
      <c r="H9" s="89">
        <v>530.36</v>
      </c>
      <c r="I9" s="89">
        <v>649.79999999999995</v>
      </c>
      <c r="J9" s="89">
        <v>769.70864136174441</v>
      </c>
      <c r="K9" s="89">
        <v>879.55354565572975</v>
      </c>
      <c r="L9" s="89">
        <v>921.50735294117646</v>
      </c>
      <c r="M9" s="89">
        <v>1014.4444444444445</v>
      </c>
      <c r="N9" s="89">
        <v>878.18181818181813</v>
      </c>
      <c r="O9" s="89">
        <v>471.68269230769226</v>
      </c>
      <c r="P9" s="89">
        <v>693.19309600862994</v>
      </c>
      <c r="Q9" s="89">
        <v>1021.5129533678756</v>
      </c>
      <c r="R9" s="89">
        <v>1121.4424635332252</v>
      </c>
      <c r="S9" s="89">
        <v>1006.3157894736842</v>
      </c>
      <c r="T9" s="89">
        <v>937.01845257364846</v>
      </c>
      <c r="U9" s="89">
        <v>906.34015864231685</v>
      </c>
      <c r="V9" s="89">
        <v>910.52482269503548</v>
      </c>
      <c r="W9" s="89">
        <v>1035.6337231233497</v>
      </c>
      <c r="X9" s="89">
        <v>1063.6730293614053</v>
      </c>
      <c r="Y9" s="89">
        <v>1213.755906303408</v>
      </c>
      <c r="Z9" s="89">
        <v>1505.9543029142155</v>
      </c>
      <c r="AA9" s="89">
        <v>1723.8415422593159</v>
      </c>
      <c r="AB9" s="89">
        <v>1579.1301747206044</v>
      </c>
      <c r="AC9" s="89">
        <v>2042.8239311089353</v>
      </c>
      <c r="AD9" s="89">
        <v>2100.7953136278666</v>
      </c>
      <c r="AE9" s="89">
        <v>1583.5851100412656</v>
      </c>
    </row>
    <row r="10" spans="1:31">
      <c r="A10" s="88" t="s">
        <v>87</v>
      </c>
      <c r="B10" s="88" t="s">
        <v>88</v>
      </c>
      <c r="C10" s="89">
        <v>158.96</v>
      </c>
      <c r="D10" s="89">
        <v>215.6</v>
      </c>
      <c r="E10" s="89">
        <v>288.36</v>
      </c>
      <c r="F10" s="89">
        <v>350.72</v>
      </c>
      <c r="G10" s="89">
        <v>381.64</v>
      </c>
      <c r="H10" s="89">
        <v>450.8</v>
      </c>
      <c r="I10" s="89">
        <v>584.55999999999995</v>
      </c>
      <c r="J10" s="89">
        <v>672.94526930483937</v>
      </c>
      <c r="K10" s="89">
        <v>784.4125853940152</v>
      </c>
      <c r="L10" s="89">
        <v>841.50735294117646</v>
      </c>
      <c r="M10" s="89">
        <v>913.22580645161293</v>
      </c>
      <c r="N10" s="89">
        <v>756.42228739002928</v>
      </c>
      <c r="O10" s="89">
        <v>424.32692307692304</v>
      </c>
      <c r="P10" s="89">
        <v>619.59007551240563</v>
      </c>
      <c r="Q10" s="89">
        <v>865.93782383419693</v>
      </c>
      <c r="R10" s="89">
        <v>1016.7909238249595</v>
      </c>
      <c r="S10" s="89">
        <v>928.27485380116957</v>
      </c>
      <c r="T10" s="89">
        <v>821.69957915182908</v>
      </c>
      <c r="U10" s="89">
        <v>830.10699133001287</v>
      </c>
      <c r="V10" s="89">
        <v>827.10380399742098</v>
      </c>
      <c r="W10" s="89">
        <v>916.99735948698594</v>
      </c>
      <c r="X10" s="89">
        <v>892.46306043503068</v>
      </c>
      <c r="Y10" s="89">
        <v>1048.6513521664824</v>
      </c>
      <c r="Z10" s="89">
        <v>1330.2854927714691</v>
      </c>
      <c r="AA10" s="89">
        <v>1579.2320050154774</v>
      </c>
      <c r="AB10" s="89">
        <v>1390.8232331182119</v>
      </c>
      <c r="AC10" s="89">
        <v>1880.5322487509729</v>
      </c>
      <c r="AD10" s="89">
        <v>1979.1226933683763</v>
      </c>
      <c r="AE10" s="89">
        <v>1479.6816540577718</v>
      </c>
    </row>
    <row r="11" spans="1:31">
      <c r="A11" s="90"/>
      <c r="B11" s="91" t="s">
        <v>89</v>
      </c>
      <c r="C11" s="35">
        <v>29.72</v>
      </c>
      <c r="D11" s="35">
        <v>29.28</v>
      </c>
      <c r="E11" s="35">
        <v>36.92</v>
      </c>
      <c r="F11" s="35">
        <v>50.76</v>
      </c>
      <c r="G11" s="35">
        <v>27.16</v>
      </c>
      <c r="H11" s="35">
        <v>63.48</v>
      </c>
      <c r="I11" s="35">
        <v>56.52</v>
      </c>
      <c r="J11" s="35">
        <v>83.419270671553704</v>
      </c>
      <c r="K11" s="35">
        <v>81.785817377080718</v>
      </c>
      <c r="L11" s="35">
        <v>39.558823529411768</v>
      </c>
      <c r="M11" s="35">
        <v>21.182795698924732</v>
      </c>
      <c r="N11" s="35">
        <v>1.7008797653958942</v>
      </c>
      <c r="O11" s="35">
        <v>1.5745192307692306</v>
      </c>
      <c r="P11" s="35">
        <v>2.6429341963322543</v>
      </c>
      <c r="Q11" s="35">
        <v>1.4922279792746114</v>
      </c>
      <c r="R11" s="35">
        <v>15.153970826580226</v>
      </c>
      <c r="S11" s="35">
        <v>1.8070175438596492</v>
      </c>
      <c r="T11" s="35">
        <v>2.8326319197151184</v>
      </c>
      <c r="U11" s="35">
        <v>1.8778823095369856</v>
      </c>
      <c r="V11" s="35">
        <v>1.1334622823984526</v>
      </c>
      <c r="W11" s="35">
        <v>1.492832893247831</v>
      </c>
      <c r="X11" s="35">
        <v>1.7337814699727312</v>
      </c>
      <c r="Y11" s="35">
        <v>0.62079018799638075</v>
      </c>
      <c r="Z11" s="35">
        <v>0.34934099512017153</v>
      </c>
      <c r="AA11" s="92"/>
      <c r="AB11" s="92"/>
      <c r="AC11" s="92"/>
      <c r="AD11" s="92"/>
      <c r="AE11" s="92"/>
    </row>
    <row r="12" spans="1:31">
      <c r="A12" s="90"/>
      <c r="B12" s="91" t="s">
        <v>90</v>
      </c>
      <c r="C12" s="35">
        <v>59.84</v>
      </c>
      <c r="D12" s="35">
        <v>82.96</v>
      </c>
      <c r="E12" s="35">
        <v>132.28</v>
      </c>
      <c r="F12" s="35">
        <v>153.72</v>
      </c>
      <c r="G12" s="35">
        <v>171.92</v>
      </c>
      <c r="H12" s="35">
        <v>185.72</v>
      </c>
      <c r="I12" s="35">
        <v>294.83999999999997</v>
      </c>
      <c r="J12" s="35">
        <v>283.54351742560726</v>
      </c>
      <c r="K12" s="35">
        <v>307.66862311170979</v>
      </c>
      <c r="L12" s="35">
        <v>373.86029411764707</v>
      </c>
      <c r="M12" s="35">
        <v>369.39068100358423</v>
      </c>
      <c r="N12" s="35">
        <v>292.81524926686217</v>
      </c>
      <c r="O12" s="35">
        <v>152.56009615384616</v>
      </c>
      <c r="P12" s="35">
        <v>230.39913700107874</v>
      </c>
      <c r="Q12" s="35">
        <v>346.6943005181347</v>
      </c>
      <c r="R12" s="35">
        <v>366.23176661264182</v>
      </c>
      <c r="S12" s="35">
        <v>309.76023391812868</v>
      </c>
      <c r="T12" s="35">
        <v>260.52767886047269</v>
      </c>
      <c r="U12" s="35">
        <v>230.35233351780113</v>
      </c>
      <c r="V12" s="35">
        <v>239.47259832366214</v>
      </c>
      <c r="W12" s="35">
        <v>239.73123349679364</v>
      </c>
      <c r="X12" s="35">
        <v>180.96011161138944</v>
      </c>
      <c r="Y12" s="35">
        <v>213.44928119030862</v>
      </c>
      <c r="Z12" s="35">
        <v>283.48200848269261</v>
      </c>
      <c r="AA12" s="35">
        <v>297.82022648015362</v>
      </c>
      <c r="AB12" s="35">
        <v>243.98551865260507</v>
      </c>
      <c r="AC12" s="35">
        <v>436.51351962039621</v>
      </c>
      <c r="AD12" s="35">
        <v>590.16176497806737</v>
      </c>
      <c r="AE12" s="35">
        <v>310.14640646492433</v>
      </c>
    </row>
    <row r="13" spans="1:31">
      <c r="A13" s="90"/>
      <c r="B13" s="91" t="s">
        <v>91</v>
      </c>
      <c r="C13" s="35">
        <v>23.36</v>
      </c>
      <c r="D13" s="35">
        <v>36.6</v>
      </c>
      <c r="E13" s="35">
        <v>45.52</v>
      </c>
      <c r="F13" s="35">
        <v>52.84</v>
      </c>
      <c r="G13" s="35">
        <v>67.84</v>
      </c>
      <c r="H13" s="35">
        <v>73.680000000000007</v>
      </c>
      <c r="I13" s="35">
        <v>81.680000000000007</v>
      </c>
      <c r="J13" s="35">
        <v>116.4440578989874</v>
      </c>
      <c r="K13" s="35">
        <v>140.86404310593667</v>
      </c>
      <c r="L13" s="35">
        <v>162.79411764705884</v>
      </c>
      <c r="M13" s="35">
        <v>218.1720430107527</v>
      </c>
      <c r="N13" s="35">
        <v>166.30498533724341</v>
      </c>
      <c r="O13" s="35">
        <v>88.040865384615387</v>
      </c>
      <c r="P13" s="35">
        <v>110.92772384034519</v>
      </c>
      <c r="Q13" s="35">
        <v>155.05699481865284</v>
      </c>
      <c r="R13" s="35">
        <v>171.77471636952998</v>
      </c>
      <c r="S13" s="35">
        <v>165.39181286549709</v>
      </c>
      <c r="T13" s="35">
        <v>131.52152800258983</v>
      </c>
      <c r="U13" s="35">
        <v>174.90499907766093</v>
      </c>
      <c r="V13" s="35">
        <v>143.11154094132817</v>
      </c>
      <c r="W13" s="35">
        <v>160.43568464730288</v>
      </c>
      <c r="X13" s="35">
        <v>173.90639863022383</v>
      </c>
      <c r="Y13" s="35">
        <v>185.76455212626922</v>
      </c>
      <c r="Z13" s="35">
        <v>251.67145528344054</v>
      </c>
      <c r="AA13" s="35">
        <v>374.81094001018772</v>
      </c>
      <c r="AB13" s="35">
        <v>348.19959074453016</v>
      </c>
      <c r="AC13" s="35">
        <v>396.2318294795511</v>
      </c>
      <c r="AD13" s="35">
        <v>350.00388680153253</v>
      </c>
      <c r="AE13" s="35">
        <v>434.68956327372763</v>
      </c>
    </row>
    <row r="14" spans="1:31">
      <c r="A14" s="90"/>
      <c r="B14" s="91" t="s">
        <v>92</v>
      </c>
      <c r="C14" s="35">
        <v>1.04</v>
      </c>
      <c r="D14" s="35">
        <v>1.32</v>
      </c>
      <c r="E14" s="35">
        <v>1.76</v>
      </c>
      <c r="F14" s="35">
        <v>3.04</v>
      </c>
      <c r="G14" s="35">
        <v>3.84</v>
      </c>
      <c r="H14" s="35">
        <v>4.4000000000000004</v>
      </c>
      <c r="I14" s="35">
        <v>6.2</v>
      </c>
      <c r="J14" s="35">
        <v>6.0383922470025473</v>
      </c>
      <c r="K14" s="35">
        <v>7.8129510247281821</v>
      </c>
      <c r="L14" s="35">
        <v>9.4852941176470598</v>
      </c>
      <c r="M14" s="35">
        <v>13.189964157706093</v>
      </c>
      <c r="N14" s="35">
        <v>11.260997067448679</v>
      </c>
      <c r="O14" s="35">
        <v>5.2043269230769225</v>
      </c>
      <c r="P14" s="35">
        <v>3.1715210355987056</v>
      </c>
      <c r="Q14" s="35">
        <v>2.6113989637305699</v>
      </c>
      <c r="R14" s="35">
        <v>2.439222042139384</v>
      </c>
      <c r="S14" s="35">
        <v>2.0994152046783627</v>
      </c>
      <c r="T14" s="35">
        <v>1.6315959857559081</v>
      </c>
      <c r="U14" s="35">
        <v>1.3853532558568529</v>
      </c>
      <c r="V14" s="35">
        <v>0.9348807221147647</v>
      </c>
      <c r="W14" s="35">
        <v>1.0646925688419464</v>
      </c>
      <c r="X14" s="35">
        <v>0.41917686600291709</v>
      </c>
      <c r="Y14" s="35">
        <v>0.11410475520257364</v>
      </c>
      <c r="Z14" s="35">
        <v>0.1340812696675332</v>
      </c>
      <c r="AA14" s="35">
        <v>4.3101759335449241E-2</v>
      </c>
      <c r="AB14" s="92"/>
      <c r="AC14" s="35">
        <v>4.3182445833647158E-2</v>
      </c>
      <c r="AD14" s="92"/>
      <c r="AE14" s="92"/>
    </row>
    <row r="15" spans="1:31">
      <c r="A15" s="90"/>
      <c r="B15" s="91" t="s">
        <v>93</v>
      </c>
      <c r="C15" s="35">
        <v>0.08</v>
      </c>
      <c r="D15" s="35">
        <v>0.12</v>
      </c>
      <c r="E15" s="35">
        <v>0.48</v>
      </c>
      <c r="F15" s="35">
        <v>1.04</v>
      </c>
      <c r="G15" s="35">
        <v>1.1200000000000001</v>
      </c>
      <c r="H15" s="35">
        <v>1.24</v>
      </c>
      <c r="I15" s="35">
        <v>1.72</v>
      </c>
      <c r="J15" s="35">
        <v>2.3109896253960365</v>
      </c>
      <c r="K15" s="35">
        <v>3.0789954777253921</v>
      </c>
      <c r="L15" s="35">
        <v>2.5735294117647061</v>
      </c>
      <c r="M15" s="35">
        <v>3.4767025089605736</v>
      </c>
      <c r="N15" s="35">
        <v>3.6363636363636362</v>
      </c>
      <c r="O15" s="35">
        <v>1.7668269230769229</v>
      </c>
      <c r="P15" s="35">
        <v>1.6936353829557713</v>
      </c>
      <c r="Q15" s="35">
        <v>2.7461139896373057</v>
      </c>
      <c r="R15" s="35">
        <v>2.8119935170178283</v>
      </c>
      <c r="S15" s="35">
        <v>1.6783625730994152</v>
      </c>
      <c r="T15" s="35">
        <v>1.0715441890579476</v>
      </c>
      <c r="U15" s="35">
        <v>0.92233905183545473</v>
      </c>
      <c r="V15" s="35">
        <v>0.25016118633139911</v>
      </c>
      <c r="W15" s="35">
        <v>0.38758958883440209</v>
      </c>
      <c r="X15" s="35">
        <v>0.4185427103811275</v>
      </c>
      <c r="Y15" s="35">
        <v>0.54086659294259576</v>
      </c>
      <c r="Z15" s="35">
        <v>0.93948100515346389</v>
      </c>
      <c r="AA15" s="35">
        <v>0.57168606245836762</v>
      </c>
      <c r="AB15" s="35">
        <v>0.49582874232645996</v>
      </c>
      <c r="AC15" s="35">
        <v>0.4888152444076222</v>
      </c>
      <c r="AD15" s="35">
        <v>0.5347128394010624</v>
      </c>
      <c r="AE15" s="35">
        <v>0.30226960110041268</v>
      </c>
    </row>
    <row r="16" spans="1:31">
      <c r="A16" s="90"/>
      <c r="B16" s="91" t="s">
        <v>94</v>
      </c>
      <c r="C16" s="35">
        <v>25.12</v>
      </c>
      <c r="D16" s="35">
        <v>33.92</v>
      </c>
      <c r="E16" s="35">
        <v>46.48</v>
      </c>
      <c r="F16" s="35">
        <v>61.28</v>
      </c>
      <c r="G16" s="35">
        <v>83.08</v>
      </c>
      <c r="H16" s="35">
        <v>91.16</v>
      </c>
      <c r="I16" s="35">
        <v>106.92</v>
      </c>
      <c r="J16" s="35">
        <v>144.84686587562899</v>
      </c>
      <c r="K16" s="35">
        <v>194.5540267487732</v>
      </c>
      <c r="L16" s="35">
        <v>209.04411764705884</v>
      </c>
      <c r="M16" s="35">
        <v>231.7921146953405</v>
      </c>
      <c r="N16" s="35">
        <v>222.96187683284455</v>
      </c>
      <c r="O16" s="35">
        <v>135.36057692307691</v>
      </c>
      <c r="P16" s="35">
        <v>194.13160733549083</v>
      </c>
      <c r="Q16" s="35">
        <v>266.8704663212435</v>
      </c>
      <c r="R16" s="35">
        <v>370.06482982171798</v>
      </c>
      <c r="S16" s="35">
        <v>360.53801169590645</v>
      </c>
      <c r="T16" s="35">
        <v>333.60634509550016</v>
      </c>
      <c r="U16" s="35">
        <v>331.32078952222838</v>
      </c>
      <c r="V16" s="35">
        <v>386.15087040618954</v>
      </c>
      <c r="W16" s="35">
        <v>442.10675216899278</v>
      </c>
      <c r="X16" s="35">
        <v>472.35525397932651</v>
      </c>
      <c r="Y16" s="35">
        <v>576.1802553533729</v>
      </c>
      <c r="Z16" s="35">
        <v>682.21918183061985</v>
      </c>
      <c r="AA16" s="35">
        <v>715.2713451667255</v>
      </c>
      <c r="AB16" s="35">
        <v>729.5173933574689</v>
      </c>
      <c r="AC16" s="35">
        <v>918.03017749993728</v>
      </c>
      <c r="AD16" s="35">
        <v>957.99367006607565</v>
      </c>
      <c r="AE16" s="35">
        <v>625.18010660247592</v>
      </c>
    </row>
    <row r="17" spans="1:31">
      <c r="A17" s="90"/>
      <c r="B17" s="91" t="s">
        <v>95</v>
      </c>
      <c r="C17" s="35">
        <v>1.48</v>
      </c>
      <c r="D17" s="35">
        <v>1.88</v>
      </c>
      <c r="E17" s="35">
        <v>1.96</v>
      </c>
      <c r="F17" s="35">
        <v>1.76</v>
      </c>
      <c r="G17" s="35">
        <v>1.64</v>
      </c>
      <c r="H17" s="35">
        <v>2.04</v>
      </c>
      <c r="I17" s="35">
        <v>2.08</v>
      </c>
      <c r="J17" s="35">
        <v>1.8264272845871903</v>
      </c>
      <c r="K17" s="35">
        <v>2.4247089387087462</v>
      </c>
      <c r="L17" s="35">
        <v>1.875</v>
      </c>
      <c r="M17" s="35">
        <v>2.0788530465949822</v>
      </c>
      <c r="N17" s="35">
        <v>2.1700879765395893</v>
      </c>
      <c r="O17" s="35">
        <v>1.0216346153846154</v>
      </c>
      <c r="P17" s="35">
        <v>1.2837108953613807</v>
      </c>
      <c r="Q17" s="35">
        <v>1.8341968911917099</v>
      </c>
      <c r="R17" s="35">
        <v>2.1880064829821717</v>
      </c>
      <c r="S17" s="35">
        <v>4.0116959064327489</v>
      </c>
      <c r="T17" s="35">
        <v>3.2729038523794109</v>
      </c>
      <c r="U17" s="35">
        <v>8.0538646006271897</v>
      </c>
      <c r="V17" s="35">
        <v>2.9941972920696327</v>
      </c>
      <c r="W17" s="35">
        <v>5.938325160316861</v>
      </c>
      <c r="X17" s="35">
        <v>4.5595789206671311</v>
      </c>
      <c r="Y17" s="35">
        <v>6.9523474414396293</v>
      </c>
      <c r="Z17" s="35">
        <v>13.306881926392121</v>
      </c>
      <c r="AA17" s="35">
        <v>87.261862779671645</v>
      </c>
      <c r="AB17" s="35">
        <v>18.433181174248386</v>
      </c>
      <c r="AC17" s="35">
        <v>42.61730812683588</v>
      </c>
      <c r="AD17" s="35">
        <v>14.3874585870551</v>
      </c>
      <c r="AE17" s="35">
        <v>59.952544704264099</v>
      </c>
    </row>
    <row r="18" spans="1:31">
      <c r="A18" s="90"/>
      <c r="B18" s="91" t="s">
        <v>96</v>
      </c>
      <c r="C18" s="35">
        <v>6.92</v>
      </c>
      <c r="D18" s="35">
        <v>8.68</v>
      </c>
      <c r="E18" s="35">
        <v>6.64</v>
      </c>
      <c r="F18" s="35">
        <v>7.96</v>
      </c>
      <c r="G18" s="35">
        <v>7.08</v>
      </c>
      <c r="H18" s="35">
        <v>10.32</v>
      </c>
      <c r="I18" s="35">
        <v>15.28</v>
      </c>
      <c r="J18" s="35">
        <v>16.586941666148974</v>
      </c>
      <c r="K18" s="35">
        <v>24.939863369575676</v>
      </c>
      <c r="L18" s="35">
        <v>14.595588235294118</v>
      </c>
      <c r="M18" s="35">
        <v>18.9247311827957</v>
      </c>
      <c r="N18" s="35">
        <v>25.571847507331377</v>
      </c>
      <c r="O18" s="35">
        <v>25.204326923076923</v>
      </c>
      <c r="P18" s="35">
        <v>55.771305285868394</v>
      </c>
      <c r="Q18" s="35">
        <v>63.906735751295336</v>
      </c>
      <c r="R18" s="35">
        <v>59.837925445705018</v>
      </c>
      <c r="S18" s="35">
        <v>46.321637426900587</v>
      </c>
      <c r="T18" s="35">
        <v>55.173195208805446</v>
      </c>
      <c r="U18" s="35">
        <v>61.914775871610402</v>
      </c>
      <c r="V18" s="35">
        <v>52.17666021921341</v>
      </c>
      <c r="W18" s="35">
        <v>64.183327046397579</v>
      </c>
      <c r="X18" s="35">
        <v>56.803221510558686</v>
      </c>
      <c r="Y18" s="35">
        <v>37.161455715291041</v>
      </c>
      <c r="Z18" s="35">
        <v>88.03393077028322</v>
      </c>
      <c r="AA18" s="35">
        <v>77.080051722111207</v>
      </c>
      <c r="AB18" s="35">
        <v>50.1917204470329</v>
      </c>
      <c r="AC18" s="35">
        <v>86.607416334011205</v>
      </c>
      <c r="AD18" s="35">
        <v>66.041200096244609</v>
      </c>
      <c r="AE18" s="35">
        <v>49.39176409903714</v>
      </c>
    </row>
    <row r="19" spans="1:31">
      <c r="A19" s="90"/>
      <c r="B19" s="91" t="s">
        <v>97</v>
      </c>
      <c r="C19" s="35">
        <v>7.8</v>
      </c>
      <c r="D19" s="35">
        <v>8.24</v>
      </c>
      <c r="E19" s="35">
        <v>13.64</v>
      </c>
      <c r="F19" s="35">
        <v>12.52</v>
      </c>
      <c r="G19" s="35">
        <v>11.8</v>
      </c>
      <c r="H19" s="35">
        <v>14.68</v>
      </c>
      <c r="I19" s="35">
        <v>17.399999999999999</v>
      </c>
      <c r="J19" s="35">
        <v>17.108778033173884</v>
      </c>
      <c r="K19" s="35">
        <v>19.744058500914075</v>
      </c>
      <c r="L19" s="35">
        <v>26.360294117647058</v>
      </c>
      <c r="M19" s="35">
        <v>33.655913978494624</v>
      </c>
      <c r="N19" s="35">
        <v>29.296187683284455</v>
      </c>
      <c r="O19" s="35">
        <v>12.944711538461538</v>
      </c>
      <c r="P19" s="35">
        <v>19.546925566343042</v>
      </c>
      <c r="Q19" s="35">
        <v>24.71502590673575</v>
      </c>
      <c r="R19" s="35">
        <v>26.183144246353322</v>
      </c>
      <c r="S19" s="35">
        <v>36.257309941520468</v>
      </c>
      <c r="T19" s="35">
        <v>31.751375849789579</v>
      </c>
      <c r="U19" s="35">
        <v>19.37465412285556</v>
      </c>
      <c r="V19" s="35">
        <v>1.2894906511927789E-3</v>
      </c>
      <c r="W19" s="35">
        <v>1.3070539419087135</v>
      </c>
      <c r="X19" s="35">
        <v>0.97152641258164751</v>
      </c>
      <c r="Y19" s="92"/>
      <c r="Z19" s="92"/>
      <c r="AA19" s="92"/>
      <c r="AB19" s="92"/>
      <c r="AC19" s="92"/>
      <c r="AD19" s="92"/>
      <c r="AE19" s="35">
        <v>1.8999312242090786E-2</v>
      </c>
    </row>
    <row r="20" spans="1:31">
      <c r="A20" s="90"/>
      <c r="B20" s="91" t="s">
        <v>98</v>
      </c>
      <c r="C20" s="35">
        <v>0.04</v>
      </c>
      <c r="D20" s="35">
        <v>0.04</v>
      </c>
      <c r="E20" s="35">
        <v>0.08</v>
      </c>
      <c r="F20" s="35">
        <v>0.16</v>
      </c>
      <c r="G20" s="35">
        <v>0.04</v>
      </c>
      <c r="H20" s="35">
        <v>0.04</v>
      </c>
      <c r="I20" s="35">
        <v>0.04</v>
      </c>
      <c r="J20" s="35">
        <v>3.7274026216065105E-2</v>
      </c>
      <c r="K20" s="35">
        <v>0</v>
      </c>
      <c r="L20" s="35">
        <v>3.6764705882352942E-2</v>
      </c>
      <c r="M20" s="35">
        <v>3.5842293906810041E-2</v>
      </c>
      <c r="N20" s="35">
        <v>0.11730205278592375</v>
      </c>
      <c r="O20" s="92"/>
      <c r="P20" s="92"/>
      <c r="Q20" s="92"/>
      <c r="R20" s="92"/>
      <c r="S20" s="92"/>
      <c r="T20" s="92"/>
      <c r="U20" s="92"/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</row>
    <row r="21" spans="1:31">
      <c r="A21" s="90"/>
      <c r="B21" s="91" t="s">
        <v>99</v>
      </c>
      <c r="C21" s="35">
        <v>3.56</v>
      </c>
      <c r="D21" s="35">
        <v>12.56</v>
      </c>
      <c r="E21" s="35">
        <v>2.6</v>
      </c>
      <c r="F21" s="35">
        <v>5.64</v>
      </c>
      <c r="G21" s="35">
        <v>6.12</v>
      </c>
      <c r="H21" s="35">
        <v>4.04</v>
      </c>
      <c r="I21" s="35">
        <v>1.88</v>
      </c>
      <c r="J21" s="35">
        <v>0.7827545505373672</v>
      </c>
      <c r="K21" s="35">
        <v>1.539497738862696</v>
      </c>
      <c r="L21" s="35">
        <v>1.3235294117647058</v>
      </c>
      <c r="M21" s="35">
        <v>1.3261648745519714</v>
      </c>
      <c r="N21" s="35">
        <v>0.58651026392961869</v>
      </c>
      <c r="O21" s="35">
        <v>0.64903846153846156</v>
      </c>
      <c r="P21" s="35">
        <v>2.1574973031283709E-2</v>
      </c>
      <c r="Q21" s="35">
        <v>1.0362694300518135E-2</v>
      </c>
      <c r="R21" s="35">
        <v>0.1053484602917342</v>
      </c>
      <c r="S21" s="35">
        <v>0.40935672514619881</v>
      </c>
      <c r="T21" s="35">
        <v>0.31078018776303012</v>
      </c>
      <c r="U21" s="92"/>
      <c r="V21" s="35">
        <v>0.87814313346228234</v>
      </c>
      <c r="W21" s="35">
        <v>0.34986797434930211</v>
      </c>
      <c r="X21" s="35">
        <v>0.33546832392669157</v>
      </c>
      <c r="Y21" s="35">
        <v>27.867698803659394</v>
      </c>
      <c r="Z21" s="35">
        <v>10.149131208099604</v>
      </c>
      <c r="AA21" s="35">
        <v>26.372791034834059</v>
      </c>
      <c r="AB21" s="92"/>
      <c r="AC21" s="92"/>
      <c r="AD21" s="92"/>
      <c r="AE21" s="92"/>
    </row>
    <row r="22" spans="1:31">
      <c r="A22" s="88" t="s">
        <v>100</v>
      </c>
      <c r="B22" s="88" t="s">
        <v>101</v>
      </c>
      <c r="C22" s="89">
        <v>9.9600000000000009</v>
      </c>
      <c r="D22" s="89">
        <v>14.84</v>
      </c>
      <c r="E22" s="89">
        <v>20.68</v>
      </c>
      <c r="F22" s="89">
        <v>45.68</v>
      </c>
      <c r="G22" s="89">
        <v>67</v>
      </c>
      <c r="H22" s="89">
        <v>79.56</v>
      </c>
      <c r="I22" s="89">
        <v>65.239999999999995</v>
      </c>
      <c r="J22" s="89">
        <v>96.763372056905013</v>
      </c>
      <c r="K22" s="89">
        <v>95.140960261714611</v>
      </c>
      <c r="L22" s="89">
        <v>80</v>
      </c>
      <c r="M22" s="89">
        <v>101.21863799283155</v>
      </c>
      <c r="N22" s="89">
        <v>121.75953079178885</v>
      </c>
      <c r="O22" s="89">
        <v>47.355769230769226</v>
      </c>
      <c r="P22" s="89">
        <v>73.603020496224374</v>
      </c>
      <c r="Q22" s="89">
        <v>155.57512953367876</v>
      </c>
      <c r="R22" s="89">
        <v>104.6515397082658</v>
      </c>
      <c r="S22" s="89">
        <v>78.040935672514621</v>
      </c>
      <c r="T22" s="89">
        <v>115.31887342181936</v>
      </c>
      <c r="U22" s="89">
        <v>76.233167312304005</v>
      </c>
      <c r="V22" s="89">
        <v>83.421018697614443</v>
      </c>
      <c r="W22" s="89">
        <v>118.63636363636363</v>
      </c>
      <c r="X22" s="89">
        <v>171.20996892637453</v>
      </c>
      <c r="Y22" s="89">
        <v>165.10455413692569</v>
      </c>
      <c r="Z22" s="89">
        <v>175.66881014274639</v>
      </c>
      <c r="AA22" s="89">
        <v>144.60953724383842</v>
      </c>
      <c r="AB22" s="89">
        <v>188.30694160239258</v>
      </c>
      <c r="AC22" s="89">
        <v>162.2916823579624</v>
      </c>
      <c r="AD22" s="89">
        <v>121.67262025949029</v>
      </c>
      <c r="AE22" s="89">
        <v>103.90345598349381</v>
      </c>
    </row>
    <row r="23" spans="1:31">
      <c r="A23" s="88" t="s">
        <v>102</v>
      </c>
      <c r="B23" s="88" t="s">
        <v>103</v>
      </c>
      <c r="C23" s="89">
        <v>0</v>
      </c>
      <c r="D23" s="89">
        <v>0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93">
        <v>0</v>
      </c>
      <c r="AC23" s="89">
        <v>0</v>
      </c>
      <c r="AD23" s="94">
        <v>0</v>
      </c>
      <c r="AE23" s="94">
        <v>0</v>
      </c>
    </row>
    <row r="24" spans="1:31">
      <c r="A24" s="88" t="s">
        <v>104</v>
      </c>
      <c r="B24" s="88" t="s">
        <v>105</v>
      </c>
      <c r="C24" s="89">
        <v>12.28</v>
      </c>
      <c r="D24" s="89">
        <v>36.119999999999997</v>
      </c>
      <c r="E24" s="89">
        <v>135.56</v>
      </c>
      <c r="F24" s="89">
        <v>401.76</v>
      </c>
      <c r="G24" s="89">
        <v>381.96</v>
      </c>
      <c r="H24" s="89">
        <v>401.32</v>
      </c>
      <c r="I24" s="89">
        <v>407</v>
      </c>
      <c r="J24" s="89">
        <v>458.61961856246506</v>
      </c>
      <c r="K24" s="89">
        <v>678.68757817761946</v>
      </c>
      <c r="L24" s="89">
        <v>785.99264705882354</v>
      </c>
      <c r="M24" s="89">
        <v>815.7347670250897</v>
      </c>
      <c r="N24" s="89">
        <v>898.35777126099708</v>
      </c>
      <c r="O24" s="89">
        <v>549.91586538461536</v>
      </c>
      <c r="P24" s="89">
        <v>694.51995685005397</v>
      </c>
      <c r="Q24" s="89">
        <v>1434.9637305699482</v>
      </c>
      <c r="R24" s="89">
        <v>728.6952998379254</v>
      </c>
      <c r="S24" s="89">
        <v>581.68421052631584</v>
      </c>
      <c r="T24" s="89">
        <v>605.32858530268697</v>
      </c>
      <c r="U24" s="89">
        <v>830.2453421877882</v>
      </c>
      <c r="V24" s="89">
        <v>1024.3159252095422</v>
      </c>
      <c r="W24" s="89">
        <v>951.69747265182946</v>
      </c>
      <c r="X24" s="89">
        <v>1133.279218720274</v>
      </c>
      <c r="Y24" s="89">
        <v>1189.1866894541067</v>
      </c>
      <c r="Z24" s="89">
        <v>1190.9107493045105</v>
      </c>
      <c r="AA24" s="89">
        <v>1323.2279299400493</v>
      </c>
      <c r="AB24" s="89">
        <v>1674.2697937982057</v>
      </c>
      <c r="AC24" s="89">
        <v>1236.4070698702017</v>
      </c>
      <c r="AD24" s="89">
        <v>909.22634140924322</v>
      </c>
      <c r="AE24" s="89">
        <v>1048.0338720770289</v>
      </c>
    </row>
    <row r="25" spans="1:31">
      <c r="A25" s="90"/>
      <c r="B25" s="90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93"/>
      <c r="AA25" s="93"/>
      <c r="AB25" s="93"/>
      <c r="AC25" s="95"/>
      <c r="AD25" s="95"/>
      <c r="AE25" s="95"/>
    </row>
    <row r="26" spans="1:31">
      <c r="A26" s="88" t="s">
        <v>106</v>
      </c>
      <c r="B26" s="88" t="s">
        <v>107</v>
      </c>
      <c r="C26" s="89">
        <v>0.96</v>
      </c>
      <c r="D26" s="89">
        <v>7.12</v>
      </c>
      <c r="E26" s="89">
        <v>22.28</v>
      </c>
      <c r="F26" s="89">
        <v>70.16</v>
      </c>
      <c r="G26" s="89">
        <v>147.32</v>
      </c>
      <c r="H26" s="89">
        <v>83.16</v>
      </c>
      <c r="I26" s="89">
        <v>105.96</v>
      </c>
      <c r="J26" s="89">
        <v>202.73342858917812</v>
      </c>
      <c r="K26" s="89">
        <v>115.46233041470219</v>
      </c>
      <c r="L26" s="89">
        <v>228.0514705882353</v>
      </c>
      <c r="M26" s="89">
        <v>216.30824372759858</v>
      </c>
      <c r="N26" s="89">
        <v>135.57184750733137</v>
      </c>
      <c r="O26" s="89">
        <v>79.57932692307692</v>
      </c>
      <c r="P26" s="89">
        <v>81.25134843581445</v>
      </c>
      <c r="Q26" s="89">
        <v>103.50259067357513</v>
      </c>
      <c r="R26" s="89">
        <v>122.69854132901133</v>
      </c>
      <c r="S26" s="89">
        <v>77.461988304093566</v>
      </c>
      <c r="T26" s="89">
        <v>54.859177727419883</v>
      </c>
      <c r="U26" s="89">
        <v>91.521859435528498</v>
      </c>
      <c r="V26" s="89">
        <v>114.44100580270793</v>
      </c>
      <c r="W26" s="89">
        <v>65.785552621652201</v>
      </c>
      <c r="X26" s="89">
        <v>25.798719005643985</v>
      </c>
      <c r="Y26" s="89">
        <v>19.665225696189804</v>
      </c>
      <c r="Z26" s="89">
        <v>120.33611529164958</v>
      </c>
      <c r="AA26" s="89">
        <v>374.26354766662752</v>
      </c>
      <c r="AB26" s="89">
        <v>211.47363450338423</v>
      </c>
      <c r="AC26" s="89">
        <v>163.44857020913361</v>
      </c>
      <c r="AD26" s="89">
        <v>64.270669455292534</v>
      </c>
      <c r="AE26" s="89">
        <v>150.67976272352132</v>
      </c>
    </row>
    <row r="27" spans="1:31">
      <c r="A27" s="91" t="s">
        <v>108</v>
      </c>
      <c r="B27" s="91" t="s">
        <v>109</v>
      </c>
      <c r="C27" s="92"/>
      <c r="D27" s="92"/>
      <c r="E27" s="92"/>
      <c r="F27" s="35">
        <v>0.68</v>
      </c>
      <c r="G27" s="35">
        <v>1.1200000000000001</v>
      </c>
      <c r="H27" s="35">
        <v>0.52</v>
      </c>
      <c r="I27" s="35">
        <v>0.4</v>
      </c>
      <c r="J27" s="35">
        <v>1.3418649437783439</v>
      </c>
      <c r="K27" s="35">
        <v>0.57731165207351098</v>
      </c>
      <c r="L27" s="35">
        <v>0.73529411764705888</v>
      </c>
      <c r="M27" s="35">
        <v>4.3727598566308243</v>
      </c>
      <c r="N27" s="35">
        <v>1.7595307917888563</v>
      </c>
      <c r="O27" s="35">
        <v>0.50480769230769229</v>
      </c>
      <c r="P27" s="35">
        <v>0.40992448759439049</v>
      </c>
      <c r="Q27" s="35">
        <v>0.44559585492227977</v>
      </c>
      <c r="R27" s="35">
        <v>1.6531604538087519</v>
      </c>
      <c r="S27" s="35">
        <v>0.91812865497076024</v>
      </c>
      <c r="T27" s="35">
        <v>0.38523794108125609</v>
      </c>
      <c r="U27" s="35">
        <v>0.58476295886367824</v>
      </c>
      <c r="V27" s="35">
        <v>0.30303030303030304</v>
      </c>
      <c r="W27" s="35">
        <v>1.938890984534138</v>
      </c>
      <c r="X27" s="35">
        <v>1.1383093411123089</v>
      </c>
      <c r="Y27" s="35">
        <v>2.2509299286216948</v>
      </c>
      <c r="Z27" s="35">
        <v>9.9051397820039231</v>
      </c>
      <c r="AA27" s="35">
        <v>1.7616864542925434</v>
      </c>
      <c r="AB27" s="93">
        <v>0.2464977176137258</v>
      </c>
      <c r="AC27" s="35">
        <v>2.7488639501895511</v>
      </c>
      <c r="AD27" s="35">
        <v>6.8851912861611367E-2</v>
      </c>
      <c r="AE27" s="35">
        <v>7.1755502063273724</v>
      </c>
    </row>
    <row r="28" spans="1:31">
      <c r="A28" s="91" t="s">
        <v>110</v>
      </c>
      <c r="B28" s="91" t="s">
        <v>111</v>
      </c>
      <c r="C28" s="92">
        <v>0</v>
      </c>
      <c r="D28" s="92">
        <v>0</v>
      </c>
      <c r="E28" s="92">
        <v>0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>
        <v>0</v>
      </c>
      <c r="AB28" s="93">
        <v>0</v>
      </c>
      <c r="AC28" s="95">
        <v>0</v>
      </c>
      <c r="AD28" s="95">
        <v>0</v>
      </c>
      <c r="AE28" s="95">
        <v>0</v>
      </c>
    </row>
    <row r="29" spans="1:31">
      <c r="A29" s="91" t="s">
        <v>112</v>
      </c>
      <c r="B29" s="91" t="s">
        <v>113</v>
      </c>
      <c r="C29" s="92"/>
      <c r="D29" s="92"/>
      <c r="E29" s="92"/>
      <c r="F29" s="35">
        <v>0.04</v>
      </c>
      <c r="G29" s="35">
        <v>1.1200000000000001</v>
      </c>
      <c r="H29" s="35">
        <v>1</v>
      </c>
      <c r="I29" s="35">
        <v>2.44</v>
      </c>
      <c r="J29" s="35">
        <v>1.5282350748586693</v>
      </c>
      <c r="K29" s="35">
        <v>3.9257192340998746</v>
      </c>
      <c r="L29" s="35">
        <v>2.7573529411764706</v>
      </c>
      <c r="M29" s="35">
        <v>2.7598566308243728</v>
      </c>
      <c r="N29" s="35">
        <v>2.9325513196480939</v>
      </c>
      <c r="O29" s="35">
        <v>1.5144230769230769</v>
      </c>
      <c r="P29" s="35">
        <v>1.6720604099244876</v>
      </c>
      <c r="Q29" s="35">
        <v>2.8082901554404147</v>
      </c>
      <c r="R29" s="35">
        <v>2.7471636952998377</v>
      </c>
      <c r="S29" s="35">
        <v>2.257309941520468</v>
      </c>
      <c r="T29" s="35">
        <v>1.9715118161217224</v>
      </c>
      <c r="U29" s="35">
        <v>1.6251614093340712</v>
      </c>
      <c r="V29" s="35">
        <v>1.1360412637008381</v>
      </c>
      <c r="W29" s="35">
        <v>2.3604300264051301</v>
      </c>
      <c r="X29" s="35">
        <v>2.6894539920096392</v>
      </c>
      <c r="Y29" s="92"/>
      <c r="Z29" s="92"/>
      <c r="AA29" s="35">
        <v>3.5656909995689823E-2</v>
      </c>
      <c r="AB29" s="92"/>
      <c r="AC29" s="92"/>
      <c r="AD29" s="92"/>
      <c r="AE29" s="95">
        <v>5.4160935350756534E-3</v>
      </c>
    </row>
    <row r="30" spans="1:31">
      <c r="A30" s="90"/>
      <c r="B30" s="90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93"/>
      <c r="AA30" s="93"/>
      <c r="AB30" s="93"/>
      <c r="AC30" s="95"/>
      <c r="AD30" s="95"/>
      <c r="AE30" s="95"/>
    </row>
    <row r="31" spans="1:31">
      <c r="A31" s="88" t="s">
        <v>114</v>
      </c>
      <c r="B31" s="88" t="s">
        <v>115</v>
      </c>
      <c r="C31" s="89">
        <v>15.24</v>
      </c>
      <c r="D31" s="89">
        <v>22.04</v>
      </c>
      <c r="E31" s="89">
        <v>50</v>
      </c>
      <c r="F31" s="89">
        <v>146.32</v>
      </c>
      <c r="G31" s="89">
        <v>255.2</v>
      </c>
      <c r="H31" s="89">
        <v>223.8</v>
      </c>
      <c r="I31" s="89">
        <v>271.88</v>
      </c>
      <c r="J31" s="89">
        <v>304.08150587065916</v>
      </c>
      <c r="K31" s="89">
        <v>291.85028384489556</v>
      </c>
      <c r="L31" s="89">
        <v>509.55882352941177</v>
      </c>
      <c r="M31" s="89">
        <v>566.77419354838707</v>
      </c>
      <c r="N31" s="89">
        <v>440.85043988269791</v>
      </c>
      <c r="O31" s="89">
        <v>220.15625</v>
      </c>
      <c r="P31" s="89">
        <v>259.7195253505933</v>
      </c>
      <c r="Q31" s="89">
        <v>360.46632124352334</v>
      </c>
      <c r="R31" s="89">
        <v>362.13128038897889</v>
      </c>
      <c r="S31" s="89">
        <v>395.16959064327483</v>
      </c>
      <c r="T31" s="89">
        <v>297.73065717060541</v>
      </c>
      <c r="U31" s="89">
        <v>285.3329643977126</v>
      </c>
      <c r="V31" s="89">
        <v>338.72211476466794</v>
      </c>
      <c r="W31" s="89">
        <v>342.84986797434925</v>
      </c>
      <c r="X31" s="89">
        <v>383.97235081488998</v>
      </c>
      <c r="Y31" s="89">
        <v>457.81391374283703</v>
      </c>
      <c r="Z31" s="89">
        <v>506.85319469147629</v>
      </c>
      <c r="AA31" s="89">
        <v>816.89236315191408</v>
      </c>
      <c r="AB31" s="89">
        <v>476.53738391311191</v>
      </c>
      <c r="AC31" s="89">
        <v>369.04396073410157</v>
      </c>
      <c r="AD31" s="89">
        <v>382.92231949508601</v>
      </c>
      <c r="AE31" s="89">
        <v>296.05338720770288</v>
      </c>
    </row>
    <row r="32" spans="1:31">
      <c r="A32" s="88" t="s">
        <v>116</v>
      </c>
      <c r="B32" s="88" t="s">
        <v>117</v>
      </c>
      <c r="C32" s="89">
        <v>14.28</v>
      </c>
      <c r="D32" s="89">
        <v>14.92</v>
      </c>
      <c r="E32" s="89">
        <v>27.72</v>
      </c>
      <c r="F32" s="89">
        <v>76.88</v>
      </c>
      <c r="G32" s="89">
        <v>110.12</v>
      </c>
      <c r="H32" s="89">
        <v>142.16</v>
      </c>
      <c r="I32" s="89">
        <v>168.76</v>
      </c>
      <c r="J32" s="89">
        <v>104.21817730011803</v>
      </c>
      <c r="K32" s="89">
        <v>180.89098431636677</v>
      </c>
      <c r="L32" s="89">
        <v>285</v>
      </c>
      <c r="M32" s="89">
        <v>357.59856630824373</v>
      </c>
      <c r="N32" s="89">
        <v>309.97067448680349</v>
      </c>
      <c r="O32" s="89">
        <v>142.59615384615384</v>
      </c>
      <c r="P32" s="89">
        <v>180.55016181229772</v>
      </c>
      <c r="Q32" s="89">
        <v>260.2176165803109</v>
      </c>
      <c r="R32" s="89">
        <v>243.83306320907616</v>
      </c>
      <c r="S32" s="89">
        <v>320.88304093567251</v>
      </c>
      <c r="T32" s="89">
        <v>245.22822920038848</v>
      </c>
      <c r="U32" s="89">
        <v>196.02102933038185</v>
      </c>
      <c r="V32" s="89">
        <v>225.72018052869117</v>
      </c>
      <c r="W32" s="89">
        <v>281.36363636363632</v>
      </c>
      <c r="X32" s="89">
        <v>362.00139514236793</v>
      </c>
      <c r="Y32" s="89">
        <v>440.39961797526888</v>
      </c>
      <c r="Z32" s="89">
        <v>396.42221918183066</v>
      </c>
      <c r="AA32" s="89">
        <v>444.4261588495749</v>
      </c>
      <c r="AB32" s="89">
        <v>265.31024712734143</v>
      </c>
      <c r="AC32" s="89">
        <v>208.34425447515756</v>
      </c>
      <c r="AD32" s="89">
        <v>318.72050195265507</v>
      </c>
      <c r="AE32" s="89">
        <v>152.55459078404402</v>
      </c>
    </row>
    <row r="33" spans="1:31">
      <c r="A33" s="88" t="s">
        <v>118</v>
      </c>
      <c r="B33" s="88" t="s">
        <v>119</v>
      </c>
      <c r="C33" s="89">
        <v>0.96</v>
      </c>
      <c r="D33" s="89">
        <v>7.12</v>
      </c>
      <c r="E33" s="89">
        <v>22.28</v>
      </c>
      <c r="F33" s="89">
        <v>69.44</v>
      </c>
      <c r="G33" s="89">
        <v>145.08000000000001</v>
      </c>
      <c r="H33" s="89">
        <v>81.64</v>
      </c>
      <c r="I33" s="89">
        <v>103.12</v>
      </c>
      <c r="J33" s="89">
        <v>199.86332857054109</v>
      </c>
      <c r="K33" s="89">
        <v>110.95929952852882</v>
      </c>
      <c r="L33" s="89">
        <v>224.55882352941177</v>
      </c>
      <c r="M33" s="89">
        <v>209.17562724014337</v>
      </c>
      <c r="N33" s="89">
        <v>130.87976539589442</v>
      </c>
      <c r="O33" s="89">
        <v>77.560096153846146</v>
      </c>
      <c r="P33" s="89">
        <v>79.16936353829557</v>
      </c>
      <c r="Q33" s="89">
        <v>100.24870466321244</v>
      </c>
      <c r="R33" s="89">
        <v>118.29821717990275</v>
      </c>
      <c r="S33" s="89">
        <v>74.286549707602333</v>
      </c>
      <c r="T33" s="89">
        <v>52.5024279702169</v>
      </c>
      <c r="U33" s="89">
        <v>89.311935067330751</v>
      </c>
      <c r="V33" s="89">
        <v>113.00193423597679</v>
      </c>
      <c r="W33" s="89">
        <v>61.486231610712935</v>
      </c>
      <c r="X33" s="89">
        <v>21.970955672522035</v>
      </c>
      <c r="Y33" s="89">
        <v>17.41429576756811</v>
      </c>
      <c r="Z33" s="89">
        <v>110.43097550964565</v>
      </c>
      <c r="AA33" s="89">
        <v>372.46620430233924</v>
      </c>
      <c r="AB33" s="89">
        <v>211.22713678577051</v>
      </c>
      <c r="AC33" s="89">
        <v>160.69970625894405</v>
      </c>
      <c r="AD33" s="89">
        <v>64.201817542430916</v>
      </c>
      <c r="AE33" s="89">
        <v>143.49879642365886</v>
      </c>
    </row>
    <row r="34" spans="1:31">
      <c r="A34" s="88"/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93"/>
      <c r="AC34" s="95"/>
      <c r="AD34" s="95"/>
      <c r="AE34" s="95"/>
    </row>
    <row r="35" spans="1:31">
      <c r="A35" s="88" t="s">
        <v>120</v>
      </c>
      <c r="B35" s="88" t="s">
        <v>121</v>
      </c>
      <c r="C35" s="89">
        <v>275.36</v>
      </c>
      <c r="D35" s="89">
        <v>328.12</v>
      </c>
      <c r="E35" s="89">
        <v>496</v>
      </c>
      <c r="F35" s="89">
        <v>862.24</v>
      </c>
      <c r="G35" s="89">
        <v>1153.04</v>
      </c>
      <c r="H35" s="89">
        <v>1425.44</v>
      </c>
      <c r="I35" s="89">
        <v>1721.68</v>
      </c>
      <c r="J35" s="89">
        <v>1986.5192271851897</v>
      </c>
      <c r="K35" s="89">
        <v>2143.0193399403443</v>
      </c>
      <c r="L35" s="89">
        <v>2433.3088235294117</v>
      </c>
      <c r="M35" s="89">
        <v>2920.9677419354839</v>
      </c>
      <c r="N35" s="89">
        <v>2699.5894428152492</v>
      </c>
      <c r="O35" s="89">
        <v>1358.0168269230769</v>
      </c>
      <c r="P35" s="89">
        <v>1672.0064724919093</v>
      </c>
      <c r="Q35" s="89">
        <v>2617.1295336787566</v>
      </c>
      <c r="R35" s="89">
        <v>2472.5040518638571</v>
      </c>
      <c r="S35" s="89">
        <v>2348.8421052631579</v>
      </c>
      <c r="T35" s="89">
        <v>1956.7886047264487</v>
      </c>
      <c r="U35" s="89">
        <v>1870.1863124884708</v>
      </c>
      <c r="V35" s="89">
        <v>2192.4010315925211</v>
      </c>
      <c r="W35" s="89">
        <v>2174.0013202565069</v>
      </c>
      <c r="X35" s="89">
        <v>2196.6497558500855</v>
      </c>
      <c r="Y35" s="89">
        <v>2737.843570925907</v>
      </c>
      <c r="Z35" s="89">
        <v>3180.7511287453826</v>
      </c>
      <c r="AA35" s="89">
        <v>4149.2175071509737</v>
      </c>
      <c r="AB35" s="89">
        <v>4095.9559263340152</v>
      </c>
      <c r="AC35" s="89">
        <v>4105.7578268183079</v>
      </c>
      <c r="AD35" s="89">
        <v>3923.2800903218645</v>
      </c>
      <c r="AE35" s="89">
        <v>3586.68621045392</v>
      </c>
    </row>
    <row r="36" spans="1:31">
      <c r="A36" s="97"/>
      <c r="B36" s="88" t="s">
        <v>122</v>
      </c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</row>
    <row r="37" spans="1:31">
      <c r="A37" s="90"/>
      <c r="B37" s="90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</row>
    <row r="38" spans="1:31">
      <c r="A38" s="88" t="s">
        <v>123</v>
      </c>
      <c r="B38" s="88" t="s">
        <v>124</v>
      </c>
      <c r="C38" s="89">
        <v>275.36</v>
      </c>
      <c r="D38" s="89">
        <v>328.12</v>
      </c>
      <c r="E38" s="89">
        <v>496.12</v>
      </c>
      <c r="F38" s="89">
        <v>847.76</v>
      </c>
      <c r="G38" s="89">
        <v>1146.44</v>
      </c>
      <c r="H38" s="89">
        <v>1370.24</v>
      </c>
      <c r="I38" s="89">
        <v>1670.48</v>
      </c>
      <c r="J38" s="89">
        <v>1796.4589675094737</v>
      </c>
      <c r="K38" s="89">
        <v>1889.2331376888289</v>
      </c>
      <c r="L38" s="89">
        <v>2435.8823529411766</v>
      </c>
      <c r="M38" s="89">
        <v>2929.0322580645161</v>
      </c>
      <c r="N38" s="89">
        <v>2698.4164222873901</v>
      </c>
      <c r="O38" s="89">
        <v>1337.2475961538462</v>
      </c>
      <c r="P38" s="89">
        <v>1671.3592233009708</v>
      </c>
      <c r="Q38" s="89">
        <v>2545.7720207253888</v>
      </c>
      <c r="R38" s="89">
        <v>2467.4878444084279</v>
      </c>
      <c r="S38" s="89">
        <v>2346.6140350877195</v>
      </c>
      <c r="T38" s="89">
        <v>1968.6112010359341</v>
      </c>
      <c r="U38" s="89">
        <v>1871.6436081903707</v>
      </c>
      <c r="V38" s="89">
        <v>2147.1218568665377</v>
      </c>
      <c r="W38" s="89">
        <v>2170.1895511127873</v>
      </c>
      <c r="X38" s="89">
        <v>2197.7696746781658</v>
      </c>
      <c r="Y38" s="89">
        <v>2704.3309540564992</v>
      </c>
      <c r="Z38" s="89">
        <v>3181.9081497696907</v>
      </c>
      <c r="AA38" s="89">
        <v>4150.7813173464992</v>
      </c>
      <c r="AB38" s="89">
        <v>4095.9603337006138</v>
      </c>
      <c r="AC38" s="89">
        <v>4105.7578268183079</v>
      </c>
      <c r="AD38" s="89">
        <v>3923.2800903218645</v>
      </c>
      <c r="AE38" s="89">
        <v>3614.0551925722148</v>
      </c>
    </row>
    <row r="39" spans="1:31">
      <c r="A39" s="90"/>
      <c r="B39" s="91" t="s">
        <v>125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</row>
    <row r="40" spans="1:31">
      <c r="A40" s="88" t="s">
        <v>126</v>
      </c>
      <c r="B40" s="88" t="s">
        <v>127</v>
      </c>
      <c r="C40" s="89">
        <v>204.44</v>
      </c>
      <c r="D40" s="89">
        <v>229.92</v>
      </c>
      <c r="E40" s="89">
        <v>302.2</v>
      </c>
      <c r="F40" s="89">
        <v>476.08</v>
      </c>
      <c r="G40" s="89">
        <v>699.28</v>
      </c>
      <c r="H40" s="89">
        <v>879.56</v>
      </c>
      <c r="I40" s="89">
        <v>1159.32</v>
      </c>
      <c r="J40" s="89">
        <v>1137.7896502453873</v>
      </c>
      <c r="K40" s="89">
        <v>1366.3812181275857</v>
      </c>
      <c r="L40" s="89">
        <v>1745.7352941176471</v>
      </c>
      <c r="M40" s="89">
        <v>2106.845878136201</v>
      </c>
      <c r="N40" s="89">
        <v>2027.9765395894428</v>
      </c>
      <c r="O40" s="89">
        <v>1020.1081730769231</v>
      </c>
      <c r="P40" s="89">
        <v>1255.3937432578209</v>
      </c>
      <c r="Q40" s="89">
        <v>1827.9481865284974</v>
      </c>
      <c r="R40" s="89">
        <v>1836.0048622366287</v>
      </c>
      <c r="S40" s="89">
        <v>1739.4093567251462</v>
      </c>
      <c r="T40" s="89">
        <v>1589.2457105859503</v>
      </c>
      <c r="U40" s="89">
        <v>1532.5843940232428</v>
      </c>
      <c r="V40" s="89">
        <v>1621.6647324306898</v>
      </c>
      <c r="W40" s="89">
        <v>1631.2457563183702</v>
      </c>
      <c r="X40" s="89">
        <v>1815.6940833280487</v>
      </c>
      <c r="Y40" s="89">
        <v>2064.5445863074292</v>
      </c>
      <c r="Z40" s="89">
        <v>2317.0333378939208</v>
      </c>
      <c r="AA40" s="89">
        <v>3011.999529798989</v>
      </c>
      <c r="AB40" s="89">
        <v>2729.6810955454116</v>
      </c>
      <c r="AC40" s="89">
        <v>3012.8329692952725</v>
      </c>
      <c r="AD40" s="89">
        <v>2670.573395768939</v>
      </c>
      <c r="AE40" s="89">
        <v>2135.166781292985</v>
      </c>
    </row>
    <row r="41" spans="1:31">
      <c r="A41" s="88" t="s">
        <v>128</v>
      </c>
      <c r="B41" s="88" t="s">
        <v>129</v>
      </c>
      <c r="C41" s="89">
        <v>146.44</v>
      </c>
      <c r="D41" s="89">
        <v>164.16</v>
      </c>
      <c r="E41" s="89">
        <v>209.08</v>
      </c>
      <c r="F41" s="89">
        <v>325.52</v>
      </c>
      <c r="G41" s="89">
        <v>512.4</v>
      </c>
      <c r="H41" s="89">
        <v>600.12</v>
      </c>
      <c r="I41" s="89">
        <v>831.48</v>
      </c>
      <c r="J41" s="89">
        <v>872.21221345592346</v>
      </c>
      <c r="K41" s="89">
        <v>914.50014432791295</v>
      </c>
      <c r="L41" s="89">
        <v>1129.8161764705883</v>
      </c>
      <c r="M41" s="89">
        <v>1309.7849462365591</v>
      </c>
      <c r="N41" s="89">
        <v>1203.4897360703812</v>
      </c>
      <c r="O41" s="89">
        <v>574.97596153846155</v>
      </c>
      <c r="P41" s="89">
        <v>756.99029126213588</v>
      </c>
      <c r="Q41" s="89">
        <v>978.39378238341965</v>
      </c>
      <c r="R41" s="89">
        <v>984.27876823338727</v>
      </c>
      <c r="S41" s="89">
        <v>977.81286549707602</v>
      </c>
      <c r="T41" s="89">
        <v>843.25671738426684</v>
      </c>
      <c r="U41" s="89">
        <v>713.64877328906107</v>
      </c>
      <c r="V41" s="89">
        <v>758.55963894261765</v>
      </c>
      <c r="W41" s="89">
        <v>858.8740098076197</v>
      </c>
      <c r="X41" s="89">
        <v>853.92415498763387</v>
      </c>
      <c r="Y41" s="89">
        <v>1056.6914647632452</v>
      </c>
      <c r="Z41" s="89">
        <v>1075.5912801568843</v>
      </c>
      <c r="AA41" s="89">
        <v>1298.9071744837586</v>
      </c>
      <c r="AB41" s="89">
        <v>1749.1610262867937</v>
      </c>
      <c r="AC41" s="89">
        <v>1824.1083578117548</v>
      </c>
      <c r="AD41" s="89">
        <v>1504.3572896037315</v>
      </c>
      <c r="AE41" s="89">
        <v>1156.3953748280605</v>
      </c>
    </row>
    <row r="42" spans="1:31">
      <c r="A42" s="90"/>
      <c r="B42" s="91" t="s">
        <v>130</v>
      </c>
      <c r="C42" s="35">
        <v>120.8</v>
      </c>
      <c r="D42" s="35">
        <v>133.72</v>
      </c>
      <c r="E42" s="35">
        <v>143.6</v>
      </c>
      <c r="F42" s="35">
        <v>209.52</v>
      </c>
      <c r="G42" s="35">
        <v>302.24</v>
      </c>
      <c r="H42" s="35">
        <v>362.32</v>
      </c>
      <c r="I42" s="35">
        <v>384.72</v>
      </c>
      <c r="J42" s="35">
        <v>430.14226253339132</v>
      </c>
      <c r="K42" s="35">
        <v>501.52987587799475</v>
      </c>
      <c r="L42" s="35">
        <v>760.33088235294122</v>
      </c>
      <c r="M42" s="35">
        <v>927.16845878136201</v>
      </c>
      <c r="N42" s="35">
        <v>861.61290322580646</v>
      </c>
      <c r="O42" s="35">
        <v>437.25961538461536</v>
      </c>
      <c r="P42" s="35">
        <v>524.6817691477886</v>
      </c>
      <c r="Q42" s="35">
        <v>621.91709844559591</v>
      </c>
      <c r="R42" s="35">
        <v>717.25283630470017</v>
      </c>
      <c r="S42" s="35">
        <v>676.88304093567251</v>
      </c>
      <c r="T42" s="35">
        <v>571.93590158627387</v>
      </c>
      <c r="U42" s="35">
        <v>515.19092418372986</v>
      </c>
      <c r="V42" s="35">
        <v>486.1418439716312</v>
      </c>
      <c r="W42" s="35">
        <v>579.98019615239525</v>
      </c>
      <c r="X42" s="35">
        <v>557.51664658507195</v>
      </c>
      <c r="Y42" s="35">
        <v>623.72373579973862</v>
      </c>
      <c r="Z42" s="35">
        <v>647.19204633556808</v>
      </c>
      <c r="AA42" s="35">
        <v>688.37075349712006</v>
      </c>
      <c r="AB42" s="35">
        <v>1359.7072249331025</v>
      </c>
      <c r="AC42" s="35">
        <v>1387.1589967613165</v>
      </c>
      <c r="AD42" s="35">
        <v>1110.8871161783488</v>
      </c>
      <c r="AE42" s="35">
        <v>915.60729023383772</v>
      </c>
    </row>
    <row r="43" spans="1:31">
      <c r="A43" s="90"/>
      <c r="B43" s="91" t="s">
        <v>131</v>
      </c>
      <c r="C43" s="35">
        <v>7</v>
      </c>
      <c r="D43" s="35">
        <v>8.36</v>
      </c>
      <c r="E43" s="35">
        <v>10.199999999999999</v>
      </c>
      <c r="F43" s="35">
        <v>13.08</v>
      </c>
      <c r="G43" s="35">
        <v>23</v>
      </c>
      <c r="H43" s="35">
        <v>26.04</v>
      </c>
      <c r="I43" s="35">
        <v>23.44</v>
      </c>
      <c r="J43" s="35">
        <v>29.632850841771759</v>
      </c>
      <c r="K43" s="35">
        <v>32.252477629173477</v>
      </c>
      <c r="L43" s="35">
        <v>52.352941176470587</v>
      </c>
      <c r="M43" s="35">
        <v>48.853046594982082</v>
      </c>
      <c r="N43" s="35">
        <v>35.043988269794717</v>
      </c>
      <c r="O43" s="35">
        <v>10.600961538461538</v>
      </c>
      <c r="P43" s="35">
        <v>36.375404530744333</v>
      </c>
      <c r="Q43" s="35">
        <v>52.020725388601036</v>
      </c>
      <c r="R43" s="35">
        <v>47.269043760129655</v>
      </c>
      <c r="S43" s="35">
        <v>43.725146198830409</v>
      </c>
      <c r="T43" s="35">
        <v>30.275169957915185</v>
      </c>
      <c r="U43" s="35">
        <v>32.327983766832688</v>
      </c>
      <c r="V43" s="35">
        <v>39.490651192778856</v>
      </c>
      <c r="W43" s="35">
        <v>16.223123349679366</v>
      </c>
      <c r="X43" s="35">
        <v>48.796372629843361</v>
      </c>
      <c r="Y43" s="35">
        <v>45.927917965215642</v>
      </c>
      <c r="Z43" s="35">
        <v>38.32900077529986</v>
      </c>
      <c r="AA43" s="35">
        <v>44.401081462325145</v>
      </c>
      <c r="AB43" s="35">
        <v>2.7184007555485596</v>
      </c>
      <c r="AC43" s="35">
        <v>36.299364816349076</v>
      </c>
      <c r="AD43" s="35">
        <v>100.90469932813861</v>
      </c>
      <c r="AE43" s="35">
        <v>1.1950653370013755</v>
      </c>
    </row>
    <row r="44" spans="1:31">
      <c r="A44" s="90"/>
      <c r="B44" s="91" t="s">
        <v>132</v>
      </c>
      <c r="C44" s="35">
        <v>18.64</v>
      </c>
      <c r="D44" s="35">
        <v>22.08</v>
      </c>
      <c r="E44" s="35">
        <v>55.28</v>
      </c>
      <c r="F44" s="35">
        <v>99.68</v>
      </c>
      <c r="G44" s="35">
        <v>183.08</v>
      </c>
      <c r="H44" s="35">
        <v>196.84</v>
      </c>
      <c r="I44" s="35">
        <v>380.28</v>
      </c>
      <c r="J44" s="35">
        <v>412.51164813319252</v>
      </c>
      <c r="K44" s="35">
        <v>380.71779082074471</v>
      </c>
      <c r="L44" s="35">
        <v>336.65441176470591</v>
      </c>
      <c r="M44" s="35">
        <v>333.7634408602151</v>
      </c>
      <c r="N44" s="35">
        <v>290.02932551319645</v>
      </c>
      <c r="O44" s="35">
        <v>126.86298076923076</v>
      </c>
      <c r="P44" s="35">
        <v>195.93311758360301</v>
      </c>
      <c r="Q44" s="35">
        <v>304.20725388601034</v>
      </c>
      <c r="R44" s="35">
        <v>205.09724473257697</v>
      </c>
      <c r="S44" s="35">
        <v>177.64912280701753</v>
      </c>
      <c r="T44" s="35">
        <v>241.04564584007773</v>
      </c>
      <c r="U44" s="35">
        <v>175.35325585685297</v>
      </c>
      <c r="V44" s="35">
        <v>232.92714377820761</v>
      </c>
      <c r="W44" s="35">
        <v>262.67069030554507</v>
      </c>
      <c r="X44" s="35">
        <v>247.6111357727186</v>
      </c>
      <c r="Y44" s="35">
        <v>387.03981099829093</v>
      </c>
      <c r="Z44" s="35">
        <v>390.07023304601637</v>
      </c>
      <c r="AA44" s="35">
        <v>566.13533952431328</v>
      </c>
      <c r="AB44" s="35">
        <v>386.73540059814263</v>
      </c>
      <c r="AC44" s="35">
        <v>400.64999623408903</v>
      </c>
      <c r="AD44" s="35">
        <v>292.56547409724408</v>
      </c>
      <c r="AE44" s="35">
        <v>239.59301925722147</v>
      </c>
    </row>
    <row r="45" spans="1:31">
      <c r="A45" s="88" t="s">
        <v>133</v>
      </c>
      <c r="B45" s="88" t="s">
        <v>134</v>
      </c>
      <c r="C45" s="89">
        <v>24.4</v>
      </c>
      <c r="D45" s="89">
        <v>22.36</v>
      </c>
      <c r="E45" s="89">
        <v>27.52</v>
      </c>
      <c r="F45" s="89">
        <v>32.08</v>
      </c>
      <c r="G45" s="89">
        <v>31.76</v>
      </c>
      <c r="H45" s="89">
        <v>58.04</v>
      </c>
      <c r="I45" s="89">
        <v>75.56</v>
      </c>
      <c r="J45" s="89">
        <v>102.35447598931478</v>
      </c>
      <c r="K45" s="89">
        <v>173.0780332916386</v>
      </c>
      <c r="L45" s="89">
        <v>137.5735294117647</v>
      </c>
      <c r="M45" s="89">
        <v>245.84229390681006</v>
      </c>
      <c r="N45" s="89">
        <v>352.05278592375367</v>
      </c>
      <c r="O45" s="89">
        <v>220.12019230769229</v>
      </c>
      <c r="P45" s="89">
        <v>235.0269687162891</v>
      </c>
      <c r="Q45" s="89">
        <v>415.38860103626945</v>
      </c>
      <c r="R45" s="89">
        <v>340.80226904376013</v>
      </c>
      <c r="S45" s="89">
        <v>242.29239766081872</v>
      </c>
      <c r="T45" s="89">
        <v>254.71026222078345</v>
      </c>
      <c r="U45" s="89">
        <v>322.13244788784357</v>
      </c>
      <c r="V45" s="89">
        <v>448.39071566731144</v>
      </c>
      <c r="W45" s="89">
        <v>330.17917766880419</v>
      </c>
      <c r="X45" s="89">
        <v>333.38068361976025</v>
      </c>
      <c r="Y45" s="89">
        <v>266.57233336684425</v>
      </c>
      <c r="Z45" s="89">
        <v>427.39499247503085</v>
      </c>
      <c r="AA45" s="89">
        <v>852.94149915755656</v>
      </c>
      <c r="AB45" s="89">
        <v>616.50495828742328</v>
      </c>
      <c r="AC45" s="89">
        <v>939.81672566593863</v>
      </c>
      <c r="AD45" s="89">
        <v>705.26476521867892</v>
      </c>
      <c r="AE45" s="89">
        <v>681.37869669876204</v>
      </c>
    </row>
    <row r="46" spans="1:31">
      <c r="A46" s="90"/>
      <c r="B46" s="91" t="s">
        <v>135</v>
      </c>
      <c r="C46" s="35">
        <v>21.16</v>
      </c>
      <c r="D46" s="35">
        <v>17.760000000000002</v>
      </c>
      <c r="E46" s="35">
        <v>20.440000000000001</v>
      </c>
      <c r="F46" s="35">
        <v>24.56</v>
      </c>
      <c r="G46" s="35">
        <v>24.24</v>
      </c>
      <c r="H46" s="35">
        <v>29.4</v>
      </c>
      <c r="I46" s="35">
        <v>26.96</v>
      </c>
      <c r="J46" s="35">
        <v>32.875691122569421</v>
      </c>
      <c r="K46" s="35">
        <v>35.446935437313577</v>
      </c>
      <c r="L46" s="35">
        <v>54.411764705882355</v>
      </c>
      <c r="M46" s="35">
        <v>67.849462365591407</v>
      </c>
      <c r="N46" s="35">
        <v>62.258064516129032</v>
      </c>
      <c r="O46" s="35">
        <v>37.96875</v>
      </c>
      <c r="P46" s="35">
        <v>40.496224379719521</v>
      </c>
      <c r="Q46" s="35">
        <v>96.787564766839381</v>
      </c>
      <c r="R46" s="35">
        <v>92.398703403565634</v>
      </c>
      <c r="S46" s="35">
        <v>71.929824561403507</v>
      </c>
      <c r="T46" s="35">
        <v>68.306895435415996</v>
      </c>
      <c r="U46" s="35">
        <v>59.059214167127834</v>
      </c>
      <c r="V46" s="35">
        <v>52.686009026434562</v>
      </c>
      <c r="W46" s="35">
        <v>53.078083741984152</v>
      </c>
      <c r="X46" s="35">
        <v>63.401610755279343</v>
      </c>
      <c r="Y46" s="35">
        <v>57.03026038001407</v>
      </c>
      <c r="Z46" s="35">
        <v>67.961873489305432</v>
      </c>
      <c r="AA46" s="35">
        <v>89.275890443164457</v>
      </c>
      <c r="AB46" s="35">
        <v>122.36014481347395</v>
      </c>
      <c r="AC46" s="35">
        <v>237.16903919058021</v>
      </c>
      <c r="AD46" s="35">
        <v>151.79403653593442</v>
      </c>
      <c r="AE46" s="35">
        <v>253.54143741403027</v>
      </c>
    </row>
    <row r="47" spans="1:31">
      <c r="A47" s="90"/>
      <c r="B47" s="91" t="s">
        <v>136</v>
      </c>
      <c r="C47" s="35">
        <v>3.24</v>
      </c>
      <c r="D47" s="35">
        <v>4.5999999999999996</v>
      </c>
      <c r="E47" s="35">
        <v>7.08</v>
      </c>
      <c r="F47" s="35">
        <v>7.52</v>
      </c>
      <c r="G47" s="35">
        <v>7.52</v>
      </c>
      <c r="H47" s="35">
        <v>28.64</v>
      </c>
      <c r="I47" s="35">
        <v>48.6</v>
      </c>
      <c r="J47" s="35">
        <v>69.478784866745357</v>
      </c>
      <c r="K47" s="35">
        <v>137.63109785432502</v>
      </c>
      <c r="L47" s="35">
        <v>83.161764705882362</v>
      </c>
      <c r="M47" s="35">
        <v>177.99283154121864</v>
      </c>
      <c r="N47" s="35">
        <v>289.79472140762465</v>
      </c>
      <c r="O47" s="35">
        <v>182.15144230769229</v>
      </c>
      <c r="P47" s="35">
        <v>194.53074433656957</v>
      </c>
      <c r="Q47" s="35">
        <v>318.60103626943004</v>
      </c>
      <c r="R47" s="35">
        <v>248.40356564019447</v>
      </c>
      <c r="S47" s="35">
        <v>170.36257309941521</v>
      </c>
      <c r="T47" s="35">
        <v>186.40336678536744</v>
      </c>
      <c r="U47" s="35">
        <v>263.07323372071573</v>
      </c>
      <c r="V47" s="35">
        <v>395.70470664087685</v>
      </c>
      <c r="W47" s="35">
        <v>277.10109392682006</v>
      </c>
      <c r="X47" s="35">
        <v>269.97907286448094</v>
      </c>
      <c r="Y47" s="35">
        <v>209.54207298683019</v>
      </c>
      <c r="Z47" s="35">
        <v>359.4331189857254</v>
      </c>
      <c r="AA47" s="35">
        <v>763.66560871439208</v>
      </c>
      <c r="AB47" s="35">
        <v>494.14481347394934</v>
      </c>
      <c r="AC47" s="35">
        <v>702.64768647535846</v>
      </c>
      <c r="AD47" s="35">
        <v>553.47072868274449</v>
      </c>
      <c r="AE47" s="35">
        <v>427.83725928473177</v>
      </c>
    </row>
    <row r="48" spans="1:31">
      <c r="A48" s="88" t="s">
        <v>137</v>
      </c>
      <c r="B48" s="88" t="s">
        <v>138</v>
      </c>
      <c r="C48" s="89">
        <v>0</v>
      </c>
      <c r="D48" s="89"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99">
        <v>0</v>
      </c>
      <c r="AB48" s="93">
        <v>0</v>
      </c>
      <c r="AC48" s="95">
        <v>0</v>
      </c>
      <c r="AD48" s="95">
        <v>0</v>
      </c>
      <c r="AE48" s="95">
        <v>0</v>
      </c>
    </row>
    <row r="49" spans="1:31">
      <c r="A49" s="90"/>
      <c r="B49" s="90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35"/>
      <c r="AA49" s="93"/>
      <c r="AB49" s="93"/>
      <c r="AC49" s="95"/>
      <c r="AD49" s="95"/>
      <c r="AE49" s="95"/>
    </row>
    <row r="50" spans="1:31">
      <c r="A50" s="88" t="s">
        <v>139</v>
      </c>
      <c r="B50" s="88" t="s">
        <v>140</v>
      </c>
      <c r="C50" s="89">
        <v>70.92</v>
      </c>
      <c r="D50" s="89">
        <v>98.2</v>
      </c>
      <c r="E50" s="89">
        <v>193.92</v>
      </c>
      <c r="F50" s="89">
        <v>371.68</v>
      </c>
      <c r="G50" s="89">
        <v>447.16</v>
      </c>
      <c r="H50" s="89">
        <v>490.68</v>
      </c>
      <c r="I50" s="89">
        <v>511.16</v>
      </c>
      <c r="J50" s="89">
        <v>658.66931726408643</v>
      </c>
      <c r="K50" s="89">
        <v>522.85191956124311</v>
      </c>
      <c r="L50" s="89">
        <v>690.14705882352939</v>
      </c>
      <c r="M50" s="89">
        <v>822.18637992831543</v>
      </c>
      <c r="N50" s="89">
        <v>670.43988269794716</v>
      </c>
      <c r="O50" s="89">
        <v>317.13942307692309</v>
      </c>
      <c r="P50" s="89">
        <v>415.96548004314991</v>
      </c>
      <c r="Q50" s="89">
        <v>717.8238341968912</v>
      </c>
      <c r="R50" s="89">
        <v>631.48298217179899</v>
      </c>
      <c r="S50" s="89">
        <v>607.20467836257308</v>
      </c>
      <c r="T50" s="89">
        <v>379.36549044998384</v>
      </c>
      <c r="U50" s="89">
        <v>339.05921416712783</v>
      </c>
      <c r="V50" s="89">
        <v>525.45712443584785</v>
      </c>
      <c r="W50" s="89">
        <v>538.94379479441716</v>
      </c>
      <c r="X50" s="89">
        <v>382.07559135011729</v>
      </c>
      <c r="Y50" s="89">
        <v>639.78636774907</v>
      </c>
      <c r="Z50" s="89">
        <v>864.87481187576964</v>
      </c>
      <c r="AA50" s="89">
        <v>1138.78178754751</v>
      </c>
      <c r="AB50" s="89">
        <v>1366.2792381552022</v>
      </c>
      <c r="AC50" s="89">
        <v>1092.9248575230349</v>
      </c>
      <c r="AD50" s="89">
        <v>1252.7066945529255</v>
      </c>
      <c r="AE50" s="89">
        <v>1478.8884112792298</v>
      </c>
    </row>
    <row r="51" spans="1:31">
      <c r="A51" s="91" t="s">
        <v>141</v>
      </c>
      <c r="B51" s="91" t="s">
        <v>142</v>
      </c>
      <c r="C51" s="35">
        <v>44.36</v>
      </c>
      <c r="D51" s="35">
        <v>49.52</v>
      </c>
      <c r="E51" s="35">
        <v>59.36</v>
      </c>
      <c r="F51" s="35">
        <v>155.08000000000001</v>
      </c>
      <c r="G51" s="35">
        <v>168.64</v>
      </c>
      <c r="H51" s="35">
        <v>245.08</v>
      </c>
      <c r="I51" s="35">
        <v>286.56</v>
      </c>
      <c r="J51" s="35">
        <v>298.63949804311363</v>
      </c>
      <c r="K51" s="35">
        <v>262.79226402386217</v>
      </c>
      <c r="L51" s="35">
        <v>290.80882352941177</v>
      </c>
      <c r="M51" s="35">
        <v>336.81003584229393</v>
      </c>
      <c r="N51" s="35">
        <v>265.63049853372434</v>
      </c>
      <c r="O51" s="35">
        <v>116.21394230769231</v>
      </c>
      <c r="P51" s="35">
        <v>213.3764832793959</v>
      </c>
      <c r="Q51" s="35">
        <v>442.63212435233163</v>
      </c>
      <c r="R51" s="35">
        <v>346.04538087520257</v>
      </c>
      <c r="S51" s="35">
        <v>326.93567251461991</v>
      </c>
      <c r="T51" s="35">
        <v>229.96438977015217</v>
      </c>
      <c r="U51" s="35">
        <v>182.47186865891902</v>
      </c>
      <c r="V51" s="35">
        <v>234.7840103159252</v>
      </c>
      <c r="W51" s="35">
        <v>188.74575631837041</v>
      </c>
      <c r="X51" s="35">
        <v>204.78724078888959</v>
      </c>
      <c r="Y51" s="35">
        <v>307.29717502764652</v>
      </c>
      <c r="Z51" s="35">
        <v>280.7046107538651</v>
      </c>
      <c r="AA51" s="35">
        <v>355.6118490654755</v>
      </c>
      <c r="AB51" s="35">
        <v>839.1178970565087</v>
      </c>
      <c r="AC51" s="35">
        <v>523.93010469232513</v>
      </c>
      <c r="AD51" s="35">
        <v>731.32891595254409</v>
      </c>
      <c r="AE51" s="35">
        <v>641.86047111416781</v>
      </c>
    </row>
    <row r="52" spans="1:31">
      <c r="A52" s="91" t="s">
        <v>143</v>
      </c>
      <c r="B52" s="91" t="s">
        <v>144</v>
      </c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35">
        <v>0</v>
      </c>
      <c r="AA52" s="35">
        <v>0</v>
      </c>
      <c r="AB52" s="93">
        <v>0</v>
      </c>
      <c r="AC52" s="95">
        <v>0</v>
      </c>
      <c r="AD52" s="95">
        <v>0</v>
      </c>
      <c r="AE52" s="95">
        <v>0</v>
      </c>
    </row>
    <row r="53" spans="1:31">
      <c r="A53" s="91" t="s">
        <v>145</v>
      </c>
      <c r="B53" s="91" t="s">
        <v>146</v>
      </c>
      <c r="C53" s="92">
        <v>0</v>
      </c>
      <c r="D53" s="92"/>
      <c r="E53" s="35">
        <v>1.2</v>
      </c>
      <c r="F53" s="35">
        <v>1.32</v>
      </c>
      <c r="G53" s="35">
        <v>1</v>
      </c>
      <c r="H53" s="35">
        <v>2.16</v>
      </c>
      <c r="I53" s="35">
        <v>1.6</v>
      </c>
      <c r="J53" s="35">
        <v>4.3610610672796177</v>
      </c>
      <c r="K53" s="35">
        <v>2.3862214952371787</v>
      </c>
      <c r="L53" s="35">
        <v>2.2426470588235294</v>
      </c>
      <c r="M53" s="35">
        <v>3.763440860215054</v>
      </c>
      <c r="N53" s="35">
        <v>2.404692082111437</v>
      </c>
      <c r="O53" s="35">
        <v>1.3341346153846154</v>
      </c>
      <c r="P53" s="35">
        <v>0.22653721682847897</v>
      </c>
      <c r="Q53" s="35">
        <v>0.96373056994818651</v>
      </c>
      <c r="R53" s="35">
        <v>1.880064829821718</v>
      </c>
      <c r="S53" s="35">
        <v>1.1578947368421053</v>
      </c>
      <c r="T53" s="35">
        <v>0.11006798316607318</v>
      </c>
      <c r="U53" s="35">
        <v>9.0389227079874554E-2</v>
      </c>
      <c r="V53" s="35">
        <v>7.7369439071566737E-2</v>
      </c>
      <c r="W53" s="35">
        <v>0.54884949075820444</v>
      </c>
      <c r="X53" s="35">
        <v>0.19722239837656161</v>
      </c>
      <c r="Y53" s="35">
        <v>1.0173921785462954</v>
      </c>
      <c r="Z53" s="35">
        <v>0.45788297532722216</v>
      </c>
      <c r="AA53" s="35">
        <v>3.6832412523020261E-2</v>
      </c>
      <c r="AB53" s="93">
        <v>7.2091925074767832E-2</v>
      </c>
      <c r="AC53" s="35">
        <v>5.2722753634104093E-2</v>
      </c>
      <c r="AD53" s="35">
        <v>5.5525736178718837E-2</v>
      </c>
      <c r="AE53" s="92"/>
    </row>
    <row r="54" spans="1:31">
      <c r="A54" s="90"/>
      <c r="B54" s="90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35"/>
      <c r="AA54" s="93"/>
      <c r="AB54" s="93"/>
      <c r="AC54" s="95"/>
      <c r="AD54" s="95"/>
      <c r="AE54" s="95"/>
    </row>
    <row r="55" spans="1:31">
      <c r="A55" s="88" t="s">
        <v>147</v>
      </c>
      <c r="B55" s="88" t="s">
        <v>148</v>
      </c>
      <c r="C55" s="92"/>
      <c r="D55" s="92"/>
      <c r="E55" s="89">
        <v>-0.12</v>
      </c>
      <c r="F55" s="89">
        <v>14.48</v>
      </c>
      <c r="G55" s="89">
        <v>6.6</v>
      </c>
      <c r="H55" s="89">
        <v>55.2</v>
      </c>
      <c r="I55" s="89">
        <v>51.2</v>
      </c>
      <c r="J55" s="89">
        <v>190.06025967571597</v>
      </c>
      <c r="K55" s="89">
        <v>253.78620225151542</v>
      </c>
      <c r="L55" s="89">
        <v>-2.5735294117647061</v>
      </c>
      <c r="M55" s="89">
        <v>-8.064516129032258</v>
      </c>
      <c r="N55" s="89">
        <v>1.1730205278592374</v>
      </c>
      <c r="O55" s="89">
        <v>20.76923076923077</v>
      </c>
      <c r="P55" s="89">
        <v>0.6472491909385113</v>
      </c>
      <c r="Q55" s="89">
        <v>71.357512953367873</v>
      </c>
      <c r="R55" s="89">
        <v>5.0162074554294973</v>
      </c>
      <c r="S55" s="89">
        <v>2.2280701754385963</v>
      </c>
      <c r="T55" s="89">
        <v>-11.822596309485272</v>
      </c>
      <c r="U55" s="89">
        <v>-1.4572957019000183</v>
      </c>
      <c r="V55" s="89">
        <v>45.279174725983239</v>
      </c>
      <c r="W55" s="89">
        <v>3.811769143719351</v>
      </c>
      <c r="X55" s="89">
        <v>-1.1199188280804109</v>
      </c>
      <c r="Y55" s="89">
        <v>33.512616869407857</v>
      </c>
      <c r="Z55" s="89">
        <v>-1.1570210243079309</v>
      </c>
      <c r="AA55" s="89">
        <v>-1.5638101955252537</v>
      </c>
      <c r="AB55" s="89">
        <v>-4.4073665984574219E-3</v>
      </c>
      <c r="AC55" s="92"/>
      <c r="AD55" s="92"/>
      <c r="AE55" s="89">
        <v>-27.368982118294362</v>
      </c>
    </row>
    <row r="56" spans="1:31">
      <c r="A56" s="88" t="s">
        <v>149</v>
      </c>
      <c r="B56" s="88" t="s">
        <v>150</v>
      </c>
      <c r="C56" s="89">
        <v>0</v>
      </c>
      <c r="D56" s="89">
        <v>0</v>
      </c>
      <c r="E56" s="89">
        <v>0</v>
      </c>
      <c r="F56" s="89">
        <v>14.52</v>
      </c>
      <c r="G56" s="89">
        <v>7.76</v>
      </c>
      <c r="H56" s="89">
        <v>59.64</v>
      </c>
      <c r="I56" s="89">
        <v>106.64</v>
      </c>
      <c r="J56" s="89">
        <v>211.82829098589801</v>
      </c>
      <c r="K56" s="89">
        <v>280.84287501202732</v>
      </c>
      <c r="L56" s="89">
        <v>4.8529411764705888</v>
      </c>
      <c r="M56" s="89">
        <v>2.2580645161290325</v>
      </c>
      <c r="N56" s="89">
        <v>8.5337243401759526</v>
      </c>
      <c r="O56" s="89">
        <v>23.822115384615383</v>
      </c>
      <c r="P56" s="89">
        <v>4.6817691477885655</v>
      </c>
      <c r="Q56" s="89">
        <v>73.761658031088089</v>
      </c>
      <c r="R56" s="89">
        <v>8.6790923824959485</v>
      </c>
      <c r="S56" s="89">
        <v>5.0409356725146202</v>
      </c>
      <c r="T56" s="89">
        <v>5.1149239235998705</v>
      </c>
      <c r="U56" s="89">
        <v>1.4849658734550821</v>
      </c>
      <c r="V56" s="89">
        <v>45.279174725983239</v>
      </c>
      <c r="W56" s="89">
        <v>5.1857789513391168</v>
      </c>
      <c r="X56" s="92"/>
      <c r="Y56" s="89">
        <v>52.202171508997687</v>
      </c>
      <c r="Z56" s="92"/>
      <c r="AA56" s="92"/>
      <c r="AB56" s="92"/>
      <c r="AC56" s="92"/>
      <c r="AD56" s="92"/>
      <c r="AE56" s="92"/>
    </row>
    <row r="57" spans="1:31">
      <c r="A57" s="88" t="s">
        <v>151</v>
      </c>
      <c r="B57" s="88" t="s">
        <v>152</v>
      </c>
      <c r="C57" s="92"/>
      <c r="D57" s="92"/>
      <c r="E57" s="89">
        <v>0.12</v>
      </c>
      <c r="F57" s="89">
        <v>0.04</v>
      </c>
      <c r="G57" s="89">
        <v>1.1599999999999999</v>
      </c>
      <c r="H57" s="89">
        <v>4.4400000000000004</v>
      </c>
      <c r="I57" s="89">
        <v>55.44</v>
      </c>
      <c r="J57" s="89">
        <v>21.768031310182021</v>
      </c>
      <c r="K57" s="89">
        <v>27.05667276051188</v>
      </c>
      <c r="L57" s="89">
        <v>7.4264705882352944</v>
      </c>
      <c r="M57" s="89">
        <v>10.32258064516129</v>
      </c>
      <c r="N57" s="89">
        <v>7.3607038123167152</v>
      </c>
      <c r="O57" s="89">
        <v>3.0528846153846154</v>
      </c>
      <c r="P57" s="89">
        <v>4.0345199568500538</v>
      </c>
      <c r="Q57" s="89">
        <v>2.4041450777202074</v>
      </c>
      <c r="R57" s="89">
        <v>3.6628849270664503</v>
      </c>
      <c r="S57" s="89">
        <v>2.8128654970760234</v>
      </c>
      <c r="T57" s="89">
        <v>16.937520233085142</v>
      </c>
      <c r="U57" s="89">
        <v>2.9422615753551002</v>
      </c>
      <c r="V57" s="92"/>
      <c r="W57" s="89">
        <v>1.374009807619766</v>
      </c>
      <c r="X57" s="89">
        <v>1.1199188280804109</v>
      </c>
      <c r="Y57" s="89">
        <v>18.689554639589826</v>
      </c>
      <c r="Z57" s="89">
        <v>1.1570210243079309</v>
      </c>
      <c r="AA57" s="89">
        <v>1.5638101955252537</v>
      </c>
      <c r="AB57" s="99">
        <v>4.4073665984574219E-3</v>
      </c>
      <c r="AC57" s="92"/>
      <c r="AD57" s="92"/>
      <c r="AE57" s="89">
        <v>27.368982118294362</v>
      </c>
    </row>
    <row r="58" spans="1:31">
      <c r="A58" s="90"/>
      <c r="B58" s="90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93"/>
      <c r="AB58" s="93"/>
      <c r="AC58" s="95"/>
      <c r="AD58" s="95"/>
      <c r="AE58" s="95"/>
    </row>
    <row r="59" spans="1:31">
      <c r="A59" s="88" t="s">
        <v>114</v>
      </c>
      <c r="B59" s="88" t="s">
        <v>115</v>
      </c>
      <c r="C59" s="89">
        <v>60.16</v>
      </c>
      <c r="D59" s="89">
        <v>92.08</v>
      </c>
      <c r="E59" s="89">
        <v>198.96</v>
      </c>
      <c r="F59" s="89">
        <v>333.76</v>
      </c>
      <c r="G59" s="89">
        <v>432.64</v>
      </c>
      <c r="H59" s="89">
        <v>464.6</v>
      </c>
      <c r="I59" s="89">
        <v>475.04</v>
      </c>
      <c r="J59" s="89">
        <v>518.89171895384231</v>
      </c>
      <c r="K59" s="89">
        <v>536.47647455017795</v>
      </c>
      <c r="L59" s="89">
        <v>875.44117647058829</v>
      </c>
      <c r="M59" s="89">
        <v>1032.831541218638</v>
      </c>
      <c r="N59" s="89">
        <v>874.83870967741927</v>
      </c>
      <c r="O59" s="89">
        <v>424.60336538461536</v>
      </c>
      <c r="P59" s="89">
        <v>465.73894282632148</v>
      </c>
      <c r="Q59" s="89">
        <v>708.39378238341965</v>
      </c>
      <c r="R59" s="89">
        <v>794.48136142625606</v>
      </c>
      <c r="S59" s="89">
        <v>796.47953216374265</v>
      </c>
      <c r="T59" s="89">
        <v>640.56976367756556</v>
      </c>
      <c r="U59" s="89">
        <v>653.30012912746724</v>
      </c>
      <c r="V59" s="89">
        <v>705.31012250161189</v>
      </c>
      <c r="W59" s="89">
        <v>791.84175782723491</v>
      </c>
      <c r="X59" s="89">
        <v>805.48037288350554</v>
      </c>
      <c r="Y59" s="89">
        <v>1072.7525887202171</v>
      </c>
      <c r="Z59" s="89">
        <v>1397.7593834085831</v>
      </c>
      <c r="AA59" s="89">
        <v>1643.2839622271856</v>
      </c>
      <c r="AB59" s="89">
        <v>891.10436014481343</v>
      </c>
      <c r="AC59" s="89">
        <v>817.84991589465494</v>
      </c>
      <c r="AD59" s="89">
        <v>982.27359381073131</v>
      </c>
      <c r="AE59" s="89">
        <v>1134.4206499312243</v>
      </c>
    </row>
    <row r="60" spans="1:31">
      <c r="A60" s="88" t="s">
        <v>116</v>
      </c>
      <c r="B60" s="88" t="s">
        <v>117</v>
      </c>
      <c r="C60" s="89">
        <v>33.6</v>
      </c>
      <c r="D60" s="89">
        <v>43.4</v>
      </c>
      <c r="E60" s="89">
        <v>65.599999999999994</v>
      </c>
      <c r="F60" s="89">
        <v>118.48</v>
      </c>
      <c r="G60" s="89">
        <v>155.12</v>
      </c>
      <c r="H60" s="89">
        <v>221.16</v>
      </c>
      <c r="I60" s="89">
        <v>252.04</v>
      </c>
      <c r="J60" s="89">
        <v>163.22296080014911</v>
      </c>
      <c r="K60" s="89">
        <v>278.80304050803426</v>
      </c>
      <c r="L60" s="89">
        <v>478.34558823529414</v>
      </c>
      <c r="M60" s="89">
        <v>551.21863799283153</v>
      </c>
      <c r="N60" s="89">
        <v>472.43401759530792</v>
      </c>
      <c r="O60" s="89">
        <v>225.01201923076923</v>
      </c>
      <c r="P60" s="89">
        <v>263.37648327939587</v>
      </c>
      <c r="Q60" s="89">
        <v>434.16580310880829</v>
      </c>
      <c r="R60" s="89">
        <v>510.92382495948135</v>
      </c>
      <c r="S60" s="89">
        <v>517.36842105263156</v>
      </c>
      <c r="T60" s="89">
        <v>491.27873098089998</v>
      </c>
      <c r="U60" s="89">
        <v>496.80317284633827</v>
      </c>
      <c r="V60" s="89">
        <v>414.71437782076077</v>
      </c>
      <c r="W60" s="89">
        <v>442.19256884194641</v>
      </c>
      <c r="X60" s="89">
        <v>628.38924472065446</v>
      </c>
      <c r="Y60" s="89">
        <v>741.2807881773399</v>
      </c>
      <c r="Z60" s="89">
        <v>814.04706526200584</v>
      </c>
      <c r="AA60" s="89">
        <v>860.15085615767407</v>
      </c>
      <c r="AB60" s="89">
        <v>364.0151109711947</v>
      </c>
      <c r="AC60" s="89">
        <v>248.90788581757928</v>
      </c>
      <c r="AD60" s="89">
        <v>460.95134094652877</v>
      </c>
      <c r="AE60" s="89">
        <v>297.39270976616228</v>
      </c>
    </row>
    <row r="61" spans="1:31">
      <c r="A61" s="88" t="s">
        <v>118</v>
      </c>
      <c r="B61" s="88" t="s">
        <v>119</v>
      </c>
      <c r="C61" s="89">
        <v>26.56</v>
      </c>
      <c r="D61" s="89">
        <v>48.68</v>
      </c>
      <c r="E61" s="89">
        <v>133.36000000000001</v>
      </c>
      <c r="F61" s="89">
        <v>215.28</v>
      </c>
      <c r="G61" s="89">
        <v>277.52</v>
      </c>
      <c r="H61" s="89">
        <v>243.44</v>
      </c>
      <c r="I61" s="89">
        <v>223</v>
      </c>
      <c r="J61" s="89">
        <v>355.66875815369326</v>
      </c>
      <c r="K61" s="89">
        <v>257.67343404214375</v>
      </c>
      <c r="L61" s="89">
        <v>397.09558823529414</v>
      </c>
      <c r="M61" s="89">
        <v>481.61290322580646</v>
      </c>
      <c r="N61" s="89">
        <v>402.40469208211141</v>
      </c>
      <c r="O61" s="89">
        <v>199.59134615384616</v>
      </c>
      <c r="P61" s="89">
        <v>202.36245954692555</v>
      </c>
      <c r="Q61" s="89">
        <v>274.22797927461141</v>
      </c>
      <c r="R61" s="89">
        <v>283.55753646677471</v>
      </c>
      <c r="S61" s="89">
        <v>279.11111111111109</v>
      </c>
      <c r="T61" s="89">
        <v>149.29103269666561</v>
      </c>
      <c r="U61" s="89">
        <v>156.49695628112894</v>
      </c>
      <c r="V61" s="89">
        <v>290.59574468085106</v>
      </c>
      <c r="W61" s="89">
        <v>349.64918898528856</v>
      </c>
      <c r="X61" s="89">
        <v>177.09112816285116</v>
      </c>
      <c r="Y61" s="89">
        <v>331.47180054287725</v>
      </c>
      <c r="Z61" s="89">
        <v>583.71231814657733</v>
      </c>
      <c r="AA61" s="89">
        <v>783.13310606951143</v>
      </c>
      <c r="AB61" s="89">
        <v>527.08924917361878</v>
      </c>
      <c r="AC61" s="89">
        <v>568.94203007707563</v>
      </c>
      <c r="AD61" s="89">
        <v>521.3222528642026</v>
      </c>
      <c r="AE61" s="89">
        <v>837.02794016506186</v>
      </c>
    </row>
    <row r="62" spans="1:31">
      <c r="A62" s="90"/>
      <c r="B62" s="90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93"/>
      <c r="AB62" s="93"/>
      <c r="AC62" s="95"/>
      <c r="AD62" s="95"/>
      <c r="AE62" s="95"/>
    </row>
    <row r="63" spans="1:31">
      <c r="A63" s="88" t="s">
        <v>153</v>
      </c>
      <c r="B63" s="88" t="s">
        <v>154</v>
      </c>
      <c r="C63" s="89">
        <v>78.92</v>
      </c>
      <c r="D63" s="89">
        <v>39.520000000000003</v>
      </c>
      <c r="E63" s="89">
        <v>1.4</v>
      </c>
      <c r="F63" s="89">
        <v>-82.96</v>
      </c>
      <c r="G63" s="89">
        <v>65</v>
      </c>
      <c r="H63" s="89">
        <v>268.44</v>
      </c>
      <c r="I63" s="89">
        <v>390.16</v>
      </c>
      <c r="J63" s="89">
        <v>451.23936137168414</v>
      </c>
      <c r="K63" s="89">
        <v>288.42490137592608</v>
      </c>
      <c r="L63" s="89">
        <v>212.75735294117646</v>
      </c>
      <c r="M63" s="89">
        <v>516.88172043010752</v>
      </c>
      <c r="N63" s="89">
        <v>477.50733137829911</v>
      </c>
      <c r="O63" s="89">
        <v>114.24278846153845</v>
      </c>
      <c r="P63" s="89">
        <v>22.491909385113267</v>
      </c>
      <c r="Q63" s="89">
        <v>-203.06735751295338</v>
      </c>
      <c r="R63" s="89">
        <v>255.83468395461912</v>
      </c>
      <c r="S63" s="89">
        <v>362.4970760233918</v>
      </c>
      <c r="T63" s="89">
        <v>114.35415992230496</v>
      </c>
      <c r="U63" s="89">
        <v>-153.94207710754472</v>
      </c>
      <c r="V63" s="89">
        <v>-82.600902643455839</v>
      </c>
      <c r="W63" s="89">
        <v>-160.47906450396076</v>
      </c>
      <c r="X63" s="89">
        <v>-388.10260637960556</v>
      </c>
      <c r="Y63" s="89">
        <v>-125.16386850306624</v>
      </c>
      <c r="Z63" s="89">
        <v>-32.872257946823552</v>
      </c>
      <c r="AA63" s="89">
        <v>283.45832843540614</v>
      </c>
      <c r="AB63" s="89">
        <v>365.77207618447977</v>
      </c>
      <c r="AC63" s="89">
        <v>454.73400115487937</v>
      </c>
      <c r="AD63" s="89">
        <v>530.26726387680696</v>
      </c>
      <c r="AE63" s="89">
        <v>651.83287482806054</v>
      </c>
    </row>
    <row r="64" spans="1:31">
      <c r="A64" s="90"/>
      <c r="B64" s="90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3"/>
      <c r="AA64" s="93"/>
      <c r="AB64" s="93"/>
      <c r="AC64" s="93"/>
      <c r="AD64" s="93"/>
      <c r="AE64" s="93"/>
    </row>
    <row r="65" spans="1:31">
      <c r="A65" s="88" t="s">
        <v>155</v>
      </c>
      <c r="B65" s="88" t="s">
        <v>156</v>
      </c>
      <c r="C65" s="89">
        <v>72.400000000000006</v>
      </c>
      <c r="D65" s="89">
        <v>57.88</v>
      </c>
      <c r="E65" s="89">
        <v>39.76</v>
      </c>
      <c r="F65" s="89">
        <v>60.64</v>
      </c>
      <c r="G65" s="89">
        <v>160.36000000000001</v>
      </c>
      <c r="H65" s="89">
        <v>308.27999999999997</v>
      </c>
      <c r="I65" s="89">
        <v>499.72</v>
      </c>
      <c r="J65" s="89">
        <v>846.53040939305458</v>
      </c>
      <c r="K65" s="89">
        <v>502.76147406908495</v>
      </c>
      <c r="L65" s="89">
        <v>588.34558823529414</v>
      </c>
      <c r="M65" s="89">
        <v>1053.1899641577061</v>
      </c>
      <c r="N65" s="89">
        <v>848.4750733137829</v>
      </c>
      <c r="O65" s="89">
        <v>171.05769230769229</v>
      </c>
      <c r="P65" s="89">
        <v>137.71305285868391</v>
      </c>
      <c r="Q65" s="89">
        <v>79.595854922279798</v>
      </c>
      <c r="R65" s="89">
        <v>441.09400324149107</v>
      </c>
      <c r="S65" s="89">
        <v>849.46198830409355</v>
      </c>
      <c r="T65" s="89">
        <v>310.05179669796053</v>
      </c>
      <c r="U65" s="89">
        <v>179.56281128942999</v>
      </c>
      <c r="V65" s="89">
        <v>178.10058027079305</v>
      </c>
      <c r="W65" s="89">
        <v>81.969068276122215</v>
      </c>
      <c r="X65" s="89">
        <v>153.42697698015093</v>
      </c>
      <c r="Y65" s="89">
        <v>193.41761335075901</v>
      </c>
      <c r="Z65" s="89">
        <v>245.93332421215854</v>
      </c>
      <c r="AA65" s="89">
        <v>1013.0085028016144</v>
      </c>
      <c r="AB65" s="89">
        <v>1425.5202266645679</v>
      </c>
      <c r="AC65" s="89">
        <v>1765.5228339735381</v>
      </c>
      <c r="AD65" s="89">
        <v>1573.0789020711102</v>
      </c>
      <c r="AE65" s="89">
        <v>1271.4393053645117</v>
      </c>
    </row>
    <row r="66" spans="1:31">
      <c r="A66" s="90"/>
      <c r="B66" s="91" t="s">
        <v>157</v>
      </c>
      <c r="C66" s="35">
        <v>3.68</v>
      </c>
      <c r="D66" s="35">
        <v>44.28</v>
      </c>
      <c r="E66" s="35">
        <v>4.88</v>
      </c>
      <c r="F66" s="35">
        <v>17.04</v>
      </c>
      <c r="G66" s="35">
        <v>106.4</v>
      </c>
      <c r="H66" s="35">
        <v>245.68</v>
      </c>
      <c r="I66" s="35">
        <v>262.48</v>
      </c>
      <c r="J66" s="35">
        <v>571.52264397092631</v>
      </c>
      <c r="K66" s="35">
        <v>405.69614163379197</v>
      </c>
      <c r="L66" s="35">
        <v>330.625</v>
      </c>
      <c r="M66" s="35">
        <v>691.82795698924735</v>
      </c>
      <c r="N66" s="35">
        <v>501.14369501466274</v>
      </c>
      <c r="O66" s="35">
        <v>19.819711538461537</v>
      </c>
      <c r="P66" s="35">
        <v>28.004314994606254</v>
      </c>
      <c r="Q66" s="35">
        <v>37.409326424870464</v>
      </c>
      <c r="R66" s="35">
        <v>332.19611021069693</v>
      </c>
      <c r="S66" s="35">
        <v>562.70175438596493</v>
      </c>
      <c r="T66" s="35">
        <v>196.60084169634186</v>
      </c>
      <c r="U66" s="35">
        <v>77.542888765910348</v>
      </c>
      <c r="V66" s="35">
        <v>70.607350096711798</v>
      </c>
      <c r="W66" s="35">
        <v>23.575066012825346</v>
      </c>
      <c r="X66" s="35">
        <v>36.912296277506499</v>
      </c>
      <c r="Y66" s="35">
        <v>98.801648738313048</v>
      </c>
      <c r="Z66" s="35">
        <v>1.6728234596616045</v>
      </c>
      <c r="AA66" s="35">
        <v>711.47055366169036</v>
      </c>
      <c r="AB66" s="35">
        <v>525.07886038092238</v>
      </c>
      <c r="AC66" s="35">
        <v>365.9659561647963</v>
      </c>
      <c r="AD66" s="35">
        <v>535.3127024375799</v>
      </c>
      <c r="AE66" s="35">
        <v>476.666007565337</v>
      </c>
    </row>
    <row r="67" spans="1:31">
      <c r="A67" s="90"/>
      <c r="B67" s="91" t="s">
        <v>158</v>
      </c>
      <c r="C67" s="35">
        <v>68.72</v>
      </c>
      <c r="D67" s="35">
        <v>13.6</v>
      </c>
      <c r="E67" s="35">
        <v>34.880000000000003</v>
      </c>
      <c r="F67" s="35">
        <v>43.6</v>
      </c>
      <c r="G67" s="35">
        <v>53.96</v>
      </c>
      <c r="H67" s="35">
        <v>62.6</v>
      </c>
      <c r="I67" s="35">
        <v>237.24</v>
      </c>
      <c r="J67" s="35">
        <v>275.00776542212833</v>
      </c>
      <c r="K67" s="35">
        <v>97.065332435292973</v>
      </c>
      <c r="L67" s="35">
        <v>257.72058823529414</v>
      </c>
      <c r="M67" s="35">
        <v>361.36200716845877</v>
      </c>
      <c r="N67" s="35">
        <v>347.33137829912022</v>
      </c>
      <c r="O67" s="35">
        <v>155.72115384615384</v>
      </c>
      <c r="P67" s="35">
        <v>109.70873786407766</v>
      </c>
      <c r="Q67" s="35">
        <v>42.186528497409327</v>
      </c>
      <c r="R67" s="35">
        <v>108.89789303079417</v>
      </c>
      <c r="S67" s="35">
        <v>286.76023391812868</v>
      </c>
      <c r="T67" s="35">
        <v>113.45095500161865</v>
      </c>
      <c r="U67" s="35">
        <v>102.01992252351964</v>
      </c>
      <c r="V67" s="35">
        <v>107.49323017408123</v>
      </c>
      <c r="W67" s="35">
        <v>58.394002263296862</v>
      </c>
      <c r="X67" s="35">
        <v>116.51468070264443</v>
      </c>
      <c r="Y67" s="35">
        <v>94.615964612445964</v>
      </c>
      <c r="Z67" s="35">
        <v>244.26050075249694</v>
      </c>
      <c r="AA67" s="35">
        <v>301.53794913992397</v>
      </c>
      <c r="AB67" s="35">
        <v>900.44136628364549</v>
      </c>
      <c r="AC67" s="35">
        <v>1399.556877808742</v>
      </c>
      <c r="AD67" s="35">
        <v>1037.7661996335303</v>
      </c>
      <c r="AE67" s="35">
        <v>794.77329779917466</v>
      </c>
    </row>
    <row r="68" spans="1:31">
      <c r="A68" s="88" t="s">
        <v>159</v>
      </c>
      <c r="B68" s="88" t="s">
        <v>160</v>
      </c>
      <c r="C68" s="89">
        <v>26.32</v>
      </c>
      <c r="D68" s="89">
        <v>26.8</v>
      </c>
      <c r="E68" s="89">
        <v>32</v>
      </c>
      <c r="F68" s="89">
        <v>76.56</v>
      </c>
      <c r="G68" s="89">
        <v>85.8</v>
      </c>
      <c r="H68" s="89">
        <v>126.36</v>
      </c>
      <c r="I68" s="89">
        <v>122.08</v>
      </c>
      <c r="J68" s="89">
        <v>304.93880847362863</v>
      </c>
      <c r="K68" s="89">
        <v>298.85499855672083</v>
      </c>
      <c r="L68" s="89">
        <v>354.66911764705884</v>
      </c>
      <c r="M68" s="89">
        <v>699.10394265232981</v>
      </c>
      <c r="N68" s="89">
        <v>495.07331378299119</v>
      </c>
      <c r="O68" s="89">
        <v>103.95432692307692</v>
      </c>
      <c r="P68" s="89">
        <v>192.6321467098166</v>
      </c>
      <c r="Q68" s="89">
        <v>175.28497409326425</v>
      </c>
      <c r="R68" s="89">
        <v>192.81199351701781</v>
      </c>
      <c r="S68" s="89">
        <v>534.60233918128654</v>
      </c>
      <c r="T68" s="89">
        <v>211.17837487860152</v>
      </c>
      <c r="U68" s="89">
        <v>255.65947242206235</v>
      </c>
      <c r="V68" s="89">
        <v>274.09542230818829</v>
      </c>
      <c r="W68" s="89">
        <v>322.50943040362125</v>
      </c>
      <c r="X68" s="89">
        <v>406.36501997590204</v>
      </c>
      <c r="Y68" s="89">
        <v>322.65909319392779</v>
      </c>
      <c r="Z68" s="89">
        <v>386.1472157613901</v>
      </c>
      <c r="AA68" s="89">
        <v>1015.3191489361702</v>
      </c>
      <c r="AB68" s="89">
        <v>1100.0179442782937</v>
      </c>
      <c r="AC68" s="89">
        <v>1602.7825060882228</v>
      </c>
      <c r="AD68" s="89">
        <v>1046.8911140313537</v>
      </c>
      <c r="AE68" s="89">
        <v>1125.8504986244841</v>
      </c>
    </row>
    <row r="69" spans="1:31">
      <c r="A69" s="90"/>
      <c r="B69" s="91" t="s">
        <v>157</v>
      </c>
      <c r="C69" s="35">
        <v>5.92</v>
      </c>
      <c r="D69" s="35">
        <v>6.08</v>
      </c>
      <c r="E69" s="35">
        <v>8.24</v>
      </c>
      <c r="F69" s="35">
        <v>12.96</v>
      </c>
      <c r="G69" s="35">
        <v>15.4</v>
      </c>
      <c r="H69" s="35">
        <v>45.04</v>
      </c>
      <c r="I69" s="35">
        <v>56.92</v>
      </c>
      <c r="J69" s="35">
        <v>147.38149965832142</v>
      </c>
      <c r="K69" s="35">
        <v>223.91994611757912</v>
      </c>
      <c r="L69" s="35">
        <v>199.9264705882353</v>
      </c>
      <c r="M69" s="35">
        <v>440.25089605734769</v>
      </c>
      <c r="N69" s="35">
        <v>322.25806451612902</v>
      </c>
      <c r="O69" s="35">
        <v>30.588942307692307</v>
      </c>
      <c r="P69" s="35">
        <v>88.090614886731387</v>
      </c>
      <c r="Q69" s="35">
        <v>85.191709844559583</v>
      </c>
      <c r="R69" s="35">
        <v>115.50243111831442</v>
      </c>
      <c r="S69" s="35">
        <v>455.01754385964909</v>
      </c>
      <c r="T69" s="35">
        <v>166.4713499514406</v>
      </c>
      <c r="U69" s="35">
        <v>186.19627375023057</v>
      </c>
      <c r="V69" s="35">
        <v>205.57575757575756</v>
      </c>
      <c r="W69" s="35">
        <v>271.39664277631078</v>
      </c>
      <c r="X69" s="35">
        <v>360.90367176105013</v>
      </c>
      <c r="Y69" s="35">
        <v>277.21172212727453</v>
      </c>
      <c r="Z69" s="35">
        <v>316.58183974095869</v>
      </c>
      <c r="AA69" s="35">
        <v>902.65350103836056</v>
      </c>
      <c r="AB69" s="35">
        <v>454.10042499606487</v>
      </c>
      <c r="AC69" s="35">
        <v>877.01739850869933</v>
      </c>
      <c r="AD69" s="35">
        <v>458.84969183216424</v>
      </c>
      <c r="AE69" s="35">
        <v>353.66110729023382</v>
      </c>
    </row>
    <row r="70" spans="1:31" ht="12.75" customHeight="1">
      <c r="A70" s="90"/>
      <c r="B70" s="91" t="s">
        <v>158</v>
      </c>
      <c r="C70" s="35">
        <v>20.399999999999999</v>
      </c>
      <c r="D70" s="35">
        <v>20.72</v>
      </c>
      <c r="E70" s="35">
        <v>23.76</v>
      </c>
      <c r="F70" s="35">
        <v>63.6</v>
      </c>
      <c r="G70" s="35">
        <v>70.400000000000006</v>
      </c>
      <c r="H70" s="35">
        <v>81.319999999999993</v>
      </c>
      <c r="I70" s="35">
        <v>65.16</v>
      </c>
      <c r="J70" s="35">
        <v>157.55730881530721</v>
      </c>
      <c r="K70" s="35">
        <v>74.935052439141728</v>
      </c>
      <c r="L70" s="35">
        <v>154.74264705882354</v>
      </c>
      <c r="M70" s="35">
        <v>258.85304659498212</v>
      </c>
      <c r="N70" s="35">
        <v>172.81524926686217</v>
      </c>
      <c r="O70" s="35">
        <v>73.365384615384613</v>
      </c>
      <c r="P70" s="35">
        <v>104.54153182308522</v>
      </c>
      <c r="Q70" s="35">
        <v>90.093264248704656</v>
      </c>
      <c r="R70" s="35">
        <v>77.309562398703406</v>
      </c>
      <c r="S70" s="35">
        <v>79.584795321637429</v>
      </c>
      <c r="T70" s="35">
        <v>44.707024927160894</v>
      </c>
      <c r="U70" s="35">
        <v>69.463198671831762</v>
      </c>
      <c r="V70" s="35">
        <v>68.519664732430684</v>
      </c>
      <c r="W70" s="35">
        <v>51.112787627310446</v>
      </c>
      <c r="X70" s="35">
        <v>45.461348214851924</v>
      </c>
      <c r="Y70" s="35">
        <v>45.447371066653261</v>
      </c>
      <c r="Z70" s="35">
        <v>69.565376020431444</v>
      </c>
      <c r="AA70" s="35">
        <v>112.66564789780965</v>
      </c>
      <c r="AB70" s="35">
        <v>645.91751928222891</v>
      </c>
      <c r="AC70" s="35">
        <v>725.76510757952349</v>
      </c>
      <c r="AD70" s="35">
        <v>588.04142219918936</v>
      </c>
      <c r="AE70" s="35">
        <v>772.18939133425033</v>
      </c>
    </row>
    <row r="71" spans="1:31">
      <c r="A71" s="88" t="s">
        <v>161</v>
      </c>
      <c r="B71" s="88" t="s">
        <v>162</v>
      </c>
      <c r="C71" s="89">
        <v>0</v>
      </c>
      <c r="D71" s="89">
        <v>0</v>
      </c>
      <c r="E71" s="89">
        <v>-0.32</v>
      </c>
      <c r="F71" s="89">
        <v>0.92</v>
      </c>
      <c r="G71" s="89">
        <v>-3.04</v>
      </c>
      <c r="H71" s="89">
        <v>-1.84</v>
      </c>
      <c r="I71" s="89">
        <v>-3.28</v>
      </c>
      <c r="J71" s="89">
        <v>-11.405852022115923</v>
      </c>
      <c r="K71" s="89">
        <v>-4.9263927643606271</v>
      </c>
      <c r="L71" s="89">
        <v>-15.330882352941178</v>
      </c>
      <c r="M71" s="89">
        <v>-3.4767025089605736</v>
      </c>
      <c r="N71" s="89">
        <v>-0.46920821114369499</v>
      </c>
      <c r="O71" s="89">
        <v>-0.25240384615384615</v>
      </c>
      <c r="P71" s="89">
        <v>2.4703344120819848</v>
      </c>
      <c r="Q71" s="89">
        <v>-11.834196891191709</v>
      </c>
      <c r="R71" s="89">
        <v>3.3711507293354943</v>
      </c>
      <c r="S71" s="89">
        <v>1.0818713450292399</v>
      </c>
      <c r="T71" s="89">
        <v>-7.7695046940757531E-2</v>
      </c>
      <c r="U71" s="89">
        <v>5.165098690278546E-2</v>
      </c>
      <c r="V71" s="89">
        <v>-6.4474532559638939E-3</v>
      </c>
      <c r="W71" s="89">
        <v>5.1867219917012444E-2</v>
      </c>
      <c r="X71" s="89">
        <v>2.47320692497939E-2</v>
      </c>
      <c r="Y71" s="89">
        <v>3.0159847190107569E-2</v>
      </c>
      <c r="Z71" s="89">
        <v>5.518310758425686E-2</v>
      </c>
      <c r="AA71" s="89">
        <v>2.6049136005642413</v>
      </c>
      <c r="AB71" s="92"/>
      <c r="AC71" s="89">
        <v>71.436820566895136</v>
      </c>
      <c r="AD71" s="92"/>
      <c r="AE71" s="92"/>
    </row>
    <row r="72" spans="1:31">
      <c r="A72" s="88" t="s">
        <v>163</v>
      </c>
      <c r="B72" s="88" t="s">
        <v>164</v>
      </c>
      <c r="C72" s="89">
        <v>9.92</v>
      </c>
      <c r="D72" s="89">
        <v>-5.2</v>
      </c>
      <c r="E72" s="89">
        <v>-6.04</v>
      </c>
      <c r="F72" s="89">
        <v>-81.040000000000006</v>
      </c>
      <c r="G72" s="89">
        <v>-39.520000000000003</v>
      </c>
      <c r="H72" s="89">
        <v>27.48</v>
      </c>
      <c r="I72" s="89">
        <v>-17.239999999999998</v>
      </c>
      <c r="J72" s="89">
        <v>-125.57619432192334</v>
      </c>
      <c r="K72" s="89">
        <v>56.422592129317806</v>
      </c>
      <c r="L72" s="89">
        <v>-39.816176470588239</v>
      </c>
      <c r="M72" s="89">
        <v>-129.17562724014337</v>
      </c>
      <c r="N72" s="89">
        <v>19.560117302052785</v>
      </c>
      <c r="O72" s="89">
        <v>-92.65625</v>
      </c>
      <c r="P72" s="89">
        <v>-56.008629989212508</v>
      </c>
      <c r="Q72" s="89">
        <v>-95.5440414507772</v>
      </c>
      <c r="R72" s="89">
        <v>-94.367909238249595</v>
      </c>
      <c r="S72" s="89">
        <v>22.783625730994153</v>
      </c>
      <c r="T72" s="89">
        <v>-75.914535448365172</v>
      </c>
      <c r="U72" s="89">
        <v>-143.95867921047775</v>
      </c>
      <c r="V72" s="89">
        <v>-229.45325596389426</v>
      </c>
      <c r="W72" s="89">
        <v>80.009430403621266</v>
      </c>
      <c r="X72" s="89">
        <v>-135.18929545310419</v>
      </c>
      <c r="Y72" s="89">
        <v>4.0474514929124359</v>
      </c>
      <c r="Z72" s="89">
        <v>36.466912938386464</v>
      </c>
      <c r="AA72" s="89">
        <v>283.16406096939778</v>
      </c>
      <c r="AB72" s="89">
        <v>40.269793798205569</v>
      </c>
      <c r="AC72" s="89">
        <v>220.55685270266878</v>
      </c>
      <c r="AD72" s="89">
        <v>4.0794758370504729</v>
      </c>
      <c r="AE72" s="89">
        <v>506.24406808803303</v>
      </c>
    </row>
    <row r="73" spans="1:31">
      <c r="A73" s="88" t="s">
        <v>165</v>
      </c>
      <c r="B73" s="88" t="s">
        <v>166</v>
      </c>
      <c r="C73" s="89">
        <v>22.92</v>
      </c>
      <c r="D73" s="89">
        <v>13.64</v>
      </c>
      <c r="E73" s="92"/>
      <c r="F73" s="89">
        <v>13.08</v>
      </c>
      <c r="G73" s="89">
        <v>33</v>
      </c>
      <c r="H73" s="89">
        <v>60.88</v>
      </c>
      <c r="I73" s="89">
        <v>33.04</v>
      </c>
      <c r="J73" s="89">
        <v>46.629806796297444</v>
      </c>
      <c r="K73" s="89">
        <v>33.02222649860483</v>
      </c>
      <c r="L73" s="89">
        <v>34.227941176470587</v>
      </c>
      <c r="M73" s="89">
        <v>295.44802867383515</v>
      </c>
      <c r="N73" s="89">
        <v>105.01466275659824</v>
      </c>
      <c r="O73" s="89">
        <v>140.04807692307691</v>
      </c>
      <c r="P73" s="89">
        <v>130.94929881337649</v>
      </c>
      <c r="Q73" s="92"/>
      <c r="R73" s="89">
        <v>98.549432739059966</v>
      </c>
      <c r="S73" s="89">
        <v>23.771929824561404</v>
      </c>
      <c r="T73" s="89">
        <v>91.472968598251867</v>
      </c>
      <c r="U73" s="89">
        <v>66.061612248662613</v>
      </c>
      <c r="V73" s="89">
        <v>242.85364281108963</v>
      </c>
      <c r="W73" s="92"/>
      <c r="X73" s="92"/>
      <c r="Y73" s="92"/>
      <c r="Z73" s="89">
        <v>70.819537556437268</v>
      </c>
      <c r="AA73" s="92"/>
      <c r="AB73" s="92"/>
      <c r="AC73" s="92"/>
      <c r="AD73" s="92"/>
      <c r="AE73" s="92"/>
    </row>
    <row r="74" spans="1:31">
      <c r="A74" s="74"/>
      <c r="B74" s="74"/>
      <c r="C74" s="75" t="s">
        <v>80</v>
      </c>
      <c r="D74" s="75" t="s">
        <v>80</v>
      </c>
      <c r="E74" s="75" t="s">
        <v>80</v>
      </c>
      <c r="F74" s="75" t="s">
        <v>80</v>
      </c>
      <c r="G74" s="75" t="s">
        <v>80</v>
      </c>
      <c r="H74" s="75" t="s">
        <v>80</v>
      </c>
      <c r="I74" s="75" t="s">
        <v>80</v>
      </c>
      <c r="J74" s="75" t="s">
        <v>80</v>
      </c>
      <c r="K74" s="75" t="s">
        <v>80</v>
      </c>
      <c r="L74" s="75" t="s">
        <v>80</v>
      </c>
      <c r="M74" s="75" t="s">
        <v>80</v>
      </c>
      <c r="N74" s="75" t="s">
        <v>80</v>
      </c>
      <c r="O74" s="75" t="s">
        <v>80</v>
      </c>
      <c r="P74" s="76"/>
      <c r="Q74" s="75" t="s">
        <v>80</v>
      </c>
      <c r="R74" s="75" t="s">
        <v>80</v>
      </c>
      <c r="S74" s="75" t="s">
        <v>80</v>
      </c>
      <c r="T74" s="75" t="s">
        <v>80</v>
      </c>
      <c r="U74" s="75" t="s">
        <v>80</v>
      </c>
      <c r="V74" s="75" t="s">
        <v>80</v>
      </c>
      <c r="W74" s="75" t="s">
        <v>80</v>
      </c>
      <c r="X74" s="75" t="s">
        <v>80</v>
      </c>
      <c r="Y74" s="75" t="s">
        <v>80</v>
      </c>
      <c r="Z74" s="76"/>
      <c r="AA74" s="77"/>
      <c r="AB74" s="77"/>
      <c r="AC74" s="78"/>
      <c r="AD74" s="78"/>
      <c r="AE74" s="78"/>
    </row>
    <row r="75" spans="1:31">
      <c r="A75" s="79"/>
      <c r="B75" s="79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138"/>
      <c r="Q75" s="81"/>
      <c r="R75" s="81"/>
      <c r="S75" s="81"/>
      <c r="T75" s="81"/>
      <c r="U75" s="81"/>
      <c r="V75" s="81"/>
      <c r="W75" s="81"/>
      <c r="X75" s="81"/>
      <c r="Y75" s="81"/>
      <c r="Z75" s="138"/>
      <c r="AA75" s="80"/>
      <c r="AB75" s="80"/>
      <c r="AC75" s="139"/>
      <c r="AD75" s="139"/>
      <c r="AE75" s="139"/>
    </row>
    <row r="76" spans="1:31">
      <c r="A76" s="79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1" t="s">
        <v>80</v>
      </c>
      <c r="AA76" s="80"/>
      <c r="AB76" s="80"/>
      <c r="AC76" s="80"/>
      <c r="AD76" s="80"/>
      <c r="AE76" s="80"/>
    </row>
    <row r="77" spans="1:31">
      <c r="A77" s="134"/>
      <c r="B77" s="71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42"/>
      <c r="AA77" s="82"/>
      <c r="AB77" s="82"/>
      <c r="AC77" s="82"/>
      <c r="AD77" s="82"/>
      <c r="AE77" s="82"/>
    </row>
    <row r="78" spans="1:31">
      <c r="A78" s="100" t="s">
        <v>179</v>
      </c>
      <c r="C78" s="100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3"/>
      <c r="X78" s="73"/>
      <c r="Y78" s="71"/>
      <c r="Z78" s="83"/>
      <c r="AA78" s="72"/>
      <c r="AB78" s="72"/>
    </row>
    <row r="79" spans="1:3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3"/>
      <c r="AA79" s="71"/>
      <c r="AB79" s="71"/>
      <c r="AE79" s="84"/>
    </row>
    <row r="80" spans="1:31">
      <c r="A80" s="7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1"/>
    </row>
    <row r="81" spans="1:28">
      <c r="A81" s="71"/>
      <c r="B81" s="71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1"/>
    </row>
    <row r="82" spans="1:28">
      <c r="A82" s="7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1"/>
    </row>
    <row r="83" spans="1:28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</row>
    <row r="84" spans="1:28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</row>
    <row r="85" spans="1:28">
      <c r="A85" s="71"/>
      <c r="B85" s="71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71"/>
    </row>
    <row r="86" spans="1:28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3"/>
      <c r="AA86" s="71"/>
      <c r="AB86" s="71"/>
    </row>
    <row r="87" spans="1:28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2" t="s">
        <v>80</v>
      </c>
      <c r="U87" s="71"/>
      <c r="V87" s="71"/>
      <c r="W87" s="71"/>
      <c r="X87" s="71"/>
      <c r="Y87" s="71"/>
      <c r="Z87" s="73"/>
      <c r="AA87" s="71"/>
      <c r="AB87" s="71"/>
    </row>
    <row r="88" spans="1:2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83" t="s">
        <v>80</v>
      </c>
      <c r="AA88" s="71"/>
      <c r="AB88" s="71"/>
    </row>
    <row r="89" spans="1:28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3"/>
      <c r="AA89" s="71"/>
      <c r="AB89" s="71"/>
    </row>
    <row r="90" spans="1:28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83" t="s">
        <v>80</v>
      </c>
      <c r="AA90" s="71"/>
      <c r="AB90" s="71"/>
    </row>
    <row r="91" spans="1:28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3"/>
      <c r="AA91" s="71"/>
      <c r="AB91" s="71"/>
    </row>
    <row r="92" spans="1:28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3"/>
      <c r="AA92" s="71"/>
      <c r="AB92" s="71"/>
    </row>
    <row r="93" spans="1:28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3"/>
      <c r="AA93" s="71"/>
      <c r="AB93" s="71"/>
    </row>
    <row r="94" spans="1:28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3"/>
      <c r="AA94" s="71"/>
      <c r="AB94" s="71"/>
    </row>
    <row r="95" spans="1:28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3"/>
      <c r="AA95" s="71"/>
      <c r="AB95" s="71"/>
    </row>
    <row r="96" spans="1:28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3"/>
      <c r="AA96" s="71"/>
      <c r="AB96" s="71"/>
    </row>
    <row r="97" spans="1:28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3"/>
      <c r="AA97" s="71"/>
      <c r="AB97" s="71"/>
    </row>
    <row r="98" spans="1:2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</row>
    <row r="99" spans="1:28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</row>
    <row r="100" spans="1:28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</row>
    <row r="101" spans="1:28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</row>
    <row r="102" spans="1:28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</row>
    <row r="103" spans="1:28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</row>
    <row r="104" spans="1:28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</row>
    <row r="105" spans="1:28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</row>
    <row r="106" spans="1:28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</row>
    <row r="107" spans="1:28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</row>
    <row r="108" spans="1:2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</row>
    <row r="109" spans="1:28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</row>
    <row r="110" spans="1:28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</row>
    <row r="111" spans="1:28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</row>
    <row r="112" spans="1:28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</row>
    <row r="113" spans="1:28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</row>
    <row r="114" spans="1:28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</row>
    <row r="115" spans="1:28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</row>
    <row r="116" spans="1:28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</row>
    <row r="117" spans="1:28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</row>
    <row r="118" spans="1:2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</row>
    <row r="119" spans="1:28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</row>
    <row r="120" spans="1:28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</row>
    <row r="121" spans="1:28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</row>
    <row r="122" spans="1:28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</row>
    <row r="123" spans="1:28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</row>
    <row r="124" spans="1:28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</row>
    <row r="125" spans="1:28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</row>
    <row r="126" spans="1:28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</row>
    <row r="127" spans="1:28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</row>
    <row r="128" spans="1: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</row>
    <row r="129" spans="1:28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</row>
    <row r="130" spans="1:28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spans="1:28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</row>
    <row r="132" spans="1:28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</row>
    <row r="133" spans="1:28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</row>
    <row r="134" spans="1:28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</row>
    <row r="135" spans="1:28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</row>
    <row r="136" spans="1:28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</row>
    <row r="137" spans="1:28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</row>
    <row r="138" spans="1:2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</row>
    <row r="139" spans="1:28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</row>
    <row r="140" spans="1:28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</row>
    <row r="141" spans="1:28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</row>
    <row r="142" spans="1:28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</row>
    <row r="143" spans="1:28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</row>
    <row r="144" spans="1:28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</row>
    <row r="145" spans="1:28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</row>
    <row r="146" spans="1:28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</row>
    <row r="147" spans="1:28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</row>
    <row r="148" spans="1:2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</row>
    <row r="149" spans="1:28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</row>
    <row r="150" spans="1:28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</row>
    <row r="151" spans="1:28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</row>
    <row r="152" spans="1:28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</row>
    <row r="153" spans="1:28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</row>
    <row r="154" spans="1:28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</row>
    <row r="155" spans="1:28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</row>
    <row r="156" spans="1:28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</row>
    <row r="157" spans="1:28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</row>
    <row r="158" spans="1:2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 spans="1:28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</row>
    <row r="160" spans="1:28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</row>
    <row r="161" spans="1:28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</row>
    <row r="162" spans="1:28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</row>
    <row r="163" spans="1:28">
      <c r="A163" s="71"/>
      <c r="B163" s="71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1"/>
      <c r="P163" s="71"/>
      <c r="Q163" s="73"/>
      <c r="R163" s="71"/>
      <c r="S163" s="73"/>
      <c r="T163" s="73"/>
      <c r="U163" s="71"/>
      <c r="V163" s="71"/>
      <c r="W163" s="71"/>
      <c r="X163" s="71"/>
      <c r="Y163" s="71"/>
      <c r="Z163" s="71"/>
      <c r="AA163" s="71"/>
      <c r="AB163" s="71"/>
    </row>
    <row r="164" spans="1:28">
      <c r="A164" s="71"/>
      <c r="B164" s="71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1"/>
      <c r="P164" s="71"/>
      <c r="Q164" s="73"/>
      <c r="R164" s="71"/>
      <c r="S164" s="73"/>
      <c r="T164" s="73"/>
      <c r="U164" s="71"/>
      <c r="V164" s="71"/>
      <c r="W164" s="71"/>
      <c r="X164" s="71"/>
      <c r="Y164" s="71"/>
      <c r="Z164" s="71"/>
      <c r="AA164" s="71"/>
      <c r="AB164" s="71"/>
    </row>
    <row r="165" spans="1:28">
      <c r="A165" s="71"/>
      <c r="B165" s="71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1"/>
      <c r="P165" s="71"/>
      <c r="Q165" s="73"/>
      <c r="R165" s="71"/>
      <c r="S165" s="73"/>
      <c r="T165" s="73"/>
      <c r="U165" s="71"/>
      <c r="V165" s="71"/>
      <c r="W165" s="71"/>
      <c r="X165" s="71"/>
      <c r="Y165" s="71"/>
      <c r="Z165" s="71"/>
      <c r="AA165" s="71"/>
      <c r="AB165" s="71"/>
    </row>
    <row r="166" spans="1:28">
      <c r="A166" s="71"/>
      <c r="B166" s="71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1"/>
      <c r="P166" s="71"/>
      <c r="Q166" s="71"/>
      <c r="R166" s="71"/>
      <c r="S166" s="71"/>
      <c r="T166" s="73"/>
      <c r="U166" s="71"/>
      <c r="V166" s="71"/>
      <c r="W166" s="71"/>
      <c r="X166" s="71"/>
      <c r="Y166" s="71"/>
      <c r="Z166" s="71"/>
      <c r="AA166" s="71"/>
      <c r="AB166" s="71"/>
    </row>
  </sheetData>
  <mergeCells count="3">
    <mergeCell ref="A4:B4"/>
    <mergeCell ref="A1:AE1"/>
    <mergeCell ref="A2:AE2"/>
  </mergeCells>
  <hyperlinks>
    <hyperlink ref="A78:C78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1" orientation="landscape" verticalDpi="599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762"/>
  <sheetViews>
    <sheetView showGridLines="0" zoomScaleNormal="100" workbookViewId="0">
      <selection sqref="A1:X1"/>
    </sheetView>
  </sheetViews>
  <sheetFormatPr baseColWidth="10" defaultRowHeight="12.75"/>
  <cols>
    <col min="1" max="1" width="6.7109375" style="5" customWidth="1"/>
    <col min="2" max="2" width="34.28515625" style="5" customWidth="1"/>
    <col min="3" max="5" width="12.5703125" style="43" customWidth="1"/>
    <col min="6" max="7" width="12.5703125" style="5" customWidth="1"/>
    <col min="8" max="12" width="13.85546875" style="5" customWidth="1"/>
    <col min="13" max="14" width="12.5703125" style="5" customWidth="1"/>
    <col min="15" max="16384" width="11.42578125" style="5"/>
  </cols>
  <sheetData>
    <row r="1" spans="1:28">
      <c r="A1" s="169" t="s">
        <v>225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40"/>
      <c r="Z1" s="140"/>
      <c r="AA1" s="140"/>
      <c r="AB1" s="140"/>
    </row>
    <row r="2" spans="1:28" s="6" customFormat="1">
      <c r="A2" s="169" t="s">
        <v>47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40"/>
      <c r="Z2" s="140"/>
      <c r="AA2" s="140"/>
      <c r="AB2" s="140"/>
    </row>
    <row r="3" spans="1:28" s="6" customForma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spans="1:28" s="104" customFormat="1" ht="18.75" customHeight="1">
      <c r="A4" s="165" t="s">
        <v>207</v>
      </c>
      <c r="B4" s="170"/>
      <c r="C4" s="105">
        <v>1990</v>
      </c>
      <c r="D4" s="105">
        <v>1991</v>
      </c>
      <c r="E4" s="105">
        <v>1992</v>
      </c>
      <c r="F4" s="105">
        <v>1993</v>
      </c>
      <c r="G4" s="105">
        <v>1994</v>
      </c>
      <c r="H4" s="105">
        <v>1995</v>
      </c>
      <c r="I4" s="105">
        <v>1996</v>
      </c>
      <c r="J4" s="105">
        <v>1997</v>
      </c>
      <c r="K4" s="105">
        <v>1998</v>
      </c>
      <c r="L4" s="105">
        <v>1999</v>
      </c>
      <c r="M4" s="105">
        <v>2000</v>
      </c>
      <c r="N4" s="105">
        <v>2001</v>
      </c>
      <c r="O4" s="105">
        <v>2002</v>
      </c>
      <c r="P4" s="105">
        <v>2003</v>
      </c>
      <c r="Q4" s="105">
        <v>2004</v>
      </c>
      <c r="R4" s="105">
        <v>2005</v>
      </c>
      <c r="S4" s="105">
        <v>2006</v>
      </c>
      <c r="T4" s="105">
        <v>2007</v>
      </c>
      <c r="U4" s="105">
        <v>2008</v>
      </c>
      <c r="V4" s="105">
        <v>2009</v>
      </c>
      <c r="W4" s="105">
        <v>2010</v>
      </c>
      <c r="X4" s="106">
        <v>2011</v>
      </c>
      <c r="Y4" s="105">
        <v>2012</v>
      </c>
      <c r="Z4" s="106">
        <v>2013</v>
      </c>
      <c r="AA4" s="106">
        <v>2014</v>
      </c>
      <c r="AB4" s="105">
        <v>2015</v>
      </c>
    </row>
    <row r="5" spans="1:28">
      <c r="A5" s="71"/>
      <c r="B5" s="72" t="s">
        <v>80</v>
      </c>
      <c r="C5" s="42"/>
      <c r="D5" s="42"/>
      <c r="E5" s="42"/>
      <c r="F5" s="73"/>
      <c r="G5" s="102"/>
      <c r="H5" s="71"/>
      <c r="I5" s="71"/>
      <c r="M5" s="43"/>
      <c r="N5" s="43"/>
      <c r="O5" s="43"/>
      <c r="P5" s="43"/>
      <c r="Q5" s="43"/>
      <c r="R5" s="43"/>
      <c r="S5" s="43"/>
    </row>
    <row r="6" spans="1:28" s="6" customFormat="1">
      <c r="A6" s="88" t="s">
        <v>81</v>
      </c>
      <c r="B6" s="88" t="s">
        <v>82</v>
      </c>
      <c r="C6" s="107">
        <v>2274.9725986769995</v>
      </c>
      <c r="D6" s="107">
        <v>2334.4363554063484</v>
      </c>
      <c r="E6" s="107">
        <v>2584.8015372224727</v>
      </c>
      <c r="F6" s="107">
        <v>2862.9498753418047</v>
      </c>
      <c r="G6" s="107">
        <v>3213.5940749388888</v>
      </c>
      <c r="H6" s="107">
        <v>3865.7894736842109</v>
      </c>
      <c r="I6" s="107">
        <v>3730.1251357604947</v>
      </c>
      <c r="J6" s="107">
        <v>3651.0513247319277</v>
      </c>
      <c r="K6" s="107">
        <v>3392.987706693023</v>
      </c>
      <c r="L6" s="107">
        <v>2934.8533356258595</v>
      </c>
      <c r="M6" s="107">
        <v>3489.574255</v>
      </c>
      <c r="N6" s="107">
        <v>4175.5034209999994</v>
      </c>
      <c r="O6" s="56">
        <v>4693.3885700000001</v>
      </c>
      <c r="P6" s="56">
        <v>4870.3799900000004</v>
      </c>
      <c r="Q6" s="56">
        <v>5455.8021837200013</v>
      </c>
      <c r="R6" s="56">
        <v>6244.5436482000005</v>
      </c>
      <c r="S6" s="56">
        <v>6568.7840850100001</v>
      </c>
      <c r="T6" s="56">
        <v>8086.1092954800006</v>
      </c>
      <c r="U6" s="56">
        <v>15831.626814920002</v>
      </c>
      <c r="V6" s="56">
        <v>13682.247824530001</v>
      </c>
      <c r="W6" s="56">
        <v>15803.5</v>
      </c>
      <c r="X6" s="56">
        <v>20101.56595393</v>
      </c>
      <c r="Y6" s="56">
        <v>24092.305</v>
      </c>
      <c r="Z6" s="56">
        <v>25750.164586000003</v>
      </c>
      <c r="AA6" s="56">
        <v>26078.712919999998</v>
      </c>
      <c r="AB6" s="56">
        <v>25623.994644000002</v>
      </c>
    </row>
    <row r="7" spans="1:28">
      <c r="A7" s="90"/>
      <c r="B7" s="91" t="s">
        <v>80</v>
      </c>
      <c r="C7" s="46">
        <v>2274.9725986769995</v>
      </c>
      <c r="D7" s="46">
        <v>2334.4363554063484</v>
      </c>
      <c r="E7" s="46">
        <v>2584.8015372224727</v>
      </c>
      <c r="F7" s="46">
        <v>2862.9498753418047</v>
      </c>
      <c r="G7" s="46">
        <v>3213.5940749388888</v>
      </c>
      <c r="H7" s="46">
        <v>3865.7894736842109</v>
      </c>
      <c r="I7" s="46">
        <v>3730.1251357604947</v>
      </c>
      <c r="J7" s="46">
        <v>3651.0513247319277</v>
      </c>
      <c r="K7" s="46">
        <v>3392.987706693023</v>
      </c>
      <c r="L7" s="46">
        <v>2934.8533356258595</v>
      </c>
      <c r="M7" s="46">
        <v>3412.1264300000003</v>
      </c>
      <c r="N7" s="46">
        <v>4125.4870700000001</v>
      </c>
      <c r="O7" s="34">
        <v>4614.4445939999996</v>
      </c>
      <c r="P7" s="34">
        <v>4870.3799900000004</v>
      </c>
      <c r="Q7" s="34">
        <v>5377.185152</v>
      </c>
      <c r="R7" s="34">
        <v>6195.3169189999999</v>
      </c>
      <c r="S7" s="34">
        <v>6937.7487380000002</v>
      </c>
      <c r="T7" s="34"/>
      <c r="U7" s="34"/>
      <c r="V7" s="34"/>
      <c r="W7" s="34"/>
      <c r="X7" s="34"/>
      <c r="Y7" s="34"/>
      <c r="Z7" s="34"/>
      <c r="AA7" s="34"/>
      <c r="AB7" s="34"/>
    </row>
    <row r="8" spans="1:28" s="6" customFormat="1" ht="10.5" customHeight="1">
      <c r="A8" s="88" t="s">
        <v>83</v>
      </c>
      <c r="B8" s="88" t="s">
        <v>84</v>
      </c>
      <c r="C8" s="107">
        <v>2160.5330685613339</v>
      </c>
      <c r="D8" s="107">
        <v>2268.6520435299221</v>
      </c>
      <c r="E8" s="107">
        <v>2559.0023273954102</v>
      </c>
      <c r="F8" s="107">
        <v>2843.2850450377996</v>
      </c>
      <c r="G8" s="107">
        <v>3093.2590572439713</v>
      </c>
      <c r="H8" s="107">
        <v>3491.5229930096234</v>
      </c>
      <c r="I8" s="107">
        <v>3518.6548299255478</v>
      </c>
      <c r="J8" s="107">
        <v>3487.6015234479937</v>
      </c>
      <c r="K8" s="107">
        <v>3328.7175130577057</v>
      </c>
      <c r="L8" s="107">
        <v>2784.1735729023385</v>
      </c>
      <c r="M8" s="107">
        <v>3348.9527750000002</v>
      </c>
      <c r="N8" s="107">
        <v>3925.0133409999999</v>
      </c>
      <c r="O8" s="56">
        <v>4634.165446</v>
      </c>
      <c r="P8" s="56">
        <v>4825.344180000001</v>
      </c>
      <c r="Q8" s="56">
        <v>4880.1451650200015</v>
      </c>
      <c r="R8" s="56">
        <v>5770.7688137300001</v>
      </c>
      <c r="S8" s="56">
        <v>6056.0804705099999</v>
      </c>
      <c r="T8" s="56">
        <v>7027.9437087700007</v>
      </c>
      <c r="U8" s="56">
        <v>15011.604271540002</v>
      </c>
      <c r="V8" s="56">
        <v>13181.91788986</v>
      </c>
      <c r="W8" s="56">
        <v>15691.6</v>
      </c>
      <c r="X8" s="56">
        <v>19670.52882313</v>
      </c>
      <c r="Y8" s="56">
        <v>23994.319</v>
      </c>
      <c r="Z8" s="56">
        <v>25650.076000000001</v>
      </c>
      <c r="AA8" s="56">
        <v>25986.152999999998</v>
      </c>
      <c r="AB8" s="56">
        <v>25532.470777000002</v>
      </c>
    </row>
    <row r="9" spans="1:28" s="6" customFormat="1">
      <c r="A9" s="88" t="s">
        <v>85</v>
      </c>
      <c r="B9" s="88" t="s">
        <v>86</v>
      </c>
      <c r="C9" s="107">
        <v>910.51308171396886</v>
      </c>
      <c r="D9" s="107">
        <v>1035.614190603723</v>
      </c>
      <c r="E9" s="107">
        <v>1063.693265773336</v>
      </c>
      <c r="F9" s="107">
        <v>1213.7315023323147</v>
      </c>
      <c r="G9" s="107">
        <v>1505.9405669670548</v>
      </c>
      <c r="H9" s="107">
        <v>1723.8550515657817</v>
      </c>
      <c r="I9" s="107">
        <v>1579.1053186633296</v>
      </c>
      <c r="J9" s="107">
        <v>2042.8393174109417</v>
      </c>
      <c r="K9" s="107">
        <v>2100.7797606488321</v>
      </c>
      <c r="L9" s="107">
        <v>1583.5851100412656</v>
      </c>
      <c r="M9" s="107">
        <v>1948.3295149999999</v>
      </c>
      <c r="N9" s="107">
        <v>2516.2715109999999</v>
      </c>
      <c r="O9" s="56">
        <v>3069.1429750000007</v>
      </c>
      <c r="P9" s="56">
        <v>3171.6659</v>
      </c>
      <c r="Q9" s="56">
        <v>3518.4779835200006</v>
      </c>
      <c r="R9" s="56">
        <v>4076.2641268999996</v>
      </c>
      <c r="S9" s="56">
        <v>4449.5247491599994</v>
      </c>
      <c r="T9" s="56">
        <v>5505.7223657700006</v>
      </c>
      <c r="U9" s="56">
        <v>8200.6101511400011</v>
      </c>
      <c r="V9" s="56">
        <v>8256.3710786499996</v>
      </c>
      <c r="W9" s="56">
        <v>9312.9699999999993</v>
      </c>
      <c r="X9" s="56">
        <v>10894.995990130001</v>
      </c>
      <c r="Y9" s="56">
        <v>13237.482</v>
      </c>
      <c r="Z9" s="56">
        <v>15392.189</v>
      </c>
      <c r="AA9" s="56">
        <v>16204.236999999999</v>
      </c>
      <c r="AB9" s="56">
        <v>17833.639894</v>
      </c>
    </row>
    <row r="10" spans="1:28" s="6" customFormat="1">
      <c r="A10" s="88" t="s">
        <v>87</v>
      </c>
      <c r="B10" s="88" t="s">
        <v>88</v>
      </c>
      <c r="C10" s="107">
        <v>827.09313870872074</v>
      </c>
      <c r="D10" s="107">
        <v>916.98006450274409</v>
      </c>
      <c r="E10" s="107">
        <v>892.48003957206367</v>
      </c>
      <c r="F10" s="107">
        <v>1048.6302678140582</v>
      </c>
      <c r="G10" s="107">
        <v>1330.2733591156191</v>
      </c>
      <c r="H10" s="107">
        <v>1579.2443810538855</v>
      </c>
      <c r="I10" s="107">
        <v>1390.8013410775841</v>
      </c>
      <c r="J10" s="107">
        <v>1880.5464126917177</v>
      </c>
      <c r="K10" s="107">
        <v>1979.1080411775813</v>
      </c>
      <c r="L10" s="107">
        <v>1479.6816540577718</v>
      </c>
      <c r="M10" s="107">
        <v>1714.34843</v>
      </c>
      <c r="N10" s="107">
        <v>2328.676359</v>
      </c>
      <c r="O10" s="56">
        <v>2646.0085710000008</v>
      </c>
      <c r="P10" s="56">
        <v>2761.0810299999998</v>
      </c>
      <c r="Q10" s="56">
        <v>3042.3374213200004</v>
      </c>
      <c r="R10" s="56">
        <v>3589.0437706399998</v>
      </c>
      <c r="S10" s="56">
        <v>4131.9481861599998</v>
      </c>
      <c r="T10" s="56">
        <v>4622.6610336800004</v>
      </c>
      <c r="U10" s="56">
        <v>6951.2603907700004</v>
      </c>
      <c r="V10" s="56">
        <v>7508.5349328600005</v>
      </c>
      <c r="W10" s="56">
        <v>8503.8420000000006</v>
      </c>
      <c r="X10" s="56">
        <v>9619.4409901300005</v>
      </c>
      <c r="Y10" s="56">
        <v>11632.799000000001</v>
      </c>
      <c r="Z10" s="56">
        <v>13572.446</v>
      </c>
      <c r="AA10" s="56">
        <v>14282.145999999999</v>
      </c>
      <c r="AB10" s="56">
        <v>15523.061618</v>
      </c>
    </row>
    <row r="11" spans="1:28">
      <c r="A11" s="90"/>
      <c r="B11" s="91" t="s">
        <v>89</v>
      </c>
      <c r="C11" s="46">
        <v>1.1334476666967543</v>
      </c>
      <c r="D11" s="46">
        <v>1.4928047377454214</v>
      </c>
      <c r="E11" s="46">
        <v>1.7338144552182488</v>
      </c>
      <c r="F11" s="46">
        <v>0.62077770628920703</v>
      </c>
      <c r="G11" s="46">
        <v>0.3493378087489511</v>
      </c>
      <c r="H11" s="46">
        <v>0</v>
      </c>
      <c r="I11" s="108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</row>
    <row r="12" spans="1:28">
      <c r="A12" s="90"/>
      <c r="B12" s="91" t="s">
        <v>167</v>
      </c>
      <c r="C12" s="46">
        <v>239.46951038671327</v>
      </c>
      <c r="D12" s="46">
        <v>239.72671205748665</v>
      </c>
      <c r="E12" s="46">
        <v>180.96355438304997</v>
      </c>
      <c r="F12" s="46">
        <v>213.44498954479653</v>
      </c>
      <c r="G12" s="46">
        <v>283.47942281732281</v>
      </c>
      <c r="H12" s="46">
        <v>297.82256042130342</v>
      </c>
      <c r="I12" s="46">
        <v>243.98167823582187</v>
      </c>
      <c r="J12" s="46">
        <v>436.51680738726657</v>
      </c>
      <c r="K12" s="46">
        <v>590.15739578821911</v>
      </c>
      <c r="L12" s="46">
        <v>310.14640646492433</v>
      </c>
      <c r="M12" s="46">
        <v>318.35399999999998</v>
      </c>
      <c r="N12" s="46">
        <v>366.52941900000002</v>
      </c>
      <c r="O12" s="34">
        <v>421.98399999999998</v>
      </c>
      <c r="P12" s="34">
        <v>383.11496999999997</v>
      </c>
      <c r="Q12" s="34">
        <v>448.65525500000001</v>
      </c>
      <c r="R12" s="34">
        <v>542.16800000000001</v>
      </c>
      <c r="S12" s="34">
        <v>626.28044699999998</v>
      </c>
      <c r="T12" s="34">
        <v>678.30041873000005</v>
      </c>
      <c r="U12" s="34">
        <v>815.83132280000007</v>
      </c>
      <c r="V12" s="34">
        <v>1019.4208248599999</v>
      </c>
      <c r="W12" s="34">
        <v>1145.8789999999999</v>
      </c>
      <c r="X12" s="34">
        <v>1157.9435946800002</v>
      </c>
      <c r="Y12" s="34">
        <v>1287.9760000000001</v>
      </c>
      <c r="Z12" s="34">
        <v>1342.0440000000001</v>
      </c>
      <c r="AA12" s="34">
        <v>1377.749</v>
      </c>
      <c r="AB12" s="34">
        <v>2025.6264659999999</v>
      </c>
    </row>
    <row r="13" spans="1:28">
      <c r="A13" s="90"/>
      <c r="B13" s="91" t="s">
        <v>91</v>
      </c>
      <c r="C13" s="46">
        <v>143.10969555518304</v>
      </c>
      <c r="D13" s="46">
        <v>160.43265875785065</v>
      </c>
      <c r="E13" s="46">
        <v>173.9097072047791</v>
      </c>
      <c r="F13" s="46">
        <v>185.76081711436385</v>
      </c>
      <c r="G13" s="46">
        <v>251.66915976504069</v>
      </c>
      <c r="H13" s="46">
        <v>374.81387730792142</v>
      </c>
      <c r="I13" s="46">
        <v>348.19410996206574</v>
      </c>
      <c r="J13" s="46">
        <v>396.23481384961849</v>
      </c>
      <c r="K13" s="46">
        <v>350.00129559091903</v>
      </c>
      <c r="L13" s="46">
        <v>434.68956327372763</v>
      </c>
      <c r="M13" s="46">
        <v>455.89497999999998</v>
      </c>
      <c r="N13" s="46">
        <v>492.65600000000001</v>
      </c>
      <c r="O13" s="34">
        <v>493.523506</v>
      </c>
      <c r="P13" s="34">
        <v>589.56695999999999</v>
      </c>
      <c r="Q13" s="34">
        <v>605.5567861799999</v>
      </c>
      <c r="R13" s="34">
        <v>768.93899999999996</v>
      </c>
      <c r="S13" s="34">
        <v>941.4944890700001</v>
      </c>
      <c r="T13" s="34">
        <v>1118.8374160000001</v>
      </c>
      <c r="U13" s="34">
        <v>2321.7017170100003</v>
      </c>
      <c r="V13" s="34">
        <v>2444.8067488800002</v>
      </c>
      <c r="W13" s="34">
        <v>2341.0770000000002</v>
      </c>
      <c r="X13" s="34">
        <v>2931.297</v>
      </c>
      <c r="Y13" s="34">
        <v>3175.8009999999999</v>
      </c>
      <c r="Z13" s="34">
        <v>3804.6759999999999</v>
      </c>
      <c r="AA13" s="34">
        <v>4110.8710000000001</v>
      </c>
      <c r="AB13" s="34">
        <v>4799.4719960000002</v>
      </c>
    </row>
    <row r="14" spans="1:28">
      <c r="A14" s="90"/>
      <c r="B14" s="91" t="s">
        <v>92</v>
      </c>
      <c r="C14" s="46">
        <v>0.93486866707070182</v>
      </c>
      <c r="D14" s="46">
        <v>1.0646724882593688</v>
      </c>
      <c r="E14" s="46">
        <v>0.41918484085561908</v>
      </c>
      <c r="F14" s="46">
        <v>0.11410246099404857</v>
      </c>
      <c r="G14" s="46">
        <v>0.13408004669998907</v>
      </c>
      <c r="H14" s="46">
        <v>4.3102097112943168E-2</v>
      </c>
      <c r="I14" s="46">
        <v>0</v>
      </c>
      <c r="J14" s="46">
        <v>4.3182771078590129E-2</v>
      </c>
      <c r="K14" s="46">
        <v>0</v>
      </c>
      <c r="L14" s="46">
        <v>0</v>
      </c>
      <c r="M14" s="46">
        <v>0</v>
      </c>
      <c r="N14" s="46">
        <v>0</v>
      </c>
      <c r="O14" s="34">
        <v>0</v>
      </c>
      <c r="P14" s="34">
        <v>0</v>
      </c>
      <c r="Q14" s="34">
        <v>61.343467799999999</v>
      </c>
      <c r="R14" s="34">
        <v>61.524999999999999</v>
      </c>
      <c r="S14" s="34">
        <v>68.794050789999986</v>
      </c>
      <c r="T14" s="34">
        <v>72.063903699999997</v>
      </c>
      <c r="U14" s="34">
        <v>98.436710140000002</v>
      </c>
      <c r="V14" s="34">
        <v>138.42849604999998</v>
      </c>
      <c r="W14" s="34">
        <v>174.87100000000001</v>
      </c>
      <c r="X14" s="34">
        <v>199.44298676</v>
      </c>
      <c r="Y14" s="34">
        <v>212.28200000000001</v>
      </c>
      <c r="Z14" s="34">
        <v>251.72300000000001</v>
      </c>
      <c r="AA14" s="34">
        <v>260.226</v>
      </c>
      <c r="AB14" s="34">
        <v>259.28240199999999</v>
      </c>
    </row>
    <row r="15" spans="1:28">
      <c r="A15" s="90"/>
      <c r="B15" s="91" t="s">
        <v>93</v>
      </c>
      <c r="C15" s="46">
        <v>0.25015796056788436</v>
      </c>
      <c r="D15" s="46">
        <v>0.38758227871975254</v>
      </c>
      <c r="E15" s="46">
        <v>0.41855067316899935</v>
      </c>
      <c r="F15" s="46">
        <v>0.54085571819205402</v>
      </c>
      <c r="G15" s="46">
        <v>0.93947243606114783</v>
      </c>
      <c r="H15" s="46">
        <v>0.57169054261621899</v>
      </c>
      <c r="I15" s="46">
        <v>0.49582093780988806</v>
      </c>
      <c r="J15" s="46">
        <v>0.48881892610473826</v>
      </c>
      <c r="K15" s="46">
        <v>0.5347088807204966</v>
      </c>
      <c r="L15" s="46">
        <v>0.30226960110041268</v>
      </c>
      <c r="M15" s="46">
        <v>0.30662</v>
      </c>
      <c r="N15" s="109">
        <v>0.64258000000000004</v>
      </c>
      <c r="O15" s="34">
        <v>0.90371000000000001</v>
      </c>
      <c r="P15" s="34">
        <v>0.60930999999999991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/>
      <c r="Z15" s="34"/>
      <c r="AA15" s="34"/>
      <c r="AB15" s="34"/>
    </row>
    <row r="16" spans="1:28">
      <c r="A16" s="90"/>
      <c r="B16" s="91" t="s">
        <v>94</v>
      </c>
      <c r="C16" s="46">
        <v>386.145891091024</v>
      </c>
      <c r="D16" s="46">
        <v>442.09841383602719</v>
      </c>
      <c r="E16" s="46">
        <v>472.36424055248693</v>
      </c>
      <c r="F16" s="46">
        <v>576.16867058066589</v>
      </c>
      <c r="G16" s="46">
        <v>682.21295924696278</v>
      </c>
      <c r="H16" s="46">
        <v>715.27695056581297</v>
      </c>
      <c r="I16" s="46">
        <v>729.50591050038565</v>
      </c>
      <c r="J16" s="46">
        <v>918.0370919918555</v>
      </c>
      <c r="K16" s="46">
        <v>957.98657767807902</v>
      </c>
      <c r="L16" s="46">
        <v>625.18010660247592</v>
      </c>
      <c r="M16" s="46">
        <v>894.52300000000002</v>
      </c>
      <c r="N16" s="46">
        <v>1421.0940000000001</v>
      </c>
      <c r="O16" s="34">
        <v>1648.8657950000004</v>
      </c>
      <c r="P16" s="34">
        <v>1729.33599</v>
      </c>
      <c r="Q16" s="34">
        <v>1910.297894</v>
      </c>
      <c r="R16" s="34">
        <v>2196.2747706399996</v>
      </c>
      <c r="S16" s="34">
        <v>2473.7033889999998</v>
      </c>
      <c r="T16" s="34">
        <v>2728.4400660100005</v>
      </c>
      <c r="U16" s="34">
        <v>3662.9425050100003</v>
      </c>
      <c r="V16" s="34">
        <v>3702.0002963800002</v>
      </c>
      <c r="W16" s="34">
        <v>4209.5860000000002</v>
      </c>
      <c r="X16" s="34">
        <v>4770.3919999999998</v>
      </c>
      <c r="Y16" s="34">
        <v>5693.82</v>
      </c>
      <c r="Z16" s="34">
        <v>6785.2860000000001</v>
      </c>
      <c r="AA16" s="34">
        <v>7116.357</v>
      </c>
      <c r="AB16" s="34">
        <v>7112.8263850000003</v>
      </c>
    </row>
    <row r="17" spans="1:28">
      <c r="A17" s="90"/>
      <c r="B17" s="91" t="s">
        <v>95</v>
      </c>
      <c r="C17" s="46">
        <v>2.9941586826733375</v>
      </c>
      <c r="D17" s="46">
        <v>5.9382131608230697</v>
      </c>
      <c r="E17" s="46">
        <v>4.5596656667956141</v>
      </c>
      <c r="F17" s="46">
        <v>6.9522076564259283</v>
      </c>
      <c r="G17" s="46">
        <v>13.306760553102997</v>
      </c>
      <c r="H17" s="46">
        <v>87.262546628632336</v>
      </c>
      <c r="I17" s="46">
        <v>18.432891029576112</v>
      </c>
      <c r="J17" s="46">
        <v>42.617629115230208</v>
      </c>
      <c r="K17" s="46">
        <v>14.387352071279711</v>
      </c>
      <c r="L17" s="46">
        <v>59.952544704264099</v>
      </c>
      <c r="M17" s="46">
        <v>13.943</v>
      </c>
      <c r="N17" s="46">
        <v>23.053000000000001</v>
      </c>
      <c r="O17" s="34">
        <v>47.958400000000005</v>
      </c>
      <c r="P17" s="34">
        <v>50.448339999999995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/>
      <c r="Z17" s="34"/>
      <c r="AA17" s="34"/>
      <c r="AB17" s="34"/>
    </row>
    <row r="18" spans="1:28">
      <c r="A18" s="90"/>
      <c r="B18" s="91" t="s">
        <v>96</v>
      </c>
      <c r="C18" s="46">
        <v>52.175987414733534</v>
      </c>
      <c r="D18" s="46">
        <v>64.182116519869481</v>
      </c>
      <c r="E18" s="46">
        <v>56.804302193586032</v>
      </c>
      <c r="F18" s="46">
        <v>37.160708541096994</v>
      </c>
      <c r="G18" s="46">
        <v>88.033127804735685</v>
      </c>
      <c r="H18" s="46">
        <v>77.080655778815711</v>
      </c>
      <c r="I18" s="46">
        <v>50.190930411924882</v>
      </c>
      <c r="J18" s="46">
        <v>86.60806865056351</v>
      </c>
      <c r="K18" s="46">
        <v>66.040711168363899</v>
      </c>
      <c r="L18" s="46">
        <v>49.39176409903714</v>
      </c>
      <c r="M18" s="46">
        <v>31.25095</v>
      </c>
      <c r="N18" s="46">
        <v>24.558949999999999</v>
      </c>
      <c r="O18" s="34">
        <v>14.019775000000001</v>
      </c>
      <c r="P18" s="34">
        <v>4.5562700000000005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/>
      <c r="Z18" s="34"/>
      <c r="AA18" s="34"/>
      <c r="AB18" s="34"/>
    </row>
    <row r="19" spans="1:28">
      <c r="A19" s="90"/>
      <c r="B19" s="91" t="s">
        <v>97</v>
      </c>
      <c r="C19" s="46">
        <v>1.2894740235457956E-3</v>
      </c>
      <c r="D19" s="46">
        <v>1.3070292902812093</v>
      </c>
      <c r="E19" s="46">
        <v>0.97154489590137427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1.8999312242090786E-2</v>
      </c>
      <c r="M19" s="46">
        <v>7.5880000000000003E-2</v>
      </c>
      <c r="N19" s="109">
        <v>4.7469999999999998E-2</v>
      </c>
      <c r="O19" s="34">
        <v>3.576E-2</v>
      </c>
      <c r="P19" s="34">
        <v>1.01E-3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/>
      <c r="Z19" s="34"/>
      <c r="AA19" s="34"/>
      <c r="AB19" s="34"/>
    </row>
    <row r="20" spans="1:28">
      <c r="A20" s="90"/>
      <c r="B20" s="91" t="s">
        <v>98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/>
      <c r="Z20" s="34"/>
      <c r="AA20" s="34"/>
      <c r="AB20" s="34"/>
    </row>
    <row r="21" spans="1:28">
      <c r="A21" s="90"/>
      <c r="B21" s="91" t="s">
        <v>99</v>
      </c>
      <c r="C21" s="46">
        <v>0.87813181003468688</v>
      </c>
      <c r="D21" s="46">
        <v>0.3498613756813338</v>
      </c>
      <c r="E21" s="46">
        <v>0.33547470622181919</v>
      </c>
      <c r="F21" s="46">
        <v>27.867138491233714</v>
      </c>
      <c r="G21" s="46">
        <v>10.14903863694407</v>
      </c>
      <c r="H21" s="46">
        <v>26.372997711670482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4.7469999999999998E-2</v>
      </c>
      <c r="O21" s="34">
        <v>18.717625000000002</v>
      </c>
      <c r="P21" s="34">
        <v>3.4481799999999998</v>
      </c>
      <c r="Q21" s="34">
        <v>16.484018339999999</v>
      </c>
      <c r="R21" s="34">
        <v>20.137</v>
      </c>
      <c r="S21" s="34">
        <v>21.675810299999998</v>
      </c>
      <c r="T21" s="34">
        <v>25.019229239999998</v>
      </c>
      <c r="U21" s="34">
        <v>52.348135809999995</v>
      </c>
      <c r="V21" s="34">
        <v>203.87856668999999</v>
      </c>
      <c r="W21" s="34">
        <v>632.428</v>
      </c>
      <c r="X21" s="34">
        <v>560.36540869000009</v>
      </c>
      <c r="Y21" s="34">
        <v>1262.92</v>
      </c>
      <c r="Z21" s="34">
        <v>1388.7170000000001</v>
      </c>
      <c r="AA21" s="34">
        <v>1416.943</v>
      </c>
      <c r="AB21" s="34">
        <v>1325.8543689999999</v>
      </c>
    </row>
    <row r="22" spans="1:28" s="6" customFormat="1">
      <c r="A22" s="88" t="s">
        <v>100</v>
      </c>
      <c r="B22" s="88" t="s">
        <v>101</v>
      </c>
      <c r="C22" s="107">
        <v>83.419943005248157</v>
      </c>
      <c r="D22" s="107">
        <v>118.63412610097885</v>
      </c>
      <c r="E22" s="107">
        <v>171.21322620127216</v>
      </c>
      <c r="F22" s="107">
        <v>165.10123451825638</v>
      </c>
      <c r="G22" s="107">
        <v>175.66720785143568</v>
      </c>
      <c r="H22" s="107">
        <v>144.61067051189619</v>
      </c>
      <c r="I22" s="107">
        <v>188.30397758574554</v>
      </c>
      <c r="J22" s="107">
        <v>162.29290471922411</v>
      </c>
      <c r="K22" s="107">
        <v>121.67171947125085</v>
      </c>
      <c r="L22" s="107">
        <v>103.90345598349381</v>
      </c>
      <c r="M22" s="107">
        <v>233.98108499999998</v>
      </c>
      <c r="N22" s="107">
        <v>187.59515199999998</v>
      </c>
      <c r="O22" s="56">
        <v>423.13440399999996</v>
      </c>
      <c r="P22" s="56">
        <v>410.58487000000002</v>
      </c>
      <c r="Q22" s="56">
        <v>476.14056219999998</v>
      </c>
      <c r="R22" s="56">
        <v>487.22035626000002</v>
      </c>
      <c r="S22" s="56">
        <v>317.57656299999996</v>
      </c>
      <c r="T22" s="56">
        <v>883.06133209000006</v>
      </c>
      <c r="U22" s="56">
        <v>1249.34976037</v>
      </c>
      <c r="V22" s="56">
        <v>747.83614578999993</v>
      </c>
      <c r="W22" s="56">
        <v>809.12800000000004</v>
      </c>
      <c r="X22" s="56">
        <v>1275.5550000000001</v>
      </c>
      <c r="Y22" s="56">
        <v>1604.683</v>
      </c>
      <c r="Z22" s="56">
        <v>1819.7429999999999</v>
      </c>
      <c r="AA22" s="56">
        <v>1922.0909999999999</v>
      </c>
      <c r="AB22" s="56">
        <v>2310.5782760000002</v>
      </c>
    </row>
    <row r="23" spans="1:28" s="6" customFormat="1">
      <c r="A23" s="88" t="s">
        <v>102</v>
      </c>
      <c r="B23" s="88" t="s">
        <v>103</v>
      </c>
      <c r="C23" s="107"/>
      <c r="D23" s="107"/>
      <c r="E23" s="107"/>
      <c r="F23" s="107"/>
      <c r="G23" s="107"/>
      <c r="H23" s="107"/>
      <c r="I23" s="110"/>
      <c r="J23" s="107"/>
      <c r="K23" s="111"/>
      <c r="L23" s="111"/>
      <c r="M23" s="111"/>
      <c r="N23" s="10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spans="1:28" s="6" customFormat="1">
      <c r="A24" s="88" t="s">
        <v>104</v>
      </c>
      <c r="B24" s="88" t="s">
        <v>105</v>
      </c>
      <c r="C24" s="107">
        <v>1024.3027169217676</v>
      </c>
      <c r="D24" s="107">
        <v>951.67952320778556</v>
      </c>
      <c r="E24" s="107">
        <v>1133.300779392087</v>
      </c>
      <c r="F24" s="107">
        <v>1189.1627794756314</v>
      </c>
      <c r="G24" s="107">
        <v>1190.899886898464</v>
      </c>
      <c r="H24" s="107">
        <v>1323.2382997398201</v>
      </c>
      <c r="I24" s="107">
        <v>1674.2434402102911</v>
      </c>
      <c r="J24" s="107">
        <v>1236.4163823382466</v>
      </c>
      <c r="K24" s="107">
        <v>909.21961006415029</v>
      </c>
      <c r="L24" s="107">
        <v>1048.0338720770289</v>
      </c>
      <c r="M24" s="107">
        <v>1313.3050000000001</v>
      </c>
      <c r="N24" s="107">
        <v>1334.68932</v>
      </c>
      <c r="O24" s="56">
        <v>1351.6869229999998</v>
      </c>
      <c r="P24" s="56">
        <v>1577.91633</v>
      </c>
      <c r="Q24" s="56">
        <v>1319.5064815000001</v>
      </c>
      <c r="R24" s="56">
        <v>1621.99934482</v>
      </c>
      <c r="S24" s="56">
        <v>1519.29123845</v>
      </c>
      <c r="T24" s="56">
        <v>1094.203158</v>
      </c>
      <c r="U24" s="56">
        <v>6584.9084777200005</v>
      </c>
      <c r="V24" s="56">
        <v>4445.5588225600004</v>
      </c>
      <c r="W24" s="56">
        <v>6064.2889999999998</v>
      </c>
      <c r="X24" s="56">
        <v>8498.4613869999994</v>
      </c>
      <c r="Y24" s="56">
        <v>10643.968000000001</v>
      </c>
      <c r="Z24" s="56">
        <v>10090.475</v>
      </c>
      <c r="AA24" s="56">
        <v>9586.0879999999997</v>
      </c>
      <c r="AB24" s="56">
        <v>7396.5963760000004</v>
      </c>
    </row>
    <row r="25" spans="1:28">
      <c r="A25" s="90"/>
      <c r="B25" s="90"/>
      <c r="C25" s="46"/>
      <c r="D25" s="46"/>
      <c r="E25" s="46"/>
      <c r="F25" s="46"/>
      <c r="G25" s="108"/>
      <c r="H25" s="108"/>
      <c r="I25" s="108"/>
      <c r="J25" s="47"/>
      <c r="K25" s="47"/>
      <c r="L25" s="47"/>
      <c r="M25" s="47"/>
      <c r="N25" s="4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s="6" customFormat="1">
      <c r="A26" s="88" t="s">
        <v>106</v>
      </c>
      <c r="B26" s="88" t="s">
        <v>107</v>
      </c>
      <c r="C26" s="107">
        <v>114.43953011566582</v>
      </c>
      <c r="D26" s="107">
        <v>65.784311876426315</v>
      </c>
      <c r="E26" s="107">
        <v>25.799209827062473</v>
      </c>
      <c r="F26" s="107">
        <v>19.664830304005147</v>
      </c>
      <c r="G26" s="107">
        <v>120.33501769491774</v>
      </c>
      <c r="H26" s="107">
        <v>374.266480674587</v>
      </c>
      <c r="I26" s="107">
        <v>211.47030583494671</v>
      </c>
      <c r="J26" s="107">
        <v>163.44980128393425</v>
      </c>
      <c r="K26" s="107">
        <v>64.270193635317071</v>
      </c>
      <c r="L26" s="107">
        <v>150.67976272352132</v>
      </c>
      <c r="M26" s="107">
        <v>140.62147999999999</v>
      </c>
      <c r="N26" s="107">
        <v>250.49007999999998</v>
      </c>
      <c r="O26" s="56">
        <v>59.223124000000006</v>
      </c>
      <c r="P26" s="56">
        <v>45.035809999999998</v>
      </c>
      <c r="Q26" s="56">
        <v>575.65701869999998</v>
      </c>
      <c r="R26" s="56">
        <v>473.77483447000003</v>
      </c>
      <c r="S26" s="56">
        <v>512.70361449999996</v>
      </c>
      <c r="T26" s="56">
        <v>1058.1655867099998</v>
      </c>
      <c r="U26" s="56">
        <v>820.02254338</v>
      </c>
      <c r="V26" s="56">
        <v>500.32993466999994</v>
      </c>
      <c r="W26" s="56">
        <v>111.9</v>
      </c>
      <c r="X26" s="56">
        <v>431.0371308</v>
      </c>
      <c r="Y26" s="56">
        <v>97.98599999999999</v>
      </c>
      <c r="Z26" s="56">
        <v>100.08858600000001</v>
      </c>
      <c r="AA26" s="56">
        <v>92.559919999999991</v>
      </c>
      <c r="AB26" s="56">
        <v>91.523866999999996</v>
      </c>
    </row>
    <row r="27" spans="1:28">
      <c r="A27" s="91" t="s">
        <v>108</v>
      </c>
      <c r="B27" s="91" t="s">
        <v>109</v>
      </c>
      <c r="C27" s="46">
        <v>0.30302639553326199</v>
      </c>
      <c r="D27" s="46">
        <v>1.938854416174723</v>
      </c>
      <c r="E27" s="46">
        <v>1.1383309974823543</v>
      </c>
      <c r="F27" s="46">
        <v>2.2508846710632135</v>
      </c>
      <c r="G27" s="46">
        <v>9.9050494363165384</v>
      </c>
      <c r="H27" s="46">
        <v>1.7617002601799316</v>
      </c>
      <c r="I27" s="108">
        <v>0.24649383765405863</v>
      </c>
      <c r="J27" s="46">
        <v>2.7488846542993217</v>
      </c>
      <c r="K27" s="46">
        <v>6.8851403124965307E-2</v>
      </c>
      <c r="L27" s="46">
        <v>7.1755502063273724</v>
      </c>
      <c r="M27" s="46">
        <v>0.33522000000000002</v>
      </c>
      <c r="N27" s="46">
        <v>0</v>
      </c>
      <c r="O27" s="34">
        <v>2.2782139999999997</v>
      </c>
      <c r="P27" s="34">
        <v>1.99638</v>
      </c>
      <c r="Q27" s="34">
        <v>1.7890619000000001</v>
      </c>
      <c r="R27" s="34">
        <v>2.4700441899999994</v>
      </c>
      <c r="S27" s="34">
        <v>0.23157849999999999</v>
      </c>
      <c r="T27" s="34">
        <v>2.3869127099999998</v>
      </c>
      <c r="U27" s="34">
        <v>5.2828834000000002</v>
      </c>
      <c r="V27" s="34">
        <v>2.4396471800000001</v>
      </c>
      <c r="W27" s="34">
        <v>6.76</v>
      </c>
      <c r="X27" s="34">
        <v>6.3524339999999997</v>
      </c>
      <c r="Y27" s="34">
        <v>2.1349999999999998</v>
      </c>
      <c r="Z27" s="34">
        <v>2.7755860000000001</v>
      </c>
      <c r="AA27" s="34">
        <v>3.16092</v>
      </c>
      <c r="AB27" s="34">
        <v>5.2177800000000003</v>
      </c>
    </row>
    <row r="28" spans="1:28">
      <c r="A28" s="91" t="s">
        <v>110</v>
      </c>
      <c r="B28" s="91" t="s">
        <v>111</v>
      </c>
      <c r="C28" s="112"/>
      <c r="D28" s="112"/>
      <c r="E28" s="112"/>
      <c r="F28" s="112"/>
      <c r="G28" s="112"/>
      <c r="H28" s="112"/>
      <c r="I28" s="108"/>
      <c r="J28" s="47"/>
      <c r="K28" s="47"/>
      <c r="L28" s="33"/>
      <c r="M28" s="47"/>
      <c r="N28" s="46">
        <v>0</v>
      </c>
      <c r="O28" s="34">
        <v>0</v>
      </c>
      <c r="P28" s="34">
        <v>0</v>
      </c>
      <c r="Q28" s="34">
        <v>0.15787779999999998</v>
      </c>
      <c r="R28" s="34">
        <v>0</v>
      </c>
      <c r="S28" s="34">
        <v>0.141148</v>
      </c>
      <c r="T28" s="34">
        <v>0</v>
      </c>
      <c r="U28" s="34">
        <v>0.37641569999999996</v>
      </c>
      <c r="V28" s="34">
        <v>0.44196037999999999</v>
      </c>
      <c r="W28" s="34">
        <v>0.97199999999999998</v>
      </c>
      <c r="X28" s="34">
        <v>1.8261099999999999E-2</v>
      </c>
      <c r="Y28" s="34"/>
      <c r="Z28" s="34"/>
      <c r="AA28" s="34"/>
      <c r="AB28" s="34"/>
    </row>
    <row r="29" spans="1:28">
      <c r="A29" s="91" t="s">
        <v>112</v>
      </c>
      <c r="B29" s="91" t="s">
        <v>113</v>
      </c>
      <c r="C29" s="46">
        <v>1.136026614743846</v>
      </c>
      <c r="D29" s="46">
        <v>2.3603855076290525</v>
      </c>
      <c r="E29" s="46">
        <v>2.6895051589541308</v>
      </c>
      <c r="F29" s="46">
        <v>0</v>
      </c>
      <c r="G29" s="46">
        <v>0</v>
      </c>
      <c r="H29" s="46">
        <v>3.5657189429798439E-2</v>
      </c>
      <c r="I29" s="108">
        <v>0</v>
      </c>
      <c r="J29" s="47">
        <v>0</v>
      </c>
      <c r="K29" s="47">
        <v>0</v>
      </c>
      <c r="L29" s="113">
        <v>5.4160935350756534E-3</v>
      </c>
      <c r="M29" s="113">
        <v>5.4160935350756534E-3</v>
      </c>
      <c r="N29" s="113">
        <v>5.4160935350756534E-3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5.26014E-2</v>
      </c>
      <c r="W29" s="34">
        <v>8.4000000000000005E-2</v>
      </c>
      <c r="X29" s="34">
        <v>2.5256999999999996E-3</v>
      </c>
      <c r="Y29" s="34">
        <v>5.6230000000000002</v>
      </c>
      <c r="Z29" s="34">
        <v>3.7639999999999998</v>
      </c>
      <c r="AA29" s="34">
        <v>1.4179999999999999</v>
      </c>
      <c r="AB29" s="34">
        <v>19.097877</v>
      </c>
    </row>
    <row r="30" spans="1:28">
      <c r="A30" s="90"/>
      <c r="B30" s="90"/>
      <c r="C30" s="46"/>
      <c r="D30" s="46"/>
      <c r="E30" s="46"/>
      <c r="F30" s="46"/>
      <c r="G30" s="108"/>
      <c r="H30" s="108"/>
      <c r="I30" s="108"/>
      <c r="J30" s="47"/>
      <c r="K30" s="47"/>
      <c r="L30" s="33"/>
      <c r="M30" s="47"/>
      <c r="N30" s="46"/>
      <c r="O30" s="34">
        <v>0</v>
      </c>
      <c r="P30" s="34">
        <v>0</v>
      </c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s="6" customFormat="1">
      <c r="A31" s="88" t="s">
        <v>114</v>
      </c>
      <c r="B31" s="88" t="s">
        <v>115</v>
      </c>
      <c r="C31" s="107">
        <v>338.71774703098606</v>
      </c>
      <c r="D31" s="107">
        <v>342.84340167103596</v>
      </c>
      <c r="E31" s="107">
        <v>383.97965590061324</v>
      </c>
      <c r="F31" s="107">
        <v>457.80470886279556</v>
      </c>
      <c r="G31" s="107">
        <v>506.84857163705357</v>
      </c>
      <c r="H31" s="107">
        <v>816.89876492899907</v>
      </c>
      <c r="I31" s="107">
        <v>476.52988304922002</v>
      </c>
      <c r="J31" s="107">
        <v>369.04674032844008</v>
      </c>
      <c r="K31" s="107">
        <v>382.91948457691558</v>
      </c>
      <c r="L31" s="107">
        <v>296.05338720770288</v>
      </c>
      <c r="M31" s="107">
        <v>227.60463999999999</v>
      </c>
      <c r="N31" s="107">
        <v>324.54258999999996</v>
      </c>
      <c r="O31" s="56">
        <v>270.28045800000001</v>
      </c>
      <c r="P31" s="56">
        <v>118.80138000000001</v>
      </c>
      <c r="Q31" s="56">
        <v>615.87077899999997</v>
      </c>
      <c r="R31" s="56">
        <v>543.81013228999996</v>
      </c>
      <c r="S31" s="56">
        <v>599.59537089999992</v>
      </c>
      <c r="T31" s="56">
        <v>1483.796859</v>
      </c>
      <c r="U31" s="56">
        <v>1040.4488869600002</v>
      </c>
      <c r="V31" s="56">
        <v>977.38371435999989</v>
      </c>
      <c r="W31" s="56">
        <f>+W32+W33</f>
        <v>418.37400000000002</v>
      </c>
      <c r="X31" s="56">
        <v>701.73535599999991</v>
      </c>
      <c r="Y31" s="56">
        <v>203.09699999999998</v>
      </c>
      <c r="Z31" s="56">
        <v>260.96100000000001</v>
      </c>
      <c r="AA31" s="56">
        <v>283.80899999999997</v>
      </c>
      <c r="AB31" s="56">
        <v>369.44271700000002</v>
      </c>
    </row>
    <row r="32" spans="1:28" s="6" customFormat="1">
      <c r="A32" s="88" t="s">
        <v>116</v>
      </c>
      <c r="B32" s="88" t="s">
        <v>117</v>
      </c>
      <c r="C32" s="107">
        <v>225.71726992559735</v>
      </c>
      <c r="D32" s="107">
        <v>281.35832971841342</v>
      </c>
      <c r="E32" s="107">
        <v>362.00828222998729</v>
      </c>
      <c r="F32" s="107">
        <v>440.39076322985363</v>
      </c>
      <c r="G32" s="107">
        <v>396.41860337845236</v>
      </c>
      <c r="H32" s="107">
        <v>444.42964170402183</v>
      </c>
      <c r="I32" s="107">
        <v>265.3060710519274</v>
      </c>
      <c r="J32" s="107">
        <v>208.34582369880519</v>
      </c>
      <c r="K32" s="107">
        <v>318.71814234472345</v>
      </c>
      <c r="L32" s="107">
        <v>152.55459078404402</v>
      </c>
      <c r="M32" s="107">
        <v>87.318379999999991</v>
      </c>
      <c r="N32" s="107">
        <v>74.052509999999998</v>
      </c>
      <c r="O32" s="56">
        <v>213.33554799999999</v>
      </c>
      <c r="P32" s="56">
        <v>75.761949999999999</v>
      </c>
      <c r="Q32" s="56">
        <v>42.160699999999999</v>
      </c>
      <c r="R32" s="56">
        <v>72.505342009999993</v>
      </c>
      <c r="S32" s="56">
        <v>87.264482900000004</v>
      </c>
      <c r="T32" s="56">
        <v>428.01818500000002</v>
      </c>
      <c r="U32" s="56">
        <v>226.08564268000021</v>
      </c>
      <c r="V32" s="56">
        <v>479.98798864999998</v>
      </c>
      <c r="W32" s="56">
        <v>314.33100000000002</v>
      </c>
      <c r="X32" s="56">
        <v>277.07144599999998</v>
      </c>
      <c r="Y32" s="56">
        <v>112.869</v>
      </c>
      <c r="Z32" s="56">
        <v>167.41200000000001</v>
      </c>
      <c r="AA32" s="56">
        <v>195.828</v>
      </c>
      <c r="AB32" s="56">
        <v>302.23450700000001</v>
      </c>
    </row>
    <row r="33" spans="1:28" s="6" customFormat="1">
      <c r="A33" s="88" t="s">
        <v>118</v>
      </c>
      <c r="B33" s="88" t="s">
        <v>119</v>
      </c>
      <c r="C33" s="107">
        <v>113.00047710538871</v>
      </c>
      <c r="D33" s="107">
        <v>61.48507195262254</v>
      </c>
      <c r="E33" s="107">
        <v>21.97137367062599</v>
      </c>
      <c r="F33" s="107">
        <v>17.413945632941932</v>
      </c>
      <c r="G33" s="107">
        <v>110.42996825860119</v>
      </c>
      <c r="H33" s="107">
        <v>372.4691232249773</v>
      </c>
      <c r="I33" s="107">
        <v>211.22381199729264</v>
      </c>
      <c r="J33" s="107">
        <v>160.70091662963492</v>
      </c>
      <c r="K33" s="107">
        <v>64.201342232192104</v>
      </c>
      <c r="L33" s="107">
        <v>143.49879642365886</v>
      </c>
      <c r="M33" s="107">
        <v>140.28626</v>
      </c>
      <c r="N33" s="107">
        <v>250.49007999999998</v>
      </c>
      <c r="O33" s="56">
        <v>56.944910000000007</v>
      </c>
      <c r="P33" s="56">
        <v>43.039430000000003</v>
      </c>
      <c r="Q33" s="56">
        <v>573.71007899999995</v>
      </c>
      <c r="R33" s="56">
        <v>471.30479028000002</v>
      </c>
      <c r="S33" s="56">
        <v>512.33088799999996</v>
      </c>
      <c r="T33" s="56">
        <v>1055.7786739999999</v>
      </c>
      <c r="U33" s="56">
        <v>814.36324428</v>
      </c>
      <c r="V33" s="56">
        <v>497.39572570999997</v>
      </c>
      <c r="W33" s="56">
        <v>104.04300000000001</v>
      </c>
      <c r="X33" s="56">
        <v>424.66390999999999</v>
      </c>
      <c r="Y33" s="56">
        <v>90.227999999999994</v>
      </c>
      <c r="Z33" s="56">
        <v>93.549000000000007</v>
      </c>
      <c r="AA33" s="56">
        <v>87.980999999999995</v>
      </c>
      <c r="AB33" s="56">
        <v>67.208209999999994</v>
      </c>
    </row>
    <row r="34" spans="1:28">
      <c r="A34" s="88"/>
      <c r="B34" s="88"/>
      <c r="C34" s="107"/>
      <c r="D34" s="107"/>
      <c r="E34" s="107"/>
      <c r="F34" s="107"/>
      <c r="G34" s="107"/>
      <c r="H34" s="107"/>
      <c r="I34" s="108"/>
      <c r="J34" s="47"/>
      <c r="K34" s="47"/>
      <c r="L34" s="47"/>
      <c r="M34" s="47"/>
      <c r="N34" s="4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spans="1:28" s="6" customFormat="1">
      <c r="A35" s="88" t="s">
        <v>120</v>
      </c>
      <c r="B35" s="88" t="s">
        <v>121</v>
      </c>
      <c r="C35" s="107">
        <v>2192.3727611507265</v>
      </c>
      <c r="D35" s="107">
        <v>2173.9603176100036</v>
      </c>
      <c r="E35" s="107">
        <v>2196.6915471789052</v>
      </c>
      <c r="F35" s="107">
        <v>2737.7885234035707</v>
      </c>
      <c r="G35" s="107">
        <v>3180.7221168229416</v>
      </c>
      <c r="H35" s="107">
        <v>4149.2500235102352</v>
      </c>
      <c r="I35" s="107">
        <v>4095.8914545654875</v>
      </c>
      <c r="J35" s="107">
        <v>4105.788750888134</v>
      </c>
      <c r="K35" s="107">
        <v>3923.2510448015341</v>
      </c>
      <c r="L35" s="107">
        <v>3586.68621045392</v>
      </c>
      <c r="M35" s="107">
        <v>3244.1622750000001</v>
      </c>
      <c r="N35" s="107">
        <v>4723.9455180000004</v>
      </c>
      <c r="O35" s="56">
        <v>4682.1814729999996</v>
      </c>
      <c r="P35" s="56">
        <v>5475.3640500000001</v>
      </c>
      <c r="Q35" s="56">
        <v>5184.7044395999992</v>
      </c>
      <c r="R35" s="56">
        <v>5800.9579805400008</v>
      </c>
      <c r="S35" s="56">
        <v>6103.6872724400009</v>
      </c>
      <c r="T35" s="56">
        <v>8581.5948060200008</v>
      </c>
      <c r="U35" s="56">
        <v>14952.746828079999</v>
      </c>
      <c r="V35" s="56">
        <v>16540.012837850001</v>
      </c>
      <c r="W35" s="56">
        <f>+W38+W55</f>
        <v>17697.483</v>
      </c>
      <c r="X35" s="56">
        <v>21975.872419310002</v>
      </c>
      <c r="Y35" s="56">
        <v>24172.005999999998</v>
      </c>
      <c r="Z35" s="56">
        <v>30868.995976000002</v>
      </c>
      <c r="AA35" s="56">
        <v>33045.569781999999</v>
      </c>
      <c r="AB35" s="56">
        <v>28886.470173999998</v>
      </c>
    </row>
    <row r="36" spans="1:28" s="6" customFormat="1">
      <c r="A36" s="97"/>
      <c r="B36" s="88" t="s">
        <v>122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 t="s">
        <v>80</v>
      </c>
      <c r="N36" s="107" t="s">
        <v>80</v>
      </c>
      <c r="O36" s="56" t="s">
        <v>80</v>
      </c>
      <c r="P36" s="56"/>
      <c r="Q36" s="56" t="s">
        <v>80</v>
      </c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spans="1:28">
      <c r="A37" s="90"/>
      <c r="B37" s="90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 t="s">
        <v>80</v>
      </c>
      <c r="N37" s="46" t="s">
        <v>80</v>
      </c>
      <c r="O37" s="34" t="s">
        <v>80</v>
      </c>
      <c r="P37" s="34"/>
      <c r="Q37" s="34" t="s">
        <v>80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spans="1:28" s="6" customFormat="1">
      <c r="A38" s="88" t="s">
        <v>123</v>
      </c>
      <c r="B38" s="88" t="s">
        <v>124</v>
      </c>
      <c r="C38" s="107">
        <v>2147.0941702879395</v>
      </c>
      <c r="D38" s="107">
        <v>2170.1486203579711</v>
      </c>
      <c r="E38" s="107">
        <v>2197.8114873134755</v>
      </c>
      <c r="F38" s="107">
        <v>2704.2765803442176</v>
      </c>
      <c r="G38" s="107">
        <v>3181.8791272939548</v>
      </c>
      <c r="H38" s="107">
        <v>4150.8138459609418</v>
      </c>
      <c r="I38" s="107">
        <v>4095.8958618627125</v>
      </c>
      <c r="J38" s="107">
        <v>4105.788750888134</v>
      </c>
      <c r="K38" s="107">
        <v>3923.2510448015341</v>
      </c>
      <c r="L38" s="107">
        <v>3614.0551925722148</v>
      </c>
      <c r="M38" s="107">
        <v>3410.1933300000001</v>
      </c>
      <c r="N38" s="107">
        <v>4723.9455180000004</v>
      </c>
      <c r="O38" s="56">
        <v>4669.3276509999996</v>
      </c>
      <c r="P38" s="56">
        <v>5475.3640500000001</v>
      </c>
      <c r="Q38" s="56">
        <v>5184.7244395999996</v>
      </c>
      <c r="R38" s="56">
        <v>5800.9579805400008</v>
      </c>
      <c r="S38" s="56">
        <v>6103.7175304400007</v>
      </c>
      <c r="T38" s="56">
        <v>8581.5638434299999</v>
      </c>
      <c r="U38" s="56">
        <v>14846.628410109999</v>
      </c>
      <c r="V38" s="56">
        <v>16525.012837850001</v>
      </c>
      <c r="W38" s="56">
        <f>+W40+W50</f>
        <v>17692.43</v>
      </c>
      <c r="X38" s="56">
        <v>21963.074237070003</v>
      </c>
      <c r="Y38" s="56">
        <v>24168.368999999999</v>
      </c>
      <c r="Z38" s="56">
        <v>30869.927988000003</v>
      </c>
      <c r="AA38" s="56">
        <v>33045.680391000002</v>
      </c>
      <c r="AB38" s="56">
        <v>28890.183587</v>
      </c>
    </row>
    <row r="39" spans="1:28">
      <c r="A39" s="90"/>
      <c r="B39" s="91" t="s">
        <v>125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 t="s">
        <v>80</v>
      </c>
      <c r="N39" s="46" t="s">
        <v>80</v>
      </c>
      <c r="O39" s="34" t="s">
        <v>80</v>
      </c>
      <c r="P39" s="34"/>
      <c r="Q39" s="34" t="s">
        <v>80</v>
      </c>
      <c r="R39" s="34" t="s">
        <v>80</v>
      </c>
      <c r="S39" s="34" t="s">
        <v>80</v>
      </c>
      <c r="T39" s="34" t="s">
        <v>80</v>
      </c>
      <c r="U39" s="34" t="s">
        <v>80</v>
      </c>
      <c r="V39" s="34" t="s">
        <v>80</v>
      </c>
      <c r="W39" s="34"/>
      <c r="X39" s="34"/>
      <c r="Y39" s="34"/>
      <c r="Z39" s="34"/>
      <c r="AA39" s="34"/>
      <c r="AB39" s="34"/>
    </row>
    <row r="40" spans="1:28" s="6" customFormat="1">
      <c r="A40" s="88" t="s">
        <v>126</v>
      </c>
      <c r="B40" s="88" t="s">
        <v>127</v>
      </c>
      <c r="C40" s="107">
        <v>1621.6438214852162</v>
      </c>
      <c r="D40" s="107">
        <v>1631.2149902868673</v>
      </c>
      <c r="E40" s="107">
        <v>1815.7286269635417</v>
      </c>
      <c r="F40" s="107">
        <v>2064.5030762425608</v>
      </c>
      <c r="G40" s="107">
        <v>2317.0122040205774</v>
      </c>
      <c r="H40" s="107">
        <v>3012.0231340710325</v>
      </c>
      <c r="I40" s="107">
        <v>2729.6381294171347</v>
      </c>
      <c r="J40" s="107">
        <v>3012.8556615876696</v>
      </c>
      <c r="K40" s="107">
        <v>2670.5536245081385</v>
      </c>
      <c r="L40" s="107">
        <v>2135.166781292985</v>
      </c>
      <c r="M40" s="107">
        <v>2434.03629</v>
      </c>
      <c r="N40" s="107">
        <v>2528.713718</v>
      </c>
      <c r="O40" s="56">
        <v>3490.3137809999998</v>
      </c>
      <c r="P40" s="56">
        <v>4048.4038999999998</v>
      </c>
      <c r="Q40" s="56">
        <v>3780.9007668999998</v>
      </c>
      <c r="R40" s="56">
        <v>4079.5639567500002</v>
      </c>
      <c r="S40" s="56">
        <v>4529.6072834400002</v>
      </c>
      <c r="T40" s="56">
        <v>5899.7279730399996</v>
      </c>
      <c r="U40" s="56">
        <v>10326.428410109998</v>
      </c>
      <c r="V40" s="56">
        <v>10669.51945661</v>
      </c>
      <c r="W40" s="56">
        <f>+W41+W45+W48+W60</f>
        <v>11526.432000000001</v>
      </c>
      <c r="X40" s="56">
        <v>14229.610237070001</v>
      </c>
      <c r="Y40" s="56">
        <v>15445.222</v>
      </c>
      <c r="Z40" s="56">
        <v>19512.989000000001</v>
      </c>
      <c r="AA40" s="56">
        <v>22055.093000000001</v>
      </c>
      <c r="AB40" s="56">
        <v>19000.039999999997</v>
      </c>
    </row>
    <row r="41" spans="1:28" s="6" customFormat="1">
      <c r="A41" s="88" t="s">
        <v>128</v>
      </c>
      <c r="B41" s="88" t="s">
        <v>129</v>
      </c>
      <c r="C41" s="107">
        <v>758.5498575131204</v>
      </c>
      <c r="D41" s="107">
        <v>858.85781105599665</v>
      </c>
      <c r="E41" s="107">
        <v>853.9404009208115</v>
      </c>
      <c r="F41" s="107">
        <v>1056.6702187550266</v>
      </c>
      <c r="G41" s="107">
        <v>1075.5814695902807</v>
      </c>
      <c r="H41" s="107">
        <v>1298.9173536879723</v>
      </c>
      <c r="I41" s="107">
        <v>1749.133493884875</v>
      </c>
      <c r="J41" s="107">
        <v>1824.1220967745985</v>
      </c>
      <c r="K41" s="107">
        <v>1504.3461522800551</v>
      </c>
      <c r="L41" s="107">
        <v>1156.3953748280605</v>
      </c>
      <c r="M41" s="107">
        <v>1340.3090699999998</v>
      </c>
      <c r="N41" s="107">
        <v>1464.3994699999998</v>
      </c>
      <c r="O41" s="56">
        <v>2171.9199199999998</v>
      </c>
      <c r="P41" s="56">
        <v>2280.2450199999998</v>
      </c>
      <c r="Q41" s="56">
        <v>2265.77105089</v>
      </c>
      <c r="R41" s="56">
        <v>2527.895</v>
      </c>
      <c r="S41" s="56">
        <v>2846.4135046400002</v>
      </c>
      <c r="T41" s="56">
        <v>3539.1722205899996</v>
      </c>
      <c r="U41" s="56">
        <v>6967.5378477699996</v>
      </c>
      <c r="V41" s="56">
        <v>7973.1107722199995</v>
      </c>
      <c r="W41" s="56">
        <v>9223.6980000000003</v>
      </c>
      <c r="X41" s="56">
        <v>10956.711616000001</v>
      </c>
      <c r="Y41" s="56">
        <v>12770.929</v>
      </c>
      <c r="Z41" s="56">
        <v>15170.332</v>
      </c>
      <c r="AA41" s="56">
        <v>16271.539000000001</v>
      </c>
      <c r="AB41" s="56">
        <v>15340.103999999999</v>
      </c>
    </row>
    <row r="42" spans="1:28">
      <c r="A42" s="90"/>
      <c r="B42" s="91" t="s">
        <v>130</v>
      </c>
      <c r="C42" s="46">
        <v>486.13557529883559</v>
      </c>
      <c r="D42" s="46">
        <v>579.9692574640236</v>
      </c>
      <c r="E42" s="46">
        <v>557.52725335633249</v>
      </c>
      <c r="F42" s="46">
        <v>623.71119511018173</v>
      </c>
      <c r="G42" s="46">
        <v>647.18614323762279</v>
      </c>
      <c r="H42" s="46">
        <v>688.37614808313219</v>
      </c>
      <c r="I42" s="46">
        <v>1359.685822669248</v>
      </c>
      <c r="J42" s="46">
        <v>1387.1694446745851</v>
      </c>
      <c r="K42" s="46">
        <v>1110.8788918625787</v>
      </c>
      <c r="L42" s="46">
        <v>915.60729023383772</v>
      </c>
      <c r="M42" s="46">
        <v>1041.3179599999999</v>
      </c>
      <c r="N42" s="46">
        <v>1137.26865</v>
      </c>
      <c r="O42" s="34">
        <v>1767.2917299999999</v>
      </c>
      <c r="P42" s="34">
        <v>1919.98325</v>
      </c>
      <c r="Q42" s="34">
        <v>1923.623</v>
      </c>
      <c r="R42" s="34">
        <v>2102.8629999999998</v>
      </c>
      <c r="S42" s="34">
        <v>2351.5574033000003</v>
      </c>
      <c r="T42" s="34">
        <v>2645.9585534099997</v>
      </c>
      <c r="U42" s="34">
        <v>3397.1532107500002</v>
      </c>
      <c r="V42" s="34">
        <v>4025.3753782099998</v>
      </c>
      <c r="W42" s="34">
        <v>4321.183</v>
      </c>
      <c r="X42" s="34">
        <v>4875.0568569999996</v>
      </c>
      <c r="Y42" s="34">
        <v>5684.8209999999999</v>
      </c>
      <c r="Z42" s="34">
        <v>6144.09</v>
      </c>
      <c r="AA42" s="34">
        <v>6523.134</v>
      </c>
      <c r="AB42" s="34">
        <v>6802.7749999999996</v>
      </c>
    </row>
    <row r="43" spans="1:28">
      <c r="A43" s="90"/>
      <c r="B43" s="91" t="s">
        <v>131</v>
      </c>
      <c r="C43" s="46">
        <v>39.49014197108999</v>
      </c>
      <c r="D43" s="46">
        <v>16.222817374247938</v>
      </c>
      <c r="E43" s="46">
        <v>48.797300982325751</v>
      </c>
      <c r="F43" s="46">
        <v>45.926994531124336</v>
      </c>
      <c r="G43" s="46">
        <v>38.328651172972386</v>
      </c>
      <c r="H43" s="46">
        <v>44.401429422275164</v>
      </c>
      <c r="I43" s="46">
        <v>2.7183579669767512</v>
      </c>
      <c r="J43" s="46">
        <v>36.299638218760904</v>
      </c>
      <c r="K43" s="46">
        <v>100.90395229264068</v>
      </c>
      <c r="L43" s="46">
        <v>1.1950653370013755</v>
      </c>
      <c r="M43" s="46">
        <v>12.260620000000001</v>
      </c>
      <c r="N43" s="46">
        <v>2.73733</v>
      </c>
      <c r="O43" s="34">
        <v>5.5338000000000003</v>
      </c>
      <c r="P43" s="34">
        <v>3.62378</v>
      </c>
      <c r="Q43" s="34">
        <v>93.406830530000022</v>
      </c>
      <c r="R43" s="34">
        <v>105.393</v>
      </c>
      <c r="S43" s="34">
        <v>137.44006034</v>
      </c>
      <c r="T43" s="34">
        <v>273.32557409999998</v>
      </c>
      <c r="U43" s="34">
        <v>478.61283841999995</v>
      </c>
      <c r="V43" s="34">
        <v>650.34146666999993</v>
      </c>
      <c r="W43" s="34">
        <v>713.08600000000001</v>
      </c>
      <c r="X43" s="34">
        <v>869.46895900000004</v>
      </c>
      <c r="Y43" s="34">
        <v>1023.168</v>
      </c>
      <c r="Z43" s="34">
        <v>1092.1420000000001</v>
      </c>
      <c r="AA43" s="34">
        <v>1149.7619999999999</v>
      </c>
      <c r="AB43" s="34">
        <v>1205.992</v>
      </c>
    </row>
    <row r="44" spans="1:28">
      <c r="A44" s="90"/>
      <c r="B44" s="91" t="s">
        <v>132</v>
      </c>
      <c r="C44" s="46">
        <v>232.92414024319481</v>
      </c>
      <c r="D44" s="46">
        <v>262.66573621772505</v>
      </c>
      <c r="E44" s="46">
        <v>247.61584658215327</v>
      </c>
      <c r="F44" s="46">
        <v>387.03202911372045</v>
      </c>
      <c r="G44" s="46">
        <v>390.06667517968555</v>
      </c>
      <c r="H44" s="46">
        <v>566.13977618256479</v>
      </c>
      <c r="I44" s="46">
        <v>386.72931324865027</v>
      </c>
      <c r="J44" s="46">
        <v>400.65301388125238</v>
      </c>
      <c r="K44" s="46">
        <v>292.56330812483577</v>
      </c>
      <c r="L44" s="46">
        <v>239.59301925722147</v>
      </c>
      <c r="M44" s="46">
        <v>286.73048999999997</v>
      </c>
      <c r="N44" s="46">
        <v>324.39348999999999</v>
      </c>
      <c r="O44" s="34">
        <v>399.09439000000003</v>
      </c>
      <c r="P44" s="34">
        <v>356.63799</v>
      </c>
      <c r="Q44" s="34">
        <v>248.74122036000006</v>
      </c>
      <c r="R44" s="34">
        <v>319.63900000000001</v>
      </c>
      <c r="S44" s="34">
        <v>357.41604100000001</v>
      </c>
      <c r="T44" s="34">
        <v>619.88809308000009</v>
      </c>
      <c r="U44" s="34">
        <v>3091.7717985999998</v>
      </c>
      <c r="V44" s="34">
        <v>3297.3939273399997</v>
      </c>
      <c r="W44" s="34">
        <v>4189.4279999999999</v>
      </c>
      <c r="X44" s="34">
        <v>5212.1858000000002</v>
      </c>
      <c r="Y44" s="34">
        <v>6062.94</v>
      </c>
      <c r="Z44" s="34">
        <v>7934.1</v>
      </c>
      <c r="AA44" s="34">
        <v>8598.643</v>
      </c>
      <c r="AB44" s="34">
        <v>7331.3370000000004</v>
      </c>
    </row>
    <row r="45" spans="1:28" s="6" customFormat="1">
      <c r="A45" s="88" t="s">
        <v>133</v>
      </c>
      <c r="B45" s="88" t="s">
        <v>134</v>
      </c>
      <c r="C45" s="107">
        <v>448.38493378550891</v>
      </c>
      <c r="D45" s="107">
        <v>330.1729503404311</v>
      </c>
      <c r="E45" s="107">
        <v>333.38702619746715</v>
      </c>
      <c r="F45" s="107">
        <v>266.56697362071736</v>
      </c>
      <c r="G45" s="107">
        <v>427.39109416614986</v>
      </c>
      <c r="H45" s="107">
        <v>852.94818344252531</v>
      </c>
      <c r="I45" s="107">
        <v>616.49525428530944</v>
      </c>
      <c r="J45" s="107">
        <v>939.82380425149438</v>
      </c>
      <c r="K45" s="107">
        <v>705.25954387796276</v>
      </c>
      <c r="L45" s="107">
        <v>681.37869669876204</v>
      </c>
      <c r="M45" s="107">
        <v>871.02882000000011</v>
      </c>
      <c r="N45" s="107">
        <v>697.60956800000008</v>
      </c>
      <c r="O45" s="56">
        <v>880.12656100000004</v>
      </c>
      <c r="P45" s="56">
        <v>845.45236</v>
      </c>
      <c r="Q45" s="56">
        <v>814.50106405000008</v>
      </c>
      <c r="R45" s="56">
        <v>858.66300000000001</v>
      </c>
      <c r="S45" s="56">
        <v>867.19208479999998</v>
      </c>
      <c r="T45" s="56">
        <v>887.96125044999997</v>
      </c>
      <c r="U45" s="56">
        <v>728.19056234000004</v>
      </c>
      <c r="V45" s="56">
        <v>531.07260444999997</v>
      </c>
      <c r="W45" s="56">
        <v>567.24099999999999</v>
      </c>
      <c r="X45" s="56">
        <v>676.24234307000006</v>
      </c>
      <c r="Y45" s="56">
        <v>946.68899999999996</v>
      </c>
      <c r="Z45" s="56">
        <v>1182.23</v>
      </c>
      <c r="AA45" s="56">
        <v>1388.096</v>
      </c>
      <c r="AB45" s="56">
        <v>1761.78</v>
      </c>
    </row>
    <row r="46" spans="1:28">
      <c r="A46" s="90"/>
      <c r="B46" s="91" t="s">
        <v>135</v>
      </c>
      <c r="C46" s="46">
        <v>52.68532965403412</v>
      </c>
      <c r="D46" s="46">
        <v>53.077082665359008</v>
      </c>
      <c r="E46" s="46">
        <v>63.402816972863967</v>
      </c>
      <c r="F46" s="46">
        <v>57.029113720443945</v>
      </c>
      <c r="G46" s="46">
        <v>67.961253602831192</v>
      </c>
      <c r="H46" s="46">
        <v>89.276590075546224</v>
      </c>
      <c r="I46" s="46">
        <v>122.35821882230721</v>
      </c>
      <c r="J46" s="46">
        <v>237.17082551900918</v>
      </c>
      <c r="K46" s="46">
        <v>151.79291274750415</v>
      </c>
      <c r="L46" s="46">
        <v>253.54143741403027</v>
      </c>
      <c r="M46" s="46">
        <v>209.927897</v>
      </c>
      <c r="N46" s="46">
        <v>135.40664599999999</v>
      </c>
      <c r="O46" s="34">
        <v>294.623988</v>
      </c>
      <c r="P46" s="34">
        <v>221.1</v>
      </c>
      <c r="Q46" s="34">
        <v>233.91</v>
      </c>
      <c r="R46" s="34">
        <v>243.267</v>
      </c>
      <c r="S46" s="34">
        <v>235.4747418</v>
      </c>
      <c r="T46" s="34">
        <v>181.76523119000001</v>
      </c>
      <c r="U46" s="34">
        <v>167.4</v>
      </c>
      <c r="V46" s="34">
        <v>212.12042525999996</v>
      </c>
      <c r="W46" s="34">
        <v>242.471</v>
      </c>
      <c r="X46" s="34">
        <v>276.68990000000002</v>
      </c>
      <c r="Y46" s="34">
        <v>501.16399999999999</v>
      </c>
      <c r="Z46" s="34">
        <v>542.52</v>
      </c>
      <c r="AA46" s="34">
        <v>684.44600000000003</v>
      </c>
      <c r="AB46" s="34">
        <v>1105.203</v>
      </c>
    </row>
    <row r="47" spans="1:28">
      <c r="A47" s="90"/>
      <c r="B47" s="91" t="s">
        <v>136</v>
      </c>
      <c r="C47" s="46">
        <v>395.69960413147476</v>
      </c>
      <c r="D47" s="46">
        <v>277.0958676750721</v>
      </c>
      <c r="E47" s="46">
        <v>269.98420922460321</v>
      </c>
      <c r="F47" s="46">
        <v>209.53785990027345</v>
      </c>
      <c r="G47" s="46">
        <v>359.42984056331863</v>
      </c>
      <c r="H47" s="46">
        <v>763.6715933669791</v>
      </c>
      <c r="I47" s="46">
        <v>494.13703546300229</v>
      </c>
      <c r="J47" s="46">
        <v>702.65297873248517</v>
      </c>
      <c r="K47" s="46">
        <v>553.46663113045861</v>
      </c>
      <c r="L47" s="46">
        <v>427.83725928473177</v>
      </c>
      <c r="M47" s="46">
        <v>661.10092300000008</v>
      </c>
      <c r="N47" s="46">
        <v>562.20292200000006</v>
      </c>
      <c r="O47" s="34">
        <v>585.50257299999998</v>
      </c>
      <c r="P47" s="34">
        <v>624.35235999999998</v>
      </c>
      <c r="Q47" s="34">
        <v>580.59106405000011</v>
      </c>
      <c r="R47" s="34">
        <v>615.39599999999996</v>
      </c>
      <c r="S47" s="34">
        <v>631.71734300000003</v>
      </c>
      <c r="T47" s="34">
        <v>706.19601925999996</v>
      </c>
      <c r="U47" s="34">
        <v>560.79056234000006</v>
      </c>
      <c r="V47" s="34">
        <v>318.95217919000004</v>
      </c>
      <c r="W47" s="34">
        <v>324.76900000000001</v>
      </c>
      <c r="X47" s="34">
        <v>399.55244306999998</v>
      </c>
      <c r="Y47" s="34">
        <v>445.52499999999998</v>
      </c>
      <c r="Z47" s="34">
        <v>639.71</v>
      </c>
      <c r="AA47" s="34">
        <v>703.65</v>
      </c>
      <c r="AB47" s="34">
        <v>656.577</v>
      </c>
    </row>
    <row r="48" spans="1:28" s="6" customFormat="1">
      <c r="A48" s="88" t="s">
        <v>137</v>
      </c>
      <c r="B48" s="88" t="s">
        <v>138</v>
      </c>
      <c r="C48" s="107"/>
      <c r="D48" s="107"/>
      <c r="E48" s="107"/>
      <c r="F48" s="107"/>
      <c r="G48" s="107"/>
      <c r="H48" s="110"/>
      <c r="I48" s="110"/>
      <c r="J48" s="111"/>
      <c r="K48" s="111"/>
      <c r="L48" s="111"/>
      <c r="M48" s="111"/>
      <c r="N48" s="107"/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</row>
    <row r="49" spans="1:28">
      <c r="A49" s="90"/>
      <c r="B49" s="90"/>
      <c r="C49" s="112"/>
      <c r="D49" s="112"/>
      <c r="E49" s="112"/>
      <c r="F49" s="112"/>
      <c r="G49" s="46"/>
      <c r="H49" s="108"/>
      <c r="I49" s="108"/>
      <c r="J49" s="47"/>
      <c r="K49" s="47"/>
      <c r="L49" s="47"/>
      <c r="M49" s="47"/>
      <c r="N49" s="4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spans="1:28" s="6" customFormat="1">
      <c r="A50" s="88" t="s">
        <v>139</v>
      </c>
      <c r="B50" s="88" t="s">
        <v>140</v>
      </c>
      <c r="C50" s="107">
        <v>525.4503488027234</v>
      </c>
      <c r="D50" s="107">
        <v>538.93363007110383</v>
      </c>
      <c r="E50" s="107">
        <v>382.08286034993375</v>
      </c>
      <c r="F50" s="107">
        <v>639.77350410165673</v>
      </c>
      <c r="G50" s="107">
        <v>864.86692327337744</v>
      </c>
      <c r="H50" s="107">
        <v>1138.7907118899095</v>
      </c>
      <c r="I50" s="107">
        <v>1366.2577324455776</v>
      </c>
      <c r="J50" s="107">
        <v>1092.9330893004642</v>
      </c>
      <c r="K50" s="107">
        <v>1252.6974202933959</v>
      </c>
      <c r="L50" s="107">
        <v>1478.8884112792298</v>
      </c>
      <c r="M50" s="107">
        <v>976.15704000000005</v>
      </c>
      <c r="N50" s="107">
        <v>2195.2318</v>
      </c>
      <c r="O50" s="56">
        <v>1179.0138700000002</v>
      </c>
      <c r="P50" s="56">
        <v>1426.9601499999999</v>
      </c>
      <c r="Q50" s="56">
        <v>1403.8236727000001</v>
      </c>
      <c r="R50" s="56">
        <v>1721.3940237900001</v>
      </c>
      <c r="S50" s="56">
        <v>1574.1102470000001</v>
      </c>
      <c r="T50" s="56">
        <v>2681.8358703900003</v>
      </c>
      <c r="U50" s="56">
        <v>4520.2</v>
      </c>
      <c r="V50" s="56">
        <v>5855.4933812400013</v>
      </c>
      <c r="W50" s="56">
        <f>+W51+W52+W53+W61</f>
        <v>6165.9979999999996</v>
      </c>
      <c r="X50" s="56">
        <v>7733.4639999999999</v>
      </c>
      <c r="Y50" s="56">
        <v>8723.1470000000008</v>
      </c>
      <c r="Z50" s="56">
        <v>11356.938988</v>
      </c>
      <c r="AA50" s="56">
        <v>10990.587391000001</v>
      </c>
      <c r="AB50" s="56">
        <v>9890.1435870000005</v>
      </c>
    </row>
    <row r="51" spans="1:28">
      <c r="A51" s="91" t="s">
        <v>141</v>
      </c>
      <c r="B51" s="91" t="s">
        <v>142</v>
      </c>
      <c r="C51" s="46">
        <v>234.78098283710074</v>
      </c>
      <c r="D51" s="46">
        <v>188.74219648818391</v>
      </c>
      <c r="E51" s="46">
        <v>204.79113687241181</v>
      </c>
      <c r="F51" s="46">
        <v>307.29099646131573</v>
      </c>
      <c r="G51" s="46">
        <v>280.70205042139446</v>
      </c>
      <c r="H51" s="46">
        <v>355.61463590483061</v>
      </c>
      <c r="I51" s="46">
        <v>839.10468904944037</v>
      </c>
      <c r="J51" s="46">
        <v>523.93405087030851</v>
      </c>
      <c r="K51" s="46">
        <v>731.32350164910224</v>
      </c>
      <c r="L51" s="46">
        <v>641.86047111416781</v>
      </c>
      <c r="M51" s="46">
        <v>449.14822999999996</v>
      </c>
      <c r="N51" s="46">
        <v>700.80590000000007</v>
      </c>
      <c r="O51" s="34">
        <v>648.65313000000003</v>
      </c>
      <c r="P51" s="34">
        <v>667.50962000000004</v>
      </c>
      <c r="Q51" s="34">
        <v>494.25993843000009</v>
      </c>
      <c r="R51" s="34">
        <v>529.529</v>
      </c>
      <c r="S51" s="34">
        <v>519.31554700000004</v>
      </c>
      <c r="T51" s="34">
        <v>739.23332200000004</v>
      </c>
      <c r="U51" s="34">
        <v>1202.2</v>
      </c>
      <c r="V51" s="34">
        <v>2277.4047373600006</v>
      </c>
      <c r="W51" s="34">
        <v>2372.8580000000002</v>
      </c>
      <c r="X51" s="34">
        <v>3235.1529999999998</v>
      </c>
      <c r="Y51" s="34">
        <v>3230.5120000000002</v>
      </c>
      <c r="Z51" s="34">
        <v>4709.3770000000004</v>
      </c>
      <c r="AA51" s="34">
        <v>4557.835</v>
      </c>
      <c r="AB51" s="34">
        <v>2806.2809999999999</v>
      </c>
    </row>
    <row r="52" spans="1:28">
      <c r="A52" s="91" t="s">
        <v>143</v>
      </c>
      <c r="B52" s="91" t="s">
        <v>144</v>
      </c>
      <c r="C52" s="112"/>
      <c r="D52" s="112"/>
      <c r="E52" s="112"/>
      <c r="F52" s="112"/>
      <c r="G52" s="46"/>
      <c r="H52" s="46"/>
      <c r="I52" s="108"/>
      <c r="J52" s="47"/>
      <c r="K52" s="47"/>
      <c r="L52" s="47"/>
      <c r="M52" s="47">
        <v>0</v>
      </c>
      <c r="N52" s="46">
        <v>0</v>
      </c>
      <c r="O52" s="34">
        <v>0</v>
      </c>
      <c r="P52" s="34"/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/>
      <c r="Z52" s="34"/>
      <c r="AA52" s="34"/>
      <c r="AB52" s="34">
        <v>0</v>
      </c>
    </row>
    <row r="53" spans="1:28">
      <c r="A53" s="91" t="s">
        <v>145</v>
      </c>
      <c r="B53" s="91" t="s">
        <v>146</v>
      </c>
      <c r="C53" s="46">
        <v>7.7368441412747735E-2</v>
      </c>
      <c r="D53" s="46">
        <v>0.54883913920899263</v>
      </c>
      <c r="E53" s="46">
        <v>0.19722615053872547</v>
      </c>
      <c r="F53" s="46">
        <v>1.0173717226958339</v>
      </c>
      <c r="G53" s="46">
        <v>0.45787879893465655</v>
      </c>
      <c r="H53" s="46">
        <v>3.6832701169242345E-2</v>
      </c>
      <c r="I53" s="108">
        <v>7.2090790322834511E-2</v>
      </c>
      <c r="J53" s="46">
        <v>5.2723150735487952E-2</v>
      </c>
      <c r="K53" s="46">
        <v>5.5525325100778469E-2</v>
      </c>
      <c r="L53" s="47">
        <v>0</v>
      </c>
      <c r="M53" s="46">
        <v>1.12954</v>
      </c>
      <c r="N53" s="109">
        <v>0.82804</v>
      </c>
      <c r="O53" s="34">
        <v>0.28548000000000001</v>
      </c>
      <c r="P53" s="34">
        <v>0</v>
      </c>
      <c r="Q53" s="34">
        <v>15.728593269999999</v>
      </c>
      <c r="R53" s="34">
        <v>8.8149999999999995</v>
      </c>
      <c r="S53" s="34">
        <v>3.9154260000000001</v>
      </c>
      <c r="T53" s="34">
        <v>15.513463389999998</v>
      </c>
      <c r="U53" s="34">
        <v>1.7</v>
      </c>
      <c r="V53" s="34">
        <v>23.888991789999999</v>
      </c>
      <c r="W53" s="34">
        <v>65.230999999999995</v>
      </c>
      <c r="X53" s="34">
        <v>110.01600000000001</v>
      </c>
      <c r="Y53" s="34">
        <v>163.09200000000001</v>
      </c>
      <c r="Z53" s="34">
        <v>191.11199999999999</v>
      </c>
      <c r="AA53" s="34">
        <v>120.56100000000001</v>
      </c>
      <c r="AB53" s="34">
        <v>17.262</v>
      </c>
    </row>
    <row r="54" spans="1:28">
      <c r="A54" s="90"/>
      <c r="B54" s="90"/>
      <c r="C54" s="108"/>
      <c r="D54" s="108"/>
      <c r="E54" s="108"/>
      <c r="F54" s="108"/>
      <c r="G54" s="46"/>
      <c r="H54" s="108"/>
      <c r="I54" s="108"/>
      <c r="J54" s="47"/>
      <c r="K54" s="47"/>
      <c r="L54" s="47"/>
      <c r="M54" s="47"/>
      <c r="N54" s="4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spans="1:28" s="6" customFormat="1">
      <c r="A55" s="88" t="s">
        <v>147</v>
      </c>
      <c r="B55" s="88" t="s">
        <v>148</v>
      </c>
      <c r="C55" s="107">
        <v>45.27859086278707</v>
      </c>
      <c r="D55" s="107">
        <v>3.8116972520322134</v>
      </c>
      <c r="E55" s="107">
        <v>-1.1199401345703832</v>
      </c>
      <c r="F55" s="107">
        <v>33.511943059353385</v>
      </c>
      <c r="G55" s="107">
        <v>-1.157010471013171</v>
      </c>
      <c r="H55" s="107">
        <v>-1.5638224507068745</v>
      </c>
      <c r="I55" s="107">
        <v>-4.407297224976783E-3</v>
      </c>
      <c r="J55" s="107">
        <v>0</v>
      </c>
      <c r="K55" s="107">
        <v>0</v>
      </c>
      <c r="L55" s="107">
        <v>-27.368982118294362</v>
      </c>
      <c r="M55" s="107">
        <v>-166.03105499999998</v>
      </c>
      <c r="N55" s="107">
        <v>0</v>
      </c>
      <c r="O55" s="56">
        <v>12.853822000000001</v>
      </c>
      <c r="P55" s="56">
        <v>0</v>
      </c>
      <c r="Q55" s="56">
        <v>-0.02</v>
      </c>
      <c r="R55" s="56">
        <v>0</v>
      </c>
      <c r="S55" s="56">
        <v>-3.0258E-2</v>
      </c>
      <c r="T55" s="56">
        <v>3.0962589999999995E-2</v>
      </c>
      <c r="U55" s="56">
        <v>106.11841797</v>
      </c>
      <c r="V55" s="56">
        <v>15</v>
      </c>
      <c r="W55" s="56">
        <v>5.0529999999999999</v>
      </c>
      <c r="X55" s="56">
        <v>12.798182240000001</v>
      </c>
      <c r="Y55" s="56">
        <v>3.637</v>
      </c>
      <c r="Z55" s="56">
        <v>-0.93201199999999995</v>
      </c>
      <c r="AA55" s="56">
        <v>-0.110609</v>
      </c>
      <c r="AB55" s="56">
        <v>-3.7134129999999996</v>
      </c>
    </row>
    <row r="56" spans="1:28" s="6" customFormat="1">
      <c r="A56" s="88" t="s">
        <v>149</v>
      </c>
      <c r="B56" s="88" t="s">
        <v>150</v>
      </c>
      <c r="C56" s="107">
        <v>45.27859086278707</v>
      </c>
      <c r="D56" s="107">
        <v>5.1856811452066163</v>
      </c>
      <c r="E56" s="107">
        <v>0</v>
      </c>
      <c r="F56" s="107">
        <v>52.201121923757441</v>
      </c>
      <c r="G56" s="107">
        <v>0</v>
      </c>
      <c r="H56" s="107">
        <v>0</v>
      </c>
      <c r="I56" s="110">
        <v>0</v>
      </c>
      <c r="J56" s="111">
        <v>0</v>
      </c>
      <c r="K56" s="111">
        <v>0</v>
      </c>
      <c r="L56" s="111">
        <v>0</v>
      </c>
      <c r="M56" s="111">
        <v>0</v>
      </c>
      <c r="N56" s="107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5.1051589999999994E-2</v>
      </c>
      <c r="U56" s="56">
        <v>106.156919</v>
      </c>
      <c r="V56" s="56">
        <v>15</v>
      </c>
      <c r="W56" s="56">
        <v>5.077</v>
      </c>
      <c r="X56" s="56">
        <v>12.84168723</v>
      </c>
      <c r="Y56" s="56">
        <v>3.706</v>
      </c>
      <c r="Z56" s="56">
        <v>0</v>
      </c>
      <c r="AA56" s="56">
        <v>0</v>
      </c>
      <c r="AB56" s="56">
        <v>0.58609599999999995</v>
      </c>
    </row>
    <row r="57" spans="1:28" s="6" customFormat="1">
      <c r="A57" s="88" t="s">
        <v>151</v>
      </c>
      <c r="B57" s="88" t="s">
        <v>152</v>
      </c>
      <c r="C57" s="107">
        <v>0</v>
      </c>
      <c r="D57" s="107">
        <v>1.3739838931744024</v>
      </c>
      <c r="E57" s="107">
        <v>1.1199401345703832</v>
      </c>
      <c r="F57" s="107">
        <v>18.689178864404052</v>
      </c>
      <c r="G57" s="107">
        <v>1.157010471013171</v>
      </c>
      <c r="H57" s="107">
        <v>1.5638224507068745</v>
      </c>
      <c r="I57" s="110">
        <v>4.407297224976783E-3</v>
      </c>
      <c r="J57" s="111">
        <v>0</v>
      </c>
      <c r="K57" s="111">
        <v>0</v>
      </c>
      <c r="L57" s="107">
        <v>27.368982118294362</v>
      </c>
      <c r="M57" s="111">
        <v>-166.03105500000001</v>
      </c>
      <c r="N57" s="115">
        <v>0</v>
      </c>
      <c r="O57" s="56">
        <v>-12.853822000000001</v>
      </c>
      <c r="P57" s="56">
        <v>0</v>
      </c>
      <c r="Q57" s="56">
        <v>0.02</v>
      </c>
      <c r="R57" s="56">
        <v>0</v>
      </c>
      <c r="S57" s="56">
        <v>3.0258E-2</v>
      </c>
      <c r="T57" s="56">
        <v>2.0088999999999999E-2</v>
      </c>
      <c r="U57" s="56">
        <v>3.8501029999999999E-2</v>
      </c>
      <c r="V57" s="56">
        <v>0</v>
      </c>
      <c r="W57" s="56">
        <v>2.4E-2</v>
      </c>
      <c r="X57" s="56">
        <v>4.3504990000000007E-2</v>
      </c>
      <c r="Y57" s="56">
        <v>6.9000000000000006E-2</v>
      </c>
      <c r="Z57" s="56">
        <v>0.93201199999999995</v>
      </c>
      <c r="AA57" s="56">
        <v>0.110609</v>
      </c>
      <c r="AB57" s="56">
        <v>4.2995089999999996</v>
      </c>
    </row>
    <row r="58" spans="1:28" s="6" customFormat="1">
      <c r="A58" s="97"/>
      <c r="B58" s="97"/>
      <c r="C58" s="107"/>
      <c r="D58" s="107"/>
      <c r="E58" s="107"/>
      <c r="F58" s="107"/>
      <c r="G58" s="107"/>
      <c r="H58" s="110"/>
      <c r="I58" s="110"/>
      <c r="J58" s="111"/>
      <c r="K58" s="111"/>
      <c r="L58" s="111"/>
      <c r="M58" s="111"/>
      <c r="N58" s="107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 spans="1:28" s="6" customFormat="1">
      <c r="A59" s="88" t="s">
        <v>114</v>
      </c>
      <c r="B59" s="88" t="s">
        <v>115</v>
      </c>
      <c r="C59" s="107">
        <v>705.3010277107968</v>
      </c>
      <c r="D59" s="107">
        <v>791.82682333415062</v>
      </c>
      <c r="E59" s="107">
        <v>805.49569717224631</v>
      </c>
      <c r="F59" s="107">
        <v>1072.731019784462</v>
      </c>
      <c r="G59" s="107">
        <v>1397.7466343171952</v>
      </c>
      <c r="H59" s="107">
        <v>1643.2968402244444</v>
      </c>
      <c r="I59" s="107">
        <v>891.09033385276473</v>
      </c>
      <c r="J59" s="107">
        <v>817.85607584099694</v>
      </c>
      <c r="K59" s="107">
        <v>982.26632166931347</v>
      </c>
      <c r="L59" s="107">
        <v>1134.4206499312243</v>
      </c>
      <c r="M59" s="107">
        <v>748.57767000000001</v>
      </c>
      <c r="N59" s="107">
        <v>1860.3025400000001</v>
      </c>
      <c r="O59" s="56">
        <v>968.34256000000005</v>
      </c>
      <c r="P59" s="56">
        <v>1682.15705</v>
      </c>
      <c r="Q59" s="56">
        <v>1594.4637929599999</v>
      </c>
      <c r="R59" s="56">
        <v>1876.0559805400003</v>
      </c>
      <c r="S59" s="56">
        <v>1866.8809679999999</v>
      </c>
      <c r="T59" s="56">
        <v>3399.683587</v>
      </c>
      <c r="U59" s="56">
        <v>5947</v>
      </c>
      <c r="V59" s="56">
        <v>5719.5357320300009</v>
      </c>
      <c r="W59" s="56">
        <f>+W60+W61</f>
        <v>5463.402</v>
      </c>
      <c r="X59" s="56">
        <v>6984.9512780000005</v>
      </c>
      <c r="Y59" s="56">
        <v>7053.51</v>
      </c>
      <c r="Z59" s="56">
        <v>9617.8089999999993</v>
      </c>
      <c r="AA59" s="56">
        <v>10707.759999999998</v>
      </c>
      <c r="AB59" s="56">
        <v>8968.4700000000012</v>
      </c>
    </row>
    <row r="60" spans="1:28" s="6" customFormat="1">
      <c r="A60" s="88" t="s">
        <v>116</v>
      </c>
      <c r="B60" s="88" t="s">
        <v>117</v>
      </c>
      <c r="C60" s="107">
        <v>414.70903018658692</v>
      </c>
      <c r="D60" s="107">
        <v>442.18422889043961</v>
      </c>
      <c r="E60" s="107">
        <v>628.40119984526314</v>
      </c>
      <c r="F60" s="107">
        <v>741.26588386681681</v>
      </c>
      <c r="G60" s="107">
        <v>814.0396402641469</v>
      </c>
      <c r="H60" s="107">
        <v>860.15759694053486</v>
      </c>
      <c r="I60" s="107">
        <v>364.00938124695028</v>
      </c>
      <c r="J60" s="107">
        <v>248.90976056157686</v>
      </c>
      <c r="K60" s="107">
        <v>460.94792835012055</v>
      </c>
      <c r="L60" s="107">
        <v>297.39270976616228</v>
      </c>
      <c r="M60" s="107">
        <v>222.69840000000002</v>
      </c>
      <c r="N60" s="107">
        <v>366.70468000000005</v>
      </c>
      <c r="O60" s="56">
        <v>438.26729999999998</v>
      </c>
      <c r="P60" s="56">
        <v>922.70652000000007</v>
      </c>
      <c r="Q60" s="56">
        <v>700.62865195999996</v>
      </c>
      <c r="R60" s="56">
        <v>693.00595675000011</v>
      </c>
      <c r="S60" s="56">
        <v>816.00169400000004</v>
      </c>
      <c r="T60" s="56">
        <v>1472.5945019999999</v>
      </c>
      <c r="U60" s="56">
        <v>2630.7</v>
      </c>
      <c r="V60" s="56">
        <v>2165.3360799400002</v>
      </c>
      <c r="W60" s="56">
        <v>1735.4929999999999</v>
      </c>
      <c r="X60" s="56">
        <v>2596.6562779999999</v>
      </c>
      <c r="Y60" s="56">
        <v>1727.604</v>
      </c>
      <c r="Z60" s="56">
        <v>3160.4270000000001</v>
      </c>
      <c r="AA60" s="56">
        <v>4395.4579999999996</v>
      </c>
      <c r="AB60" s="56">
        <v>1898.1559999999999</v>
      </c>
    </row>
    <row r="61" spans="1:28" s="6" customFormat="1">
      <c r="A61" s="88" t="s">
        <v>118</v>
      </c>
      <c r="B61" s="88" t="s">
        <v>119</v>
      </c>
      <c r="C61" s="107">
        <v>290.59199752420989</v>
      </c>
      <c r="D61" s="107">
        <v>349.64259444371095</v>
      </c>
      <c r="E61" s="107">
        <v>177.0944973269832</v>
      </c>
      <c r="F61" s="107">
        <v>331.46513591764517</v>
      </c>
      <c r="G61" s="107">
        <v>583.70699405304833</v>
      </c>
      <c r="H61" s="107">
        <v>783.13924328390965</v>
      </c>
      <c r="I61" s="107">
        <v>527.08095260581445</v>
      </c>
      <c r="J61" s="107">
        <v>568.94631527942011</v>
      </c>
      <c r="K61" s="107">
        <v>521.31839331919298</v>
      </c>
      <c r="L61" s="107">
        <v>837.02794016506186</v>
      </c>
      <c r="M61" s="107">
        <v>525.87927000000002</v>
      </c>
      <c r="N61" s="107">
        <v>1493.5978600000001</v>
      </c>
      <c r="O61" s="56">
        <v>530.07526000000007</v>
      </c>
      <c r="P61" s="56">
        <v>759.45053000000007</v>
      </c>
      <c r="Q61" s="56">
        <v>893.83514100000002</v>
      </c>
      <c r="R61" s="56">
        <v>1183.0500237900001</v>
      </c>
      <c r="S61" s="56">
        <v>1050.8792739999999</v>
      </c>
      <c r="T61" s="56">
        <v>1927.0890850000001</v>
      </c>
      <c r="U61" s="56">
        <v>3316.2999999999997</v>
      </c>
      <c r="V61" s="56">
        <v>3554.1996520900002</v>
      </c>
      <c r="W61" s="56">
        <v>3727.9090000000001</v>
      </c>
      <c r="X61" s="56">
        <v>4388.2950000000001</v>
      </c>
      <c r="Y61" s="56">
        <v>5325.9059999999999</v>
      </c>
      <c r="Z61" s="56">
        <v>6457.3819999999996</v>
      </c>
      <c r="AA61" s="56">
        <v>6312.3019999999997</v>
      </c>
      <c r="AB61" s="56">
        <v>7070.3140000000003</v>
      </c>
    </row>
    <row r="62" spans="1:28" s="6" customFormat="1">
      <c r="A62" s="97"/>
      <c r="B62" s="97"/>
      <c r="C62" s="107"/>
      <c r="D62" s="107"/>
      <c r="E62" s="107"/>
      <c r="F62" s="107"/>
      <c r="G62" s="107"/>
      <c r="H62" s="110"/>
      <c r="I62" s="110"/>
      <c r="J62" s="111"/>
      <c r="K62" s="111"/>
      <c r="L62" s="111"/>
      <c r="M62" s="111"/>
      <c r="N62" s="107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 spans="1:28" s="6" customFormat="1">
      <c r="A63" s="88" t="s">
        <v>153</v>
      </c>
      <c r="B63" s="88" t="s">
        <v>154</v>
      </c>
      <c r="C63" s="107">
        <v>-82.599837526273035</v>
      </c>
      <c r="D63" s="107">
        <v>-160.47603779634483</v>
      </c>
      <c r="E63" s="107">
        <v>-388.10999004356734</v>
      </c>
      <c r="F63" s="107">
        <v>-125.16135193823388</v>
      </c>
      <c r="G63" s="107">
        <v>-32.871958115947322</v>
      </c>
      <c r="H63" s="107">
        <v>283.46054982602425</v>
      </c>
      <c r="I63" s="107">
        <v>365.76631880499281</v>
      </c>
      <c r="J63" s="107">
        <v>454.73742615620614</v>
      </c>
      <c r="K63" s="107">
        <v>530.26333810851133</v>
      </c>
      <c r="L63" s="107">
        <v>651.83287482806054</v>
      </c>
      <c r="M63" s="107">
        <v>-245.41256100000001</v>
      </c>
      <c r="N63" s="107">
        <v>548.86731400000019</v>
      </c>
      <c r="O63" s="56">
        <v>-11.18964499999997</v>
      </c>
      <c r="P63" s="56">
        <v>604.98335000000009</v>
      </c>
      <c r="Q63" s="56">
        <v>-271.09655738000009</v>
      </c>
      <c r="R63" s="56">
        <v>-444.87422411000017</v>
      </c>
      <c r="S63" s="56">
        <v>-465.05785550000019</v>
      </c>
      <c r="T63" s="56">
        <v>495.54679688999965</v>
      </c>
      <c r="U63" s="56">
        <v>-878.98567606000199</v>
      </c>
      <c r="V63" s="56">
        <v>2857.7250539499992</v>
      </c>
      <c r="W63" s="56">
        <f>+W65-W68+W71+W72+W73</f>
        <v>1894.0329999999997</v>
      </c>
      <c r="X63" s="56">
        <v>1874.2365874800003</v>
      </c>
      <c r="Y63" s="56">
        <v>76.060999999999922</v>
      </c>
      <c r="Z63" s="56">
        <v>5119.7580000000007</v>
      </c>
      <c r="AA63" s="56">
        <v>6966.9670000000006</v>
      </c>
      <c r="AB63" s="56">
        <v>2539.6239999999998</v>
      </c>
    </row>
    <row r="64" spans="1:28" s="6" customFormat="1">
      <c r="A64" s="97"/>
      <c r="B64" s="97"/>
      <c r="C64" s="114"/>
      <c r="D64" s="114"/>
      <c r="E64" s="114"/>
      <c r="F64" s="114"/>
      <c r="G64" s="110"/>
      <c r="H64" s="110"/>
      <c r="I64" s="110"/>
      <c r="J64" s="110"/>
      <c r="K64" s="110"/>
      <c r="L64" s="110"/>
      <c r="M64" s="110"/>
      <c r="N64" s="107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 spans="1:28" s="6" customFormat="1">
      <c r="A65" s="88" t="s">
        <v>155</v>
      </c>
      <c r="B65" s="88" t="s">
        <v>156</v>
      </c>
      <c r="C65" s="107">
        <v>178.09828371007467</v>
      </c>
      <c r="D65" s="107">
        <v>81.967522302483914</v>
      </c>
      <c r="E65" s="107">
        <v>153.42989593308263</v>
      </c>
      <c r="F65" s="107">
        <v>193.41372446517613</v>
      </c>
      <c r="G65" s="107">
        <v>245.93108103177789</v>
      </c>
      <c r="H65" s="107">
        <v>1013.0164414908623</v>
      </c>
      <c r="I65" s="107">
        <v>1425.4977884812138</v>
      </c>
      <c r="J65" s="107">
        <v>1765.5361316773242</v>
      </c>
      <c r="K65" s="107">
        <v>1573.0672559754505</v>
      </c>
      <c r="L65" s="107">
        <v>1271.4393053645117</v>
      </c>
      <c r="M65" s="107">
        <v>875.77011200000004</v>
      </c>
      <c r="N65" s="107">
        <v>1104.0157200000001</v>
      </c>
      <c r="O65" s="56">
        <v>1094.5203980000001</v>
      </c>
      <c r="P65" s="56">
        <v>1644.25452</v>
      </c>
      <c r="Q65" s="56">
        <v>1676.7670383</v>
      </c>
      <c r="R65" s="56">
        <v>2180.183</v>
      </c>
      <c r="S65" s="56">
        <v>1762.6379219999999</v>
      </c>
      <c r="T65" s="56">
        <v>2118.85267088</v>
      </c>
      <c r="U65" s="56">
        <v>1048.96228363</v>
      </c>
      <c r="V65" s="56">
        <v>2443.8665155100002</v>
      </c>
      <c r="W65" s="56">
        <f>+W66+W67</f>
        <v>2880.6279999999997</v>
      </c>
      <c r="X65" s="56">
        <v>3936.6155402200002</v>
      </c>
      <c r="Y65" s="56">
        <v>3826.788</v>
      </c>
      <c r="Z65" s="56">
        <v>6982.3630000000003</v>
      </c>
      <c r="AA65" s="56">
        <v>11134.852000000001</v>
      </c>
      <c r="AB65" s="56">
        <v>7640.7089999999998</v>
      </c>
    </row>
    <row r="66" spans="1:28">
      <c r="A66" s="90"/>
      <c r="B66" s="91" t="s">
        <v>157</v>
      </c>
      <c r="C66" s="46">
        <v>70.606439633273595</v>
      </c>
      <c r="D66" s="46">
        <v>23.574621376435751</v>
      </c>
      <c r="E66" s="46">
        <v>36.912998535072646</v>
      </c>
      <c r="F66" s="46">
        <v>98.799662216503137</v>
      </c>
      <c r="G66" s="46">
        <v>1.6728082016855779</v>
      </c>
      <c r="H66" s="46">
        <v>711.47612927494436</v>
      </c>
      <c r="I66" s="46">
        <v>525.0705954573358</v>
      </c>
      <c r="J66" s="46">
        <v>365.9687125759778</v>
      </c>
      <c r="K66" s="46">
        <v>535.30873931600206</v>
      </c>
      <c r="L66" s="46">
        <v>476.666007565337</v>
      </c>
      <c r="M66" s="46">
        <v>505.728545</v>
      </c>
      <c r="N66" s="46">
        <v>604.69500000000005</v>
      </c>
      <c r="O66" s="34">
        <v>450.36806000000001</v>
      </c>
      <c r="P66" s="34">
        <v>779.46133999999995</v>
      </c>
      <c r="Q66" s="34">
        <v>315.44503830000002</v>
      </c>
      <c r="R66" s="34">
        <v>306.28800000000001</v>
      </c>
      <c r="S66" s="34">
        <v>780.36058100000002</v>
      </c>
      <c r="T66" s="34">
        <v>1227.23022143</v>
      </c>
      <c r="U66" s="34">
        <v>255.90657451000001</v>
      </c>
      <c r="V66" s="34">
        <v>1812.8465107300001</v>
      </c>
      <c r="W66" s="34">
        <v>1462.0119999999999</v>
      </c>
      <c r="X66" s="34">
        <v>3341.3922273300004</v>
      </c>
      <c r="Y66" s="34">
        <v>1715.7570000000001</v>
      </c>
      <c r="Z66" s="34">
        <v>4776.72</v>
      </c>
      <c r="AA66" s="34">
        <v>7114.89</v>
      </c>
      <c r="AB66" s="34">
        <v>5667.8969999999999</v>
      </c>
    </row>
    <row r="67" spans="1:28">
      <c r="A67" s="90"/>
      <c r="B67" s="91" t="s">
        <v>158</v>
      </c>
      <c r="C67" s="46">
        <v>107.49184407680107</v>
      </c>
      <c r="D67" s="46">
        <v>58.392900926048164</v>
      </c>
      <c r="E67" s="46">
        <v>116.51689739800999</v>
      </c>
      <c r="F67" s="46">
        <v>94.614062248672994</v>
      </c>
      <c r="G67" s="46">
        <v>244.25827283009232</v>
      </c>
      <c r="H67" s="46">
        <v>301.54031221591799</v>
      </c>
      <c r="I67" s="46">
        <v>900.42719302387809</v>
      </c>
      <c r="J67" s="46">
        <v>1399.5674191013463</v>
      </c>
      <c r="K67" s="46">
        <v>1037.7585166594486</v>
      </c>
      <c r="L67" s="46">
        <v>794.77329779917466</v>
      </c>
      <c r="M67" s="46">
        <v>370.04156700000004</v>
      </c>
      <c r="N67" s="46">
        <v>499.32071999999999</v>
      </c>
      <c r="O67" s="34">
        <v>644.15233799999999</v>
      </c>
      <c r="P67" s="34">
        <v>864.79318000000001</v>
      </c>
      <c r="Q67" s="34">
        <v>1361.3219999999999</v>
      </c>
      <c r="R67" s="34">
        <v>1873.895</v>
      </c>
      <c r="S67" s="34">
        <v>982.27734099999998</v>
      </c>
      <c r="T67" s="34">
        <v>891.62244944999998</v>
      </c>
      <c r="U67" s="34">
        <v>793.05570911999996</v>
      </c>
      <c r="V67" s="34">
        <v>631.02000478000014</v>
      </c>
      <c r="W67" s="34">
        <v>1418.616</v>
      </c>
      <c r="X67" s="34">
        <v>595.22331288999999</v>
      </c>
      <c r="Y67" s="34">
        <v>2111.0309999999999</v>
      </c>
      <c r="Z67" s="34">
        <v>2205.643</v>
      </c>
      <c r="AA67" s="34">
        <v>4019.962</v>
      </c>
      <c r="AB67" s="34">
        <v>1972.8119999999999</v>
      </c>
    </row>
    <row r="68" spans="1:28" s="6" customFormat="1">
      <c r="A68" s="88" t="s">
        <v>159</v>
      </c>
      <c r="B68" s="88" t="s">
        <v>160</v>
      </c>
      <c r="C68" s="107">
        <v>274.09188791891785</v>
      </c>
      <c r="D68" s="107">
        <v>322.50334773014464</v>
      </c>
      <c r="E68" s="107">
        <v>406.37275108284138</v>
      </c>
      <c r="F68" s="107">
        <v>322.65260575840438</v>
      </c>
      <c r="G68" s="107">
        <v>386.14369367725931</v>
      </c>
      <c r="H68" s="107">
        <v>1015.3271057333626</v>
      </c>
      <c r="I68" s="107">
        <v>1100.0006296138893</v>
      </c>
      <c r="J68" s="107">
        <v>1602.7945780516034</v>
      </c>
      <c r="K68" s="107">
        <v>1046.8833635020933</v>
      </c>
      <c r="L68" s="107">
        <v>1125.8504986244841</v>
      </c>
      <c r="M68" s="107">
        <v>1153.67047</v>
      </c>
      <c r="N68" s="107">
        <v>1130.738116</v>
      </c>
      <c r="O68" s="56">
        <v>1163.6149230000001</v>
      </c>
      <c r="P68" s="56">
        <v>1114.1034</v>
      </c>
      <c r="Q68" s="56">
        <v>1860.51551167</v>
      </c>
      <c r="R68" s="56">
        <v>2112.5591791000002</v>
      </c>
      <c r="S68" s="56">
        <v>2934.6388790000001</v>
      </c>
      <c r="T68" s="56">
        <v>1855.7165153100002</v>
      </c>
      <c r="U68" s="56">
        <v>2439.64703414</v>
      </c>
      <c r="V68" s="56">
        <v>1586.02077416</v>
      </c>
      <c r="W68" s="56">
        <f>+W69+W70</f>
        <v>1462.1849999999999</v>
      </c>
      <c r="X68" s="56">
        <v>2157.58269114</v>
      </c>
      <c r="Y68" s="56">
        <v>1523.44</v>
      </c>
      <c r="Z68" s="56">
        <v>2110.393</v>
      </c>
      <c r="AA68" s="56">
        <v>3573.587</v>
      </c>
      <c r="AB68" s="56">
        <v>3158.25</v>
      </c>
    </row>
    <row r="69" spans="1:28">
      <c r="A69" s="90"/>
      <c r="B69" s="91" t="s">
        <v>157</v>
      </c>
      <c r="C69" s="46">
        <v>205.57310672976493</v>
      </c>
      <c r="D69" s="46">
        <v>271.39152411308726</v>
      </c>
      <c r="E69" s="46">
        <v>360.91053796444857</v>
      </c>
      <c r="F69" s="46">
        <v>277.20614846388935</v>
      </c>
      <c r="G69" s="46">
        <v>316.57895216899561</v>
      </c>
      <c r="H69" s="46">
        <v>902.66057490360811</v>
      </c>
      <c r="I69" s="46">
        <v>454.09327729769717</v>
      </c>
      <c r="J69" s="46">
        <v>877.02400409734196</v>
      </c>
      <c r="K69" s="46">
        <v>458.84629479505605</v>
      </c>
      <c r="L69" s="46">
        <v>353.66110729023382</v>
      </c>
      <c r="M69" s="46">
        <v>486.38939999999997</v>
      </c>
      <c r="N69" s="46">
        <v>703.66142400000001</v>
      </c>
      <c r="O69" s="34">
        <v>572.206819</v>
      </c>
      <c r="P69" s="34">
        <v>8.8279300000000003</v>
      </c>
      <c r="Q69" s="34">
        <v>761.18165967000004</v>
      </c>
      <c r="R69" s="34">
        <v>886.81200000000001</v>
      </c>
      <c r="S69" s="34">
        <v>1548.590927</v>
      </c>
      <c r="T69" s="34">
        <v>972.0061959100002</v>
      </c>
      <c r="U69" s="34">
        <v>1154.5512733099999</v>
      </c>
      <c r="V69" s="34">
        <v>1289.1235626499999</v>
      </c>
      <c r="W69" s="34">
        <v>1025.5170000000001</v>
      </c>
      <c r="X69" s="34">
        <v>1444.9884721400001</v>
      </c>
      <c r="Y69" s="34">
        <v>1041.171</v>
      </c>
      <c r="Z69" s="34">
        <v>1108.684</v>
      </c>
      <c r="AA69" s="34">
        <v>1616.356</v>
      </c>
      <c r="AB69" s="34">
        <v>1138.991</v>
      </c>
    </row>
    <row r="70" spans="1:28" ht="12.75" customHeight="1">
      <c r="A70" s="90"/>
      <c r="B70" s="91" t="s">
        <v>158</v>
      </c>
      <c r="C70" s="46">
        <v>68.518781189152946</v>
      </c>
      <c r="D70" s="46">
        <v>51.111823617057389</v>
      </c>
      <c r="E70" s="46">
        <v>45.462213118392768</v>
      </c>
      <c r="F70" s="46">
        <v>45.446457294515035</v>
      </c>
      <c r="G70" s="46">
        <v>69.564741508263722</v>
      </c>
      <c r="H70" s="46">
        <v>112.66653082975455</v>
      </c>
      <c r="I70" s="46">
        <v>645.90735231619203</v>
      </c>
      <c r="J70" s="46">
        <v>725.77057395426141</v>
      </c>
      <c r="K70" s="46">
        <v>588.03706870703729</v>
      </c>
      <c r="L70" s="46">
        <v>772.18939133425033</v>
      </c>
      <c r="M70" s="46">
        <v>667.28107</v>
      </c>
      <c r="N70" s="46">
        <v>427.07669199999998</v>
      </c>
      <c r="O70" s="34">
        <v>591.40810399999998</v>
      </c>
      <c r="P70" s="34">
        <v>1105.27547</v>
      </c>
      <c r="Q70" s="34">
        <v>1099.333852</v>
      </c>
      <c r="R70" s="34">
        <v>1225.7471791000003</v>
      </c>
      <c r="S70" s="34">
        <v>1386.0479520000001</v>
      </c>
      <c r="T70" s="34">
        <v>883.7103194</v>
      </c>
      <c r="U70" s="34">
        <v>1285.09576083</v>
      </c>
      <c r="V70" s="34">
        <v>296.89721150999998</v>
      </c>
      <c r="W70" s="34">
        <v>436.66800000000001</v>
      </c>
      <c r="X70" s="34">
        <v>712.59421899999995</v>
      </c>
      <c r="Y70" s="34">
        <v>482.26900000000001</v>
      </c>
      <c r="Z70" s="34">
        <v>1001.7089999999999</v>
      </c>
      <c r="AA70" s="34">
        <v>1957.231</v>
      </c>
      <c r="AB70" s="34">
        <v>2019.259</v>
      </c>
    </row>
    <row r="71" spans="1:28" s="6" customFormat="1">
      <c r="A71" s="88" t="s">
        <v>161</v>
      </c>
      <c r="B71" s="88" t="s">
        <v>162</v>
      </c>
      <c r="C71" s="107">
        <v>-6.4473701177289785E-3</v>
      </c>
      <c r="D71" s="107">
        <v>5.1866241677825761E-2</v>
      </c>
      <c r="E71" s="107">
        <v>2.4732539778168146E-2</v>
      </c>
      <c r="F71" s="107">
        <v>3.0159240791378477E-2</v>
      </c>
      <c r="G71" s="107">
        <v>5.5182604254077131E-2</v>
      </c>
      <c r="H71" s="107">
        <v>2.6049340146076925</v>
      </c>
      <c r="I71" s="107">
        <v>0</v>
      </c>
      <c r="J71" s="107">
        <v>71.437358620360669</v>
      </c>
      <c r="K71" s="111">
        <v>0</v>
      </c>
      <c r="L71" s="111">
        <v>0</v>
      </c>
      <c r="M71" s="107">
        <v>8.8329999999999992E-2</v>
      </c>
      <c r="N71" s="115">
        <v>0</v>
      </c>
      <c r="O71" s="56">
        <v>0</v>
      </c>
      <c r="P71" s="56">
        <v>0</v>
      </c>
      <c r="Q71" s="56">
        <v>1.3789159899999999</v>
      </c>
      <c r="R71" s="56">
        <v>-1.03117405</v>
      </c>
      <c r="S71" s="56">
        <v>0</v>
      </c>
      <c r="T71" s="56">
        <v>0</v>
      </c>
      <c r="U71" s="56">
        <v>-7.3378500000000008E-3</v>
      </c>
      <c r="V71" s="56">
        <v>-2.0799999999999998E-3</v>
      </c>
      <c r="W71" s="56">
        <v>0</v>
      </c>
      <c r="X71" s="56">
        <v>-3.8316000000000001E-3</v>
      </c>
      <c r="Y71" s="56">
        <v>0</v>
      </c>
      <c r="Z71" s="56">
        <v>0</v>
      </c>
      <c r="AA71" s="56">
        <v>0</v>
      </c>
      <c r="AB71" s="56">
        <v>0</v>
      </c>
    </row>
    <row r="72" spans="1:28" s="6" customFormat="1">
      <c r="A72" s="88" t="s">
        <v>163</v>
      </c>
      <c r="B72" s="88" t="s">
        <v>164</v>
      </c>
      <c r="C72" s="107">
        <v>-229.45029722376242</v>
      </c>
      <c r="D72" s="107">
        <v>80.007921389638057</v>
      </c>
      <c r="E72" s="107">
        <v>-135.19186743358679</v>
      </c>
      <c r="F72" s="107">
        <v>4.0473701142029919</v>
      </c>
      <c r="G72" s="107">
        <v>36.466580320332739</v>
      </c>
      <c r="H72" s="107">
        <v>283.16628005391681</v>
      </c>
      <c r="I72" s="107">
        <v>40.269159937668221</v>
      </c>
      <c r="J72" s="107">
        <v>220.55851391012459</v>
      </c>
      <c r="K72" s="107">
        <v>4.0794456351541939</v>
      </c>
      <c r="L72" s="107">
        <v>506.24406808803303</v>
      </c>
      <c r="M72" s="107">
        <v>32.399466999999987</v>
      </c>
      <c r="N72" s="107">
        <v>575.58971000000008</v>
      </c>
      <c r="O72" s="56">
        <v>57.904880000000006</v>
      </c>
      <c r="P72" s="56">
        <v>74.832229999999996</v>
      </c>
      <c r="Q72" s="56">
        <v>-90.325999999999993</v>
      </c>
      <c r="R72" s="56">
        <v>-511.46687095999999</v>
      </c>
      <c r="S72" s="56">
        <v>738.01625000000001</v>
      </c>
      <c r="T72" s="56">
        <v>260.12023099999993</v>
      </c>
      <c r="U72" s="56">
        <v>616.05484108999804</v>
      </c>
      <c r="V72" s="56">
        <v>1562.249734009999</v>
      </c>
      <c r="W72" s="56">
        <v>44.271000000000001</v>
      </c>
      <c r="X72" s="56">
        <v>-317.189323</v>
      </c>
      <c r="Y72" s="56">
        <v>-2342.681</v>
      </c>
      <c r="Z72" s="56">
        <v>91.43</v>
      </c>
      <c r="AA72" s="56">
        <v>139.84200000000001</v>
      </c>
      <c r="AB72" s="56">
        <v>0</v>
      </c>
    </row>
    <row r="73" spans="1:28" s="6" customFormat="1">
      <c r="A73" s="88" t="s">
        <v>165</v>
      </c>
      <c r="B73" s="88" t="s">
        <v>166</v>
      </c>
      <c r="C73" s="107">
        <v>242.85051127645033</v>
      </c>
      <c r="D73" s="107">
        <v>0</v>
      </c>
      <c r="E73" s="107">
        <v>0</v>
      </c>
      <c r="F73" s="107">
        <v>0</v>
      </c>
      <c r="G73" s="107">
        <v>70.818891604947282</v>
      </c>
      <c r="H73" s="110">
        <v>0</v>
      </c>
      <c r="I73" s="110">
        <v>0</v>
      </c>
      <c r="J73" s="111">
        <v>0</v>
      </c>
      <c r="K73" s="111">
        <v>0</v>
      </c>
      <c r="L73" s="111">
        <v>0</v>
      </c>
      <c r="M73" s="115" t="s">
        <v>28</v>
      </c>
      <c r="N73" s="115" t="s">
        <v>28</v>
      </c>
      <c r="O73" s="54"/>
      <c r="P73" s="54"/>
      <c r="Q73" s="54">
        <v>1.599</v>
      </c>
      <c r="R73" s="56">
        <v>0</v>
      </c>
      <c r="S73" s="56">
        <v>-31.073148499999999</v>
      </c>
      <c r="T73" s="56">
        <v>-27.709589680000001</v>
      </c>
      <c r="U73" s="56">
        <v>-104.34842878999999</v>
      </c>
      <c r="V73" s="56">
        <v>437.63165859000009</v>
      </c>
      <c r="W73" s="56">
        <v>431.31900000000002</v>
      </c>
      <c r="X73" s="56">
        <v>412.39689299999998</v>
      </c>
      <c r="Y73" s="56">
        <v>115.39400000000001</v>
      </c>
      <c r="Z73" s="56">
        <v>156.358</v>
      </c>
      <c r="AA73" s="56">
        <v>-734.14</v>
      </c>
      <c r="AB73" s="56">
        <v>-1942.835</v>
      </c>
    </row>
    <row r="74" spans="1:28">
      <c r="A74" s="74"/>
      <c r="B74" s="74"/>
      <c r="C74" s="75"/>
      <c r="D74" s="75"/>
      <c r="E74" s="75"/>
      <c r="F74" s="75"/>
      <c r="G74" s="136"/>
      <c r="H74" s="74"/>
      <c r="I74" s="74"/>
      <c r="J74" s="28"/>
      <c r="K74" s="28"/>
      <c r="L74" s="28"/>
      <c r="M74" s="137"/>
      <c r="N74" s="76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>
      <c r="A75" s="79"/>
      <c r="B75" s="79"/>
      <c r="C75" s="81"/>
      <c r="D75" s="81"/>
      <c r="E75" s="81"/>
      <c r="F75" s="81"/>
      <c r="G75" s="103"/>
      <c r="H75" s="79"/>
      <c r="I75" s="79"/>
      <c r="M75" s="43"/>
      <c r="N75" s="42"/>
    </row>
    <row r="76" spans="1:28">
      <c r="A76" s="71"/>
      <c r="B76" s="72"/>
      <c r="C76" s="42"/>
      <c r="D76" s="42"/>
      <c r="E76" s="42"/>
      <c r="F76" s="73"/>
      <c r="G76" s="73"/>
      <c r="H76" s="73"/>
      <c r="I76" s="71"/>
      <c r="M76" s="43"/>
      <c r="N76" s="42"/>
    </row>
    <row r="77" spans="1:28">
      <c r="A77" s="134"/>
      <c r="B77" s="71"/>
      <c r="C77" s="82"/>
      <c r="D77" s="82"/>
      <c r="E77" s="82"/>
      <c r="F77" s="71"/>
      <c r="G77" s="71"/>
      <c r="H77" s="71"/>
      <c r="I77" s="71"/>
      <c r="M77" s="43"/>
      <c r="N77" s="42"/>
    </row>
    <row r="78" spans="1:28">
      <c r="A78" s="100" t="s">
        <v>179</v>
      </c>
      <c r="C78" s="100"/>
      <c r="D78" s="82"/>
      <c r="E78" s="82"/>
      <c r="F78" s="71"/>
      <c r="G78" s="71"/>
      <c r="H78" s="71"/>
      <c r="I78" s="71"/>
      <c r="M78" s="43"/>
      <c r="N78" s="42"/>
    </row>
    <row r="79" spans="1:28">
      <c r="A79" s="71"/>
      <c r="B79" s="71"/>
      <c r="C79" s="42"/>
      <c r="D79" s="42"/>
      <c r="E79" s="42"/>
      <c r="F79" s="85"/>
      <c r="G79" s="85"/>
      <c r="H79" s="85"/>
      <c r="I79" s="71"/>
      <c r="M79" s="43"/>
      <c r="N79" s="42"/>
    </row>
    <row r="80" spans="1:28">
      <c r="A80" s="71"/>
      <c r="B80" s="71"/>
      <c r="C80" s="82"/>
      <c r="D80" s="82"/>
      <c r="E80" s="82"/>
      <c r="F80" s="71"/>
      <c r="G80" s="73"/>
      <c r="H80" s="71"/>
      <c r="I80" s="71"/>
      <c r="M80" s="43"/>
      <c r="N80" s="42"/>
    </row>
    <row r="81" spans="1:14">
      <c r="A81" s="71"/>
      <c r="B81" s="71"/>
      <c r="C81" s="82"/>
      <c r="D81" s="82"/>
      <c r="E81" s="82"/>
      <c r="F81" s="71"/>
      <c r="G81" s="73"/>
      <c r="H81" s="71"/>
      <c r="I81" s="71"/>
      <c r="M81" s="43"/>
      <c r="N81" s="42"/>
    </row>
    <row r="82" spans="1:14">
      <c r="A82" s="71"/>
      <c r="B82" s="71"/>
      <c r="C82" s="82"/>
      <c r="D82" s="82"/>
      <c r="E82" s="82"/>
      <c r="F82" s="71"/>
      <c r="G82" s="83"/>
      <c r="H82" s="71"/>
      <c r="I82" s="71"/>
      <c r="M82" s="43"/>
      <c r="N82" s="42"/>
    </row>
    <row r="83" spans="1:14">
      <c r="A83" s="71"/>
      <c r="B83" s="71"/>
      <c r="C83" s="82"/>
      <c r="D83" s="82"/>
      <c r="E83" s="82"/>
      <c r="F83" s="71"/>
      <c r="G83" s="73"/>
      <c r="H83" s="71"/>
      <c r="I83" s="71"/>
      <c r="M83" s="43"/>
      <c r="N83" s="42"/>
    </row>
    <row r="84" spans="1:14">
      <c r="A84" s="71"/>
      <c r="B84" s="71"/>
      <c r="C84" s="82"/>
      <c r="D84" s="82"/>
      <c r="E84" s="82"/>
      <c r="F84" s="71"/>
      <c r="G84" s="83"/>
      <c r="H84" s="71"/>
      <c r="I84" s="71"/>
      <c r="M84" s="43"/>
      <c r="N84" s="42"/>
    </row>
    <row r="85" spans="1:14">
      <c r="A85" s="71"/>
      <c r="B85" s="71"/>
      <c r="C85" s="82"/>
      <c r="D85" s="82"/>
      <c r="E85" s="82"/>
      <c r="F85" s="71"/>
      <c r="G85" s="73"/>
      <c r="H85" s="71"/>
      <c r="I85" s="71"/>
      <c r="M85" s="43"/>
      <c r="N85" s="42"/>
    </row>
    <row r="86" spans="1:14">
      <c r="A86" s="71"/>
      <c r="B86" s="71"/>
      <c r="C86" s="82"/>
      <c r="D86" s="82"/>
      <c r="E86" s="82"/>
      <c r="F86" s="71"/>
      <c r="G86" s="73"/>
      <c r="H86" s="71"/>
      <c r="I86" s="71"/>
      <c r="M86" s="43"/>
      <c r="N86" s="42"/>
    </row>
    <row r="87" spans="1:14">
      <c r="A87" s="71"/>
      <c r="B87" s="71"/>
      <c r="C87" s="82"/>
      <c r="D87" s="82"/>
      <c r="E87" s="82"/>
      <c r="F87" s="71"/>
      <c r="G87" s="73"/>
      <c r="H87" s="71"/>
      <c r="I87" s="71"/>
      <c r="M87" s="43"/>
      <c r="N87" s="42"/>
    </row>
    <row r="88" spans="1:14">
      <c r="A88" s="71"/>
      <c r="B88" s="71"/>
      <c r="C88" s="82"/>
      <c r="D88" s="82"/>
      <c r="E88" s="82"/>
      <c r="F88" s="71"/>
      <c r="G88" s="73"/>
      <c r="H88" s="71"/>
      <c r="I88" s="71"/>
      <c r="M88" s="43"/>
      <c r="N88" s="42"/>
    </row>
    <row r="89" spans="1:14">
      <c r="A89" s="71"/>
      <c r="B89" s="71"/>
      <c r="C89" s="82"/>
      <c r="D89" s="82"/>
      <c r="E89" s="82"/>
      <c r="F89" s="71"/>
      <c r="G89" s="73"/>
      <c r="H89" s="71"/>
      <c r="I89" s="71"/>
      <c r="M89" s="43"/>
      <c r="N89" s="42"/>
    </row>
    <row r="90" spans="1:14">
      <c r="A90" s="71"/>
      <c r="B90" s="71"/>
      <c r="C90" s="82"/>
      <c r="D90" s="82"/>
      <c r="E90" s="82"/>
      <c r="F90" s="71"/>
      <c r="G90" s="73"/>
      <c r="H90" s="71"/>
      <c r="I90" s="71"/>
      <c r="M90" s="43"/>
      <c r="N90" s="42"/>
    </row>
    <row r="91" spans="1:14">
      <c r="A91" s="71"/>
      <c r="B91" s="71"/>
      <c r="C91" s="82"/>
      <c r="D91" s="82"/>
      <c r="E91" s="82"/>
      <c r="F91" s="71"/>
      <c r="G91" s="73"/>
      <c r="H91" s="71"/>
      <c r="I91" s="71"/>
      <c r="M91" s="43"/>
      <c r="N91" s="42"/>
    </row>
    <row r="92" spans="1:14">
      <c r="A92" s="71"/>
      <c r="B92" s="71"/>
      <c r="C92" s="82"/>
      <c r="D92" s="82"/>
      <c r="E92" s="82"/>
      <c r="F92" s="71"/>
      <c r="G92" s="71"/>
      <c r="H92" s="71"/>
      <c r="I92" s="71"/>
      <c r="M92" s="43"/>
      <c r="N92" s="42"/>
    </row>
    <row r="93" spans="1:14">
      <c r="A93" s="71"/>
      <c r="B93" s="71"/>
      <c r="C93" s="82"/>
      <c r="D93" s="82"/>
      <c r="E93" s="82"/>
      <c r="F93" s="71"/>
      <c r="G93" s="71"/>
      <c r="H93" s="71"/>
      <c r="I93" s="71"/>
      <c r="M93" s="43"/>
      <c r="N93" s="42"/>
    </row>
    <row r="94" spans="1:14">
      <c r="A94" s="71"/>
      <c r="B94" s="71"/>
      <c r="C94" s="82"/>
      <c r="D94" s="82"/>
      <c r="E94" s="82"/>
      <c r="F94" s="71"/>
      <c r="G94" s="71"/>
      <c r="H94" s="71"/>
      <c r="I94" s="71"/>
      <c r="M94" s="43"/>
      <c r="N94" s="42"/>
    </row>
    <row r="95" spans="1:14">
      <c r="A95" s="71"/>
      <c r="B95" s="71"/>
      <c r="C95" s="82"/>
      <c r="D95" s="82"/>
      <c r="E95" s="82"/>
      <c r="F95" s="71"/>
      <c r="G95" s="71"/>
      <c r="H95" s="71"/>
      <c r="I95" s="71"/>
      <c r="M95" s="43"/>
      <c r="N95" s="42"/>
    </row>
    <row r="96" spans="1:14">
      <c r="A96" s="71"/>
      <c r="B96" s="71"/>
      <c r="C96" s="82"/>
      <c r="D96" s="82"/>
      <c r="E96" s="82"/>
      <c r="F96" s="71"/>
      <c r="G96" s="71"/>
      <c r="H96" s="71"/>
      <c r="I96" s="71"/>
      <c r="M96" s="43"/>
      <c r="N96" s="42"/>
    </row>
    <row r="97" spans="1:14">
      <c r="A97" s="71"/>
      <c r="B97" s="71"/>
      <c r="C97" s="82"/>
      <c r="D97" s="82"/>
      <c r="E97" s="82"/>
      <c r="F97" s="71"/>
      <c r="G97" s="71"/>
      <c r="H97" s="71"/>
      <c r="I97" s="71"/>
      <c r="M97" s="43"/>
      <c r="N97" s="42"/>
    </row>
    <row r="98" spans="1:14">
      <c r="A98" s="71"/>
      <c r="B98" s="71"/>
      <c r="C98" s="82"/>
      <c r="D98" s="82"/>
      <c r="E98" s="82"/>
      <c r="F98" s="71"/>
      <c r="G98" s="71"/>
      <c r="H98" s="71"/>
      <c r="I98" s="71"/>
      <c r="M98" s="43"/>
      <c r="N98" s="42"/>
    </row>
    <row r="99" spans="1:14">
      <c r="A99" s="71"/>
      <c r="B99" s="71"/>
      <c r="C99" s="82"/>
      <c r="D99" s="82"/>
      <c r="E99" s="82"/>
      <c r="F99" s="71"/>
      <c r="G99" s="71"/>
      <c r="H99" s="71"/>
      <c r="I99" s="71"/>
      <c r="M99" s="43"/>
      <c r="N99" s="42"/>
    </row>
    <row r="100" spans="1:14">
      <c r="A100" s="71"/>
      <c r="B100" s="71"/>
      <c r="C100" s="82"/>
      <c r="D100" s="82"/>
      <c r="E100" s="82"/>
      <c r="F100" s="71"/>
      <c r="G100" s="71"/>
      <c r="H100" s="71"/>
      <c r="I100" s="71"/>
      <c r="M100" s="43"/>
      <c r="N100" s="42"/>
    </row>
    <row r="101" spans="1:14">
      <c r="A101" s="71"/>
      <c r="B101" s="71"/>
      <c r="C101" s="82"/>
      <c r="D101" s="82"/>
      <c r="E101" s="82"/>
      <c r="F101" s="71"/>
      <c r="G101" s="71"/>
      <c r="H101" s="71"/>
      <c r="I101" s="71"/>
      <c r="M101" s="43"/>
      <c r="N101" s="42"/>
    </row>
    <row r="102" spans="1:14">
      <c r="A102" s="71"/>
      <c r="B102" s="71"/>
      <c r="C102" s="82"/>
      <c r="D102" s="82"/>
      <c r="E102" s="82"/>
      <c r="F102" s="71"/>
      <c r="G102" s="71"/>
      <c r="H102" s="71"/>
      <c r="I102" s="71"/>
      <c r="M102" s="43"/>
      <c r="N102" s="42"/>
    </row>
    <row r="103" spans="1:14">
      <c r="A103" s="71"/>
      <c r="B103" s="71"/>
      <c r="C103" s="82"/>
      <c r="D103" s="82"/>
      <c r="E103" s="82"/>
      <c r="F103" s="71"/>
      <c r="G103" s="71"/>
      <c r="H103" s="71"/>
      <c r="I103" s="71"/>
      <c r="M103" s="43"/>
      <c r="N103" s="42"/>
    </row>
    <row r="104" spans="1:14">
      <c r="A104" s="71"/>
      <c r="B104" s="71"/>
      <c r="C104" s="82"/>
      <c r="D104" s="82"/>
      <c r="E104" s="82"/>
      <c r="F104" s="71"/>
      <c r="G104" s="71"/>
      <c r="H104" s="71"/>
      <c r="I104" s="71"/>
      <c r="M104" s="43"/>
      <c r="N104" s="42"/>
    </row>
    <row r="105" spans="1:14">
      <c r="A105" s="71"/>
      <c r="B105" s="71"/>
      <c r="C105" s="82"/>
      <c r="D105" s="82"/>
      <c r="E105" s="82"/>
      <c r="F105" s="71"/>
      <c r="G105" s="71"/>
      <c r="H105" s="71"/>
      <c r="I105" s="71"/>
      <c r="M105" s="43"/>
      <c r="N105" s="42"/>
    </row>
    <row r="106" spans="1:14">
      <c r="A106" s="71"/>
      <c r="B106" s="71"/>
      <c r="C106" s="82"/>
      <c r="D106" s="82"/>
      <c r="E106" s="82"/>
      <c r="F106" s="71"/>
      <c r="G106" s="71"/>
      <c r="H106" s="71"/>
      <c r="I106" s="71"/>
      <c r="M106" s="43"/>
      <c r="N106" s="42"/>
    </row>
    <row r="107" spans="1:14">
      <c r="A107" s="71"/>
      <c r="B107" s="71"/>
      <c r="C107" s="82"/>
      <c r="D107" s="82"/>
      <c r="E107" s="82"/>
      <c r="F107" s="71"/>
      <c r="G107" s="71"/>
      <c r="H107" s="71"/>
      <c r="I107" s="71"/>
      <c r="M107" s="43"/>
      <c r="N107" s="42"/>
    </row>
    <row r="108" spans="1:14">
      <c r="A108" s="71"/>
      <c r="B108" s="71"/>
      <c r="C108" s="82"/>
      <c r="D108" s="82"/>
      <c r="E108" s="82"/>
      <c r="F108" s="71"/>
      <c r="G108" s="71"/>
      <c r="H108" s="71"/>
      <c r="I108" s="71"/>
      <c r="M108" s="43"/>
      <c r="N108" s="42"/>
    </row>
    <row r="109" spans="1:14">
      <c r="A109" s="71"/>
      <c r="B109" s="71"/>
      <c r="C109" s="82"/>
      <c r="D109" s="82"/>
      <c r="E109" s="82"/>
      <c r="F109" s="71"/>
      <c r="G109" s="71"/>
      <c r="H109" s="71"/>
      <c r="I109" s="71"/>
      <c r="M109" s="43"/>
      <c r="N109" s="42"/>
    </row>
    <row r="110" spans="1:14">
      <c r="A110" s="71"/>
      <c r="B110" s="71"/>
      <c r="C110" s="82"/>
      <c r="D110" s="82"/>
      <c r="E110" s="82"/>
      <c r="F110" s="71"/>
      <c r="G110" s="71"/>
      <c r="H110" s="71"/>
      <c r="I110" s="71"/>
      <c r="M110" s="43"/>
      <c r="N110" s="42"/>
    </row>
    <row r="111" spans="1:14">
      <c r="A111" s="71"/>
      <c r="B111" s="71"/>
      <c r="C111" s="82"/>
      <c r="D111" s="82"/>
      <c r="E111" s="82"/>
      <c r="F111" s="71"/>
      <c r="G111" s="71"/>
      <c r="H111" s="71"/>
      <c r="I111" s="71"/>
      <c r="M111" s="43"/>
      <c r="N111" s="42"/>
    </row>
    <row r="112" spans="1:14">
      <c r="A112" s="71"/>
      <c r="B112" s="71"/>
      <c r="C112" s="82"/>
      <c r="D112" s="82"/>
      <c r="E112" s="82"/>
      <c r="F112" s="71"/>
      <c r="G112" s="71"/>
      <c r="H112" s="71"/>
      <c r="I112" s="71"/>
      <c r="M112" s="43"/>
      <c r="N112" s="42"/>
    </row>
    <row r="113" spans="1:14">
      <c r="A113" s="71"/>
      <c r="B113" s="71"/>
      <c r="C113" s="82"/>
      <c r="D113" s="82"/>
      <c r="E113" s="82"/>
      <c r="F113" s="71"/>
      <c r="G113" s="71"/>
      <c r="H113" s="71"/>
      <c r="I113" s="71"/>
      <c r="M113" s="43"/>
      <c r="N113" s="42"/>
    </row>
    <row r="114" spans="1:14">
      <c r="A114" s="71"/>
      <c r="B114" s="71"/>
      <c r="C114" s="82"/>
      <c r="D114" s="82"/>
      <c r="E114" s="82"/>
      <c r="F114" s="71"/>
      <c r="G114" s="71"/>
      <c r="H114" s="71"/>
      <c r="I114" s="71"/>
      <c r="M114" s="43"/>
      <c r="N114" s="42"/>
    </row>
    <row r="115" spans="1:14">
      <c r="A115" s="71"/>
      <c r="B115" s="71"/>
      <c r="C115" s="82"/>
      <c r="D115" s="82"/>
      <c r="E115" s="82"/>
      <c r="F115" s="71"/>
      <c r="G115" s="71"/>
      <c r="H115" s="71"/>
      <c r="I115" s="71"/>
      <c r="M115" s="43"/>
      <c r="N115" s="42"/>
    </row>
    <row r="116" spans="1:14">
      <c r="A116" s="71"/>
      <c r="B116" s="71"/>
      <c r="C116" s="82"/>
      <c r="D116" s="82"/>
      <c r="E116" s="82"/>
      <c r="F116" s="71"/>
      <c r="G116" s="71"/>
      <c r="H116" s="71"/>
      <c r="I116" s="71"/>
      <c r="M116" s="43"/>
      <c r="N116" s="42"/>
    </row>
    <row r="117" spans="1:14">
      <c r="A117" s="71"/>
      <c r="B117" s="71"/>
      <c r="C117" s="82"/>
      <c r="D117" s="82"/>
      <c r="E117" s="82"/>
      <c r="F117" s="71"/>
      <c r="G117" s="71"/>
      <c r="H117" s="71"/>
      <c r="I117" s="71"/>
      <c r="M117" s="43"/>
      <c r="N117" s="42"/>
    </row>
    <row r="118" spans="1:14">
      <c r="A118" s="71"/>
      <c r="B118" s="71"/>
      <c r="C118" s="82"/>
      <c r="D118" s="82"/>
      <c r="E118" s="82"/>
      <c r="F118" s="71"/>
      <c r="G118" s="71"/>
      <c r="H118" s="71"/>
      <c r="I118" s="71"/>
      <c r="M118" s="43"/>
      <c r="N118" s="42"/>
    </row>
    <row r="119" spans="1:14">
      <c r="A119" s="71"/>
      <c r="B119" s="71"/>
      <c r="C119" s="82"/>
      <c r="D119" s="82"/>
      <c r="E119" s="82"/>
      <c r="F119" s="71"/>
      <c r="G119" s="71"/>
      <c r="H119" s="71"/>
      <c r="I119" s="71"/>
      <c r="M119" s="43"/>
      <c r="N119" s="42"/>
    </row>
    <row r="120" spans="1:14">
      <c r="A120" s="71"/>
      <c r="B120" s="71"/>
      <c r="C120" s="82"/>
      <c r="D120" s="82"/>
      <c r="E120" s="82"/>
      <c r="F120" s="71"/>
      <c r="G120" s="71"/>
      <c r="H120" s="71"/>
      <c r="I120" s="71"/>
      <c r="M120" s="43"/>
      <c r="N120" s="42"/>
    </row>
    <row r="121" spans="1:14">
      <c r="A121" s="71"/>
      <c r="B121" s="71"/>
      <c r="C121" s="82"/>
      <c r="D121" s="82"/>
      <c r="E121" s="82"/>
      <c r="F121" s="71"/>
      <c r="G121" s="71"/>
      <c r="H121" s="71"/>
      <c r="I121" s="71"/>
      <c r="M121" s="43"/>
      <c r="N121" s="42"/>
    </row>
    <row r="122" spans="1:14">
      <c r="A122" s="71"/>
      <c r="B122" s="71"/>
      <c r="C122" s="82"/>
      <c r="D122" s="82"/>
      <c r="E122" s="82"/>
      <c r="F122" s="71"/>
      <c r="G122" s="71"/>
      <c r="H122" s="71"/>
      <c r="I122" s="71"/>
      <c r="M122" s="43"/>
      <c r="N122" s="42"/>
    </row>
    <row r="123" spans="1:14">
      <c r="A123" s="71"/>
      <c r="B123" s="71"/>
      <c r="C123" s="82"/>
      <c r="D123" s="82"/>
      <c r="E123" s="82"/>
      <c r="F123" s="71"/>
      <c r="G123" s="71"/>
      <c r="H123" s="71"/>
      <c r="I123" s="71"/>
      <c r="M123" s="43"/>
      <c r="N123" s="42"/>
    </row>
    <row r="124" spans="1:14">
      <c r="A124" s="71"/>
      <c r="B124" s="71"/>
      <c r="C124" s="82"/>
      <c r="D124" s="82"/>
      <c r="E124" s="82"/>
      <c r="F124" s="71"/>
      <c r="G124" s="71"/>
      <c r="H124" s="71"/>
      <c r="I124" s="71"/>
      <c r="M124" s="43"/>
      <c r="N124" s="42"/>
    </row>
    <row r="125" spans="1:14">
      <c r="A125" s="71"/>
      <c r="B125" s="71"/>
      <c r="C125" s="82"/>
      <c r="D125" s="82"/>
      <c r="E125" s="82"/>
      <c r="F125" s="71"/>
      <c r="G125" s="71"/>
      <c r="H125" s="71"/>
      <c r="I125" s="71"/>
      <c r="M125" s="43"/>
      <c r="N125" s="42"/>
    </row>
    <row r="126" spans="1:14">
      <c r="A126" s="71"/>
      <c r="B126" s="71"/>
      <c r="C126" s="82"/>
      <c r="D126" s="82"/>
      <c r="E126" s="82"/>
      <c r="F126" s="71"/>
      <c r="G126" s="71"/>
      <c r="H126" s="71"/>
      <c r="I126" s="71"/>
      <c r="M126" s="43"/>
      <c r="N126" s="42"/>
    </row>
    <row r="127" spans="1:14">
      <c r="A127" s="71"/>
      <c r="B127" s="71"/>
      <c r="C127" s="82"/>
      <c r="D127" s="82"/>
      <c r="E127" s="82"/>
      <c r="F127" s="71"/>
      <c r="G127" s="71"/>
      <c r="H127" s="71"/>
      <c r="I127" s="71"/>
      <c r="M127" s="43"/>
      <c r="N127" s="42"/>
    </row>
    <row r="128" spans="1:14">
      <c r="A128" s="71"/>
      <c r="B128" s="71"/>
      <c r="C128" s="82"/>
      <c r="D128" s="82"/>
      <c r="E128" s="82"/>
      <c r="F128" s="71"/>
      <c r="G128" s="71"/>
      <c r="H128" s="71"/>
      <c r="I128" s="71"/>
      <c r="M128" s="43"/>
      <c r="N128" s="42"/>
    </row>
    <row r="129" spans="1:14">
      <c r="A129" s="71"/>
      <c r="B129" s="71"/>
      <c r="C129" s="82"/>
      <c r="D129" s="82"/>
      <c r="E129" s="82"/>
      <c r="F129" s="71"/>
      <c r="G129" s="71"/>
      <c r="H129" s="71"/>
      <c r="I129" s="71"/>
      <c r="M129" s="43"/>
      <c r="N129" s="42"/>
    </row>
    <row r="130" spans="1:14">
      <c r="A130" s="71"/>
      <c r="B130" s="71"/>
      <c r="C130" s="82"/>
      <c r="D130" s="82"/>
      <c r="E130" s="82"/>
      <c r="F130" s="71"/>
      <c r="G130" s="71"/>
      <c r="H130" s="71"/>
      <c r="I130" s="71"/>
      <c r="M130" s="43"/>
      <c r="N130" s="42"/>
    </row>
    <row r="131" spans="1:14">
      <c r="A131" s="71"/>
      <c r="B131" s="71"/>
      <c r="C131" s="82"/>
      <c r="D131" s="82"/>
      <c r="E131" s="82"/>
      <c r="F131" s="71"/>
      <c r="G131" s="71"/>
      <c r="H131" s="71"/>
      <c r="I131" s="71"/>
      <c r="M131" s="43"/>
      <c r="N131" s="42"/>
    </row>
    <row r="132" spans="1:14">
      <c r="A132" s="71"/>
      <c r="B132" s="71"/>
      <c r="C132" s="82"/>
      <c r="D132" s="82"/>
      <c r="E132" s="82"/>
      <c r="F132" s="71"/>
      <c r="G132" s="71"/>
      <c r="H132" s="71"/>
      <c r="I132" s="71"/>
      <c r="M132" s="43"/>
      <c r="N132" s="42"/>
    </row>
    <row r="133" spans="1:14">
      <c r="A133" s="71"/>
      <c r="B133" s="71"/>
      <c r="C133" s="82"/>
      <c r="D133" s="82"/>
      <c r="E133" s="82"/>
      <c r="F133" s="71"/>
      <c r="G133" s="71"/>
      <c r="H133" s="71"/>
      <c r="I133" s="71"/>
      <c r="M133" s="43"/>
      <c r="N133" s="42"/>
    </row>
    <row r="134" spans="1:14">
      <c r="A134" s="71"/>
      <c r="B134" s="71"/>
      <c r="C134" s="82"/>
      <c r="D134" s="82"/>
      <c r="E134" s="82"/>
      <c r="F134" s="71"/>
      <c r="G134" s="71"/>
      <c r="H134" s="71"/>
      <c r="I134" s="71"/>
      <c r="M134" s="43"/>
      <c r="N134" s="42"/>
    </row>
    <row r="135" spans="1:14">
      <c r="A135" s="71"/>
      <c r="B135" s="71"/>
      <c r="C135" s="82"/>
      <c r="D135" s="82"/>
      <c r="E135" s="82"/>
      <c r="F135" s="71"/>
      <c r="G135" s="71"/>
      <c r="H135" s="71"/>
      <c r="I135" s="71"/>
      <c r="M135" s="43"/>
      <c r="N135" s="42"/>
    </row>
    <row r="136" spans="1:14">
      <c r="A136" s="71"/>
      <c r="B136" s="71"/>
      <c r="C136" s="82"/>
      <c r="D136" s="82"/>
      <c r="E136" s="82"/>
      <c r="F136" s="71"/>
      <c r="G136" s="71"/>
      <c r="H136" s="71"/>
      <c r="I136" s="71"/>
      <c r="M136" s="43"/>
      <c r="N136" s="42"/>
    </row>
    <row r="137" spans="1:14">
      <c r="A137" s="71"/>
      <c r="B137" s="71"/>
      <c r="C137" s="82"/>
      <c r="D137" s="82"/>
      <c r="E137" s="82"/>
      <c r="F137" s="71"/>
      <c r="G137" s="71"/>
      <c r="H137" s="71"/>
      <c r="I137" s="71"/>
      <c r="M137" s="43"/>
      <c r="N137" s="42"/>
    </row>
    <row r="138" spans="1:14">
      <c r="A138" s="71"/>
      <c r="B138" s="71"/>
      <c r="C138" s="82"/>
      <c r="D138" s="82"/>
      <c r="E138" s="82"/>
      <c r="F138" s="71"/>
      <c r="G138" s="71"/>
      <c r="H138" s="71"/>
      <c r="I138" s="71"/>
      <c r="M138" s="43"/>
      <c r="N138" s="42"/>
    </row>
    <row r="139" spans="1:14">
      <c r="A139" s="71"/>
      <c r="B139" s="71"/>
      <c r="C139" s="82"/>
      <c r="D139" s="82"/>
      <c r="E139" s="82"/>
      <c r="F139" s="71"/>
      <c r="G139" s="71"/>
      <c r="H139" s="71"/>
      <c r="I139" s="71"/>
      <c r="M139" s="43"/>
      <c r="N139" s="42"/>
    </row>
    <row r="140" spans="1:14">
      <c r="A140" s="71"/>
      <c r="B140" s="71"/>
      <c r="C140" s="82"/>
      <c r="D140" s="82"/>
      <c r="E140" s="82"/>
      <c r="F140" s="71"/>
      <c r="G140" s="71"/>
      <c r="H140" s="71"/>
      <c r="I140" s="71"/>
      <c r="M140" s="43"/>
      <c r="N140" s="42"/>
    </row>
    <row r="141" spans="1:14">
      <c r="A141" s="71"/>
      <c r="B141" s="71"/>
      <c r="C141" s="82"/>
      <c r="D141" s="82"/>
      <c r="E141" s="82"/>
      <c r="F141" s="71"/>
      <c r="G141" s="71"/>
      <c r="H141" s="71"/>
      <c r="I141" s="71"/>
      <c r="M141" s="43"/>
      <c r="N141" s="42"/>
    </row>
    <row r="142" spans="1:14">
      <c r="A142" s="71"/>
      <c r="B142" s="71"/>
      <c r="C142" s="82"/>
      <c r="D142" s="82"/>
      <c r="E142" s="82"/>
      <c r="F142" s="71"/>
      <c r="G142" s="71"/>
      <c r="H142" s="71"/>
      <c r="I142" s="71"/>
      <c r="M142" s="43"/>
      <c r="N142" s="42"/>
    </row>
    <row r="143" spans="1:14">
      <c r="A143" s="71"/>
      <c r="B143" s="71"/>
      <c r="C143" s="82"/>
      <c r="D143" s="82"/>
      <c r="E143" s="82"/>
      <c r="F143" s="71"/>
      <c r="G143" s="71"/>
      <c r="H143" s="71"/>
      <c r="I143" s="71"/>
      <c r="M143" s="43"/>
      <c r="N143" s="42"/>
    </row>
    <row r="144" spans="1:14">
      <c r="A144" s="71"/>
      <c r="B144" s="71"/>
      <c r="C144" s="82"/>
      <c r="D144" s="82"/>
      <c r="E144" s="82"/>
      <c r="F144" s="71"/>
      <c r="G144" s="71"/>
      <c r="H144" s="71"/>
      <c r="I144" s="71"/>
      <c r="M144" s="43"/>
      <c r="N144" s="42"/>
    </row>
    <row r="145" spans="1:14">
      <c r="A145" s="71"/>
      <c r="B145" s="71"/>
      <c r="C145" s="82"/>
      <c r="D145" s="82"/>
      <c r="E145" s="82"/>
      <c r="F145" s="71"/>
      <c r="G145" s="71"/>
      <c r="H145" s="71"/>
      <c r="I145" s="71"/>
      <c r="M145" s="43"/>
      <c r="N145" s="42"/>
    </row>
    <row r="146" spans="1:14">
      <c r="A146" s="71"/>
      <c r="B146" s="71"/>
      <c r="C146" s="82"/>
      <c r="D146" s="82"/>
      <c r="E146" s="82"/>
      <c r="F146" s="71"/>
      <c r="G146" s="71"/>
      <c r="H146" s="71"/>
      <c r="I146" s="71"/>
      <c r="M146" s="43"/>
      <c r="N146" s="42"/>
    </row>
    <row r="147" spans="1:14">
      <c r="A147" s="71"/>
      <c r="B147" s="71"/>
      <c r="C147" s="82"/>
      <c r="D147" s="82"/>
      <c r="E147" s="82"/>
      <c r="F147" s="71"/>
      <c r="G147" s="71"/>
      <c r="H147" s="71"/>
      <c r="I147" s="71"/>
      <c r="M147" s="43"/>
      <c r="N147" s="42"/>
    </row>
    <row r="148" spans="1:14">
      <c r="A148" s="71"/>
      <c r="B148" s="71"/>
      <c r="C148" s="82"/>
      <c r="D148" s="82"/>
      <c r="E148" s="82"/>
      <c r="F148" s="71"/>
      <c r="G148" s="71"/>
      <c r="H148" s="71"/>
      <c r="I148" s="71"/>
      <c r="M148" s="43"/>
      <c r="N148" s="42"/>
    </row>
    <row r="149" spans="1:14">
      <c r="A149" s="71"/>
      <c r="B149" s="71"/>
      <c r="C149" s="82"/>
      <c r="D149" s="82"/>
      <c r="E149" s="82"/>
      <c r="F149" s="71"/>
      <c r="G149" s="71"/>
      <c r="H149" s="71"/>
      <c r="I149" s="71"/>
      <c r="M149" s="43"/>
      <c r="N149" s="42"/>
    </row>
    <row r="150" spans="1:14">
      <c r="A150" s="71"/>
      <c r="B150" s="71"/>
      <c r="C150" s="82"/>
      <c r="D150" s="82"/>
      <c r="E150" s="82"/>
      <c r="F150" s="71"/>
      <c r="G150" s="71"/>
      <c r="H150" s="71"/>
      <c r="I150" s="71"/>
      <c r="M150" s="43"/>
      <c r="N150" s="42"/>
    </row>
    <row r="151" spans="1:14">
      <c r="A151" s="71"/>
      <c r="B151" s="71"/>
      <c r="C151" s="82"/>
      <c r="D151" s="82"/>
      <c r="E151" s="82"/>
      <c r="F151" s="71"/>
      <c r="G151" s="71"/>
      <c r="H151" s="71"/>
      <c r="I151" s="71"/>
      <c r="M151" s="43"/>
      <c r="N151" s="42"/>
    </row>
    <row r="152" spans="1:14">
      <c r="A152" s="71"/>
      <c r="B152" s="71"/>
      <c r="C152" s="82"/>
      <c r="D152" s="82"/>
      <c r="E152" s="82"/>
      <c r="F152" s="71"/>
      <c r="G152" s="71"/>
      <c r="H152" s="71"/>
      <c r="I152" s="71"/>
      <c r="M152" s="43"/>
      <c r="N152" s="42"/>
    </row>
    <row r="153" spans="1:14">
      <c r="A153" s="71"/>
      <c r="B153" s="71"/>
      <c r="C153" s="82"/>
      <c r="D153" s="82"/>
      <c r="E153" s="82"/>
      <c r="F153" s="71"/>
      <c r="G153" s="71"/>
      <c r="H153" s="71"/>
      <c r="I153" s="71"/>
      <c r="M153" s="43"/>
      <c r="N153" s="42"/>
    </row>
    <row r="154" spans="1:14">
      <c r="A154" s="71"/>
      <c r="B154" s="71"/>
      <c r="C154" s="82"/>
      <c r="D154" s="82"/>
      <c r="E154" s="82"/>
      <c r="F154" s="71"/>
      <c r="G154" s="71"/>
      <c r="H154" s="71"/>
      <c r="I154" s="71"/>
      <c r="M154" s="43"/>
      <c r="N154" s="42"/>
    </row>
    <row r="155" spans="1:14">
      <c r="A155" s="71"/>
      <c r="B155" s="71"/>
      <c r="C155" s="82"/>
      <c r="D155" s="82"/>
      <c r="E155" s="82"/>
      <c r="F155" s="71"/>
      <c r="G155" s="71"/>
      <c r="H155" s="71"/>
      <c r="I155" s="71"/>
      <c r="M155" s="43"/>
      <c r="N155" s="42"/>
    </row>
    <row r="156" spans="1:14">
      <c r="A156" s="71"/>
      <c r="B156" s="71"/>
      <c r="C156" s="82"/>
      <c r="D156" s="82"/>
      <c r="E156" s="82"/>
      <c r="F156" s="71"/>
      <c r="G156" s="71"/>
      <c r="H156" s="71"/>
      <c r="I156" s="71"/>
      <c r="M156" s="43"/>
      <c r="N156" s="42"/>
    </row>
    <row r="157" spans="1:14">
      <c r="A157" s="71"/>
      <c r="B157" s="71"/>
      <c r="C157" s="82"/>
      <c r="D157" s="82"/>
      <c r="E157" s="82"/>
      <c r="F157" s="71"/>
      <c r="G157" s="71"/>
      <c r="H157" s="71"/>
      <c r="I157" s="71"/>
      <c r="M157" s="43"/>
      <c r="N157" s="42"/>
    </row>
    <row r="158" spans="1:14">
      <c r="A158" s="71"/>
      <c r="B158" s="71"/>
      <c r="C158" s="82"/>
      <c r="D158" s="82"/>
      <c r="E158" s="82"/>
      <c r="F158" s="71"/>
      <c r="G158" s="71"/>
      <c r="H158" s="71"/>
      <c r="I158" s="71"/>
      <c r="M158" s="43"/>
      <c r="N158" s="42"/>
    </row>
    <row r="159" spans="1:14">
      <c r="A159" s="71"/>
      <c r="B159" s="71"/>
      <c r="C159" s="82"/>
      <c r="D159" s="82"/>
      <c r="E159" s="82"/>
      <c r="F159" s="71"/>
      <c r="G159" s="71"/>
      <c r="H159" s="71"/>
      <c r="I159" s="71"/>
      <c r="M159" s="43"/>
      <c r="N159" s="42"/>
    </row>
    <row r="160" spans="1:14">
      <c r="A160" s="71"/>
      <c r="B160" s="71"/>
      <c r="C160" s="82"/>
      <c r="D160" s="82"/>
      <c r="E160" s="82"/>
      <c r="F160" s="71"/>
      <c r="G160" s="71"/>
      <c r="H160" s="71"/>
      <c r="I160" s="71"/>
      <c r="M160" s="43"/>
      <c r="N160" s="42"/>
    </row>
    <row r="161" spans="13:14">
      <c r="M161" s="43"/>
      <c r="N161" s="42"/>
    </row>
    <row r="162" spans="13:14">
      <c r="M162" s="43"/>
      <c r="N162" s="42"/>
    </row>
    <row r="163" spans="13:14">
      <c r="M163" s="43"/>
      <c r="N163" s="42"/>
    </row>
    <row r="164" spans="13:14">
      <c r="M164" s="43"/>
      <c r="N164" s="42"/>
    </row>
    <row r="165" spans="13:14">
      <c r="M165" s="43"/>
      <c r="N165" s="42"/>
    </row>
    <row r="166" spans="13:14">
      <c r="M166" s="43"/>
      <c r="N166" s="42"/>
    </row>
    <row r="167" spans="13:14">
      <c r="M167" s="43"/>
      <c r="N167" s="42"/>
    </row>
    <row r="168" spans="13:14">
      <c r="M168" s="43"/>
      <c r="N168" s="42"/>
    </row>
    <row r="169" spans="13:14">
      <c r="M169" s="43"/>
      <c r="N169" s="42"/>
    </row>
    <row r="170" spans="13:14">
      <c r="M170" s="43"/>
      <c r="N170" s="42"/>
    </row>
    <row r="171" spans="13:14">
      <c r="M171" s="43"/>
      <c r="N171" s="42"/>
    </row>
    <row r="172" spans="13:14">
      <c r="M172" s="43"/>
      <c r="N172" s="42"/>
    </row>
    <row r="173" spans="13:14">
      <c r="M173" s="43"/>
      <c r="N173" s="42"/>
    </row>
    <row r="174" spans="13:14">
      <c r="M174" s="43"/>
      <c r="N174" s="42"/>
    </row>
    <row r="175" spans="13:14">
      <c r="M175" s="43"/>
      <c r="N175" s="42"/>
    </row>
    <row r="176" spans="13:14">
      <c r="M176" s="43"/>
      <c r="N176" s="42"/>
    </row>
    <row r="177" spans="13:14">
      <c r="M177" s="43"/>
      <c r="N177" s="42"/>
    </row>
    <row r="178" spans="13:14">
      <c r="M178" s="43"/>
      <c r="N178" s="42"/>
    </row>
    <row r="179" spans="13:14">
      <c r="M179" s="43"/>
      <c r="N179" s="42"/>
    </row>
    <row r="180" spans="13:14">
      <c r="M180" s="43"/>
      <c r="N180" s="42"/>
    </row>
    <row r="181" spans="13:14">
      <c r="M181" s="43"/>
      <c r="N181" s="42"/>
    </row>
    <row r="182" spans="13:14">
      <c r="M182" s="43"/>
      <c r="N182" s="42"/>
    </row>
    <row r="183" spans="13:14">
      <c r="M183" s="43"/>
      <c r="N183" s="42"/>
    </row>
    <row r="184" spans="13:14">
      <c r="M184" s="43"/>
      <c r="N184" s="42"/>
    </row>
    <row r="185" spans="13:14">
      <c r="M185" s="43"/>
      <c r="N185" s="42"/>
    </row>
    <row r="186" spans="13:14">
      <c r="M186" s="43"/>
      <c r="N186" s="42"/>
    </row>
    <row r="187" spans="13:14">
      <c r="M187" s="43"/>
      <c r="N187" s="42"/>
    </row>
    <row r="188" spans="13:14">
      <c r="M188" s="43"/>
      <c r="N188" s="42"/>
    </row>
    <row r="189" spans="13:14">
      <c r="M189" s="43"/>
      <c r="N189" s="42"/>
    </row>
    <row r="190" spans="13:14">
      <c r="M190" s="43"/>
      <c r="N190" s="42"/>
    </row>
    <row r="191" spans="13:14">
      <c r="M191" s="43"/>
      <c r="N191" s="42"/>
    </row>
    <row r="192" spans="13:14">
      <c r="M192" s="43"/>
      <c r="N192" s="42"/>
    </row>
    <row r="193" spans="13:14">
      <c r="M193" s="43"/>
      <c r="N193" s="42"/>
    </row>
    <row r="194" spans="13:14">
      <c r="M194" s="43"/>
      <c r="N194" s="42"/>
    </row>
    <row r="195" spans="13:14">
      <c r="M195" s="43"/>
      <c r="N195" s="42"/>
    </row>
    <row r="196" spans="13:14">
      <c r="M196" s="43"/>
      <c r="N196" s="42"/>
    </row>
    <row r="197" spans="13:14">
      <c r="M197" s="43"/>
      <c r="N197" s="42"/>
    </row>
    <row r="198" spans="13:14">
      <c r="M198" s="43"/>
      <c r="N198" s="42"/>
    </row>
    <row r="199" spans="13:14">
      <c r="M199" s="43"/>
      <c r="N199" s="42"/>
    </row>
    <row r="200" spans="13:14">
      <c r="M200" s="43"/>
      <c r="N200" s="42"/>
    </row>
    <row r="201" spans="13:14">
      <c r="M201" s="43"/>
      <c r="N201" s="42"/>
    </row>
    <row r="202" spans="13:14">
      <c r="M202" s="43"/>
      <c r="N202" s="42"/>
    </row>
    <row r="203" spans="13:14">
      <c r="M203" s="43"/>
      <c r="N203" s="42"/>
    </row>
    <row r="204" spans="13:14">
      <c r="M204" s="43"/>
      <c r="N204" s="42"/>
    </row>
    <row r="205" spans="13:14">
      <c r="M205" s="43"/>
      <c r="N205" s="42"/>
    </row>
    <row r="206" spans="13:14">
      <c r="M206" s="43"/>
      <c r="N206" s="42"/>
    </row>
    <row r="207" spans="13:14">
      <c r="M207" s="43"/>
      <c r="N207" s="42"/>
    </row>
    <row r="208" spans="13:14">
      <c r="M208" s="43"/>
      <c r="N208" s="42"/>
    </row>
    <row r="209" spans="13:14">
      <c r="M209" s="43"/>
      <c r="N209" s="42"/>
    </row>
    <row r="210" spans="13:14">
      <c r="M210" s="43"/>
      <c r="N210" s="42"/>
    </row>
    <row r="211" spans="13:14">
      <c r="M211" s="43"/>
      <c r="N211" s="42"/>
    </row>
    <row r="212" spans="13:14">
      <c r="M212" s="43"/>
      <c r="N212" s="42"/>
    </row>
    <row r="213" spans="13:14">
      <c r="M213" s="43"/>
      <c r="N213" s="42"/>
    </row>
    <row r="214" spans="13:14">
      <c r="M214" s="43"/>
      <c r="N214" s="42"/>
    </row>
    <row r="215" spans="13:14">
      <c r="M215" s="43"/>
      <c r="N215" s="42"/>
    </row>
    <row r="216" spans="13:14">
      <c r="M216" s="43"/>
      <c r="N216" s="42"/>
    </row>
    <row r="217" spans="13:14">
      <c r="M217" s="43"/>
      <c r="N217" s="42"/>
    </row>
    <row r="218" spans="13:14">
      <c r="M218" s="43"/>
      <c r="N218" s="42"/>
    </row>
    <row r="219" spans="13:14">
      <c r="M219" s="43"/>
      <c r="N219" s="42"/>
    </row>
    <row r="220" spans="13:14">
      <c r="M220" s="43"/>
      <c r="N220" s="42"/>
    </row>
    <row r="221" spans="13:14">
      <c r="M221" s="43"/>
      <c r="N221" s="42"/>
    </row>
    <row r="222" spans="13:14">
      <c r="M222" s="43"/>
      <c r="N222" s="42"/>
    </row>
    <row r="223" spans="13:14">
      <c r="M223" s="43"/>
      <c r="N223" s="42"/>
    </row>
    <row r="224" spans="13:14">
      <c r="M224" s="43"/>
      <c r="N224" s="42"/>
    </row>
    <row r="225" spans="13:14">
      <c r="M225" s="43"/>
      <c r="N225" s="42"/>
    </row>
    <row r="226" spans="13:14">
      <c r="M226" s="43"/>
      <c r="N226" s="42"/>
    </row>
    <row r="227" spans="13:14">
      <c r="M227" s="43"/>
      <c r="N227" s="42"/>
    </row>
    <row r="228" spans="13:14">
      <c r="M228" s="43"/>
      <c r="N228" s="42"/>
    </row>
    <row r="229" spans="13:14">
      <c r="M229" s="43"/>
      <c r="N229" s="42"/>
    </row>
    <row r="230" spans="13:14">
      <c r="M230" s="43"/>
      <c r="N230" s="42"/>
    </row>
    <row r="231" spans="13:14">
      <c r="M231" s="43"/>
      <c r="N231" s="42"/>
    </row>
    <row r="232" spans="13:14">
      <c r="M232" s="43"/>
      <c r="N232" s="42"/>
    </row>
    <row r="233" spans="13:14">
      <c r="M233" s="43"/>
      <c r="N233" s="42"/>
    </row>
    <row r="234" spans="13:14">
      <c r="M234" s="43"/>
      <c r="N234" s="42"/>
    </row>
    <row r="235" spans="13:14">
      <c r="M235" s="43"/>
      <c r="N235" s="42"/>
    </row>
    <row r="236" spans="13:14">
      <c r="M236" s="43"/>
      <c r="N236" s="42"/>
    </row>
    <row r="237" spans="13:14">
      <c r="M237" s="43"/>
      <c r="N237" s="42"/>
    </row>
    <row r="238" spans="13:14">
      <c r="M238" s="43"/>
      <c r="N238" s="42"/>
    </row>
    <row r="239" spans="13:14">
      <c r="M239" s="43"/>
      <c r="N239" s="42"/>
    </row>
    <row r="240" spans="13:14">
      <c r="M240" s="43"/>
      <c r="N240" s="42"/>
    </row>
    <row r="241" spans="13:14">
      <c r="M241" s="43"/>
      <c r="N241" s="42"/>
    </row>
    <row r="242" spans="13:14">
      <c r="M242" s="43"/>
      <c r="N242" s="42"/>
    </row>
    <row r="243" spans="13:14">
      <c r="M243" s="43"/>
      <c r="N243" s="42"/>
    </row>
    <row r="244" spans="13:14">
      <c r="M244" s="43"/>
      <c r="N244" s="42"/>
    </row>
    <row r="245" spans="13:14">
      <c r="M245" s="43"/>
      <c r="N245" s="42"/>
    </row>
    <row r="246" spans="13:14">
      <c r="M246" s="43"/>
      <c r="N246" s="42"/>
    </row>
    <row r="247" spans="13:14">
      <c r="M247" s="43"/>
      <c r="N247" s="42"/>
    </row>
    <row r="248" spans="13:14">
      <c r="M248" s="43"/>
      <c r="N248" s="42"/>
    </row>
    <row r="249" spans="13:14">
      <c r="M249" s="43"/>
      <c r="N249" s="42"/>
    </row>
    <row r="250" spans="13:14">
      <c r="M250" s="43"/>
      <c r="N250" s="42"/>
    </row>
    <row r="251" spans="13:14">
      <c r="M251" s="43"/>
      <c r="N251" s="42"/>
    </row>
    <row r="252" spans="13:14">
      <c r="M252" s="43"/>
      <c r="N252" s="42"/>
    </row>
    <row r="253" spans="13:14">
      <c r="M253" s="43"/>
      <c r="N253" s="42"/>
    </row>
    <row r="254" spans="13:14">
      <c r="M254" s="43"/>
      <c r="N254" s="42"/>
    </row>
    <row r="255" spans="13:14">
      <c r="M255" s="43"/>
      <c r="N255" s="42"/>
    </row>
    <row r="256" spans="13:14">
      <c r="M256" s="43"/>
      <c r="N256" s="42"/>
    </row>
    <row r="257" spans="13:14">
      <c r="M257" s="43"/>
      <c r="N257" s="42"/>
    </row>
    <row r="258" spans="13:14">
      <c r="M258" s="43"/>
      <c r="N258" s="42"/>
    </row>
    <row r="259" spans="13:14">
      <c r="M259" s="43"/>
      <c r="N259" s="42"/>
    </row>
    <row r="260" spans="13:14">
      <c r="M260" s="43"/>
      <c r="N260" s="42"/>
    </row>
    <row r="261" spans="13:14">
      <c r="M261" s="43"/>
      <c r="N261" s="42"/>
    </row>
    <row r="262" spans="13:14">
      <c r="M262" s="43"/>
      <c r="N262" s="42"/>
    </row>
    <row r="263" spans="13:14">
      <c r="M263" s="43"/>
      <c r="N263" s="42"/>
    </row>
    <row r="264" spans="13:14">
      <c r="M264" s="43"/>
      <c r="N264" s="42"/>
    </row>
    <row r="265" spans="13:14">
      <c r="M265" s="43"/>
      <c r="N265" s="42"/>
    </row>
    <row r="266" spans="13:14">
      <c r="M266" s="43"/>
      <c r="N266" s="42"/>
    </row>
    <row r="267" spans="13:14">
      <c r="M267" s="43"/>
      <c r="N267" s="42"/>
    </row>
    <row r="268" spans="13:14">
      <c r="M268" s="43"/>
      <c r="N268" s="42"/>
    </row>
    <row r="269" spans="13:14">
      <c r="M269" s="43"/>
      <c r="N269" s="42"/>
    </row>
    <row r="270" spans="13:14">
      <c r="M270" s="43"/>
      <c r="N270" s="42"/>
    </row>
    <row r="271" spans="13:14">
      <c r="M271" s="43"/>
      <c r="N271" s="42"/>
    </row>
    <row r="272" spans="13:14">
      <c r="M272" s="43"/>
      <c r="N272" s="42"/>
    </row>
    <row r="273" spans="13:14">
      <c r="M273" s="43"/>
      <c r="N273" s="42"/>
    </row>
    <row r="274" spans="13:14">
      <c r="M274" s="43"/>
      <c r="N274" s="42"/>
    </row>
    <row r="275" spans="13:14">
      <c r="M275" s="43"/>
      <c r="N275" s="42"/>
    </row>
    <row r="276" spans="13:14">
      <c r="M276" s="43"/>
      <c r="N276" s="42"/>
    </row>
    <row r="277" spans="13:14">
      <c r="M277" s="43"/>
      <c r="N277" s="42"/>
    </row>
    <row r="278" spans="13:14">
      <c r="M278" s="43"/>
      <c r="N278" s="42"/>
    </row>
    <row r="279" spans="13:14">
      <c r="M279" s="43"/>
      <c r="N279" s="42"/>
    </row>
    <row r="280" spans="13:14">
      <c r="M280" s="43"/>
      <c r="N280" s="42"/>
    </row>
    <row r="281" spans="13:14">
      <c r="M281" s="43"/>
      <c r="N281" s="42"/>
    </row>
    <row r="282" spans="13:14">
      <c r="M282" s="43"/>
      <c r="N282" s="42"/>
    </row>
    <row r="283" spans="13:14">
      <c r="M283" s="43"/>
      <c r="N283" s="42"/>
    </row>
    <row r="284" spans="13:14">
      <c r="M284" s="43"/>
      <c r="N284" s="42"/>
    </row>
    <row r="285" spans="13:14">
      <c r="M285" s="43"/>
      <c r="N285" s="42"/>
    </row>
    <row r="286" spans="13:14">
      <c r="M286" s="43"/>
      <c r="N286" s="42"/>
    </row>
    <row r="287" spans="13:14">
      <c r="M287" s="43"/>
      <c r="N287" s="42"/>
    </row>
    <row r="288" spans="13:14">
      <c r="M288" s="43"/>
      <c r="N288" s="42"/>
    </row>
    <row r="289" spans="13:14">
      <c r="M289" s="43"/>
      <c r="N289" s="42"/>
    </row>
    <row r="290" spans="13:14">
      <c r="M290" s="43"/>
      <c r="N290" s="42"/>
    </row>
    <row r="291" spans="13:14">
      <c r="M291" s="43"/>
      <c r="N291" s="42"/>
    </row>
    <row r="292" spans="13:14">
      <c r="M292" s="43"/>
      <c r="N292" s="42"/>
    </row>
    <row r="293" spans="13:14">
      <c r="M293" s="43"/>
      <c r="N293" s="42"/>
    </row>
    <row r="294" spans="13:14">
      <c r="M294" s="43"/>
      <c r="N294" s="42"/>
    </row>
    <row r="295" spans="13:14">
      <c r="M295" s="43"/>
      <c r="N295" s="42"/>
    </row>
    <row r="296" spans="13:14">
      <c r="M296" s="43"/>
      <c r="N296" s="42"/>
    </row>
    <row r="297" spans="13:14">
      <c r="M297" s="43"/>
      <c r="N297" s="42"/>
    </row>
    <row r="298" spans="13:14">
      <c r="M298" s="43"/>
      <c r="N298" s="42"/>
    </row>
    <row r="299" spans="13:14">
      <c r="M299" s="43"/>
      <c r="N299" s="42"/>
    </row>
    <row r="300" spans="13:14">
      <c r="M300" s="43"/>
      <c r="N300" s="42"/>
    </row>
    <row r="301" spans="13:14">
      <c r="M301" s="43"/>
      <c r="N301" s="42"/>
    </row>
    <row r="302" spans="13:14">
      <c r="M302" s="43"/>
      <c r="N302" s="42"/>
    </row>
    <row r="303" spans="13:14">
      <c r="M303" s="43"/>
      <c r="N303" s="42"/>
    </row>
    <row r="304" spans="13:14">
      <c r="M304" s="43"/>
      <c r="N304" s="42"/>
    </row>
    <row r="305" spans="13:14">
      <c r="M305" s="43"/>
      <c r="N305" s="42"/>
    </row>
    <row r="306" spans="13:14">
      <c r="M306" s="43"/>
      <c r="N306" s="42"/>
    </row>
    <row r="307" spans="13:14">
      <c r="M307" s="43"/>
      <c r="N307" s="42"/>
    </row>
    <row r="308" spans="13:14">
      <c r="M308" s="43"/>
      <c r="N308" s="42"/>
    </row>
    <row r="309" spans="13:14">
      <c r="M309" s="43"/>
      <c r="N309" s="42"/>
    </row>
    <row r="310" spans="13:14">
      <c r="M310" s="43"/>
      <c r="N310" s="42"/>
    </row>
    <row r="311" spans="13:14">
      <c r="M311" s="43"/>
      <c r="N311" s="42"/>
    </row>
    <row r="312" spans="13:14">
      <c r="M312" s="43"/>
      <c r="N312" s="42"/>
    </row>
    <row r="313" spans="13:14">
      <c r="M313" s="43"/>
      <c r="N313" s="42"/>
    </row>
    <row r="314" spans="13:14">
      <c r="M314" s="43"/>
      <c r="N314" s="42"/>
    </row>
    <row r="315" spans="13:14">
      <c r="M315" s="43"/>
      <c r="N315" s="42"/>
    </row>
    <row r="316" spans="13:14">
      <c r="M316" s="43"/>
      <c r="N316" s="42"/>
    </row>
    <row r="317" spans="13:14">
      <c r="M317" s="43"/>
      <c r="N317" s="42"/>
    </row>
    <row r="318" spans="13:14">
      <c r="M318" s="43"/>
      <c r="N318" s="42"/>
    </row>
    <row r="319" spans="13:14">
      <c r="M319" s="43"/>
      <c r="N319" s="42"/>
    </row>
    <row r="320" spans="13:14">
      <c r="M320" s="43"/>
      <c r="N320" s="42"/>
    </row>
    <row r="321" spans="13:14">
      <c r="M321" s="43"/>
      <c r="N321" s="42"/>
    </row>
    <row r="322" spans="13:14">
      <c r="M322" s="43"/>
      <c r="N322" s="42"/>
    </row>
    <row r="323" spans="13:14">
      <c r="M323" s="43"/>
      <c r="N323" s="42"/>
    </row>
    <row r="324" spans="13:14">
      <c r="M324" s="43"/>
      <c r="N324" s="42"/>
    </row>
    <row r="325" spans="13:14">
      <c r="M325" s="43"/>
      <c r="N325" s="42"/>
    </row>
    <row r="326" spans="13:14">
      <c r="M326" s="43"/>
      <c r="N326" s="42"/>
    </row>
    <row r="327" spans="13:14">
      <c r="M327" s="43"/>
      <c r="N327" s="42"/>
    </row>
    <row r="328" spans="13:14">
      <c r="M328" s="43"/>
      <c r="N328" s="42"/>
    </row>
    <row r="329" spans="13:14">
      <c r="M329" s="43"/>
      <c r="N329" s="42"/>
    </row>
    <row r="330" spans="13:14">
      <c r="M330" s="43"/>
      <c r="N330" s="42"/>
    </row>
    <row r="331" spans="13:14">
      <c r="M331" s="43"/>
      <c r="N331" s="42"/>
    </row>
    <row r="332" spans="13:14">
      <c r="M332" s="43"/>
      <c r="N332" s="42"/>
    </row>
    <row r="333" spans="13:14">
      <c r="M333" s="43"/>
      <c r="N333" s="42"/>
    </row>
    <row r="334" spans="13:14">
      <c r="M334" s="43"/>
      <c r="N334" s="42"/>
    </row>
    <row r="335" spans="13:14">
      <c r="M335" s="43"/>
      <c r="N335" s="42"/>
    </row>
    <row r="336" spans="13:14">
      <c r="M336" s="43"/>
      <c r="N336" s="42"/>
    </row>
    <row r="337" spans="13:14">
      <c r="M337" s="43"/>
      <c r="N337" s="42"/>
    </row>
    <row r="338" spans="13:14">
      <c r="M338" s="43"/>
      <c r="N338" s="42"/>
    </row>
    <row r="339" spans="13:14">
      <c r="M339" s="43"/>
      <c r="N339" s="42"/>
    </row>
    <row r="340" spans="13:14">
      <c r="M340" s="43"/>
      <c r="N340" s="42"/>
    </row>
    <row r="341" spans="13:14">
      <c r="M341" s="43"/>
      <c r="N341" s="42"/>
    </row>
    <row r="342" spans="13:14">
      <c r="M342" s="43"/>
      <c r="N342" s="42"/>
    </row>
    <row r="343" spans="13:14">
      <c r="M343" s="43"/>
      <c r="N343" s="42"/>
    </row>
    <row r="344" spans="13:14">
      <c r="M344" s="43"/>
      <c r="N344" s="42"/>
    </row>
    <row r="345" spans="13:14">
      <c r="M345" s="43"/>
      <c r="N345" s="42"/>
    </row>
    <row r="346" spans="13:14">
      <c r="M346" s="43"/>
      <c r="N346" s="42"/>
    </row>
    <row r="347" spans="13:14">
      <c r="M347" s="43"/>
      <c r="N347" s="42"/>
    </row>
    <row r="348" spans="13:14">
      <c r="M348" s="43"/>
      <c r="N348" s="42"/>
    </row>
    <row r="349" spans="13:14">
      <c r="M349" s="43"/>
      <c r="N349" s="42"/>
    </row>
    <row r="350" spans="13:14">
      <c r="M350" s="43"/>
      <c r="N350" s="42"/>
    </row>
    <row r="351" spans="13:14">
      <c r="M351" s="43"/>
      <c r="N351" s="42"/>
    </row>
    <row r="352" spans="13:14">
      <c r="M352" s="43"/>
      <c r="N352" s="42"/>
    </row>
    <row r="353" spans="13:14">
      <c r="M353" s="43"/>
      <c r="N353" s="42"/>
    </row>
    <row r="354" spans="13:14">
      <c r="M354" s="43"/>
      <c r="N354" s="42"/>
    </row>
    <row r="355" spans="13:14">
      <c r="M355" s="43"/>
      <c r="N355" s="42"/>
    </row>
    <row r="356" spans="13:14">
      <c r="M356" s="43"/>
      <c r="N356" s="42"/>
    </row>
    <row r="357" spans="13:14">
      <c r="M357" s="43"/>
      <c r="N357" s="42"/>
    </row>
    <row r="358" spans="13:14">
      <c r="M358" s="43"/>
      <c r="N358" s="42"/>
    </row>
    <row r="359" spans="13:14">
      <c r="M359" s="43"/>
      <c r="N359" s="42"/>
    </row>
    <row r="360" spans="13:14">
      <c r="M360" s="43"/>
      <c r="N360" s="42"/>
    </row>
    <row r="361" spans="13:14">
      <c r="M361" s="43"/>
      <c r="N361" s="42"/>
    </row>
    <row r="362" spans="13:14">
      <c r="M362" s="43"/>
      <c r="N362" s="42"/>
    </row>
    <row r="363" spans="13:14">
      <c r="M363" s="43"/>
      <c r="N363" s="42"/>
    </row>
    <row r="364" spans="13:14">
      <c r="M364" s="43"/>
      <c r="N364" s="42"/>
    </row>
    <row r="365" spans="13:14">
      <c r="M365" s="43"/>
      <c r="N365" s="42"/>
    </row>
    <row r="366" spans="13:14">
      <c r="M366" s="43"/>
      <c r="N366" s="42"/>
    </row>
    <row r="367" spans="13:14">
      <c r="M367" s="43"/>
      <c r="N367" s="42"/>
    </row>
    <row r="368" spans="13:14">
      <c r="M368" s="43"/>
      <c r="N368" s="42"/>
    </row>
    <row r="369" spans="13:14">
      <c r="M369" s="43"/>
      <c r="N369" s="42"/>
    </row>
    <row r="370" spans="13:14">
      <c r="M370" s="43"/>
      <c r="N370" s="42"/>
    </row>
    <row r="371" spans="13:14">
      <c r="M371" s="43"/>
      <c r="N371" s="42"/>
    </row>
    <row r="372" spans="13:14">
      <c r="M372" s="43"/>
      <c r="N372" s="42"/>
    </row>
    <row r="373" spans="13:14">
      <c r="M373" s="43"/>
      <c r="N373" s="42"/>
    </row>
    <row r="374" spans="13:14">
      <c r="M374" s="43"/>
      <c r="N374" s="42"/>
    </row>
    <row r="375" spans="13:14">
      <c r="M375" s="43"/>
      <c r="N375" s="42"/>
    </row>
    <row r="376" spans="13:14">
      <c r="M376" s="43"/>
      <c r="N376" s="42"/>
    </row>
    <row r="377" spans="13:14">
      <c r="M377" s="43"/>
      <c r="N377" s="42"/>
    </row>
    <row r="378" spans="13:14">
      <c r="M378" s="43"/>
      <c r="N378" s="42"/>
    </row>
    <row r="379" spans="13:14">
      <c r="M379" s="43"/>
      <c r="N379" s="42"/>
    </row>
    <row r="380" spans="13:14">
      <c r="M380" s="43"/>
      <c r="N380" s="42"/>
    </row>
    <row r="381" spans="13:14">
      <c r="M381" s="43"/>
      <c r="N381" s="42"/>
    </row>
    <row r="382" spans="13:14">
      <c r="M382" s="43"/>
      <c r="N382" s="42"/>
    </row>
    <row r="383" spans="13:14">
      <c r="M383" s="43"/>
      <c r="N383" s="42"/>
    </row>
    <row r="384" spans="13:14">
      <c r="M384" s="43"/>
      <c r="N384" s="42"/>
    </row>
    <row r="385" spans="13:14">
      <c r="M385" s="43"/>
      <c r="N385" s="42"/>
    </row>
    <row r="386" spans="13:14">
      <c r="M386" s="43"/>
      <c r="N386" s="42"/>
    </row>
    <row r="387" spans="13:14">
      <c r="M387" s="43"/>
      <c r="N387" s="42"/>
    </row>
    <row r="388" spans="13:14">
      <c r="M388" s="43"/>
      <c r="N388" s="42"/>
    </row>
    <row r="389" spans="13:14">
      <c r="M389" s="43"/>
      <c r="N389" s="42"/>
    </row>
    <row r="390" spans="13:14">
      <c r="M390" s="43"/>
      <c r="N390" s="42"/>
    </row>
    <row r="391" spans="13:14">
      <c r="M391" s="43"/>
      <c r="N391" s="42"/>
    </row>
    <row r="392" spans="13:14">
      <c r="M392" s="43"/>
      <c r="N392" s="42"/>
    </row>
    <row r="393" spans="13:14">
      <c r="M393" s="43"/>
      <c r="N393" s="42"/>
    </row>
    <row r="394" spans="13:14">
      <c r="M394" s="43"/>
      <c r="N394" s="42"/>
    </row>
    <row r="395" spans="13:14">
      <c r="M395" s="43"/>
      <c r="N395" s="42"/>
    </row>
    <row r="396" spans="13:14">
      <c r="M396" s="43"/>
      <c r="N396" s="42"/>
    </row>
    <row r="397" spans="13:14">
      <c r="M397" s="43"/>
      <c r="N397" s="42"/>
    </row>
    <row r="398" spans="13:14">
      <c r="M398" s="43"/>
      <c r="N398" s="42"/>
    </row>
    <row r="399" spans="13:14">
      <c r="M399" s="43"/>
      <c r="N399" s="42"/>
    </row>
    <row r="400" spans="13:14">
      <c r="M400" s="43"/>
      <c r="N400" s="42"/>
    </row>
    <row r="401" spans="13:14">
      <c r="M401" s="43"/>
      <c r="N401" s="42"/>
    </row>
    <row r="402" spans="13:14">
      <c r="M402" s="43"/>
      <c r="N402" s="42"/>
    </row>
    <row r="403" spans="13:14">
      <c r="M403" s="43"/>
      <c r="N403" s="42"/>
    </row>
    <row r="404" spans="13:14">
      <c r="M404" s="43"/>
      <c r="N404" s="42"/>
    </row>
    <row r="405" spans="13:14">
      <c r="M405" s="43"/>
      <c r="N405" s="42"/>
    </row>
    <row r="406" spans="13:14">
      <c r="M406" s="43"/>
      <c r="N406" s="42"/>
    </row>
    <row r="407" spans="13:14">
      <c r="M407" s="43"/>
      <c r="N407" s="42"/>
    </row>
    <row r="408" spans="13:14">
      <c r="M408" s="43"/>
      <c r="N408" s="42"/>
    </row>
    <row r="409" spans="13:14">
      <c r="M409" s="43"/>
      <c r="N409" s="42"/>
    </row>
    <row r="410" spans="13:14">
      <c r="M410" s="43"/>
      <c r="N410" s="42"/>
    </row>
    <row r="411" spans="13:14">
      <c r="M411" s="43"/>
      <c r="N411" s="42"/>
    </row>
    <row r="412" spans="13:14">
      <c r="M412" s="43"/>
      <c r="N412" s="42"/>
    </row>
    <row r="413" spans="13:14">
      <c r="M413" s="43"/>
      <c r="N413" s="42"/>
    </row>
    <row r="414" spans="13:14">
      <c r="M414" s="43"/>
      <c r="N414" s="42"/>
    </row>
    <row r="415" spans="13:14">
      <c r="M415" s="43"/>
      <c r="N415" s="42"/>
    </row>
    <row r="416" spans="13:14">
      <c r="M416" s="43"/>
      <c r="N416" s="42"/>
    </row>
    <row r="417" spans="13:14">
      <c r="M417" s="43"/>
      <c r="N417" s="42"/>
    </row>
    <row r="418" spans="13:14">
      <c r="M418" s="43"/>
      <c r="N418" s="42"/>
    </row>
    <row r="419" spans="13:14">
      <c r="M419" s="43"/>
      <c r="N419" s="42"/>
    </row>
    <row r="420" spans="13:14">
      <c r="M420" s="43"/>
      <c r="N420" s="42"/>
    </row>
    <row r="421" spans="13:14">
      <c r="M421" s="43"/>
      <c r="N421" s="42"/>
    </row>
    <row r="422" spans="13:14">
      <c r="M422" s="43"/>
      <c r="N422" s="42"/>
    </row>
    <row r="423" spans="13:14">
      <c r="M423" s="43"/>
      <c r="N423" s="42"/>
    </row>
    <row r="424" spans="13:14">
      <c r="M424" s="43"/>
      <c r="N424" s="42"/>
    </row>
    <row r="425" spans="13:14">
      <c r="M425" s="43"/>
      <c r="N425" s="42"/>
    </row>
    <row r="426" spans="13:14">
      <c r="M426" s="43"/>
      <c r="N426" s="42"/>
    </row>
    <row r="427" spans="13:14">
      <c r="M427" s="43"/>
      <c r="N427" s="42"/>
    </row>
    <row r="428" spans="13:14">
      <c r="M428" s="43"/>
      <c r="N428" s="42"/>
    </row>
    <row r="429" spans="13:14">
      <c r="M429" s="43"/>
      <c r="N429" s="42"/>
    </row>
    <row r="430" spans="13:14">
      <c r="M430" s="43"/>
      <c r="N430" s="42"/>
    </row>
    <row r="431" spans="13:14">
      <c r="M431" s="43"/>
      <c r="N431" s="42"/>
    </row>
    <row r="432" spans="13:14">
      <c r="M432" s="43"/>
      <c r="N432" s="42"/>
    </row>
    <row r="433" spans="13:14">
      <c r="M433" s="43"/>
      <c r="N433" s="42"/>
    </row>
    <row r="434" spans="13:14">
      <c r="M434" s="43"/>
      <c r="N434" s="42"/>
    </row>
    <row r="435" spans="13:14">
      <c r="M435" s="43"/>
      <c r="N435" s="42"/>
    </row>
    <row r="436" spans="13:14">
      <c r="M436" s="43"/>
      <c r="N436" s="42"/>
    </row>
    <row r="437" spans="13:14">
      <c r="M437" s="43"/>
      <c r="N437" s="42"/>
    </row>
    <row r="438" spans="13:14">
      <c r="M438" s="43"/>
      <c r="N438" s="42"/>
    </row>
    <row r="439" spans="13:14">
      <c r="M439" s="43"/>
      <c r="N439" s="42"/>
    </row>
    <row r="440" spans="13:14">
      <c r="M440" s="43"/>
      <c r="N440" s="42"/>
    </row>
    <row r="441" spans="13:14">
      <c r="M441" s="43"/>
      <c r="N441" s="42"/>
    </row>
    <row r="442" spans="13:14">
      <c r="M442" s="43"/>
      <c r="N442" s="42"/>
    </row>
    <row r="443" spans="13:14">
      <c r="M443" s="43"/>
      <c r="N443" s="42"/>
    </row>
    <row r="444" spans="13:14">
      <c r="M444" s="43"/>
      <c r="N444" s="42"/>
    </row>
    <row r="445" spans="13:14">
      <c r="M445" s="43"/>
      <c r="N445" s="42"/>
    </row>
    <row r="446" spans="13:14">
      <c r="M446" s="43"/>
      <c r="N446" s="42"/>
    </row>
    <row r="447" spans="13:14">
      <c r="M447" s="43"/>
      <c r="N447" s="42"/>
    </row>
    <row r="448" spans="13:14">
      <c r="M448" s="43"/>
      <c r="N448" s="42"/>
    </row>
    <row r="449" spans="13:14">
      <c r="M449" s="43"/>
      <c r="N449" s="42"/>
    </row>
    <row r="450" spans="13:14">
      <c r="M450" s="43"/>
      <c r="N450" s="42"/>
    </row>
    <row r="451" spans="13:14">
      <c r="M451" s="43"/>
      <c r="N451" s="42"/>
    </row>
    <row r="452" spans="13:14">
      <c r="M452" s="43"/>
      <c r="N452" s="42"/>
    </row>
    <row r="453" spans="13:14">
      <c r="M453" s="43"/>
      <c r="N453" s="42"/>
    </row>
    <row r="454" spans="13:14">
      <c r="M454" s="43"/>
      <c r="N454" s="42"/>
    </row>
    <row r="455" spans="13:14">
      <c r="M455" s="43"/>
      <c r="N455" s="42"/>
    </row>
    <row r="456" spans="13:14">
      <c r="M456" s="43"/>
      <c r="N456" s="42"/>
    </row>
    <row r="457" spans="13:14">
      <c r="M457" s="43"/>
      <c r="N457" s="42"/>
    </row>
    <row r="458" spans="13:14">
      <c r="M458" s="43"/>
      <c r="N458" s="42"/>
    </row>
    <row r="459" spans="13:14">
      <c r="M459" s="43"/>
      <c r="N459" s="42"/>
    </row>
    <row r="460" spans="13:14">
      <c r="M460" s="43"/>
      <c r="N460" s="42"/>
    </row>
    <row r="461" spans="13:14">
      <c r="M461" s="43"/>
      <c r="N461" s="42"/>
    </row>
    <row r="462" spans="13:14">
      <c r="M462" s="43"/>
      <c r="N462" s="42"/>
    </row>
    <row r="463" spans="13:14">
      <c r="M463" s="43"/>
      <c r="N463" s="42"/>
    </row>
    <row r="464" spans="13:14">
      <c r="M464" s="43"/>
      <c r="N464" s="42"/>
    </row>
    <row r="465" spans="13:14">
      <c r="M465" s="43"/>
      <c r="N465" s="42"/>
    </row>
    <row r="466" spans="13:14">
      <c r="M466" s="43"/>
      <c r="N466" s="42"/>
    </row>
    <row r="467" spans="13:14">
      <c r="M467" s="43"/>
      <c r="N467" s="42"/>
    </row>
    <row r="468" spans="13:14">
      <c r="M468" s="43"/>
      <c r="N468" s="42"/>
    </row>
    <row r="469" spans="13:14">
      <c r="M469" s="43"/>
      <c r="N469" s="42"/>
    </row>
    <row r="470" spans="13:14">
      <c r="M470" s="43"/>
      <c r="N470" s="42"/>
    </row>
    <row r="471" spans="13:14">
      <c r="M471" s="43"/>
      <c r="N471" s="42"/>
    </row>
    <row r="472" spans="13:14">
      <c r="M472" s="43"/>
      <c r="N472" s="42"/>
    </row>
    <row r="473" spans="13:14">
      <c r="M473" s="43"/>
      <c r="N473" s="42"/>
    </row>
    <row r="474" spans="13:14">
      <c r="M474" s="43"/>
      <c r="N474" s="42"/>
    </row>
    <row r="475" spans="13:14">
      <c r="M475" s="43"/>
      <c r="N475" s="42"/>
    </row>
    <row r="476" spans="13:14">
      <c r="M476" s="43"/>
      <c r="N476" s="42"/>
    </row>
    <row r="477" spans="13:14">
      <c r="M477" s="43"/>
      <c r="N477" s="42"/>
    </row>
    <row r="478" spans="13:14">
      <c r="M478" s="43"/>
      <c r="N478" s="42"/>
    </row>
    <row r="479" spans="13:14">
      <c r="M479" s="43"/>
      <c r="N479" s="42"/>
    </row>
    <row r="480" spans="13:14">
      <c r="M480" s="43"/>
      <c r="N480" s="42"/>
    </row>
    <row r="481" spans="13:14">
      <c r="M481" s="43"/>
      <c r="N481" s="42"/>
    </row>
    <row r="482" spans="13:14">
      <c r="M482" s="43"/>
      <c r="N482" s="42"/>
    </row>
    <row r="483" spans="13:14">
      <c r="M483" s="43"/>
      <c r="N483" s="42"/>
    </row>
    <row r="484" spans="13:14">
      <c r="M484" s="43"/>
      <c r="N484" s="42"/>
    </row>
    <row r="485" spans="13:14">
      <c r="M485" s="43"/>
      <c r="N485" s="42"/>
    </row>
    <row r="486" spans="13:14">
      <c r="M486" s="43"/>
      <c r="N486" s="42"/>
    </row>
    <row r="487" spans="13:14">
      <c r="M487" s="43"/>
      <c r="N487" s="42"/>
    </row>
    <row r="488" spans="13:14">
      <c r="M488" s="43"/>
      <c r="N488" s="42"/>
    </row>
    <row r="489" spans="13:14">
      <c r="M489" s="43"/>
      <c r="N489" s="42"/>
    </row>
    <row r="490" spans="13:14">
      <c r="M490" s="43"/>
      <c r="N490" s="42"/>
    </row>
    <row r="491" spans="13:14">
      <c r="M491" s="43"/>
      <c r="N491" s="42"/>
    </row>
    <row r="492" spans="13:14">
      <c r="M492" s="43"/>
      <c r="N492" s="42"/>
    </row>
    <row r="493" spans="13:14">
      <c r="M493" s="43"/>
      <c r="N493" s="42"/>
    </row>
    <row r="494" spans="13:14">
      <c r="M494" s="43"/>
      <c r="N494" s="42"/>
    </row>
    <row r="495" spans="13:14">
      <c r="M495" s="43"/>
      <c r="N495" s="42"/>
    </row>
    <row r="496" spans="13:14">
      <c r="M496" s="43"/>
      <c r="N496" s="42"/>
    </row>
    <row r="497" spans="13:14">
      <c r="M497" s="43"/>
      <c r="N497" s="42"/>
    </row>
    <row r="498" spans="13:14">
      <c r="M498" s="43"/>
      <c r="N498" s="42"/>
    </row>
    <row r="499" spans="13:14">
      <c r="M499" s="43"/>
      <c r="N499" s="42"/>
    </row>
    <row r="500" spans="13:14">
      <c r="M500" s="43"/>
      <c r="N500" s="42"/>
    </row>
    <row r="501" spans="13:14">
      <c r="M501" s="43"/>
      <c r="N501" s="42"/>
    </row>
    <row r="502" spans="13:14">
      <c r="M502" s="43"/>
      <c r="N502" s="42"/>
    </row>
    <row r="503" spans="13:14">
      <c r="M503" s="43"/>
      <c r="N503" s="42"/>
    </row>
    <row r="504" spans="13:14">
      <c r="M504" s="43"/>
      <c r="N504" s="42"/>
    </row>
    <row r="505" spans="13:14">
      <c r="M505" s="43"/>
      <c r="N505" s="42"/>
    </row>
    <row r="506" spans="13:14">
      <c r="M506" s="43"/>
      <c r="N506" s="42"/>
    </row>
    <row r="507" spans="13:14">
      <c r="M507" s="43"/>
      <c r="N507" s="42"/>
    </row>
    <row r="508" spans="13:14">
      <c r="M508" s="43"/>
      <c r="N508" s="42"/>
    </row>
    <row r="509" spans="13:14">
      <c r="M509" s="43"/>
      <c r="N509" s="42"/>
    </row>
    <row r="510" spans="13:14">
      <c r="M510" s="43"/>
      <c r="N510" s="42"/>
    </row>
    <row r="511" spans="13:14">
      <c r="M511" s="43"/>
      <c r="N511" s="42"/>
    </row>
    <row r="512" spans="13:14">
      <c r="M512" s="43"/>
      <c r="N512" s="42"/>
    </row>
    <row r="513" spans="13:14">
      <c r="M513" s="43"/>
      <c r="N513" s="42"/>
    </row>
    <row r="514" spans="13:14">
      <c r="M514" s="43"/>
      <c r="N514" s="42"/>
    </row>
    <row r="515" spans="13:14">
      <c r="M515" s="43"/>
      <c r="N515" s="42"/>
    </row>
    <row r="516" spans="13:14">
      <c r="M516" s="43"/>
      <c r="N516" s="42"/>
    </row>
    <row r="517" spans="13:14">
      <c r="M517" s="43"/>
      <c r="N517" s="42"/>
    </row>
    <row r="518" spans="13:14">
      <c r="M518" s="43"/>
      <c r="N518" s="42"/>
    </row>
    <row r="519" spans="13:14">
      <c r="M519" s="43"/>
      <c r="N519" s="42"/>
    </row>
    <row r="520" spans="13:14">
      <c r="M520" s="43"/>
      <c r="N520" s="42"/>
    </row>
    <row r="521" spans="13:14">
      <c r="M521" s="43"/>
      <c r="N521" s="42"/>
    </row>
    <row r="522" spans="13:14">
      <c r="M522" s="43"/>
      <c r="N522" s="42"/>
    </row>
    <row r="523" spans="13:14">
      <c r="M523" s="43"/>
      <c r="N523" s="42"/>
    </row>
    <row r="524" spans="13:14">
      <c r="M524" s="43"/>
      <c r="N524" s="42"/>
    </row>
    <row r="525" spans="13:14">
      <c r="M525" s="43"/>
      <c r="N525" s="42"/>
    </row>
    <row r="526" spans="13:14">
      <c r="M526" s="43"/>
      <c r="N526" s="42"/>
    </row>
    <row r="527" spans="13:14">
      <c r="M527" s="43"/>
      <c r="N527" s="42"/>
    </row>
    <row r="528" spans="13:14">
      <c r="M528" s="43"/>
      <c r="N528" s="42"/>
    </row>
    <row r="529" spans="13:14">
      <c r="M529" s="43"/>
      <c r="N529" s="42"/>
    </row>
    <row r="530" spans="13:14">
      <c r="M530" s="43"/>
      <c r="N530" s="42"/>
    </row>
    <row r="531" spans="13:14">
      <c r="M531" s="43"/>
      <c r="N531" s="42"/>
    </row>
    <row r="532" spans="13:14">
      <c r="M532" s="43"/>
      <c r="N532" s="42"/>
    </row>
    <row r="533" spans="13:14">
      <c r="M533" s="43"/>
      <c r="N533" s="42"/>
    </row>
    <row r="534" spans="13:14">
      <c r="M534" s="43"/>
      <c r="N534" s="42"/>
    </row>
    <row r="535" spans="13:14">
      <c r="M535" s="43"/>
      <c r="N535" s="42"/>
    </row>
    <row r="536" spans="13:14">
      <c r="M536" s="43"/>
      <c r="N536" s="42"/>
    </row>
    <row r="537" spans="13:14">
      <c r="M537" s="43"/>
      <c r="N537" s="42"/>
    </row>
    <row r="538" spans="13:14">
      <c r="M538" s="43"/>
      <c r="N538" s="42"/>
    </row>
    <row r="539" spans="13:14">
      <c r="M539" s="43"/>
      <c r="N539" s="42"/>
    </row>
    <row r="540" spans="13:14">
      <c r="M540" s="43"/>
      <c r="N540" s="42"/>
    </row>
    <row r="541" spans="13:14">
      <c r="M541" s="43"/>
      <c r="N541" s="42"/>
    </row>
    <row r="542" spans="13:14">
      <c r="M542" s="43"/>
      <c r="N542" s="42"/>
    </row>
    <row r="543" spans="13:14">
      <c r="M543" s="43"/>
      <c r="N543" s="42"/>
    </row>
    <row r="544" spans="13:14">
      <c r="M544" s="43"/>
      <c r="N544" s="42"/>
    </row>
    <row r="545" spans="13:14">
      <c r="M545" s="43"/>
      <c r="N545" s="42"/>
    </row>
    <row r="546" spans="13:14">
      <c r="M546" s="43"/>
      <c r="N546" s="42"/>
    </row>
    <row r="547" spans="13:14">
      <c r="M547" s="43"/>
      <c r="N547" s="42"/>
    </row>
    <row r="548" spans="13:14">
      <c r="M548" s="43"/>
      <c r="N548" s="42"/>
    </row>
    <row r="549" spans="13:14">
      <c r="M549" s="43"/>
      <c r="N549" s="42"/>
    </row>
    <row r="550" spans="13:14">
      <c r="M550" s="43"/>
      <c r="N550" s="42"/>
    </row>
    <row r="551" spans="13:14">
      <c r="M551" s="43"/>
      <c r="N551" s="42"/>
    </row>
    <row r="552" spans="13:14">
      <c r="M552" s="43"/>
      <c r="N552" s="42"/>
    </row>
    <row r="553" spans="13:14">
      <c r="M553" s="43"/>
      <c r="N553" s="42"/>
    </row>
    <row r="554" spans="13:14">
      <c r="M554" s="43"/>
      <c r="N554" s="42"/>
    </row>
    <row r="555" spans="13:14">
      <c r="M555" s="43"/>
      <c r="N555" s="42"/>
    </row>
    <row r="556" spans="13:14">
      <c r="M556" s="43"/>
      <c r="N556" s="42"/>
    </row>
    <row r="557" spans="13:14">
      <c r="M557" s="43"/>
      <c r="N557" s="42"/>
    </row>
    <row r="558" spans="13:14">
      <c r="M558" s="43"/>
      <c r="N558" s="42"/>
    </row>
    <row r="559" spans="13:14">
      <c r="M559" s="43"/>
      <c r="N559" s="42"/>
    </row>
    <row r="560" spans="13:14">
      <c r="M560" s="43"/>
      <c r="N560" s="42"/>
    </row>
    <row r="561" spans="13:14">
      <c r="M561" s="43"/>
      <c r="N561" s="42"/>
    </row>
    <row r="562" spans="13:14">
      <c r="M562" s="43"/>
      <c r="N562" s="42"/>
    </row>
    <row r="563" spans="13:14">
      <c r="M563" s="43"/>
      <c r="N563" s="42"/>
    </row>
    <row r="564" spans="13:14">
      <c r="M564" s="43"/>
      <c r="N564" s="42"/>
    </row>
    <row r="565" spans="13:14">
      <c r="M565" s="43"/>
      <c r="N565" s="42"/>
    </row>
    <row r="566" spans="13:14">
      <c r="M566" s="43"/>
      <c r="N566" s="42"/>
    </row>
    <row r="567" spans="13:14">
      <c r="M567" s="43"/>
      <c r="N567" s="42"/>
    </row>
    <row r="568" spans="13:14">
      <c r="M568" s="43"/>
      <c r="N568" s="42"/>
    </row>
    <row r="569" spans="13:14">
      <c r="M569" s="43"/>
      <c r="N569" s="42"/>
    </row>
    <row r="570" spans="13:14">
      <c r="M570" s="43"/>
      <c r="N570" s="42"/>
    </row>
    <row r="571" spans="13:14">
      <c r="M571" s="43"/>
      <c r="N571" s="42"/>
    </row>
    <row r="572" spans="13:14">
      <c r="M572" s="43"/>
      <c r="N572" s="42"/>
    </row>
    <row r="573" spans="13:14">
      <c r="M573" s="43"/>
      <c r="N573" s="42"/>
    </row>
    <row r="574" spans="13:14">
      <c r="M574" s="43"/>
      <c r="N574" s="42"/>
    </row>
    <row r="575" spans="13:14">
      <c r="M575" s="43"/>
      <c r="N575" s="42"/>
    </row>
    <row r="576" spans="13:14">
      <c r="M576" s="43"/>
      <c r="N576" s="42"/>
    </row>
    <row r="577" spans="13:14">
      <c r="M577" s="43"/>
      <c r="N577" s="42"/>
    </row>
    <row r="578" spans="13:14">
      <c r="M578" s="43"/>
      <c r="N578" s="42"/>
    </row>
    <row r="579" spans="13:14">
      <c r="M579" s="43"/>
      <c r="N579" s="42"/>
    </row>
    <row r="580" spans="13:14">
      <c r="M580" s="43"/>
      <c r="N580" s="42"/>
    </row>
    <row r="581" spans="13:14">
      <c r="M581" s="43"/>
      <c r="N581" s="42"/>
    </row>
    <row r="582" spans="13:14">
      <c r="M582" s="43"/>
      <c r="N582" s="42"/>
    </row>
    <row r="583" spans="13:14">
      <c r="M583" s="43"/>
      <c r="N583" s="42"/>
    </row>
    <row r="584" spans="13:14">
      <c r="M584" s="43"/>
      <c r="N584" s="42"/>
    </row>
    <row r="585" spans="13:14">
      <c r="M585" s="43"/>
      <c r="N585" s="42"/>
    </row>
    <row r="586" spans="13:14">
      <c r="M586" s="43"/>
      <c r="N586" s="42"/>
    </row>
    <row r="587" spans="13:14">
      <c r="M587" s="43"/>
      <c r="N587" s="42"/>
    </row>
    <row r="588" spans="13:14">
      <c r="M588" s="43"/>
      <c r="N588" s="42"/>
    </row>
    <row r="589" spans="13:14">
      <c r="M589" s="43"/>
      <c r="N589" s="42"/>
    </row>
    <row r="590" spans="13:14">
      <c r="M590" s="43"/>
      <c r="N590" s="42"/>
    </row>
    <row r="591" spans="13:14">
      <c r="M591" s="43"/>
      <c r="N591" s="42"/>
    </row>
    <row r="592" spans="13:14">
      <c r="M592" s="43"/>
      <c r="N592" s="42"/>
    </row>
    <row r="593" spans="13:14">
      <c r="M593" s="43"/>
      <c r="N593" s="42"/>
    </row>
    <row r="594" spans="13:14">
      <c r="M594" s="43"/>
      <c r="N594" s="42"/>
    </row>
    <row r="595" spans="13:14">
      <c r="M595" s="43"/>
      <c r="N595" s="42"/>
    </row>
    <row r="596" spans="13:14">
      <c r="M596" s="43"/>
      <c r="N596" s="42"/>
    </row>
    <row r="597" spans="13:14">
      <c r="M597" s="43"/>
      <c r="N597" s="42"/>
    </row>
    <row r="598" spans="13:14">
      <c r="M598" s="43"/>
      <c r="N598" s="42"/>
    </row>
    <row r="599" spans="13:14">
      <c r="M599" s="43"/>
      <c r="N599" s="42"/>
    </row>
    <row r="600" spans="13:14">
      <c r="M600" s="43"/>
      <c r="N600" s="42"/>
    </row>
    <row r="601" spans="13:14">
      <c r="M601" s="43"/>
      <c r="N601" s="42"/>
    </row>
    <row r="602" spans="13:14">
      <c r="M602" s="43"/>
      <c r="N602" s="42"/>
    </row>
    <row r="603" spans="13:14">
      <c r="M603" s="43"/>
      <c r="N603" s="42"/>
    </row>
    <row r="604" spans="13:14">
      <c r="M604" s="43"/>
      <c r="N604" s="42"/>
    </row>
    <row r="605" spans="13:14">
      <c r="M605" s="43"/>
      <c r="N605" s="42"/>
    </row>
    <row r="606" spans="13:14">
      <c r="M606" s="43"/>
      <c r="N606" s="42"/>
    </row>
    <row r="607" spans="13:14">
      <c r="M607" s="43"/>
      <c r="N607" s="42"/>
    </row>
    <row r="608" spans="13:14">
      <c r="M608" s="43"/>
      <c r="N608" s="42"/>
    </row>
    <row r="609" spans="13:14">
      <c r="M609" s="43"/>
      <c r="N609" s="42"/>
    </row>
    <row r="610" spans="13:14">
      <c r="M610" s="43"/>
      <c r="N610" s="42"/>
    </row>
    <row r="611" spans="13:14">
      <c r="M611" s="43"/>
      <c r="N611" s="42"/>
    </row>
    <row r="612" spans="13:14">
      <c r="M612" s="43"/>
      <c r="N612" s="42"/>
    </row>
    <row r="613" spans="13:14">
      <c r="M613" s="43"/>
      <c r="N613" s="42"/>
    </row>
    <row r="614" spans="13:14">
      <c r="M614" s="43"/>
      <c r="N614" s="42"/>
    </row>
    <row r="615" spans="13:14">
      <c r="M615" s="43"/>
      <c r="N615" s="42"/>
    </row>
    <row r="616" spans="13:14">
      <c r="M616" s="43"/>
      <c r="N616" s="42"/>
    </row>
    <row r="617" spans="13:14">
      <c r="M617" s="43"/>
      <c r="N617" s="42"/>
    </row>
    <row r="618" spans="13:14">
      <c r="M618" s="43"/>
      <c r="N618" s="42"/>
    </row>
    <row r="619" spans="13:14">
      <c r="M619" s="43"/>
      <c r="N619" s="42"/>
    </row>
    <row r="620" spans="13:14">
      <c r="M620" s="43"/>
      <c r="N620" s="42"/>
    </row>
    <row r="621" spans="13:14">
      <c r="M621" s="43"/>
      <c r="N621" s="42"/>
    </row>
    <row r="622" spans="13:14">
      <c r="M622" s="43"/>
      <c r="N622" s="42"/>
    </row>
    <row r="623" spans="13:14">
      <c r="M623" s="43"/>
      <c r="N623" s="42"/>
    </row>
    <row r="624" spans="13:14">
      <c r="M624" s="43"/>
      <c r="N624" s="42"/>
    </row>
    <row r="625" spans="13:14">
      <c r="M625" s="43"/>
      <c r="N625" s="42"/>
    </row>
    <row r="626" spans="13:14">
      <c r="M626" s="43"/>
      <c r="N626" s="42"/>
    </row>
    <row r="627" spans="13:14">
      <c r="M627" s="43"/>
      <c r="N627" s="42"/>
    </row>
    <row r="628" spans="13:14">
      <c r="M628" s="43"/>
      <c r="N628" s="42"/>
    </row>
    <row r="629" spans="13:14">
      <c r="M629" s="43"/>
      <c r="N629" s="42"/>
    </row>
    <row r="630" spans="13:14">
      <c r="M630" s="43"/>
      <c r="N630" s="42"/>
    </row>
    <row r="631" spans="13:14">
      <c r="M631" s="43"/>
      <c r="N631" s="42"/>
    </row>
    <row r="632" spans="13:14">
      <c r="M632" s="43"/>
      <c r="N632" s="42"/>
    </row>
    <row r="633" spans="13:14">
      <c r="M633" s="43"/>
      <c r="N633" s="42"/>
    </row>
    <row r="634" spans="13:14">
      <c r="M634" s="43"/>
      <c r="N634" s="42"/>
    </row>
    <row r="635" spans="13:14">
      <c r="M635" s="43"/>
      <c r="N635" s="42"/>
    </row>
    <row r="636" spans="13:14">
      <c r="M636" s="43"/>
      <c r="N636" s="42"/>
    </row>
    <row r="637" spans="13:14">
      <c r="M637" s="43"/>
      <c r="N637" s="42"/>
    </row>
    <row r="638" spans="13:14">
      <c r="M638" s="43"/>
      <c r="N638" s="42"/>
    </row>
    <row r="639" spans="13:14">
      <c r="M639" s="43"/>
      <c r="N639" s="42"/>
    </row>
    <row r="640" spans="13:14">
      <c r="M640" s="43"/>
      <c r="N640" s="42"/>
    </row>
    <row r="641" spans="13:14">
      <c r="M641" s="43"/>
      <c r="N641" s="42"/>
    </row>
    <row r="642" spans="13:14">
      <c r="M642" s="43"/>
      <c r="N642" s="42"/>
    </row>
    <row r="643" spans="13:14">
      <c r="M643" s="43"/>
      <c r="N643" s="42"/>
    </row>
    <row r="644" spans="13:14">
      <c r="M644" s="43"/>
      <c r="N644" s="42"/>
    </row>
    <row r="645" spans="13:14">
      <c r="M645" s="43"/>
      <c r="N645" s="42"/>
    </row>
    <row r="646" spans="13:14">
      <c r="M646" s="43"/>
      <c r="N646" s="42"/>
    </row>
    <row r="647" spans="13:14">
      <c r="M647" s="43"/>
      <c r="N647" s="42"/>
    </row>
    <row r="648" spans="13:14">
      <c r="M648" s="43"/>
      <c r="N648" s="42"/>
    </row>
    <row r="649" spans="13:14">
      <c r="M649" s="43"/>
      <c r="N649" s="42"/>
    </row>
    <row r="650" spans="13:14">
      <c r="M650" s="43"/>
      <c r="N650" s="42"/>
    </row>
    <row r="651" spans="13:14">
      <c r="M651" s="43"/>
      <c r="N651" s="42"/>
    </row>
    <row r="652" spans="13:14">
      <c r="M652" s="43"/>
      <c r="N652" s="42"/>
    </row>
    <row r="653" spans="13:14">
      <c r="M653" s="43"/>
      <c r="N653" s="42"/>
    </row>
    <row r="654" spans="13:14">
      <c r="M654" s="43"/>
      <c r="N654" s="42"/>
    </row>
    <row r="655" spans="13:14">
      <c r="M655" s="43"/>
      <c r="N655" s="42"/>
    </row>
    <row r="656" spans="13:14">
      <c r="M656" s="43"/>
      <c r="N656" s="42"/>
    </row>
    <row r="657" spans="13:14">
      <c r="M657" s="43"/>
      <c r="N657" s="42"/>
    </row>
    <row r="658" spans="13:14">
      <c r="M658" s="43"/>
      <c r="N658" s="42"/>
    </row>
    <row r="659" spans="13:14">
      <c r="M659" s="43"/>
      <c r="N659" s="42"/>
    </row>
    <row r="660" spans="13:14">
      <c r="M660" s="43"/>
      <c r="N660" s="42"/>
    </row>
    <row r="661" spans="13:14">
      <c r="M661" s="43"/>
      <c r="N661" s="42"/>
    </row>
    <row r="662" spans="13:14">
      <c r="M662" s="43"/>
      <c r="N662" s="42"/>
    </row>
    <row r="663" spans="13:14">
      <c r="M663" s="43"/>
      <c r="N663" s="42"/>
    </row>
    <row r="664" spans="13:14">
      <c r="M664" s="43"/>
      <c r="N664" s="42"/>
    </row>
    <row r="665" spans="13:14">
      <c r="M665" s="43"/>
      <c r="N665" s="42"/>
    </row>
    <row r="666" spans="13:14">
      <c r="M666" s="43"/>
      <c r="N666" s="42"/>
    </row>
    <row r="667" spans="13:14">
      <c r="M667" s="43"/>
      <c r="N667" s="42"/>
    </row>
    <row r="668" spans="13:14">
      <c r="M668" s="43"/>
      <c r="N668" s="42"/>
    </row>
    <row r="669" spans="13:14">
      <c r="M669" s="43"/>
      <c r="N669" s="42"/>
    </row>
    <row r="670" spans="13:14">
      <c r="M670" s="43"/>
      <c r="N670" s="42"/>
    </row>
    <row r="671" spans="13:14">
      <c r="M671" s="43"/>
      <c r="N671" s="42"/>
    </row>
    <row r="672" spans="13:14">
      <c r="M672" s="43"/>
      <c r="N672" s="42"/>
    </row>
    <row r="673" spans="13:14">
      <c r="M673" s="43"/>
      <c r="N673" s="42"/>
    </row>
    <row r="674" spans="13:14">
      <c r="M674" s="43"/>
      <c r="N674" s="42"/>
    </row>
    <row r="675" spans="13:14">
      <c r="M675" s="43"/>
      <c r="N675" s="42"/>
    </row>
    <row r="676" spans="13:14">
      <c r="M676" s="43"/>
      <c r="N676" s="42"/>
    </row>
    <row r="677" spans="13:14">
      <c r="M677" s="43"/>
      <c r="N677" s="42"/>
    </row>
    <row r="678" spans="13:14">
      <c r="M678" s="43"/>
      <c r="N678" s="42"/>
    </row>
    <row r="679" spans="13:14">
      <c r="M679" s="43"/>
      <c r="N679" s="42"/>
    </row>
    <row r="680" spans="13:14">
      <c r="M680" s="43"/>
      <c r="N680" s="42"/>
    </row>
    <row r="681" spans="13:14">
      <c r="M681" s="43"/>
      <c r="N681" s="42"/>
    </row>
    <row r="682" spans="13:14">
      <c r="M682" s="43"/>
      <c r="N682" s="42"/>
    </row>
    <row r="683" spans="13:14">
      <c r="M683" s="43"/>
      <c r="N683" s="42"/>
    </row>
    <row r="684" spans="13:14">
      <c r="M684" s="43"/>
      <c r="N684" s="42"/>
    </row>
    <row r="685" spans="13:14">
      <c r="M685" s="43"/>
      <c r="N685" s="42"/>
    </row>
    <row r="686" spans="13:14">
      <c r="M686" s="43"/>
      <c r="N686" s="42"/>
    </row>
    <row r="687" spans="13:14">
      <c r="M687" s="43"/>
      <c r="N687" s="42"/>
    </row>
    <row r="688" spans="13:14">
      <c r="M688" s="43"/>
      <c r="N688" s="42"/>
    </row>
    <row r="689" spans="13:14">
      <c r="M689" s="43"/>
      <c r="N689" s="42"/>
    </row>
    <row r="690" spans="13:14">
      <c r="M690" s="43"/>
      <c r="N690" s="42"/>
    </row>
    <row r="691" spans="13:14">
      <c r="M691" s="43"/>
      <c r="N691" s="42"/>
    </row>
    <row r="692" spans="13:14">
      <c r="M692" s="43"/>
      <c r="N692" s="42"/>
    </row>
    <row r="693" spans="13:14">
      <c r="M693" s="43"/>
      <c r="N693" s="42"/>
    </row>
    <row r="694" spans="13:14">
      <c r="M694" s="43"/>
      <c r="N694" s="42"/>
    </row>
    <row r="695" spans="13:14">
      <c r="M695" s="43"/>
      <c r="N695" s="42"/>
    </row>
    <row r="696" spans="13:14">
      <c r="M696" s="43"/>
      <c r="N696" s="42"/>
    </row>
    <row r="697" spans="13:14">
      <c r="M697" s="43"/>
      <c r="N697" s="42"/>
    </row>
    <row r="698" spans="13:14">
      <c r="M698" s="43"/>
      <c r="N698" s="42"/>
    </row>
    <row r="699" spans="13:14">
      <c r="M699" s="43"/>
      <c r="N699" s="42"/>
    </row>
    <row r="700" spans="13:14">
      <c r="M700" s="43"/>
      <c r="N700" s="42"/>
    </row>
    <row r="701" spans="13:14">
      <c r="M701" s="43"/>
      <c r="N701" s="42"/>
    </row>
    <row r="702" spans="13:14">
      <c r="M702" s="43"/>
      <c r="N702" s="42"/>
    </row>
    <row r="703" spans="13:14">
      <c r="M703" s="43"/>
      <c r="N703" s="42"/>
    </row>
    <row r="704" spans="13:14">
      <c r="M704" s="43"/>
      <c r="N704" s="42"/>
    </row>
    <row r="705" spans="13:14">
      <c r="M705" s="43"/>
      <c r="N705" s="42"/>
    </row>
    <row r="706" spans="13:14">
      <c r="M706" s="43"/>
      <c r="N706" s="42"/>
    </row>
    <row r="707" spans="13:14">
      <c r="M707" s="43"/>
      <c r="N707" s="42"/>
    </row>
    <row r="708" spans="13:14">
      <c r="M708" s="43"/>
      <c r="N708" s="42"/>
    </row>
    <row r="709" spans="13:14">
      <c r="M709" s="43"/>
      <c r="N709" s="42"/>
    </row>
    <row r="710" spans="13:14">
      <c r="M710" s="43"/>
      <c r="N710" s="42"/>
    </row>
    <row r="711" spans="13:14">
      <c r="M711" s="43"/>
      <c r="N711" s="42"/>
    </row>
    <row r="712" spans="13:14">
      <c r="M712" s="43"/>
      <c r="N712" s="42"/>
    </row>
    <row r="713" spans="13:14">
      <c r="M713" s="43"/>
      <c r="N713" s="42"/>
    </row>
    <row r="714" spans="13:14">
      <c r="M714" s="43"/>
      <c r="N714" s="42"/>
    </row>
    <row r="715" spans="13:14">
      <c r="M715" s="43"/>
      <c r="N715" s="42"/>
    </row>
    <row r="716" spans="13:14">
      <c r="M716" s="43"/>
      <c r="N716" s="42"/>
    </row>
    <row r="717" spans="13:14">
      <c r="M717" s="43"/>
      <c r="N717" s="42"/>
    </row>
    <row r="718" spans="13:14">
      <c r="M718" s="43"/>
      <c r="N718" s="42"/>
    </row>
    <row r="719" spans="13:14">
      <c r="M719" s="43"/>
      <c r="N719" s="42"/>
    </row>
    <row r="720" spans="13:14">
      <c r="M720" s="43"/>
      <c r="N720" s="42"/>
    </row>
    <row r="721" spans="13:14">
      <c r="M721" s="43"/>
      <c r="N721" s="42"/>
    </row>
    <row r="722" spans="13:14">
      <c r="M722" s="43"/>
      <c r="N722" s="42"/>
    </row>
    <row r="723" spans="13:14">
      <c r="M723" s="43"/>
      <c r="N723" s="42"/>
    </row>
    <row r="724" spans="13:14">
      <c r="M724" s="43"/>
      <c r="N724" s="42"/>
    </row>
    <row r="725" spans="13:14">
      <c r="M725" s="43"/>
      <c r="N725" s="42"/>
    </row>
    <row r="726" spans="13:14">
      <c r="M726" s="43"/>
      <c r="N726" s="42"/>
    </row>
    <row r="727" spans="13:14">
      <c r="M727" s="43"/>
      <c r="N727" s="42"/>
    </row>
    <row r="728" spans="13:14">
      <c r="M728" s="43"/>
      <c r="N728" s="42"/>
    </row>
    <row r="729" spans="13:14">
      <c r="M729" s="43"/>
      <c r="N729" s="42"/>
    </row>
    <row r="730" spans="13:14">
      <c r="M730" s="43"/>
      <c r="N730" s="42"/>
    </row>
    <row r="731" spans="13:14">
      <c r="M731" s="43"/>
      <c r="N731" s="42"/>
    </row>
    <row r="732" spans="13:14">
      <c r="M732" s="43"/>
      <c r="N732" s="42"/>
    </row>
    <row r="733" spans="13:14">
      <c r="M733" s="43"/>
      <c r="N733" s="42"/>
    </row>
    <row r="734" spans="13:14">
      <c r="M734" s="43"/>
      <c r="N734" s="42"/>
    </row>
    <row r="735" spans="13:14">
      <c r="M735" s="43"/>
      <c r="N735" s="42"/>
    </row>
    <row r="736" spans="13:14">
      <c r="M736" s="43"/>
      <c r="N736" s="42"/>
    </row>
    <row r="737" spans="13:14">
      <c r="M737" s="43"/>
      <c r="N737" s="42"/>
    </row>
    <row r="738" spans="13:14">
      <c r="M738" s="43"/>
      <c r="N738" s="42"/>
    </row>
    <row r="739" spans="13:14">
      <c r="M739" s="43"/>
      <c r="N739" s="42"/>
    </row>
    <row r="740" spans="13:14">
      <c r="M740" s="43"/>
      <c r="N740" s="42"/>
    </row>
    <row r="741" spans="13:14">
      <c r="M741" s="43"/>
      <c r="N741" s="42"/>
    </row>
    <row r="742" spans="13:14">
      <c r="M742" s="43"/>
      <c r="N742" s="42"/>
    </row>
    <row r="743" spans="13:14">
      <c r="M743" s="43"/>
      <c r="N743" s="42"/>
    </row>
    <row r="744" spans="13:14">
      <c r="M744" s="43"/>
      <c r="N744" s="42"/>
    </row>
    <row r="745" spans="13:14">
      <c r="M745" s="43"/>
      <c r="N745" s="42"/>
    </row>
    <row r="746" spans="13:14">
      <c r="M746" s="43"/>
      <c r="N746" s="42"/>
    </row>
    <row r="747" spans="13:14">
      <c r="M747" s="43"/>
      <c r="N747" s="42"/>
    </row>
    <row r="748" spans="13:14">
      <c r="M748" s="43"/>
      <c r="N748" s="42"/>
    </row>
    <row r="749" spans="13:14">
      <c r="M749" s="43"/>
      <c r="N749" s="42"/>
    </row>
    <row r="750" spans="13:14">
      <c r="M750" s="43"/>
      <c r="N750" s="42"/>
    </row>
    <row r="751" spans="13:14">
      <c r="M751" s="43"/>
      <c r="N751" s="42"/>
    </row>
    <row r="752" spans="13:14">
      <c r="M752" s="43"/>
      <c r="N752" s="42"/>
    </row>
    <row r="753" spans="13:14">
      <c r="M753" s="43"/>
      <c r="N753" s="42"/>
    </row>
    <row r="754" spans="13:14">
      <c r="M754" s="43"/>
      <c r="N754" s="42"/>
    </row>
    <row r="755" spans="13:14">
      <c r="M755" s="43"/>
      <c r="N755" s="42"/>
    </row>
    <row r="756" spans="13:14">
      <c r="M756" s="43"/>
      <c r="N756" s="42"/>
    </row>
    <row r="757" spans="13:14">
      <c r="M757" s="43"/>
      <c r="N757" s="42"/>
    </row>
    <row r="758" spans="13:14">
      <c r="M758" s="43"/>
      <c r="N758" s="42"/>
    </row>
    <row r="759" spans="13:14">
      <c r="M759" s="43"/>
      <c r="N759" s="42"/>
    </row>
    <row r="760" spans="13:14">
      <c r="M760" s="43"/>
      <c r="N760" s="42"/>
    </row>
    <row r="761" spans="13:14">
      <c r="M761" s="43"/>
      <c r="N761" s="42"/>
    </row>
    <row r="762" spans="13:14">
      <c r="M762" s="43"/>
      <c r="N762" s="42"/>
    </row>
    <row r="763" spans="13:14">
      <c r="M763" s="43"/>
      <c r="N763" s="42"/>
    </row>
    <row r="764" spans="13:14">
      <c r="M764" s="43"/>
      <c r="N764" s="42"/>
    </row>
    <row r="765" spans="13:14">
      <c r="M765" s="43"/>
      <c r="N765" s="42"/>
    </row>
    <row r="766" spans="13:14">
      <c r="M766" s="43"/>
      <c r="N766" s="42"/>
    </row>
    <row r="767" spans="13:14">
      <c r="M767" s="43"/>
      <c r="N767" s="42"/>
    </row>
    <row r="768" spans="13:14">
      <c r="M768" s="43"/>
      <c r="N768" s="42"/>
    </row>
    <row r="769" spans="13:14">
      <c r="M769" s="43"/>
      <c r="N769" s="42"/>
    </row>
    <row r="770" spans="13:14">
      <c r="M770" s="43"/>
      <c r="N770" s="42"/>
    </row>
    <row r="771" spans="13:14">
      <c r="M771" s="43"/>
      <c r="N771" s="42"/>
    </row>
    <row r="772" spans="13:14">
      <c r="M772" s="43"/>
      <c r="N772" s="42"/>
    </row>
    <row r="773" spans="13:14">
      <c r="M773" s="43"/>
      <c r="N773" s="42"/>
    </row>
    <row r="774" spans="13:14">
      <c r="M774" s="43"/>
      <c r="N774" s="42"/>
    </row>
    <row r="775" spans="13:14">
      <c r="M775" s="43"/>
      <c r="N775" s="42"/>
    </row>
    <row r="776" spans="13:14">
      <c r="M776" s="43"/>
      <c r="N776" s="42"/>
    </row>
    <row r="777" spans="13:14">
      <c r="M777" s="43"/>
      <c r="N777" s="42"/>
    </row>
    <row r="778" spans="13:14">
      <c r="M778" s="43"/>
      <c r="N778" s="42"/>
    </row>
    <row r="779" spans="13:14">
      <c r="M779" s="43"/>
      <c r="N779" s="42"/>
    </row>
    <row r="780" spans="13:14">
      <c r="M780" s="43"/>
      <c r="N780" s="42"/>
    </row>
    <row r="781" spans="13:14">
      <c r="M781" s="43"/>
      <c r="N781" s="42"/>
    </row>
    <row r="782" spans="13:14">
      <c r="M782" s="43"/>
      <c r="N782" s="42"/>
    </row>
    <row r="783" spans="13:14">
      <c r="M783" s="43"/>
      <c r="N783" s="42"/>
    </row>
    <row r="784" spans="13:14">
      <c r="M784" s="43"/>
      <c r="N784" s="42"/>
    </row>
    <row r="785" spans="13:14">
      <c r="M785" s="43"/>
      <c r="N785" s="42"/>
    </row>
    <row r="786" spans="13:14">
      <c r="M786" s="43"/>
      <c r="N786" s="42"/>
    </row>
    <row r="787" spans="13:14">
      <c r="M787" s="43"/>
      <c r="N787" s="42"/>
    </row>
    <row r="788" spans="13:14">
      <c r="M788" s="43"/>
      <c r="N788" s="42"/>
    </row>
    <row r="789" spans="13:14">
      <c r="M789" s="43"/>
      <c r="N789" s="42"/>
    </row>
    <row r="790" spans="13:14">
      <c r="M790" s="43"/>
      <c r="N790" s="42"/>
    </row>
    <row r="791" spans="13:14">
      <c r="M791" s="43"/>
      <c r="N791" s="42"/>
    </row>
    <row r="792" spans="13:14">
      <c r="M792" s="43"/>
      <c r="N792" s="42"/>
    </row>
    <row r="793" spans="13:14">
      <c r="M793" s="43"/>
      <c r="N793" s="42"/>
    </row>
    <row r="794" spans="13:14">
      <c r="M794" s="43"/>
      <c r="N794" s="42"/>
    </row>
    <row r="795" spans="13:14">
      <c r="M795" s="43"/>
      <c r="N795" s="42"/>
    </row>
    <row r="796" spans="13:14">
      <c r="M796" s="43"/>
      <c r="N796" s="42"/>
    </row>
    <row r="797" spans="13:14">
      <c r="M797" s="43"/>
      <c r="N797" s="42"/>
    </row>
    <row r="798" spans="13:14">
      <c r="M798" s="43"/>
      <c r="N798" s="42"/>
    </row>
    <row r="799" spans="13:14">
      <c r="M799" s="43"/>
      <c r="N799" s="42"/>
    </row>
    <row r="800" spans="13:14">
      <c r="M800" s="43"/>
      <c r="N800" s="42"/>
    </row>
    <row r="801" spans="13:14">
      <c r="M801" s="43"/>
      <c r="N801" s="42"/>
    </row>
    <row r="802" spans="13:14">
      <c r="M802" s="43"/>
      <c r="N802" s="42"/>
    </row>
    <row r="803" spans="13:14">
      <c r="M803" s="43"/>
      <c r="N803" s="42"/>
    </row>
    <row r="804" spans="13:14">
      <c r="M804" s="43"/>
      <c r="N804" s="42"/>
    </row>
    <row r="805" spans="13:14">
      <c r="M805" s="43"/>
      <c r="N805" s="42"/>
    </row>
    <row r="806" spans="13:14">
      <c r="M806" s="43"/>
      <c r="N806" s="42"/>
    </row>
    <row r="807" spans="13:14">
      <c r="M807" s="43"/>
      <c r="N807" s="42"/>
    </row>
    <row r="808" spans="13:14">
      <c r="M808" s="43"/>
      <c r="N808" s="42"/>
    </row>
    <row r="809" spans="13:14">
      <c r="M809" s="43"/>
      <c r="N809" s="42"/>
    </row>
    <row r="810" spans="13:14">
      <c r="M810" s="43"/>
      <c r="N810" s="42"/>
    </row>
    <row r="811" spans="13:14">
      <c r="M811" s="43"/>
      <c r="N811" s="42"/>
    </row>
    <row r="812" spans="13:14">
      <c r="M812" s="43"/>
      <c r="N812" s="42"/>
    </row>
    <row r="813" spans="13:14">
      <c r="M813" s="43"/>
      <c r="N813" s="42"/>
    </row>
    <row r="814" spans="13:14">
      <c r="M814" s="43"/>
      <c r="N814" s="42"/>
    </row>
    <row r="815" spans="13:14">
      <c r="M815" s="43"/>
      <c r="N815" s="42"/>
    </row>
    <row r="816" spans="13:14">
      <c r="M816" s="43"/>
      <c r="N816" s="42"/>
    </row>
    <row r="817" spans="13:14">
      <c r="M817" s="43"/>
      <c r="N817" s="42"/>
    </row>
    <row r="818" spans="13:14">
      <c r="M818" s="43"/>
      <c r="N818" s="42"/>
    </row>
    <row r="819" spans="13:14">
      <c r="M819" s="43"/>
      <c r="N819" s="42"/>
    </row>
    <row r="820" spans="13:14">
      <c r="M820" s="43"/>
      <c r="N820" s="42"/>
    </row>
    <row r="821" spans="13:14">
      <c r="M821" s="43"/>
      <c r="N821" s="42"/>
    </row>
    <row r="822" spans="13:14">
      <c r="M822" s="43"/>
      <c r="N822" s="42"/>
    </row>
    <row r="823" spans="13:14">
      <c r="M823" s="43"/>
      <c r="N823" s="42"/>
    </row>
    <row r="824" spans="13:14">
      <c r="M824" s="43"/>
      <c r="N824" s="42"/>
    </row>
    <row r="825" spans="13:14">
      <c r="M825" s="43"/>
      <c r="N825" s="42"/>
    </row>
    <row r="826" spans="13:14">
      <c r="M826" s="43"/>
      <c r="N826" s="42"/>
    </row>
    <row r="827" spans="13:14">
      <c r="M827" s="43"/>
      <c r="N827" s="42"/>
    </row>
    <row r="828" spans="13:14">
      <c r="M828" s="43"/>
      <c r="N828" s="42"/>
    </row>
    <row r="829" spans="13:14">
      <c r="M829" s="43"/>
      <c r="N829" s="42"/>
    </row>
    <row r="830" spans="13:14">
      <c r="M830" s="43"/>
      <c r="N830" s="42"/>
    </row>
    <row r="831" spans="13:14">
      <c r="M831" s="43"/>
      <c r="N831" s="42"/>
    </row>
    <row r="832" spans="13:14">
      <c r="M832" s="43"/>
      <c r="N832" s="42"/>
    </row>
    <row r="833" spans="13:14">
      <c r="M833" s="43"/>
      <c r="N833" s="42"/>
    </row>
    <row r="834" spans="13:14">
      <c r="M834" s="43"/>
      <c r="N834" s="42"/>
    </row>
    <row r="835" spans="13:14">
      <c r="M835" s="43"/>
      <c r="N835" s="42"/>
    </row>
    <row r="836" spans="13:14">
      <c r="M836" s="43"/>
      <c r="N836" s="42"/>
    </row>
    <row r="837" spans="13:14">
      <c r="M837" s="43"/>
      <c r="N837" s="42"/>
    </row>
    <row r="838" spans="13:14">
      <c r="M838" s="43"/>
      <c r="N838" s="42"/>
    </row>
    <row r="839" spans="13:14">
      <c r="M839" s="43"/>
      <c r="N839" s="42"/>
    </row>
    <row r="840" spans="13:14">
      <c r="M840" s="43"/>
      <c r="N840" s="42"/>
    </row>
    <row r="841" spans="13:14">
      <c r="M841" s="43"/>
      <c r="N841" s="42"/>
    </row>
    <row r="842" spans="13:14">
      <c r="M842" s="43"/>
      <c r="N842" s="42"/>
    </row>
    <row r="843" spans="13:14">
      <c r="M843" s="43"/>
      <c r="N843" s="42"/>
    </row>
    <row r="844" spans="13:14">
      <c r="M844" s="43"/>
      <c r="N844" s="42"/>
    </row>
    <row r="845" spans="13:14">
      <c r="M845" s="43"/>
      <c r="N845" s="42"/>
    </row>
    <row r="846" spans="13:14">
      <c r="M846" s="43"/>
      <c r="N846" s="42"/>
    </row>
    <row r="847" spans="13:14">
      <c r="M847" s="43"/>
      <c r="N847" s="42"/>
    </row>
    <row r="848" spans="13:14">
      <c r="M848" s="43"/>
      <c r="N848" s="42"/>
    </row>
    <row r="849" spans="13:14">
      <c r="M849" s="43"/>
      <c r="N849" s="42"/>
    </row>
    <row r="850" spans="13:14">
      <c r="M850" s="43"/>
      <c r="N850" s="42"/>
    </row>
    <row r="851" spans="13:14">
      <c r="M851" s="43"/>
      <c r="N851" s="42"/>
    </row>
    <row r="852" spans="13:14">
      <c r="M852" s="43"/>
      <c r="N852" s="42"/>
    </row>
    <row r="853" spans="13:14">
      <c r="M853" s="43"/>
      <c r="N853" s="42"/>
    </row>
    <row r="854" spans="13:14">
      <c r="M854" s="43"/>
      <c r="N854" s="42"/>
    </row>
    <row r="855" spans="13:14">
      <c r="M855" s="43"/>
      <c r="N855" s="42"/>
    </row>
    <row r="856" spans="13:14">
      <c r="M856" s="43"/>
      <c r="N856" s="42"/>
    </row>
    <row r="857" spans="13:14">
      <c r="M857" s="43"/>
      <c r="N857" s="42"/>
    </row>
    <row r="858" spans="13:14">
      <c r="M858" s="43"/>
      <c r="N858" s="42"/>
    </row>
    <row r="859" spans="13:14">
      <c r="M859" s="43"/>
      <c r="N859" s="42"/>
    </row>
    <row r="860" spans="13:14">
      <c r="M860" s="43"/>
      <c r="N860" s="42"/>
    </row>
    <row r="861" spans="13:14">
      <c r="M861" s="43"/>
      <c r="N861" s="42"/>
    </row>
    <row r="862" spans="13:14">
      <c r="M862" s="43"/>
      <c r="N862" s="42"/>
    </row>
    <row r="863" spans="13:14">
      <c r="M863" s="43"/>
      <c r="N863" s="42"/>
    </row>
    <row r="864" spans="13:14">
      <c r="M864" s="43"/>
      <c r="N864" s="42"/>
    </row>
    <row r="865" spans="13:14">
      <c r="M865" s="43"/>
      <c r="N865" s="42"/>
    </row>
    <row r="866" spans="13:14">
      <c r="M866" s="43"/>
      <c r="N866" s="42"/>
    </row>
    <row r="867" spans="13:14">
      <c r="M867" s="43"/>
      <c r="N867" s="42"/>
    </row>
    <row r="868" spans="13:14">
      <c r="M868" s="43"/>
      <c r="N868" s="42"/>
    </row>
    <row r="869" spans="13:14">
      <c r="M869" s="43"/>
      <c r="N869" s="42"/>
    </row>
    <row r="870" spans="13:14">
      <c r="M870" s="43"/>
      <c r="N870" s="42"/>
    </row>
    <row r="871" spans="13:14">
      <c r="M871" s="43"/>
      <c r="N871" s="42"/>
    </row>
    <row r="872" spans="13:14">
      <c r="M872" s="43"/>
      <c r="N872" s="42"/>
    </row>
    <row r="873" spans="13:14">
      <c r="M873" s="43"/>
      <c r="N873" s="42"/>
    </row>
    <row r="874" spans="13:14">
      <c r="M874" s="43"/>
      <c r="N874" s="42"/>
    </row>
    <row r="875" spans="13:14">
      <c r="M875" s="43"/>
      <c r="N875" s="42"/>
    </row>
    <row r="876" spans="13:14">
      <c r="M876" s="43"/>
      <c r="N876" s="42"/>
    </row>
    <row r="877" spans="13:14">
      <c r="M877" s="43"/>
      <c r="N877" s="42"/>
    </row>
    <row r="878" spans="13:14">
      <c r="M878" s="43"/>
      <c r="N878" s="42"/>
    </row>
    <row r="879" spans="13:14">
      <c r="M879" s="43"/>
      <c r="N879" s="42"/>
    </row>
    <row r="880" spans="13:14">
      <c r="M880" s="43"/>
      <c r="N880" s="42"/>
    </row>
    <row r="881" spans="13:14">
      <c r="M881" s="43"/>
      <c r="N881" s="42"/>
    </row>
    <row r="882" spans="13:14">
      <c r="M882" s="43"/>
      <c r="N882" s="42"/>
    </row>
    <row r="883" spans="13:14">
      <c r="N883" s="42"/>
    </row>
    <row r="884" spans="13:14">
      <c r="N884" s="42"/>
    </row>
    <row r="885" spans="13:14">
      <c r="N885" s="42"/>
    </row>
    <row r="886" spans="13:14">
      <c r="N886" s="42"/>
    </row>
    <row r="887" spans="13:14">
      <c r="N887" s="42"/>
    </row>
    <row r="888" spans="13:14">
      <c r="N888" s="42"/>
    </row>
    <row r="889" spans="13:14">
      <c r="N889" s="42"/>
    </row>
    <row r="890" spans="13:14">
      <c r="N890" s="42"/>
    </row>
    <row r="891" spans="13:14">
      <c r="N891" s="42"/>
    </row>
    <row r="892" spans="13:14">
      <c r="N892" s="42"/>
    </row>
    <row r="893" spans="13:14">
      <c r="N893" s="42"/>
    </row>
    <row r="894" spans="13:14">
      <c r="N894" s="42"/>
    </row>
    <row r="895" spans="13:14">
      <c r="N895" s="42"/>
    </row>
    <row r="896" spans="13:14">
      <c r="N896" s="42"/>
    </row>
    <row r="897" spans="14:14">
      <c r="N897" s="42"/>
    </row>
    <row r="898" spans="14:14">
      <c r="N898" s="42"/>
    </row>
    <row r="899" spans="14:14">
      <c r="N899" s="42"/>
    </row>
    <row r="900" spans="14:14">
      <c r="N900" s="42"/>
    </row>
    <row r="901" spans="14:14">
      <c r="N901" s="42"/>
    </row>
    <row r="902" spans="14:14">
      <c r="N902" s="42"/>
    </row>
    <row r="903" spans="14:14">
      <c r="N903" s="42"/>
    </row>
    <row r="904" spans="14:14">
      <c r="N904" s="42"/>
    </row>
    <row r="905" spans="14:14">
      <c r="N905" s="42"/>
    </row>
    <row r="906" spans="14:14">
      <c r="N906" s="42"/>
    </row>
    <row r="907" spans="14:14">
      <c r="N907" s="42"/>
    </row>
    <row r="908" spans="14:14">
      <c r="N908" s="42"/>
    </row>
    <row r="909" spans="14:14">
      <c r="N909" s="42"/>
    </row>
    <row r="910" spans="14:14">
      <c r="N910" s="42"/>
    </row>
    <row r="911" spans="14:14">
      <c r="N911" s="42"/>
    </row>
    <row r="912" spans="14:14">
      <c r="N912" s="42"/>
    </row>
    <row r="913" spans="14:14">
      <c r="N913" s="42"/>
    </row>
    <row r="914" spans="14:14">
      <c r="N914" s="42"/>
    </row>
    <row r="915" spans="14:14">
      <c r="N915" s="42"/>
    </row>
    <row r="916" spans="14:14">
      <c r="N916" s="42"/>
    </row>
    <row r="917" spans="14:14">
      <c r="N917" s="42"/>
    </row>
    <row r="918" spans="14:14">
      <c r="N918" s="42"/>
    </row>
    <row r="919" spans="14:14">
      <c r="N919" s="42"/>
    </row>
    <row r="920" spans="14:14">
      <c r="N920" s="42"/>
    </row>
    <row r="921" spans="14:14">
      <c r="N921" s="42"/>
    </row>
    <row r="922" spans="14:14">
      <c r="N922" s="42"/>
    </row>
    <row r="923" spans="14:14">
      <c r="N923" s="42"/>
    </row>
    <row r="924" spans="14:14">
      <c r="N924" s="42"/>
    </row>
    <row r="925" spans="14:14">
      <c r="N925" s="42"/>
    </row>
    <row r="926" spans="14:14">
      <c r="N926" s="42"/>
    </row>
    <row r="927" spans="14:14">
      <c r="N927" s="42"/>
    </row>
    <row r="928" spans="14:14">
      <c r="N928" s="42"/>
    </row>
    <row r="929" spans="14:14">
      <c r="N929" s="42"/>
    </row>
    <row r="930" spans="14:14">
      <c r="N930" s="42"/>
    </row>
    <row r="931" spans="14:14">
      <c r="N931" s="42"/>
    </row>
    <row r="932" spans="14:14">
      <c r="N932" s="42"/>
    </row>
    <row r="933" spans="14:14">
      <c r="N933" s="42"/>
    </row>
    <row r="934" spans="14:14">
      <c r="N934" s="42"/>
    </row>
    <row r="935" spans="14:14">
      <c r="N935" s="42"/>
    </row>
    <row r="936" spans="14:14">
      <c r="N936" s="42"/>
    </row>
    <row r="937" spans="14:14">
      <c r="N937" s="42"/>
    </row>
    <row r="938" spans="14:14">
      <c r="N938" s="42"/>
    </row>
    <row r="939" spans="14:14">
      <c r="N939" s="42"/>
    </row>
    <row r="940" spans="14:14">
      <c r="N940" s="42"/>
    </row>
    <row r="941" spans="14:14">
      <c r="N941" s="42"/>
    </row>
    <row r="942" spans="14:14">
      <c r="N942" s="42"/>
    </row>
    <row r="943" spans="14:14">
      <c r="N943" s="42"/>
    </row>
    <row r="944" spans="14:14">
      <c r="N944" s="42"/>
    </row>
    <row r="945" spans="14:14">
      <c r="N945" s="42"/>
    </row>
    <row r="946" spans="14:14">
      <c r="N946" s="42"/>
    </row>
    <row r="947" spans="14:14">
      <c r="N947" s="42"/>
    </row>
    <row r="948" spans="14:14">
      <c r="N948" s="42"/>
    </row>
    <row r="949" spans="14:14">
      <c r="N949" s="42"/>
    </row>
    <row r="950" spans="14:14">
      <c r="N950" s="42"/>
    </row>
    <row r="951" spans="14:14">
      <c r="N951" s="42"/>
    </row>
    <row r="952" spans="14:14">
      <c r="N952" s="42"/>
    </row>
    <row r="953" spans="14:14">
      <c r="N953" s="42"/>
    </row>
    <row r="954" spans="14:14">
      <c r="N954" s="42"/>
    </row>
    <row r="955" spans="14:14">
      <c r="N955" s="42"/>
    </row>
    <row r="956" spans="14:14">
      <c r="N956" s="42"/>
    </row>
    <row r="957" spans="14:14">
      <c r="N957" s="42"/>
    </row>
    <row r="958" spans="14:14">
      <c r="N958" s="42"/>
    </row>
    <row r="959" spans="14:14">
      <c r="N959" s="42"/>
    </row>
    <row r="960" spans="14:14">
      <c r="N960" s="42"/>
    </row>
    <row r="961" spans="14:14">
      <c r="N961" s="42"/>
    </row>
    <row r="962" spans="14:14">
      <c r="N962" s="42"/>
    </row>
    <row r="963" spans="14:14">
      <c r="N963" s="42"/>
    </row>
    <row r="964" spans="14:14">
      <c r="N964" s="42"/>
    </row>
    <row r="965" spans="14:14">
      <c r="N965" s="42"/>
    </row>
    <row r="966" spans="14:14">
      <c r="N966" s="42"/>
    </row>
    <row r="967" spans="14:14">
      <c r="N967" s="42"/>
    </row>
    <row r="968" spans="14:14">
      <c r="N968" s="42"/>
    </row>
    <row r="969" spans="14:14">
      <c r="N969" s="42"/>
    </row>
    <row r="970" spans="14:14">
      <c r="N970" s="42"/>
    </row>
    <row r="971" spans="14:14">
      <c r="N971" s="42"/>
    </row>
    <row r="972" spans="14:14">
      <c r="N972" s="42"/>
    </row>
    <row r="973" spans="14:14">
      <c r="N973" s="42"/>
    </row>
    <row r="974" spans="14:14">
      <c r="N974" s="42"/>
    </row>
    <row r="975" spans="14:14">
      <c r="N975" s="42"/>
    </row>
    <row r="976" spans="14:14">
      <c r="N976" s="42"/>
    </row>
    <row r="977" spans="14:14">
      <c r="N977" s="42"/>
    </row>
    <row r="978" spans="14:14">
      <c r="N978" s="42"/>
    </row>
    <row r="979" spans="14:14">
      <c r="N979" s="42"/>
    </row>
    <row r="980" spans="14:14">
      <c r="N980" s="42"/>
    </row>
    <row r="981" spans="14:14">
      <c r="N981" s="42"/>
    </row>
    <row r="982" spans="14:14">
      <c r="N982" s="42"/>
    </row>
    <row r="983" spans="14:14">
      <c r="N983" s="42"/>
    </row>
    <row r="984" spans="14:14">
      <c r="N984" s="42"/>
    </row>
    <row r="985" spans="14:14">
      <c r="N985" s="42"/>
    </row>
    <row r="986" spans="14:14">
      <c r="N986" s="42"/>
    </row>
    <row r="987" spans="14:14">
      <c r="N987" s="42"/>
    </row>
    <row r="988" spans="14:14">
      <c r="N988" s="42"/>
    </row>
    <row r="989" spans="14:14">
      <c r="N989" s="42"/>
    </row>
    <row r="990" spans="14:14">
      <c r="N990" s="42"/>
    </row>
    <row r="991" spans="14:14">
      <c r="N991" s="42"/>
    </row>
    <row r="992" spans="14:14">
      <c r="N992" s="42"/>
    </row>
    <row r="993" spans="14:14">
      <c r="N993" s="42"/>
    </row>
    <row r="994" spans="14:14">
      <c r="N994" s="42"/>
    </row>
    <row r="995" spans="14:14">
      <c r="N995" s="42"/>
    </row>
    <row r="996" spans="14:14">
      <c r="N996" s="42"/>
    </row>
    <row r="997" spans="14:14">
      <c r="N997" s="42"/>
    </row>
    <row r="998" spans="14:14">
      <c r="N998" s="42"/>
    </row>
    <row r="999" spans="14:14">
      <c r="N999" s="42"/>
    </row>
    <row r="1000" spans="14:14">
      <c r="N1000" s="42"/>
    </row>
    <row r="1001" spans="14:14">
      <c r="N1001" s="42"/>
    </row>
    <row r="1002" spans="14:14">
      <c r="N1002" s="42"/>
    </row>
    <row r="1003" spans="14:14">
      <c r="N1003" s="42"/>
    </row>
    <row r="1004" spans="14:14">
      <c r="N1004" s="42"/>
    </row>
    <row r="1005" spans="14:14">
      <c r="N1005" s="42"/>
    </row>
    <row r="1006" spans="14:14">
      <c r="N1006" s="42"/>
    </row>
    <row r="1007" spans="14:14">
      <c r="N1007" s="42"/>
    </row>
    <row r="1008" spans="14:14">
      <c r="N1008" s="42"/>
    </row>
    <row r="1009" spans="14:14">
      <c r="N1009" s="42"/>
    </row>
    <row r="1010" spans="14:14">
      <c r="N1010" s="42"/>
    </row>
    <row r="1011" spans="14:14">
      <c r="N1011" s="42"/>
    </row>
    <row r="1012" spans="14:14">
      <c r="N1012" s="42"/>
    </row>
    <row r="1013" spans="14:14">
      <c r="N1013" s="42"/>
    </row>
    <row r="1014" spans="14:14">
      <c r="N1014" s="42"/>
    </row>
    <row r="1015" spans="14:14">
      <c r="N1015" s="42"/>
    </row>
    <row r="1016" spans="14:14">
      <c r="N1016" s="42"/>
    </row>
    <row r="1017" spans="14:14">
      <c r="N1017" s="42"/>
    </row>
    <row r="1018" spans="14:14">
      <c r="N1018" s="42"/>
    </row>
    <row r="1019" spans="14:14">
      <c r="N1019" s="42"/>
    </row>
    <row r="1020" spans="14:14">
      <c r="N1020" s="42"/>
    </row>
    <row r="1021" spans="14:14">
      <c r="N1021" s="42"/>
    </row>
    <row r="1022" spans="14:14">
      <c r="N1022" s="42"/>
    </row>
    <row r="1023" spans="14:14">
      <c r="N1023" s="42"/>
    </row>
    <row r="1024" spans="14:14">
      <c r="N1024" s="42"/>
    </row>
    <row r="1025" spans="14:14">
      <c r="N1025" s="42"/>
    </row>
    <row r="1026" spans="14:14">
      <c r="N1026" s="42"/>
    </row>
    <row r="1027" spans="14:14">
      <c r="N1027" s="42"/>
    </row>
    <row r="1028" spans="14:14">
      <c r="N1028" s="42"/>
    </row>
    <row r="1029" spans="14:14">
      <c r="N1029" s="42"/>
    </row>
    <row r="1030" spans="14:14">
      <c r="N1030" s="42"/>
    </row>
    <row r="1031" spans="14:14">
      <c r="N1031" s="42"/>
    </row>
    <row r="1032" spans="14:14">
      <c r="N1032" s="42"/>
    </row>
    <row r="1033" spans="14:14">
      <c r="N1033" s="42"/>
    </row>
    <row r="1034" spans="14:14">
      <c r="N1034" s="42"/>
    </row>
    <row r="1035" spans="14:14">
      <c r="N1035" s="42"/>
    </row>
    <row r="1036" spans="14:14">
      <c r="N1036" s="42"/>
    </row>
    <row r="1037" spans="14:14">
      <c r="N1037" s="42"/>
    </row>
    <row r="1038" spans="14:14">
      <c r="N1038" s="42"/>
    </row>
    <row r="1039" spans="14:14">
      <c r="N1039" s="42"/>
    </row>
    <row r="1040" spans="14:14">
      <c r="N1040" s="42"/>
    </row>
    <row r="1041" spans="14:14">
      <c r="N1041" s="42"/>
    </row>
    <row r="1042" spans="14:14">
      <c r="N1042" s="42"/>
    </row>
    <row r="1043" spans="14:14">
      <c r="N1043" s="42"/>
    </row>
    <row r="1044" spans="14:14">
      <c r="N1044" s="42"/>
    </row>
    <row r="1045" spans="14:14">
      <c r="N1045" s="42"/>
    </row>
    <row r="1046" spans="14:14">
      <c r="N1046" s="42"/>
    </row>
    <row r="1047" spans="14:14">
      <c r="N1047" s="42"/>
    </row>
    <row r="1048" spans="14:14">
      <c r="N1048" s="42"/>
    </row>
    <row r="1049" spans="14:14">
      <c r="N1049" s="42"/>
    </row>
    <row r="1050" spans="14:14">
      <c r="N1050" s="42"/>
    </row>
    <row r="1051" spans="14:14">
      <c r="N1051" s="42"/>
    </row>
    <row r="1052" spans="14:14">
      <c r="N1052" s="42"/>
    </row>
    <row r="1053" spans="14:14">
      <c r="N1053" s="42"/>
    </row>
    <row r="1054" spans="14:14">
      <c r="N1054" s="42"/>
    </row>
    <row r="1055" spans="14:14">
      <c r="N1055" s="42"/>
    </row>
    <row r="1056" spans="14:14">
      <c r="N1056" s="42"/>
    </row>
    <row r="1057" spans="14:14">
      <c r="N1057" s="42"/>
    </row>
    <row r="1058" spans="14:14">
      <c r="N1058" s="42"/>
    </row>
    <row r="1059" spans="14:14">
      <c r="N1059" s="42"/>
    </row>
    <row r="1060" spans="14:14">
      <c r="N1060" s="42"/>
    </row>
    <row r="1061" spans="14:14">
      <c r="N1061" s="42"/>
    </row>
    <row r="1062" spans="14:14">
      <c r="N1062" s="42"/>
    </row>
    <row r="1063" spans="14:14">
      <c r="N1063" s="42"/>
    </row>
    <row r="1064" spans="14:14">
      <c r="N1064" s="42"/>
    </row>
    <row r="1065" spans="14:14">
      <c r="N1065" s="42"/>
    </row>
    <row r="1066" spans="14:14">
      <c r="N1066" s="42"/>
    </row>
    <row r="1067" spans="14:14">
      <c r="N1067" s="42"/>
    </row>
    <row r="1068" spans="14:14">
      <c r="N1068" s="42"/>
    </row>
    <row r="1069" spans="14:14">
      <c r="N1069" s="42"/>
    </row>
    <row r="1070" spans="14:14">
      <c r="N1070" s="42"/>
    </row>
    <row r="1071" spans="14:14">
      <c r="N1071" s="42"/>
    </row>
    <row r="1072" spans="14:14">
      <c r="N1072" s="42"/>
    </row>
    <row r="1073" spans="14:14">
      <c r="N1073" s="42"/>
    </row>
    <row r="1074" spans="14:14">
      <c r="N1074" s="42"/>
    </row>
    <row r="1075" spans="14:14">
      <c r="N1075" s="42"/>
    </row>
    <row r="1076" spans="14:14">
      <c r="N1076" s="42"/>
    </row>
    <row r="1077" spans="14:14">
      <c r="N1077" s="42"/>
    </row>
    <row r="1078" spans="14:14">
      <c r="N1078" s="42"/>
    </row>
    <row r="1079" spans="14:14">
      <c r="N1079" s="42"/>
    </row>
    <row r="1080" spans="14:14">
      <c r="N1080" s="42"/>
    </row>
    <row r="1081" spans="14:14">
      <c r="N1081" s="42"/>
    </row>
    <row r="1082" spans="14:14">
      <c r="N1082" s="42"/>
    </row>
    <row r="1083" spans="14:14">
      <c r="N1083" s="42"/>
    </row>
    <row r="1084" spans="14:14">
      <c r="N1084" s="42"/>
    </row>
    <row r="1085" spans="14:14">
      <c r="N1085" s="42"/>
    </row>
    <row r="1086" spans="14:14">
      <c r="N1086" s="42"/>
    </row>
    <row r="1087" spans="14:14">
      <c r="N1087" s="42"/>
    </row>
    <row r="1088" spans="14:14">
      <c r="N1088" s="42"/>
    </row>
    <row r="1089" spans="14:14">
      <c r="N1089" s="42"/>
    </row>
    <row r="1090" spans="14:14">
      <c r="N1090" s="42"/>
    </row>
    <row r="1091" spans="14:14">
      <c r="N1091" s="42"/>
    </row>
    <row r="1092" spans="14:14">
      <c r="N1092" s="42"/>
    </row>
    <row r="1093" spans="14:14">
      <c r="N1093" s="42"/>
    </row>
    <row r="1094" spans="14:14">
      <c r="N1094" s="42"/>
    </row>
    <row r="1095" spans="14:14">
      <c r="N1095" s="42"/>
    </row>
    <row r="1096" spans="14:14">
      <c r="N1096" s="42"/>
    </row>
    <row r="1097" spans="14:14">
      <c r="N1097" s="42"/>
    </row>
    <row r="1098" spans="14:14">
      <c r="N1098" s="42"/>
    </row>
    <row r="1099" spans="14:14">
      <c r="N1099" s="42"/>
    </row>
    <row r="1100" spans="14:14">
      <c r="N1100" s="42"/>
    </row>
    <row r="1101" spans="14:14">
      <c r="N1101" s="42"/>
    </row>
    <row r="1102" spans="14:14">
      <c r="N1102" s="42"/>
    </row>
    <row r="1103" spans="14:14">
      <c r="N1103" s="42"/>
    </row>
    <row r="1104" spans="14:14">
      <c r="N1104" s="42"/>
    </row>
    <row r="1105" spans="14:14">
      <c r="N1105" s="42"/>
    </row>
    <row r="1106" spans="14:14">
      <c r="N1106" s="42"/>
    </row>
    <row r="1107" spans="14:14">
      <c r="N1107" s="42"/>
    </row>
    <row r="1108" spans="14:14">
      <c r="N1108" s="42"/>
    </row>
    <row r="1109" spans="14:14">
      <c r="N1109" s="42"/>
    </row>
    <row r="1110" spans="14:14">
      <c r="N1110" s="42"/>
    </row>
    <row r="1111" spans="14:14">
      <c r="N1111" s="42"/>
    </row>
    <row r="1112" spans="14:14">
      <c r="N1112" s="42"/>
    </row>
    <row r="1113" spans="14:14">
      <c r="N1113" s="42"/>
    </row>
    <row r="1114" spans="14:14">
      <c r="N1114" s="42"/>
    </row>
    <row r="1115" spans="14:14">
      <c r="N1115" s="42"/>
    </row>
    <row r="1116" spans="14:14">
      <c r="N1116" s="42"/>
    </row>
    <row r="1117" spans="14:14">
      <c r="N1117" s="42"/>
    </row>
    <row r="1118" spans="14:14">
      <c r="N1118" s="42"/>
    </row>
    <row r="1119" spans="14:14">
      <c r="N1119" s="42"/>
    </row>
    <row r="1120" spans="14:14">
      <c r="N1120" s="42"/>
    </row>
    <row r="1121" spans="14:14">
      <c r="N1121" s="42"/>
    </row>
    <row r="1122" spans="14:14">
      <c r="N1122" s="42"/>
    </row>
    <row r="1123" spans="14:14">
      <c r="N1123" s="42"/>
    </row>
    <row r="1124" spans="14:14">
      <c r="N1124" s="42"/>
    </row>
    <row r="1125" spans="14:14">
      <c r="N1125" s="42"/>
    </row>
    <row r="1126" spans="14:14">
      <c r="N1126" s="42"/>
    </row>
    <row r="1127" spans="14:14">
      <c r="N1127" s="42"/>
    </row>
    <row r="1128" spans="14:14">
      <c r="N1128" s="42"/>
    </row>
    <row r="1129" spans="14:14">
      <c r="N1129" s="42"/>
    </row>
    <row r="1130" spans="14:14">
      <c r="N1130" s="42"/>
    </row>
    <row r="1131" spans="14:14">
      <c r="N1131" s="42"/>
    </row>
    <row r="1132" spans="14:14">
      <c r="N1132" s="42"/>
    </row>
    <row r="1133" spans="14:14">
      <c r="N1133" s="42"/>
    </row>
    <row r="1134" spans="14:14">
      <c r="N1134" s="42"/>
    </row>
    <row r="1135" spans="14:14">
      <c r="N1135" s="42"/>
    </row>
    <row r="1136" spans="14:14">
      <c r="N1136" s="42"/>
    </row>
    <row r="1137" spans="14:14">
      <c r="N1137" s="42"/>
    </row>
    <row r="1138" spans="14:14">
      <c r="N1138" s="42"/>
    </row>
    <row r="1139" spans="14:14">
      <c r="N1139" s="42"/>
    </row>
    <row r="1140" spans="14:14">
      <c r="N1140" s="42"/>
    </row>
    <row r="1141" spans="14:14">
      <c r="N1141" s="42"/>
    </row>
    <row r="1142" spans="14:14">
      <c r="N1142" s="42"/>
    </row>
    <row r="1143" spans="14:14">
      <c r="N1143" s="42"/>
    </row>
    <row r="1144" spans="14:14">
      <c r="N1144" s="42"/>
    </row>
    <row r="1145" spans="14:14">
      <c r="N1145" s="42"/>
    </row>
    <row r="1146" spans="14:14">
      <c r="N1146" s="42"/>
    </row>
    <row r="1147" spans="14:14">
      <c r="N1147" s="42"/>
    </row>
    <row r="1148" spans="14:14">
      <c r="N1148" s="42"/>
    </row>
    <row r="1149" spans="14:14">
      <c r="N1149" s="42"/>
    </row>
    <row r="1150" spans="14:14">
      <c r="N1150" s="42"/>
    </row>
    <row r="1151" spans="14:14">
      <c r="N1151" s="42"/>
    </row>
    <row r="1152" spans="14:14">
      <c r="N1152" s="42"/>
    </row>
    <row r="1153" spans="14:14">
      <c r="N1153" s="42"/>
    </row>
    <row r="1154" spans="14:14">
      <c r="N1154" s="42"/>
    </row>
    <row r="1155" spans="14:14">
      <c r="N1155" s="42"/>
    </row>
    <row r="1156" spans="14:14">
      <c r="N1156" s="42"/>
    </row>
    <row r="1157" spans="14:14">
      <c r="N1157" s="42"/>
    </row>
    <row r="1158" spans="14:14">
      <c r="N1158" s="42"/>
    </row>
    <row r="1159" spans="14:14">
      <c r="N1159" s="42"/>
    </row>
    <row r="1160" spans="14:14">
      <c r="N1160" s="42"/>
    </row>
    <row r="1161" spans="14:14">
      <c r="N1161" s="42"/>
    </row>
    <row r="1162" spans="14:14">
      <c r="N1162" s="42"/>
    </row>
    <row r="1163" spans="14:14">
      <c r="N1163" s="42"/>
    </row>
    <row r="1164" spans="14:14">
      <c r="N1164" s="42"/>
    </row>
    <row r="1165" spans="14:14">
      <c r="N1165" s="42"/>
    </row>
    <row r="1166" spans="14:14">
      <c r="N1166" s="42"/>
    </row>
    <row r="1167" spans="14:14">
      <c r="N1167" s="42"/>
    </row>
    <row r="1168" spans="14:14">
      <c r="N1168" s="42"/>
    </row>
    <row r="1169" spans="14:14">
      <c r="N1169" s="42"/>
    </row>
    <row r="1170" spans="14:14">
      <c r="N1170" s="42"/>
    </row>
    <row r="1171" spans="14:14">
      <c r="N1171" s="42"/>
    </row>
    <row r="1172" spans="14:14">
      <c r="N1172" s="42"/>
    </row>
    <row r="1173" spans="14:14">
      <c r="N1173" s="42"/>
    </row>
    <row r="1174" spans="14:14">
      <c r="N1174" s="42"/>
    </row>
    <row r="1175" spans="14:14">
      <c r="N1175" s="42"/>
    </row>
    <row r="1176" spans="14:14">
      <c r="N1176" s="42"/>
    </row>
    <row r="1177" spans="14:14">
      <c r="N1177" s="42"/>
    </row>
    <row r="1178" spans="14:14">
      <c r="N1178" s="42"/>
    </row>
    <row r="1179" spans="14:14">
      <c r="N1179" s="42"/>
    </row>
    <row r="1180" spans="14:14">
      <c r="N1180" s="42"/>
    </row>
    <row r="1181" spans="14:14">
      <c r="N1181" s="42"/>
    </row>
    <row r="1182" spans="14:14">
      <c r="N1182" s="42"/>
    </row>
    <row r="1183" spans="14:14">
      <c r="N1183" s="42"/>
    </row>
    <row r="1184" spans="14:14">
      <c r="N1184" s="42"/>
    </row>
    <row r="1185" spans="14:14">
      <c r="N1185" s="42"/>
    </row>
    <row r="1186" spans="14:14">
      <c r="N1186" s="42"/>
    </row>
    <row r="1187" spans="14:14">
      <c r="N1187" s="42"/>
    </row>
    <row r="1188" spans="14:14">
      <c r="N1188" s="42"/>
    </row>
    <row r="1189" spans="14:14">
      <c r="N1189" s="42"/>
    </row>
    <row r="1190" spans="14:14">
      <c r="N1190" s="42"/>
    </row>
    <row r="1191" spans="14:14">
      <c r="N1191" s="42"/>
    </row>
    <row r="1192" spans="14:14">
      <c r="N1192" s="42"/>
    </row>
    <row r="1193" spans="14:14">
      <c r="N1193" s="42"/>
    </row>
    <row r="1194" spans="14:14">
      <c r="N1194" s="42"/>
    </row>
    <row r="1195" spans="14:14">
      <c r="N1195" s="42"/>
    </row>
    <row r="1196" spans="14:14">
      <c r="N1196" s="42"/>
    </row>
    <row r="1197" spans="14:14">
      <c r="N1197" s="42"/>
    </row>
    <row r="1198" spans="14:14">
      <c r="N1198" s="42"/>
    </row>
    <row r="1199" spans="14:14">
      <c r="N1199" s="42"/>
    </row>
    <row r="1200" spans="14:14">
      <c r="N1200" s="42"/>
    </row>
    <row r="1201" spans="14:14">
      <c r="N1201" s="42"/>
    </row>
    <row r="1202" spans="14:14">
      <c r="N1202" s="42"/>
    </row>
    <row r="1203" spans="14:14">
      <c r="N1203" s="42"/>
    </row>
    <row r="1204" spans="14:14">
      <c r="N1204" s="42"/>
    </row>
    <row r="1205" spans="14:14">
      <c r="N1205" s="42"/>
    </row>
    <row r="1206" spans="14:14">
      <c r="N1206" s="42"/>
    </row>
    <row r="1207" spans="14:14">
      <c r="N1207" s="42"/>
    </row>
    <row r="1208" spans="14:14">
      <c r="N1208" s="42"/>
    </row>
    <row r="1209" spans="14:14">
      <c r="N1209" s="42"/>
    </row>
    <row r="1210" spans="14:14">
      <c r="N1210" s="42"/>
    </row>
    <row r="1211" spans="14:14">
      <c r="N1211" s="42"/>
    </row>
    <row r="1212" spans="14:14">
      <c r="N1212" s="42"/>
    </row>
    <row r="1213" spans="14:14">
      <c r="N1213" s="42"/>
    </row>
    <row r="1214" spans="14:14">
      <c r="N1214" s="42"/>
    </row>
    <row r="1215" spans="14:14">
      <c r="N1215" s="42"/>
    </row>
    <row r="1216" spans="14:14">
      <c r="N1216" s="42"/>
    </row>
    <row r="1217" spans="14:14">
      <c r="N1217" s="42"/>
    </row>
    <row r="1218" spans="14:14">
      <c r="N1218" s="42"/>
    </row>
    <row r="1219" spans="14:14">
      <c r="N1219" s="42"/>
    </row>
    <row r="1220" spans="14:14">
      <c r="N1220" s="42"/>
    </row>
    <row r="1221" spans="14:14">
      <c r="N1221" s="42"/>
    </row>
    <row r="1222" spans="14:14">
      <c r="N1222" s="42"/>
    </row>
    <row r="1223" spans="14:14">
      <c r="N1223" s="42"/>
    </row>
    <row r="1224" spans="14:14">
      <c r="N1224" s="42"/>
    </row>
    <row r="1225" spans="14:14">
      <c r="N1225" s="42"/>
    </row>
    <row r="1226" spans="14:14">
      <c r="N1226" s="42"/>
    </row>
    <row r="1227" spans="14:14">
      <c r="N1227" s="42"/>
    </row>
    <row r="1228" spans="14:14">
      <c r="N1228" s="42"/>
    </row>
    <row r="1229" spans="14:14">
      <c r="N1229" s="42"/>
    </row>
    <row r="1230" spans="14:14">
      <c r="N1230" s="42"/>
    </row>
    <row r="1231" spans="14:14">
      <c r="N1231" s="42"/>
    </row>
    <row r="1232" spans="14:14">
      <c r="N1232" s="42"/>
    </row>
    <row r="1233" spans="14:14">
      <c r="N1233" s="42"/>
    </row>
    <row r="1234" spans="14:14">
      <c r="N1234" s="42"/>
    </row>
    <row r="1235" spans="14:14">
      <c r="N1235" s="42"/>
    </row>
    <row r="1236" spans="14:14">
      <c r="N1236" s="42"/>
    </row>
    <row r="1237" spans="14:14">
      <c r="N1237" s="42"/>
    </row>
    <row r="1238" spans="14:14">
      <c r="N1238" s="42"/>
    </row>
    <row r="1239" spans="14:14">
      <c r="N1239" s="42"/>
    </row>
    <row r="1240" spans="14:14">
      <c r="N1240" s="42"/>
    </row>
    <row r="1241" spans="14:14">
      <c r="N1241" s="42"/>
    </row>
    <row r="1242" spans="14:14">
      <c r="N1242" s="42"/>
    </row>
    <row r="1243" spans="14:14">
      <c r="N1243" s="42"/>
    </row>
    <row r="1244" spans="14:14">
      <c r="N1244" s="42"/>
    </row>
    <row r="1245" spans="14:14">
      <c r="N1245" s="42"/>
    </row>
    <row r="1246" spans="14:14">
      <c r="N1246" s="42"/>
    </row>
    <row r="1247" spans="14:14">
      <c r="N1247" s="42"/>
    </row>
    <row r="1248" spans="14:14">
      <c r="N1248" s="42"/>
    </row>
    <row r="1249" spans="14:14">
      <c r="N1249" s="42"/>
    </row>
    <row r="1250" spans="14:14">
      <c r="N1250" s="42"/>
    </row>
    <row r="1251" spans="14:14">
      <c r="N1251" s="42"/>
    </row>
    <row r="1252" spans="14:14">
      <c r="N1252" s="42"/>
    </row>
    <row r="1253" spans="14:14">
      <c r="N1253" s="42"/>
    </row>
    <row r="1254" spans="14:14">
      <c r="N1254" s="42"/>
    </row>
    <row r="1255" spans="14:14">
      <c r="N1255" s="42"/>
    </row>
    <row r="1256" spans="14:14">
      <c r="N1256" s="42"/>
    </row>
    <row r="1257" spans="14:14">
      <c r="N1257" s="42"/>
    </row>
    <row r="1258" spans="14:14">
      <c r="N1258" s="42"/>
    </row>
    <row r="1259" spans="14:14">
      <c r="N1259" s="42"/>
    </row>
    <row r="1260" spans="14:14">
      <c r="N1260" s="42"/>
    </row>
    <row r="1261" spans="14:14">
      <c r="N1261" s="42"/>
    </row>
    <row r="1262" spans="14:14">
      <c r="N1262" s="42"/>
    </row>
    <row r="1263" spans="14:14">
      <c r="N1263" s="42"/>
    </row>
    <row r="1264" spans="14:14">
      <c r="N1264" s="42"/>
    </row>
    <row r="1265" spans="14:14">
      <c r="N1265" s="42"/>
    </row>
    <row r="1266" spans="14:14">
      <c r="N1266" s="42"/>
    </row>
    <row r="1267" spans="14:14">
      <c r="N1267" s="42"/>
    </row>
    <row r="1268" spans="14:14">
      <c r="N1268" s="42"/>
    </row>
    <row r="1269" spans="14:14">
      <c r="N1269" s="42"/>
    </row>
    <row r="1270" spans="14:14">
      <c r="N1270" s="42"/>
    </row>
    <row r="1271" spans="14:14">
      <c r="N1271" s="42"/>
    </row>
    <row r="1272" spans="14:14">
      <c r="N1272" s="42"/>
    </row>
    <row r="1273" spans="14:14">
      <c r="N1273" s="42"/>
    </row>
    <row r="1274" spans="14:14">
      <c r="N1274" s="42"/>
    </row>
    <row r="1275" spans="14:14">
      <c r="N1275" s="42"/>
    </row>
    <row r="1276" spans="14:14">
      <c r="N1276" s="42"/>
    </row>
    <row r="1277" spans="14:14">
      <c r="N1277" s="42"/>
    </row>
    <row r="1278" spans="14:14">
      <c r="N1278" s="42"/>
    </row>
    <row r="1279" spans="14:14">
      <c r="N1279" s="42"/>
    </row>
    <row r="1280" spans="14:14">
      <c r="N1280" s="42"/>
    </row>
    <row r="1281" spans="14:14">
      <c r="N1281" s="42"/>
    </row>
    <row r="1282" spans="14:14">
      <c r="N1282" s="42"/>
    </row>
    <row r="1283" spans="14:14">
      <c r="N1283" s="42"/>
    </row>
    <row r="1284" spans="14:14">
      <c r="N1284" s="42"/>
    </row>
    <row r="1285" spans="14:14">
      <c r="N1285" s="42"/>
    </row>
    <row r="1286" spans="14:14">
      <c r="N1286" s="42"/>
    </row>
    <row r="1287" spans="14:14">
      <c r="N1287" s="42"/>
    </row>
    <row r="1288" spans="14:14">
      <c r="N1288" s="42"/>
    </row>
    <row r="1289" spans="14:14">
      <c r="N1289" s="42"/>
    </row>
    <row r="1290" spans="14:14">
      <c r="N1290" s="42"/>
    </row>
    <row r="1291" spans="14:14">
      <c r="N1291" s="42"/>
    </row>
    <row r="1292" spans="14:14">
      <c r="N1292" s="42"/>
    </row>
    <row r="1293" spans="14:14">
      <c r="N1293" s="42"/>
    </row>
    <row r="1294" spans="14:14">
      <c r="N1294" s="42"/>
    </row>
    <row r="1295" spans="14:14">
      <c r="N1295" s="42"/>
    </row>
    <row r="1296" spans="14:14">
      <c r="N1296" s="42"/>
    </row>
    <row r="1297" spans="14:14">
      <c r="N1297" s="42"/>
    </row>
    <row r="1298" spans="14:14">
      <c r="N1298" s="42"/>
    </row>
    <row r="1299" spans="14:14">
      <c r="N1299" s="42"/>
    </row>
    <row r="1300" spans="14:14">
      <c r="N1300" s="42"/>
    </row>
    <row r="1301" spans="14:14">
      <c r="N1301" s="42"/>
    </row>
    <row r="1302" spans="14:14">
      <c r="N1302" s="42"/>
    </row>
    <row r="1303" spans="14:14">
      <c r="N1303" s="42"/>
    </row>
    <row r="1304" spans="14:14">
      <c r="N1304" s="42"/>
    </row>
    <row r="1305" spans="14:14">
      <c r="N1305" s="42"/>
    </row>
    <row r="1306" spans="14:14">
      <c r="N1306" s="42"/>
    </row>
    <row r="1307" spans="14:14">
      <c r="N1307" s="42"/>
    </row>
    <row r="1308" spans="14:14">
      <c r="N1308" s="42"/>
    </row>
    <row r="1309" spans="14:14">
      <c r="N1309" s="42"/>
    </row>
    <row r="1310" spans="14:14">
      <c r="N1310" s="42"/>
    </row>
    <row r="1311" spans="14:14">
      <c r="N1311" s="42"/>
    </row>
    <row r="1312" spans="14:14">
      <c r="N1312" s="42"/>
    </row>
    <row r="1313" spans="14:14">
      <c r="N1313" s="42"/>
    </row>
    <row r="1314" spans="14:14">
      <c r="N1314" s="42"/>
    </row>
    <row r="1315" spans="14:14">
      <c r="N1315" s="42"/>
    </row>
    <row r="1316" spans="14:14">
      <c r="N1316" s="42"/>
    </row>
    <row r="1317" spans="14:14">
      <c r="N1317" s="42"/>
    </row>
    <row r="1318" spans="14:14">
      <c r="N1318" s="42"/>
    </row>
    <row r="1319" spans="14:14">
      <c r="N1319" s="42"/>
    </row>
    <row r="1320" spans="14:14">
      <c r="N1320" s="42"/>
    </row>
    <row r="1321" spans="14:14">
      <c r="N1321" s="42"/>
    </row>
    <row r="1322" spans="14:14">
      <c r="N1322" s="42"/>
    </row>
    <row r="1323" spans="14:14">
      <c r="N1323" s="42"/>
    </row>
    <row r="1324" spans="14:14">
      <c r="N1324" s="42"/>
    </row>
    <row r="1325" spans="14:14">
      <c r="N1325" s="42"/>
    </row>
    <row r="1326" spans="14:14">
      <c r="N1326" s="42"/>
    </row>
    <row r="1327" spans="14:14">
      <c r="N1327" s="42"/>
    </row>
    <row r="1328" spans="14:14">
      <c r="N1328" s="42"/>
    </row>
    <row r="1329" spans="14:14">
      <c r="N1329" s="42"/>
    </row>
    <row r="1330" spans="14:14">
      <c r="N1330" s="42"/>
    </row>
    <row r="1331" spans="14:14">
      <c r="N1331" s="42"/>
    </row>
    <row r="1332" spans="14:14">
      <c r="N1332" s="42"/>
    </row>
    <row r="1333" spans="14:14">
      <c r="N1333" s="42"/>
    </row>
    <row r="1334" spans="14:14">
      <c r="N1334" s="42"/>
    </row>
    <row r="1335" spans="14:14">
      <c r="N1335" s="42"/>
    </row>
    <row r="1336" spans="14:14">
      <c r="N1336" s="42"/>
    </row>
    <row r="1337" spans="14:14">
      <c r="N1337" s="42"/>
    </row>
    <row r="1338" spans="14:14">
      <c r="N1338" s="42"/>
    </row>
    <row r="1339" spans="14:14">
      <c r="N1339" s="42"/>
    </row>
    <row r="1340" spans="14:14">
      <c r="N1340" s="42"/>
    </row>
    <row r="1341" spans="14:14">
      <c r="N1341" s="42"/>
    </row>
    <row r="1342" spans="14:14">
      <c r="N1342" s="42"/>
    </row>
    <row r="1343" spans="14:14">
      <c r="N1343" s="42"/>
    </row>
    <row r="1344" spans="14:14">
      <c r="N1344" s="42"/>
    </row>
    <row r="1345" spans="14:14">
      <c r="N1345" s="42"/>
    </row>
    <row r="1346" spans="14:14">
      <c r="N1346" s="42"/>
    </row>
    <row r="1347" spans="14:14">
      <c r="N1347" s="42"/>
    </row>
    <row r="1348" spans="14:14">
      <c r="N1348" s="42"/>
    </row>
    <row r="1349" spans="14:14">
      <c r="N1349" s="42"/>
    </row>
    <row r="1350" spans="14:14">
      <c r="N1350" s="42"/>
    </row>
    <row r="1351" spans="14:14">
      <c r="N1351" s="42"/>
    </row>
    <row r="1352" spans="14:14">
      <c r="N1352" s="42"/>
    </row>
    <row r="1353" spans="14:14">
      <c r="N1353" s="42"/>
    </row>
    <row r="1354" spans="14:14">
      <c r="N1354" s="42"/>
    </row>
    <row r="1355" spans="14:14">
      <c r="N1355" s="42"/>
    </row>
    <row r="1356" spans="14:14">
      <c r="N1356" s="42"/>
    </row>
    <row r="1357" spans="14:14">
      <c r="N1357" s="42"/>
    </row>
    <row r="1358" spans="14:14">
      <c r="N1358" s="42"/>
    </row>
    <row r="1359" spans="14:14">
      <c r="N1359" s="42"/>
    </row>
    <row r="1360" spans="14:14">
      <c r="N1360" s="42"/>
    </row>
    <row r="1361" spans="14:14">
      <c r="N1361" s="42"/>
    </row>
    <row r="1362" spans="14:14">
      <c r="N1362" s="42"/>
    </row>
    <row r="1363" spans="14:14">
      <c r="N1363" s="42"/>
    </row>
    <row r="1364" spans="14:14">
      <c r="N1364" s="42"/>
    </row>
    <row r="1365" spans="14:14">
      <c r="N1365" s="42"/>
    </row>
    <row r="1366" spans="14:14">
      <c r="N1366" s="42"/>
    </row>
    <row r="1367" spans="14:14">
      <c r="N1367" s="42"/>
    </row>
    <row r="1368" spans="14:14">
      <c r="N1368" s="42"/>
    </row>
    <row r="1369" spans="14:14">
      <c r="N1369" s="42"/>
    </row>
    <row r="1370" spans="14:14">
      <c r="N1370" s="42"/>
    </row>
    <row r="1371" spans="14:14">
      <c r="N1371" s="42"/>
    </row>
    <row r="1372" spans="14:14">
      <c r="N1372" s="42"/>
    </row>
    <row r="1373" spans="14:14">
      <c r="N1373" s="42"/>
    </row>
    <row r="1374" spans="14:14">
      <c r="N1374" s="42"/>
    </row>
    <row r="1375" spans="14:14">
      <c r="N1375" s="42"/>
    </row>
    <row r="1376" spans="14:14">
      <c r="N1376" s="42"/>
    </row>
    <row r="1377" spans="14:14">
      <c r="N1377" s="42"/>
    </row>
    <row r="1378" spans="14:14">
      <c r="N1378" s="42"/>
    </row>
    <row r="1379" spans="14:14">
      <c r="N1379" s="42"/>
    </row>
    <row r="1380" spans="14:14">
      <c r="N1380" s="42"/>
    </row>
    <row r="1381" spans="14:14">
      <c r="N1381" s="42"/>
    </row>
    <row r="1382" spans="14:14">
      <c r="N1382" s="42"/>
    </row>
    <row r="1383" spans="14:14">
      <c r="N1383" s="42"/>
    </row>
    <row r="1384" spans="14:14">
      <c r="N1384" s="42"/>
    </row>
    <row r="1385" spans="14:14">
      <c r="N1385" s="42"/>
    </row>
    <row r="1386" spans="14:14">
      <c r="N1386" s="42"/>
    </row>
    <row r="1387" spans="14:14">
      <c r="N1387" s="42"/>
    </row>
    <row r="1388" spans="14:14">
      <c r="N1388" s="42"/>
    </row>
    <row r="1389" spans="14:14">
      <c r="N1389" s="42"/>
    </row>
    <row r="1390" spans="14:14">
      <c r="N1390" s="42"/>
    </row>
    <row r="1391" spans="14:14">
      <c r="N1391" s="42"/>
    </row>
    <row r="1392" spans="14:14">
      <c r="N1392" s="42"/>
    </row>
    <row r="1393" spans="14:14">
      <c r="N1393" s="42"/>
    </row>
    <row r="1394" spans="14:14">
      <c r="N1394" s="42"/>
    </row>
    <row r="1395" spans="14:14">
      <c r="N1395" s="42"/>
    </row>
    <row r="1396" spans="14:14">
      <c r="N1396" s="42"/>
    </row>
    <row r="1397" spans="14:14">
      <c r="N1397" s="42"/>
    </row>
    <row r="1398" spans="14:14">
      <c r="N1398" s="42"/>
    </row>
    <row r="1399" spans="14:14">
      <c r="N1399" s="42"/>
    </row>
    <row r="1400" spans="14:14">
      <c r="N1400" s="42"/>
    </row>
    <row r="1401" spans="14:14">
      <c r="N1401" s="42"/>
    </row>
    <row r="1402" spans="14:14">
      <c r="N1402" s="42"/>
    </row>
    <row r="1403" spans="14:14">
      <c r="N1403" s="42"/>
    </row>
    <row r="1404" spans="14:14">
      <c r="N1404" s="42"/>
    </row>
    <row r="1405" spans="14:14">
      <c r="N1405" s="42"/>
    </row>
    <row r="1406" spans="14:14">
      <c r="N1406" s="42"/>
    </row>
    <row r="1407" spans="14:14">
      <c r="N1407" s="42"/>
    </row>
    <row r="1408" spans="14:14">
      <c r="N1408" s="42"/>
    </row>
    <row r="1409" spans="14:14">
      <c r="N1409" s="42"/>
    </row>
    <row r="1410" spans="14:14">
      <c r="N1410" s="42"/>
    </row>
    <row r="1411" spans="14:14">
      <c r="N1411" s="42"/>
    </row>
    <row r="1412" spans="14:14">
      <c r="N1412" s="42"/>
    </row>
    <row r="1413" spans="14:14">
      <c r="N1413" s="42"/>
    </row>
    <row r="1414" spans="14:14">
      <c r="N1414" s="42"/>
    </row>
    <row r="1415" spans="14:14">
      <c r="N1415" s="42"/>
    </row>
    <row r="1416" spans="14:14">
      <c r="N1416" s="42"/>
    </row>
    <row r="1417" spans="14:14">
      <c r="N1417" s="42"/>
    </row>
    <row r="1418" spans="14:14">
      <c r="N1418" s="42"/>
    </row>
    <row r="1419" spans="14:14">
      <c r="N1419" s="42"/>
    </row>
    <row r="1420" spans="14:14">
      <c r="N1420" s="42"/>
    </row>
    <row r="1421" spans="14:14">
      <c r="N1421" s="42"/>
    </row>
    <row r="1422" spans="14:14">
      <c r="N1422" s="42"/>
    </row>
    <row r="1423" spans="14:14">
      <c r="N1423" s="42"/>
    </row>
    <row r="1424" spans="14:14">
      <c r="N1424" s="42"/>
    </row>
    <row r="1425" spans="14:14">
      <c r="N1425" s="42"/>
    </row>
    <row r="1426" spans="14:14">
      <c r="N1426" s="42"/>
    </row>
    <row r="1427" spans="14:14">
      <c r="N1427" s="42"/>
    </row>
    <row r="1428" spans="14:14">
      <c r="N1428" s="42"/>
    </row>
    <row r="1429" spans="14:14">
      <c r="N1429" s="42"/>
    </row>
    <row r="1430" spans="14:14">
      <c r="N1430" s="42"/>
    </row>
    <row r="1431" spans="14:14">
      <c r="N1431" s="42"/>
    </row>
    <row r="1432" spans="14:14">
      <c r="N1432" s="42"/>
    </row>
    <row r="1433" spans="14:14">
      <c r="N1433" s="42"/>
    </row>
    <row r="1434" spans="14:14">
      <c r="N1434" s="42"/>
    </row>
    <row r="1435" spans="14:14">
      <c r="N1435" s="42"/>
    </row>
    <row r="1436" spans="14:14">
      <c r="N1436" s="42"/>
    </row>
    <row r="1437" spans="14:14">
      <c r="N1437" s="42"/>
    </row>
    <row r="1438" spans="14:14">
      <c r="N1438" s="42"/>
    </row>
    <row r="1439" spans="14:14">
      <c r="N1439" s="42"/>
    </row>
    <row r="1440" spans="14:14">
      <c r="N1440" s="42"/>
    </row>
    <row r="1441" spans="14:14">
      <c r="N1441" s="42"/>
    </row>
    <row r="1442" spans="14:14">
      <c r="N1442" s="42"/>
    </row>
    <row r="1443" spans="14:14">
      <c r="N1443" s="42"/>
    </row>
    <row r="1444" spans="14:14">
      <c r="N1444" s="42"/>
    </row>
    <row r="1445" spans="14:14">
      <c r="N1445" s="42"/>
    </row>
    <row r="1446" spans="14:14">
      <c r="N1446" s="42"/>
    </row>
    <row r="1447" spans="14:14">
      <c r="N1447" s="42"/>
    </row>
    <row r="1448" spans="14:14">
      <c r="N1448" s="42"/>
    </row>
    <row r="1449" spans="14:14">
      <c r="N1449" s="42"/>
    </row>
    <row r="1450" spans="14:14">
      <c r="N1450" s="42"/>
    </row>
    <row r="1451" spans="14:14">
      <c r="N1451" s="42"/>
    </row>
    <row r="1452" spans="14:14">
      <c r="N1452" s="42"/>
    </row>
    <row r="1453" spans="14:14">
      <c r="N1453" s="42"/>
    </row>
    <row r="1454" spans="14:14">
      <c r="N1454" s="42"/>
    </row>
    <row r="1455" spans="14:14">
      <c r="N1455" s="42"/>
    </row>
    <row r="1456" spans="14:14">
      <c r="N1456" s="42"/>
    </row>
    <row r="1457" spans="14:14">
      <c r="N1457" s="42"/>
    </row>
    <row r="1458" spans="14:14">
      <c r="N1458" s="42"/>
    </row>
    <row r="1459" spans="14:14">
      <c r="N1459" s="42"/>
    </row>
    <row r="1460" spans="14:14">
      <c r="N1460" s="42"/>
    </row>
    <row r="1461" spans="14:14">
      <c r="N1461" s="42"/>
    </row>
    <row r="1462" spans="14:14">
      <c r="N1462" s="42"/>
    </row>
    <row r="1463" spans="14:14">
      <c r="N1463" s="42"/>
    </row>
    <row r="1464" spans="14:14">
      <c r="N1464" s="42"/>
    </row>
    <row r="1465" spans="14:14">
      <c r="N1465" s="42"/>
    </row>
    <row r="1466" spans="14:14">
      <c r="N1466" s="42"/>
    </row>
    <row r="1467" spans="14:14">
      <c r="N1467" s="42"/>
    </row>
    <row r="1468" spans="14:14">
      <c r="N1468" s="42"/>
    </row>
    <row r="1469" spans="14:14">
      <c r="N1469" s="42"/>
    </row>
    <row r="1470" spans="14:14">
      <c r="N1470" s="42"/>
    </row>
    <row r="1471" spans="14:14">
      <c r="N1471" s="42"/>
    </row>
    <row r="1472" spans="14:14">
      <c r="N1472" s="42"/>
    </row>
    <row r="1473" spans="14:14">
      <c r="N1473" s="42"/>
    </row>
    <row r="1474" spans="14:14">
      <c r="N1474" s="42"/>
    </row>
    <row r="1475" spans="14:14">
      <c r="N1475" s="42"/>
    </row>
    <row r="1476" spans="14:14">
      <c r="N1476" s="42"/>
    </row>
    <row r="1477" spans="14:14">
      <c r="N1477" s="42"/>
    </row>
    <row r="1478" spans="14:14">
      <c r="N1478" s="42"/>
    </row>
    <row r="1479" spans="14:14">
      <c r="N1479" s="42"/>
    </row>
    <row r="1480" spans="14:14">
      <c r="N1480" s="42"/>
    </row>
    <row r="1481" spans="14:14">
      <c r="N1481" s="42"/>
    </row>
    <row r="1482" spans="14:14">
      <c r="N1482" s="42"/>
    </row>
    <row r="1483" spans="14:14">
      <c r="N1483" s="42"/>
    </row>
    <row r="1484" spans="14:14">
      <c r="N1484" s="42"/>
    </row>
    <row r="1485" spans="14:14">
      <c r="N1485" s="42"/>
    </row>
    <row r="1486" spans="14:14">
      <c r="N1486" s="42"/>
    </row>
    <row r="1487" spans="14:14">
      <c r="N1487" s="42"/>
    </row>
    <row r="1488" spans="14:14">
      <c r="N1488" s="42"/>
    </row>
    <row r="1489" spans="14:14">
      <c r="N1489" s="42"/>
    </row>
    <row r="1490" spans="14:14">
      <c r="N1490" s="42"/>
    </row>
    <row r="1491" spans="14:14">
      <c r="N1491" s="42"/>
    </row>
    <row r="1492" spans="14:14">
      <c r="N1492" s="42"/>
    </row>
    <row r="1493" spans="14:14">
      <c r="N1493" s="42"/>
    </row>
    <row r="1494" spans="14:14">
      <c r="N1494" s="42"/>
    </row>
    <row r="1495" spans="14:14">
      <c r="N1495" s="42"/>
    </row>
    <row r="1496" spans="14:14">
      <c r="N1496" s="42"/>
    </row>
    <row r="1497" spans="14:14">
      <c r="N1497" s="42"/>
    </row>
    <row r="1498" spans="14:14">
      <c r="N1498" s="42"/>
    </row>
    <row r="1499" spans="14:14">
      <c r="N1499" s="42"/>
    </row>
    <row r="1500" spans="14:14">
      <c r="N1500" s="42"/>
    </row>
    <row r="1501" spans="14:14">
      <c r="N1501" s="42"/>
    </row>
    <row r="1502" spans="14:14">
      <c r="N1502" s="42"/>
    </row>
    <row r="1503" spans="14:14">
      <c r="N1503" s="42"/>
    </row>
    <row r="1504" spans="14:14">
      <c r="N1504" s="42"/>
    </row>
    <row r="1505" spans="14:14">
      <c r="N1505" s="42"/>
    </row>
    <row r="1506" spans="14:14">
      <c r="N1506" s="42"/>
    </row>
    <row r="1507" spans="14:14">
      <c r="N1507" s="42"/>
    </row>
    <row r="1508" spans="14:14">
      <c r="N1508" s="42"/>
    </row>
    <row r="1509" spans="14:14">
      <c r="N1509" s="42"/>
    </row>
    <row r="1510" spans="14:14">
      <c r="N1510" s="42"/>
    </row>
    <row r="1511" spans="14:14">
      <c r="N1511" s="42"/>
    </row>
    <row r="1512" spans="14:14">
      <c r="N1512" s="42"/>
    </row>
    <row r="1513" spans="14:14">
      <c r="N1513" s="42"/>
    </row>
    <row r="1514" spans="14:14">
      <c r="N1514" s="42"/>
    </row>
    <row r="1515" spans="14:14">
      <c r="N1515" s="42"/>
    </row>
    <row r="1516" spans="14:14">
      <c r="N1516" s="42"/>
    </row>
    <row r="1517" spans="14:14">
      <c r="N1517" s="42"/>
    </row>
    <row r="1518" spans="14:14">
      <c r="N1518" s="42"/>
    </row>
    <row r="1519" spans="14:14">
      <c r="N1519" s="42"/>
    </row>
    <row r="1520" spans="14:14">
      <c r="N1520" s="42"/>
    </row>
    <row r="1521" spans="14:14">
      <c r="N1521" s="42"/>
    </row>
    <row r="1522" spans="14:14">
      <c r="N1522" s="42"/>
    </row>
    <row r="1523" spans="14:14">
      <c r="N1523" s="42"/>
    </row>
    <row r="1524" spans="14:14">
      <c r="N1524" s="42"/>
    </row>
    <row r="1525" spans="14:14">
      <c r="N1525" s="42"/>
    </row>
    <row r="1526" spans="14:14">
      <c r="N1526" s="42"/>
    </row>
    <row r="1527" spans="14:14">
      <c r="N1527" s="42"/>
    </row>
    <row r="1528" spans="14:14">
      <c r="N1528" s="42"/>
    </row>
    <row r="1529" spans="14:14">
      <c r="N1529" s="42"/>
    </row>
    <row r="1530" spans="14:14">
      <c r="N1530" s="42"/>
    </row>
    <row r="1531" spans="14:14">
      <c r="N1531" s="42"/>
    </row>
    <row r="1532" spans="14:14">
      <c r="N1532" s="42"/>
    </row>
    <row r="1533" spans="14:14">
      <c r="N1533" s="42"/>
    </row>
    <row r="1534" spans="14:14">
      <c r="N1534" s="42"/>
    </row>
    <row r="1535" spans="14:14">
      <c r="N1535" s="42"/>
    </row>
    <row r="1536" spans="14:14">
      <c r="N1536" s="42"/>
    </row>
    <row r="1537" spans="14:14">
      <c r="N1537" s="42"/>
    </row>
    <row r="1538" spans="14:14">
      <c r="N1538" s="42"/>
    </row>
    <row r="1539" spans="14:14">
      <c r="N1539" s="42"/>
    </row>
    <row r="1540" spans="14:14">
      <c r="N1540" s="42"/>
    </row>
    <row r="1541" spans="14:14">
      <c r="N1541" s="42"/>
    </row>
    <row r="1542" spans="14:14">
      <c r="N1542" s="42"/>
    </row>
    <row r="1543" spans="14:14">
      <c r="N1543" s="42"/>
    </row>
    <row r="1544" spans="14:14">
      <c r="N1544" s="42"/>
    </row>
    <row r="1545" spans="14:14">
      <c r="N1545" s="42"/>
    </row>
    <row r="1546" spans="14:14">
      <c r="N1546" s="42"/>
    </row>
    <row r="1547" spans="14:14">
      <c r="N1547" s="42"/>
    </row>
    <row r="1548" spans="14:14">
      <c r="N1548" s="42"/>
    </row>
    <row r="1549" spans="14:14">
      <c r="N1549" s="42"/>
    </row>
    <row r="1550" spans="14:14">
      <c r="N1550" s="42"/>
    </row>
    <row r="1551" spans="14:14">
      <c r="N1551" s="42"/>
    </row>
    <row r="1552" spans="14:14">
      <c r="N1552" s="42"/>
    </row>
    <row r="1553" spans="14:14">
      <c r="N1553" s="42"/>
    </row>
    <row r="1554" spans="14:14">
      <c r="N1554" s="42"/>
    </row>
    <row r="1555" spans="14:14">
      <c r="N1555" s="42"/>
    </row>
    <row r="1556" spans="14:14">
      <c r="N1556" s="42"/>
    </row>
    <row r="1557" spans="14:14">
      <c r="N1557" s="42"/>
    </row>
    <row r="1558" spans="14:14">
      <c r="N1558" s="42"/>
    </row>
    <row r="1559" spans="14:14">
      <c r="N1559" s="42"/>
    </row>
    <row r="1560" spans="14:14">
      <c r="N1560" s="42"/>
    </row>
    <row r="1561" spans="14:14">
      <c r="N1561" s="42"/>
    </row>
    <row r="1562" spans="14:14">
      <c r="N1562" s="42"/>
    </row>
    <row r="1563" spans="14:14">
      <c r="N1563" s="42"/>
    </row>
    <row r="1564" spans="14:14">
      <c r="N1564" s="42"/>
    </row>
    <row r="1565" spans="14:14">
      <c r="N1565" s="42"/>
    </row>
    <row r="1566" spans="14:14">
      <c r="N1566" s="42"/>
    </row>
    <row r="1567" spans="14:14">
      <c r="N1567" s="42"/>
    </row>
    <row r="1568" spans="14:14">
      <c r="N1568" s="42"/>
    </row>
    <row r="1569" spans="14:14">
      <c r="N1569" s="42"/>
    </row>
    <row r="1570" spans="14:14">
      <c r="N1570" s="42"/>
    </row>
    <row r="1571" spans="14:14">
      <c r="N1571" s="42"/>
    </row>
    <row r="1572" spans="14:14">
      <c r="N1572" s="42"/>
    </row>
    <row r="1573" spans="14:14">
      <c r="N1573" s="42"/>
    </row>
    <row r="1574" spans="14:14">
      <c r="N1574" s="42"/>
    </row>
    <row r="1575" spans="14:14">
      <c r="N1575" s="42"/>
    </row>
    <row r="1576" spans="14:14">
      <c r="N1576" s="42"/>
    </row>
    <row r="1577" spans="14:14">
      <c r="N1577" s="42"/>
    </row>
    <row r="1578" spans="14:14">
      <c r="N1578" s="42"/>
    </row>
    <row r="1579" spans="14:14">
      <c r="N1579" s="42"/>
    </row>
    <row r="1580" spans="14:14">
      <c r="N1580" s="42"/>
    </row>
    <row r="1581" spans="14:14">
      <c r="N1581" s="42"/>
    </row>
    <row r="1582" spans="14:14">
      <c r="N1582" s="42"/>
    </row>
    <row r="1583" spans="14:14">
      <c r="N1583" s="42"/>
    </row>
    <row r="1584" spans="14:14">
      <c r="N1584" s="42"/>
    </row>
    <row r="1585" spans="14:14">
      <c r="N1585" s="42"/>
    </row>
    <row r="1586" spans="14:14">
      <c r="N1586" s="42"/>
    </row>
    <row r="1587" spans="14:14">
      <c r="N1587" s="42"/>
    </row>
    <row r="1588" spans="14:14">
      <c r="N1588" s="42"/>
    </row>
    <row r="1589" spans="14:14">
      <c r="N1589" s="42"/>
    </row>
    <row r="1590" spans="14:14">
      <c r="N1590" s="42"/>
    </row>
    <row r="1591" spans="14:14">
      <c r="N1591" s="42"/>
    </row>
    <row r="1592" spans="14:14">
      <c r="N1592" s="42"/>
    </row>
    <row r="1593" spans="14:14">
      <c r="N1593" s="42"/>
    </row>
    <row r="1594" spans="14:14">
      <c r="N1594" s="42"/>
    </row>
    <row r="1595" spans="14:14">
      <c r="N1595" s="42"/>
    </row>
    <row r="1596" spans="14:14">
      <c r="N1596" s="42"/>
    </row>
    <row r="1597" spans="14:14">
      <c r="N1597" s="42"/>
    </row>
    <row r="1598" spans="14:14">
      <c r="N1598" s="42"/>
    </row>
    <row r="1599" spans="14:14">
      <c r="N1599" s="42"/>
    </row>
    <row r="1600" spans="14:14">
      <c r="N1600" s="42"/>
    </row>
    <row r="1601" spans="14:14">
      <c r="N1601" s="42"/>
    </row>
    <row r="1602" spans="14:14">
      <c r="N1602" s="42"/>
    </row>
    <row r="1603" spans="14:14">
      <c r="N1603" s="42"/>
    </row>
    <row r="1604" spans="14:14">
      <c r="N1604" s="42"/>
    </row>
    <row r="1605" spans="14:14">
      <c r="N1605" s="42"/>
    </row>
    <row r="1606" spans="14:14">
      <c r="N1606" s="42"/>
    </row>
    <row r="1607" spans="14:14">
      <c r="N1607" s="42"/>
    </row>
    <row r="1608" spans="14:14">
      <c r="N1608" s="42"/>
    </row>
    <row r="1609" spans="14:14">
      <c r="N1609" s="42"/>
    </row>
    <row r="1610" spans="14:14">
      <c r="N1610" s="42"/>
    </row>
    <row r="1611" spans="14:14">
      <c r="N1611" s="42"/>
    </row>
    <row r="1612" spans="14:14">
      <c r="N1612" s="42"/>
    </row>
    <row r="1613" spans="14:14">
      <c r="N1613" s="42"/>
    </row>
    <row r="1614" spans="14:14">
      <c r="N1614" s="42"/>
    </row>
    <row r="1615" spans="14:14">
      <c r="N1615" s="42"/>
    </row>
    <row r="1616" spans="14:14">
      <c r="N1616" s="42"/>
    </row>
    <row r="1617" spans="14:14">
      <c r="N1617" s="42"/>
    </row>
    <row r="1618" spans="14:14">
      <c r="N1618" s="42"/>
    </row>
    <row r="1619" spans="14:14">
      <c r="N1619" s="42"/>
    </row>
    <row r="1620" spans="14:14">
      <c r="N1620" s="42"/>
    </row>
    <row r="1621" spans="14:14">
      <c r="N1621" s="42"/>
    </row>
    <row r="1622" spans="14:14">
      <c r="N1622" s="42"/>
    </row>
    <row r="1623" spans="14:14">
      <c r="N1623" s="42"/>
    </row>
    <row r="1624" spans="14:14">
      <c r="N1624" s="42"/>
    </row>
    <row r="1625" spans="14:14">
      <c r="N1625" s="42"/>
    </row>
    <row r="1626" spans="14:14">
      <c r="N1626" s="42"/>
    </row>
    <row r="1627" spans="14:14">
      <c r="N1627" s="42"/>
    </row>
    <row r="1628" spans="14:14">
      <c r="N1628" s="42"/>
    </row>
    <row r="1629" spans="14:14">
      <c r="N1629" s="42"/>
    </row>
    <row r="1630" spans="14:14">
      <c r="N1630" s="42"/>
    </row>
    <row r="1631" spans="14:14">
      <c r="N1631" s="42"/>
    </row>
    <row r="1632" spans="14:14">
      <c r="N1632" s="42"/>
    </row>
    <row r="1633" spans="14:14">
      <c r="N1633" s="42"/>
    </row>
    <row r="1634" spans="14:14">
      <c r="N1634" s="42"/>
    </row>
    <row r="1635" spans="14:14">
      <c r="N1635" s="42"/>
    </row>
    <row r="1636" spans="14:14">
      <c r="N1636" s="42"/>
    </row>
    <row r="1637" spans="14:14">
      <c r="N1637" s="42"/>
    </row>
    <row r="1638" spans="14:14">
      <c r="N1638" s="42"/>
    </row>
    <row r="1639" spans="14:14">
      <c r="N1639" s="42"/>
    </row>
    <row r="1640" spans="14:14">
      <c r="N1640" s="42"/>
    </row>
    <row r="1641" spans="14:14">
      <c r="N1641" s="42"/>
    </row>
    <row r="1642" spans="14:14">
      <c r="N1642" s="42"/>
    </row>
    <row r="1643" spans="14:14">
      <c r="N1643" s="42"/>
    </row>
    <row r="1644" spans="14:14">
      <c r="N1644" s="42"/>
    </row>
    <row r="1645" spans="14:14">
      <c r="N1645" s="42"/>
    </row>
    <row r="1646" spans="14:14">
      <c r="N1646" s="42"/>
    </row>
    <row r="1647" spans="14:14">
      <c r="N1647" s="42"/>
    </row>
    <row r="1648" spans="14:14">
      <c r="N1648" s="42"/>
    </row>
    <row r="1649" spans="14:14">
      <c r="N1649" s="42"/>
    </row>
    <row r="1650" spans="14:14">
      <c r="N1650" s="42"/>
    </row>
    <row r="1651" spans="14:14">
      <c r="N1651" s="42"/>
    </row>
    <row r="1652" spans="14:14">
      <c r="N1652" s="42"/>
    </row>
    <row r="1653" spans="14:14">
      <c r="N1653" s="42"/>
    </row>
    <row r="1654" spans="14:14">
      <c r="N1654" s="42"/>
    </row>
    <row r="1655" spans="14:14">
      <c r="N1655" s="42"/>
    </row>
    <row r="1656" spans="14:14">
      <c r="N1656" s="42"/>
    </row>
    <row r="1657" spans="14:14">
      <c r="N1657" s="42"/>
    </row>
    <row r="1658" spans="14:14">
      <c r="N1658" s="42"/>
    </row>
    <row r="1659" spans="14:14">
      <c r="N1659" s="42"/>
    </row>
    <row r="1660" spans="14:14">
      <c r="N1660" s="42"/>
    </row>
    <row r="1661" spans="14:14">
      <c r="N1661" s="42"/>
    </row>
    <row r="1662" spans="14:14">
      <c r="N1662" s="42"/>
    </row>
    <row r="1663" spans="14:14">
      <c r="N1663" s="42"/>
    </row>
    <row r="1664" spans="14:14">
      <c r="N1664" s="42"/>
    </row>
    <row r="1665" spans="14:14">
      <c r="N1665" s="42"/>
    </row>
    <row r="1666" spans="14:14">
      <c r="N1666" s="42"/>
    </row>
    <row r="1667" spans="14:14">
      <c r="N1667" s="42"/>
    </row>
    <row r="1668" spans="14:14">
      <c r="N1668" s="42"/>
    </row>
    <row r="1669" spans="14:14">
      <c r="N1669" s="42"/>
    </row>
    <row r="1670" spans="14:14">
      <c r="N1670" s="42"/>
    </row>
    <row r="1671" spans="14:14">
      <c r="N1671" s="42"/>
    </row>
    <row r="1672" spans="14:14">
      <c r="N1672" s="42"/>
    </row>
    <row r="1673" spans="14:14">
      <c r="N1673" s="42"/>
    </row>
    <row r="1674" spans="14:14">
      <c r="N1674" s="42"/>
    </row>
    <row r="1675" spans="14:14">
      <c r="N1675" s="42"/>
    </row>
    <row r="1676" spans="14:14">
      <c r="N1676" s="42"/>
    </row>
    <row r="1677" spans="14:14">
      <c r="N1677" s="42"/>
    </row>
    <row r="1678" spans="14:14">
      <c r="N1678" s="42"/>
    </row>
    <row r="1679" spans="14:14">
      <c r="N1679" s="42"/>
    </row>
    <row r="1680" spans="14:14">
      <c r="N1680" s="42"/>
    </row>
    <row r="1681" spans="14:14">
      <c r="N1681" s="42"/>
    </row>
    <row r="1682" spans="14:14">
      <c r="N1682" s="42"/>
    </row>
    <row r="1683" spans="14:14">
      <c r="N1683" s="42"/>
    </row>
    <row r="1684" spans="14:14">
      <c r="N1684" s="42"/>
    </row>
    <row r="1685" spans="14:14">
      <c r="N1685" s="42"/>
    </row>
    <row r="1686" spans="14:14">
      <c r="N1686" s="42"/>
    </row>
    <row r="1687" spans="14:14">
      <c r="N1687" s="42"/>
    </row>
    <row r="1688" spans="14:14">
      <c r="N1688" s="42"/>
    </row>
    <row r="1689" spans="14:14">
      <c r="N1689" s="42"/>
    </row>
    <row r="1690" spans="14:14">
      <c r="N1690" s="42"/>
    </row>
    <row r="1691" spans="14:14">
      <c r="N1691" s="42"/>
    </row>
    <row r="1692" spans="14:14">
      <c r="N1692" s="42"/>
    </row>
    <row r="1693" spans="14:14">
      <c r="N1693" s="42"/>
    </row>
    <row r="1694" spans="14:14">
      <c r="N1694" s="42"/>
    </row>
    <row r="1695" spans="14:14">
      <c r="N1695" s="42"/>
    </row>
    <row r="1696" spans="14:14">
      <c r="N1696" s="42"/>
    </row>
    <row r="1697" spans="14:14">
      <c r="N1697" s="42"/>
    </row>
    <row r="1698" spans="14:14">
      <c r="N1698" s="42"/>
    </row>
    <row r="1699" spans="14:14">
      <c r="N1699" s="42"/>
    </row>
    <row r="1700" spans="14:14">
      <c r="N1700" s="42"/>
    </row>
    <row r="1701" spans="14:14">
      <c r="N1701" s="42"/>
    </row>
    <row r="1702" spans="14:14">
      <c r="N1702" s="42"/>
    </row>
    <row r="1703" spans="14:14">
      <c r="N1703" s="42"/>
    </row>
    <row r="1704" spans="14:14">
      <c r="N1704" s="42"/>
    </row>
    <row r="1705" spans="14:14">
      <c r="N1705" s="42"/>
    </row>
    <row r="1706" spans="14:14">
      <c r="N1706" s="42"/>
    </row>
    <row r="1707" spans="14:14">
      <c r="N1707" s="42"/>
    </row>
    <row r="1708" spans="14:14">
      <c r="N1708" s="42"/>
    </row>
    <row r="1709" spans="14:14">
      <c r="N1709" s="42"/>
    </row>
    <row r="1710" spans="14:14">
      <c r="N1710" s="42"/>
    </row>
    <row r="1711" spans="14:14">
      <c r="N1711" s="42"/>
    </row>
    <row r="1712" spans="14:14">
      <c r="N1712" s="42"/>
    </row>
    <row r="1713" spans="14:14">
      <c r="N1713" s="42"/>
    </row>
    <row r="1714" spans="14:14">
      <c r="N1714" s="42"/>
    </row>
    <row r="1715" spans="14:14">
      <c r="N1715" s="42"/>
    </row>
    <row r="1716" spans="14:14">
      <c r="N1716" s="42"/>
    </row>
    <row r="1717" spans="14:14">
      <c r="N1717" s="42"/>
    </row>
    <row r="1718" spans="14:14">
      <c r="N1718" s="42"/>
    </row>
    <row r="1719" spans="14:14">
      <c r="N1719" s="42"/>
    </row>
    <row r="1720" spans="14:14">
      <c r="N1720" s="42"/>
    </row>
    <row r="1721" spans="14:14">
      <c r="N1721" s="42"/>
    </row>
    <row r="1722" spans="14:14">
      <c r="N1722" s="42"/>
    </row>
    <row r="1723" spans="14:14">
      <c r="N1723" s="42"/>
    </row>
    <row r="1724" spans="14:14">
      <c r="N1724" s="42"/>
    </row>
    <row r="1725" spans="14:14">
      <c r="N1725" s="42"/>
    </row>
    <row r="1726" spans="14:14">
      <c r="N1726" s="42"/>
    </row>
    <row r="1727" spans="14:14">
      <c r="N1727" s="42"/>
    </row>
    <row r="1728" spans="14:14">
      <c r="N1728" s="42"/>
    </row>
    <row r="1729" spans="14:14">
      <c r="N1729" s="42"/>
    </row>
    <row r="1730" spans="14:14">
      <c r="N1730" s="42"/>
    </row>
    <row r="1731" spans="14:14">
      <c r="N1731" s="42"/>
    </row>
    <row r="1732" spans="14:14">
      <c r="N1732" s="42"/>
    </row>
    <row r="1733" spans="14:14">
      <c r="N1733" s="42"/>
    </row>
    <row r="1734" spans="14:14">
      <c r="N1734" s="42"/>
    </row>
    <row r="1735" spans="14:14">
      <c r="N1735" s="42"/>
    </row>
    <row r="1736" spans="14:14">
      <c r="N1736" s="42"/>
    </row>
    <row r="1737" spans="14:14">
      <c r="N1737" s="42"/>
    </row>
    <row r="1738" spans="14:14">
      <c r="N1738" s="42"/>
    </row>
    <row r="1739" spans="14:14">
      <c r="N1739" s="42"/>
    </row>
    <row r="1740" spans="14:14">
      <c r="N1740" s="42"/>
    </row>
    <row r="1741" spans="14:14">
      <c r="N1741" s="42"/>
    </row>
    <row r="1742" spans="14:14">
      <c r="N1742" s="42"/>
    </row>
    <row r="1743" spans="14:14">
      <c r="N1743" s="42"/>
    </row>
    <row r="1744" spans="14:14">
      <c r="N1744" s="42"/>
    </row>
    <row r="1745" spans="14:14">
      <c r="N1745" s="42"/>
    </row>
    <row r="1746" spans="14:14">
      <c r="N1746" s="42"/>
    </row>
    <row r="1747" spans="14:14">
      <c r="N1747" s="42"/>
    </row>
    <row r="1748" spans="14:14">
      <c r="N1748" s="42"/>
    </row>
    <row r="1749" spans="14:14">
      <c r="N1749" s="42"/>
    </row>
    <row r="1750" spans="14:14">
      <c r="N1750" s="42"/>
    </row>
    <row r="1751" spans="14:14">
      <c r="N1751" s="42"/>
    </row>
    <row r="1752" spans="14:14">
      <c r="N1752" s="42"/>
    </row>
    <row r="1753" spans="14:14">
      <c r="N1753" s="42"/>
    </row>
    <row r="1754" spans="14:14">
      <c r="N1754" s="42"/>
    </row>
    <row r="1755" spans="14:14">
      <c r="N1755" s="42"/>
    </row>
    <row r="1756" spans="14:14">
      <c r="N1756" s="42"/>
    </row>
    <row r="1757" spans="14:14">
      <c r="N1757" s="42"/>
    </row>
    <row r="1758" spans="14:14">
      <c r="N1758" s="42"/>
    </row>
    <row r="1759" spans="14:14">
      <c r="N1759" s="42"/>
    </row>
    <row r="1760" spans="14:14">
      <c r="N1760" s="42"/>
    </row>
    <row r="1761" spans="14:14">
      <c r="N1761" s="42"/>
    </row>
    <row r="1762" spans="14:14">
      <c r="N1762" s="42"/>
    </row>
  </sheetData>
  <mergeCells count="3">
    <mergeCell ref="A1:X1"/>
    <mergeCell ref="A2:X2"/>
    <mergeCell ref="A4:B4"/>
  </mergeCells>
  <hyperlinks>
    <hyperlink ref="A78:C78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9" orientation="landscape" verticalDpi="599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6"/>
  <sheetViews>
    <sheetView showGridLines="0" workbookViewId="0">
      <selection activeCell="A5" sqref="A5"/>
    </sheetView>
  </sheetViews>
  <sheetFormatPr baseColWidth="10" defaultRowHeight="12.75"/>
  <cols>
    <col min="1" max="1" width="11.42578125" style="5"/>
    <col min="2" max="8" width="15.7109375" style="5" customWidth="1"/>
    <col min="9" max="16384" width="11.42578125" style="5"/>
  </cols>
  <sheetData>
    <row r="1" spans="1:8">
      <c r="A1" s="171" t="s">
        <v>222</v>
      </c>
      <c r="B1" s="168"/>
      <c r="C1" s="168"/>
      <c r="D1" s="168"/>
      <c r="E1" s="168"/>
      <c r="F1" s="168"/>
      <c r="G1" s="168"/>
      <c r="H1" s="168"/>
    </row>
    <row r="2" spans="1:8">
      <c r="A2" s="171" t="s">
        <v>217</v>
      </c>
      <c r="B2" s="168"/>
      <c r="C2" s="168"/>
      <c r="D2" s="168"/>
      <c r="E2" s="168"/>
      <c r="F2" s="168"/>
      <c r="G2" s="168"/>
      <c r="H2" s="168"/>
    </row>
    <row r="3" spans="1:8">
      <c r="A3" s="171" t="s">
        <v>216</v>
      </c>
      <c r="B3" s="168"/>
      <c r="C3" s="168"/>
      <c r="D3" s="168"/>
      <c r="E3" s="168"/>
      <c r="F3" s="168"/>
      <c r="G3" s="168"/>
      <c r="H3" s="168"/>
    </row>
    <row r="5" spans="1:8" s="119" customFormat="1" ht="33.75" customHeight="1">
      <c r="A5" s="116" t="s">
        <v>8</v>
      </c>
      <c r="B5" s="117" t="s">
        <v>68</v>
      </c>
      <c r="C5" s="117" t="s">
        <v>168</v>
      </c>
      <c r="D5" s="117" t="s">
        <v>169</v>
      </c>
      <c r="E5" s="117" t="s">
        <v>170</v>
      </c>
      <c r="F5" s="117" t="s">
        <v>171</v>
      </c>
      <c r="G5" s="117" t="s">
        <v>172</v>
      </c>
      <c r="H5" s="118" t="s">
        <v>173</v>
      </c>
    </row>
    <row r="6" spans="1:8">
      <c r="A6" s="120"/>
      <c r="B6" s="121" t="s">
        <v>174</v>
      </c>
      <c r="C6" s="122" t="s">
        <v>175</v>
      </c>
      <c r="D6" s="122" t="s">
        <v>176</v>
      </c>
      <c r="E6" s="122" t="s">
        <v>17</v>
      </c>
      <c r="F6" s="122" t="s">
        <v>18</v>
      </c>
      <c r="G6" s="122" t="s">
        <v>177</v>
      </c>
      <c r="H6" s="123" t="s">
        <v>178</v>
      </c>
    </row>
    <row r="7" spans="1:8">
      <c r="A7" s="120"/>
      <c r="C7" s="124"/>
      <c r="D7" s="124"/>
      <c r="E7" s="124"/>
      <c r="F7" s="124"/>
      <c r="G7" s="124"/>
      <c r="H7" s="124"/>
    </row>
    <row r="8" spans="1:8">
      <c r="A8" s="125">
        <v>1938</v>
      </c>
      <c r="B8" s="126">
        <v>26</v>
      </c>
      <c r="C8" s="127">
        <v>26</v>
      </c>
      <c r="D8" s="127">
        <v>26</v>
      </c>
      <c r="E8" s="127"/>
      <c r="F8" s="127"/>
      <c r="G8" s="127"/>
      <c r="H8" s="127"/>
    </row>
    <row r="9" spans="1:8">
      <c r="A9" s="125">
        <v>1939</v>
      </c>
      <c r="B9" s="126">
        <v>25</v>
      </c>
      <c r="C9" s="127">
        <v>25</v>
      </c>
      <c r="D9" s="127">
        <v>25</v>
      </c>
      <c r="E9" s="127"/>
      <c r="F9" s="127"/>
      <c r="G9" s="127"/>
      <c r="H9" s="127"/>
    </row>
    <row r="10" spans="1:8">
      <c r="A10" s="125">
        <v>1940</v>
      </c>
      <c r="B10" s="126">
        <v>24</v>
      </c>
      <c r="C10" s="127">
        <v>24</v>
      </c>
      <c r="D10" s="127">
        <v>24</v>
      </c>
      <c r="E10" s="127"/>
      <c r="F10" s="127"/>
      <c r="G10" s="127"/>
      <c r="H10" s="127"/>
    </row>
    <row r="11" spans="1:8">
      <c r="A11" s="125">
        <v>1941</v>
      </c>
      <c r="B11" s="126">
        <v>37</v>
      </c>
      <c r="C11" s="127">
        <v>37</v>
      </c>
      <c r="D11" s="127">
        <v>37</v>
      </c>
      <c r="E11" s="127"/>
      <c r="F11" s="127"/>
      <c r="G11" s="127"/>
      <c r="H11" s="127"/>
    </row>
    <row r="12" spans="1:8">
      <c r="A12" s="125">
        <v>1942</v>
      </c>
      <c r="B12" s="126">
        <v>36</v>
      </c>
      <c r="C12" s="127">
        <v>36</v>
      </c>
      <c r="D12" s="127">
        <v>36</v>
      </c>
      <c r="E12" s="127"/>
      <c r="F12" s="127"/>
      <c r="G12" s="127"/>
      <c r="H12" s="127"/>
    </row>
    <row r="13" spans="1:8">
      <c r="A13" s="125">
        <v>1943</v>
      </c>
      <c r="B13" s="126">
        <v>41</v>
      </c>
      <c r="C13" s="127">
        <v>41</v>
      </c>
      <c r="D13" s="127">
        <v>41</v>
      </c>
      <c r="E13" s="127"/>
      <c r="F13" s="127"/>
      <c r="G13" s="127"/>
      <c r="H13" s="127"/>
    </row>
    <row r="14" spans="1:8">
      <c r="A14" s="125">
        <v>1944</v>
      </c>
      <c r="B14" s="126">
        <v>36</v>
      </c>
      <c r="C14" s="127">
        <v>36</v>
      </c>
      <c r="D14" s="127">
        <v>36</v>
      </c>
      <c r="E14" s="127"/>
      <c r="F14" s="127"/>
      <c r="G14" s="127"/>
      <c r="H14" s="127"/>
    </row>
    <row r="15" spans="1:8">
      <c r="A15" s="125">
        <v>1945</v>
      </c>
      <c r="B15" s="126">
        <v>122</v>
      </c>
      <c r="C15" s="127">
        <v>122</v>
      </c>
      <c r="D15" s="127">
        <v>122</v>
      </c>
      <c r="E15" s="127"/>
      <c r="F15" s="127"/>
      <c r="G15" s="127"/>
      <c r="H15" s="127"/>
    </row>
    <row r="16" spans="1:8">
      <c r="A16" s="125">
        <v>1946</v>
      </c>
      <c r="B16" s="126">
        <v>166</v>
      </c>
      <c r="C16" s="127">
        <v>166</v>
      </c>
      <c r="D16" s="127">
        <v>166</v>
      </c>
      <c r="E16" s="127"/>
      <c r="F16" s="127"/>
      <c r="G16" s="127"/>
      <c r="H16" s="127"/>
    </row>
    <row r="17" spans="1:8">
      <c r="A17" s="125">
        <v>1947</v>
      </c>
      <c r="B17" s="126">
        <v>120</v>
      </c>
      <c r="C17" s="127">
        <v>120</v>
      </c>
      <c r="D17" s="127">
        <v>120</v>
      </c>
      <c r="E17" s="127"/>
      <c r="F17" s="127"/>
      <c r="G17" s="127"/>
      <c r="H17" s="127"/>
    </row>
    <row r="18" spans="1:8">
      <c r="A18" s="125">
        <v>1948</v>
      </c>
      <c r="B18" s="126">
        <v>112</v>
      </c>
      <c r="C18" s="127">
        <v>112</v>
      </c>
      <c r="D18" s="127">
        <v>112</v>
      </c>
      <c r="E18" s="127"/>
      <c r="F18" s="127"/>
      <c r="G18" s="127"/>
      <c r="H18" s="127"/>
    </row>
    <row r="19" spans="1:8">
      <c r="A19" s="125">
        <v>1949</v>
      </c>
      <c r="B19" s="126">
        <v>111</v>
      </c>
      <c r="C19" s="127">
        <v>111</v>
      </c>
      <c r="D19" s="127">
        <v>111</v>
      </c>
      <c r="E19" s="127"/>
      <c r="F19" s="127"/>
      <c r="G19" s="127"/>
      <c r="H19" s="127"/>
    </row>
    <row r="20" spans="1:8">
      <c r="A20" s="125">
        <v>1950</v>
      </c>
      <c r="B20" s="126">
        <v>126</v>
      </c>
      <c r="C20" s="127">
        <v>126</v>
      </c>
      <c r="D20" s="127">
        <v>126</v>
      </c>
      <c r="E20" s="127"/>
      <c r="F20" s="127"/>
      <c r="G20" s="127"/>
      <c r="H20" s="127"/>
    </row>
    <row r="21" spans="1:8">
      <c r="A21" s="125">
        <v>1951</v>
      </c>
      <c r="B21" s="126">
        <v>105</v>
      </c>
      <c r="C21" s="127">
        <v>105</v>
      </c>
      <c r="D21" s="127">
        <v>105</v>
      </c>
      <c r="E21" s="127"/>
      <c r="F21" s="127"/>
      <c r="G21" s="127"/>
      <c r="H21" s="127"/>
    </row>
    <row r="22" spans="1:8">
      <c r="A22" s="125">
        <v>1952</v>
      </c>
      <c r="B22" s="126">
        <v>121</v>
      </c>
      <c r="C22" s="127">
        <v>121</v>
      </c>
      <c r="D22" s="127">
        <v>121</v>
      </c>
      <c r="E22" s="127"/>
      <c r="F22" s="127"/>
      <c r="G22" s="127"/>
      <c r="H22" s="127"/>
    </row>
    <row r="23" spans="1:8">
      <c r="A23" s="125">
        <v>1953</v>
      </c>
      <c r="B23" s="126">
        <v>186</v>
      </c>
      <c r="C23" s="127">
        <v>186</v>
      </c>
      <c r="D23" s="127">
        <v>154</v>
      </c>
      <c r="E23" s="127"/>
      <c r="F23" s="127">
        <v>32</v>
      </c>
      <c r="G23" s="127"/>
      <c r="H23" s="127"/>
    </row>
    <row r="24" spans="1:8">
      <c r="A24" s="125">
        <v>1954</v>
      </c>
      <c r="B24" s="126">
        <v>189</v>
      </c>
      <c r="C24" s="127">
        <v>189</v>
      </c>
      <c r="D24" s="127">
        <v>156</v>
      </c>
      <c r="E24" s="127"/>
      <c r="F24" s="127">
        <v>33</v>
      </c>
      <c r="G24" s="127"/>
      <c r="H24" s="127"/>
    </row>
    <row r="25" spans="1:8">
      <c r="A25" s="125">
        <v>1955</v>
      </c>
      <c r="B25" s="126">
        <v>232</v>
      </c>
      <c r="C25" s="127">
        <v>232</v>
      </c>
      <c r="D25" s="127">
        <v>202</v>
      </c>
      <c r="E25" s="127"/>
      <c r="F25" s="127">
        <v>30</v>
      </c>
      <c r="G25" s="127"/>
      <c r="H25" s="127"/>
    </row>
    <row r="26" spans="1:8">
      <c r="A26" s="125">
        <v>1956</v>
      </c>
      <c r="B26" s="126">
        <v>469</v>
      </c>
      <c r="C26" s="127">
        <v>469</v>
      </c>
      <c r="D26" s="127">
        <v>447</v>
      </c>
      <c r="E26" s="127"/>
      <c r="F26" s="127">
        <v>22</v>
      </c>
      <c r="G26" s="127"/>
      <c r="H26" s="127"/>
    </row>
    <row r="27" spans="1:8">
      <c r="A27" s="125">
        <v>1957</v>
      </c>
      <c r="B27" s="126">
        <v>470</v>
      </c>
      <c r="C27" s="127">
        <v>470</v>
      </c>
      <c r="D27" s="127">
        <v>451</v>
      </c>
      <c r="E27" s="127"/>
      <c r="F27" s="127">
        <v>19</v>
      </c>
      <c r="G27" s="127"/>
      <c r="H27" s="127"/>
    </row>
    <row r="28" spans="1:8">
      <c r="A28" s="125">
        <v>1958</v>
      </c>
      <c r="B28" s="126">
        <v>507</v>
      </c>
      <c r="C28" s="127">
        <v>507</v>
      </c>
      <c r="D28" s="127">
        <v>491</v>
      </c>
      <c r="E28" s="127"/>
      <c r="F28" s="127">
        <v>16</v>
      </c>
      <c r="G28" s="127"/>
      <c r="H28" s="127"/>
    </row>
    <row r="29" spans="1:8">
      <c r="A29" s="125">
        <v>1959</v>
      </c>
      <c r="B29" s="126">
        <v>707</v>
      </c>
      <c r="C29" s="127">
        <v>707</v>
      </c>
      <c r="D29" s="127">
        <v>547</v>
      </c>
      <c r="E29" s="127"/>
      <c r="F29" s="127">
        <v>81</v>
      </c>
      <c r="G29" s="127">
        <v>79</v>
      </c>
      <c r="H29" s="127"/>
    </row>
    <row r="30" spans="1:8">
      <c r="A30" s="125">
        <v>1960</v>
      </c>
      <c r="B30" s="126">
        <v>1196</v>
      </c>
      <c r="C30" s="127">
        <v>1196</v>
      </c>
      <c r="D30" s="127">
        <v>985</v>
      </c>
      <c r="E30" s="127"/>
      <c r="F30" s="127">
        <v>82</v>
      </c>
      <c r="G30" s="127">
        <v>129</v>
      </c>
      <c r="H30" s="127"/>
    </row>
    <row r="31" spans="1:8">
      <c r="A31" s="125">
        <v>1961</v>
      </c>
      <c r="B31" s="126">
        <v>1927</v>
      </c>
      <c r="C31" s="127">
        <v>1927</v>
      </c>
      <c r="D31" s="127">
        <v>1140</v>
      </c>
      <c r="E31" s="127"/>
      <c r="F31" s="127">
        <v>60</v>
      </c>
      <c r="G31" s="127">
        <v>727</v>
      </c>
      <c r="H31" s="127"/>
    </row>
    <row r="32" spans="1:8">
      <c r="A32" s="125">
        <v>1962</v>
      </c>
      <c r="B32" s="126">
        <v>2213</v>
      </c>
      <c r="C32" s="127">
        <v>2213</v>
      </c>
      <c r="D32" s="127">
        <v>1267</v>
      </c>
      <c r="E32" s="127"/>
      <c r="F32" s="127">
        <v>71</v>
      </c>
      <c r="G32" s="127">
        <v>875</v>
      </c>
      <c r="H32" s="127"/>
    </row>
    <row r="33" spans="1:8">
      <c r="A33" s="125">
        <v>1963</v>
      </c>
      <c r="B33" s="126">
        <v>2577</v>
      </c>
      <c r="C33" s="127">
        <v>2577</v>
      </c>
      <c r="D33" s="127">
        <v>1480</v>
      </c>
      <c r="E33" s="127"/>
      <c r="F33" s="127">
        <v>125</v>
      </c>
      <c r="G33" s="127">
        <v>972</v>
      </c>
      <c r="H33" s="127"/>
    </row>
    <row r="34" spans="1:8">
      <c r="A34" s="125">
        <v>1964</v>
      </c>
      <c r="B34" s="126">
        <v>3077</v>
      </c>
      <c r="C34" s="127">
        <v>3077</v>
      </c>
      <c r="D34" s="127">
        <v>1946</v>
      </c>
      <c r="E34" s="127"/>
      <c r="F34" s="127">
        <v>129</v>
      </c>
      <c r="G34" s="127">
        <v>1002</v>
      </c>
      <c r="H34" s="127"/>
    </row>
    <row r="35" spans="1:8">
      <c r="A35" s="125">
        <v>1965</v>
      </c>
      <c r="B35" s="126">
        <v>3474</v>
      </c>
      <c r="C35" s="127">
        <v>3474</v>
      </c>
      <c r="D35" s="127">
        <v>2376</v>
      </c>
      <c r="E35" s="127"/>
      <c r="F35" s="127">
        <v>114</v>
      </c>
      <c r="G35" s="127">
        <v>984</v>
      </c>
      <c r="H35" s="127"/>
    </row>
    <row r="36" spans="1:8">
      <c r="A36" s="125">
        <v>1966</v>
      </c>
      <c r="B36" s="126">
        <v>4403</v>
      </c>
      <c r="C36" s="127">
        <v>4403</v>
      </c>
      <c r="D36" s="127">
        <v>3067</v>
      </c>
      <c r="E36" s="127"/>
      <c r="F36" s="127">
        <v>104</v>
      </c>
      <c r="G36" s="127">
        <v>1232</v>
      </c>
      <c r="H36" s="127"/>
    </row>
    <row r="37" spans="1:8">
      <c r="A37" s="125">
        <v>1967</v>
      </c>
      <c r="B37" s="126">
        <v>4494</v>
      </c>
      <c r="C37" s="127">
        <v>4494</v>
      </c>
      <c r="D37" s="127">
        <v>3233</v>
      </c>
      <c r="E37" s="127"/>
      <c r="F37" s="127">
        <v>99</v>
      </c>
      <c r="G37" s="127">
        <v>1162</v>
      </c>
      <c r="H37" s="127"/>
    </row>
    <row r="38" spans="1:8">
      <c r="A38" s="125">
        <v>1968</v>
      </c>
      <c r="B38" s="126">
        <v>5376</v>
      </c>
      <c r="C38" s="127">
        <v>5376</v>
      </c>
      <c r="D38" s="127">
        <v>4001</v>
      </c>
      <c r="E38" s="127"/>
      <c r="F38" s="127">
        <v>329</v>
      </c>
      <c r="G38" s="127">
        <v>1046</v>
      </c>
      <c r="H38" s="127"/>
    </row>
    <row r="39" spans="1:8">
      <c r="A39" s="125">
        <v>1969</v>
      </c>
      <c r="B39" s="126">
        <v>7747</v>
      </c>
      <c r="C39" s="127">
        <v>7747</v>
      </c>
      <c r="D39" s="127">
        <v>6179</v>
      </c>
      <c r="E39" s="127"/>
      <c r="F39" s="127">
        <v>319</v>
      </c>
      <c r="G39" s="127">
        <v>1249</v>
      </c>
      <c r="H39" s="127"/>
    </row>
    <row r="40" spans="1:8">
      <c r="A40" s="125">
        <v>1970</v>
      </c>
      <c r="B40" s="126">
        <v>7908</v>
      </c>
      <c r="C40" s="127">
        <v>7908</v>
      </c>
      <c r="D40" s="127">
        <v>7521</v>
      </c>
      <c r="E40" s="127">
        <v>13</v>
      </c>
      <c r="F40" s="127">
        <v>193</v>
      </c>
      <c r="G40" s="127">
        <v>181</v>
      </c>
      <c r="H40" s="127"/>
    </row>
    <row r="41" spans="1:8">
      <c r="A41" s="125">
        <v>1971</v>
      </c>
      <c r="B41" s="126">
        <v>8152</v>
      </c>
      <c r="C41" s="127">
        <v>8152</v>
      </c>
      <c r="D41" s="127">
        <v>7764</v>
      </c>
      <c r="E41" s="127">
        <v>25</v>
      </c>
      <c r="F41" s="127">
        <v>204</v>
      </c>
      <c r="G41" s="127">
        <v>159</v>
      </c>
      <c r="H41" s="127"/>
    </row>
    <row r="42" spans="1:8">
      <c r="A42" s="125">
        <v>1972</v>
      </c>
      <c r="B42" s="126">
        <v>8962</v>
      </c>
      <c r="C42" s="127">
        <v>8912</v>
      </c>
      <c r="D42" s="127">
        <v>8456</v>
      </c>
      <c r="E42" s="127">
        <v>91</v>
      </c>
      <c r="F42" s="127">
        <v>242</v>
      </c>
      <c r="G42" s="127">
        <v>123</v>
      </c>
      <c r="H42" s="127">
        <v>50</v>
      </c>
    </row>
    <row r="43" spans="1:8">
      <c r="A43" s="125">
        <v>1973</v>
      </c>
      <c r="B43" s="126">
        <v>9389</v>
      </c>
      <c r="C43" s="127">
        <v>9223</v>
      </c>
      <c r="D43" s="127">
        <v>8763</v>
      </c>
      <c r="E43" s="127">
        <v>119</v>
      </c>
      <c r="F43" s="127">
        <v>255</v>
      </c>
      <c r="G43" s="127">
        <v>86</v>
      </c>
      <c r="H43" s="127">
        <v>166</v>
      </c>
    </row>
    <row r="44" spans="1:8">
      <c r="A44" s="125">
        <v>1974</v>
      </c>
      <c r="B44" s="126">
        <v>10739</v>
      </c>
      <c r="C44" s="127">
        <v>10551</v>
      </c>
      <c r="D44" s="127">
        <v>9837</v>
      </c>
      <c r="E44" s="127">
        <v>201</v>
      </c>
      <c r="F44" s="127">
        <v>464</v>
      </c>
      <c r="G44" s="127">
        <v>49</v>
      </c>
      <c r="H44" s="127">
        <v>188</v>
      </c>
    </row>
    <row r="45" spans="1:8">
      <c r="A45" s="125">
        <v>1975</v>
      </c>
      <c r="B45" s="126">
        <v>11593</v>
      </c>
      <c r="C45" s="127">
        <v>11361</v>
      </c>
      <c r="D45" s="127">
        <v>9563</v>
      </c>
      <c r="E45" s="127">
        <v>398</v>
      </c>
      <c r="F45" s="127">
        <v>1371</v>
      </c>
      <c r="G45" s="127">
        <v>29</v>
      </c>
      <c r="H45" s="127">
        <v>232</v>
      </c>
    </row>
    <row r="46" spans="1:8">
      <c r="A46" s="125">
        <v>1976</v>
      </c>
      <c r="B46" s="126">
        <v>13470</v>
      </c>
      <c r="C46" s="127">
        <v>12954</v>
      </c>
      <c r="D46" s="127">
        <v>10650</v>
      </c>
      <c r="E46" s="127">
        <v>381</v>
      </c>
      <c r="F46" s="127">
        <v>1798</v>
      </c>
      <c r="G46" s="127">
        <v>125</v>
      </c>
      <c r="H46" s="127">
        <v>516</v>
      </c>
    </row>
    <row r="47" spans="1:8">
      <c r="A47" s="125">
        <v>1977</v>
      </c>
      <c r="B47" s="126">
        <v>15546</v>
      </c>
      <c r="C47" s="127">
        <v>15053</v>
      </c>
      <c r="D47" s="127">
        <v>12580</v>
      </c>
      <c r="E47" s="127">
        <v>345</v>
      </c>
      <c r="F47" s="127">
        <v>1962</v>
      </c>
      <c r="G47" s="127">
        <v>166</v>
      </c>
      <c r="H47" s="127">
        <v>493</v>
      </c>
    </row>
    <row r="48" spans="1:8">
      <c r="A48" s="125">
        <v>1978</v>
      </c>
      <c r="B48" s="126">
        <v>15336</v>
      </c>
      <c r="C48" s="127">
        <v>14715</v>
      </c>
      <c r="D48" s="127">
        <v>12025</v>
      </c>
      <c r="E48" s="127">
        <v>292</v>
      </c>
      <c r="F48" s="127">
        <v>2191</v>
      </c>
      <c r="G48" s="127">
        <v>207</v>
      </c>
      <c r="H48" s="127">
        <v>621</v>
      </c>
    </row>
    <row r="49" spans="1:8">
      <c r="A49" s="125">
        <v>1979</v>
      </c>
      <c r="B49" s="126">
        <v>20959</v>
      </c>
      <c r="C49" s="127">
        <v>20409</v>
      </c>
      <c r="D49" s="127">
        <v>17402</v>
      </c>
      <c r="E49" s="127">
        <v>269</v>
      </c>
      <c r="F49" s="127">
        <v>2269</v>
      </c>
      <c r="G49" s="127">
        <v>469</v>
      </c>
      <c r="H49" s="127">
        <v>550</v>
      </c>
    </row>
    <row r="50" spans="1:8">
      <c r="A50" s="125">
        <v>1980</v>
      </c>
      <c r="B50" s="126">
        <v>24980</v>
      </c>
      <c r="C50" s="127">
        <v>23658</v>
      </c>
      <c r="D50" s="127">
        <v>18719</v>
      </c>
      <c r="E50" s="127">
        <v>573</v>
      </c>
      <c r="F50" s="127">
        <v>3419</v>
      </c>
      <c r="G50" s="127">
        <v>947</v>
      </c>
      <c r="H50" s="127">
        <v>1322</v>
      </c>
    </row>
    <row r="51" spans="1:8">
      <c r="A51" s="125">
        <v>1981</v>
      </c>
      <c r="B51" s="126">
        <v>29113</v>
      </c>
      <c r="C51" s="127">
        <v>26895</v>
      </c>
      <c r="D51" s="127">
        <v>20906</v>
      </c>
      <c r="E51" s="127">
        <v>697</v>
      </c>
      <c r="F51" s="127">
        <v>4155</v>
      </c>
      <c r="G51" s="127">
        <v>1137</v>
      </c>
      <c r="H51" s="127">
        <v>2218</v>
      </c>
    </row>
    <row r="52" spans="1:8">
      <c r="A52" s="125">
        <v>1982</v>
      </c>
      <c r="B52" s="126">
        <v>33416</v>
      </c>
      <c r="C52" s="127">
        <v>30583</v>
      </c>
      <c r="D52" s="127">
        <v>23247</v>
      </c>
      <c r="E52" s="127">
        <v>785</v>
      </c>
      <c r="F52" s="127">
        <v>5031</v>
      </c>
      <c r="G52" s="127">
        <v>1520</v>
      </c>
      <c r="H52" s="127">
        <v>2833</v>
      </c>
    </row>
    <row r="53" spans="1:8">
      <c r="A53" s="125">
        <v>1983</v>
      </c>
      <c r="B53" s="126">
        <v>38077</v>
      </c>
      <c r="C53" s="127">
        <v>34585</v>
      </c>
      <c r="D53" s="127">
        <v>24674</v>
      </c>
      <c r="E53" s="127">
        <v>1782</v>
      </c>
      <c r="F53" s="127">
        <v>6472</v>
      </c>
      <c r="G53" s="127">
        <v>1657</v>
      </c>
      <c r="H53" s="127">
        <v>3492</v>
      </c>
    </row>
    <row r="54" spans="1:8">
      <c r="A54" s="125">
        <v>1984</v>
      </c>
      <c r="B54" s="126">
        <v>48384</v>
      </c>
      <c r="C54" s="127">
        <v>40235</v>
      </c>
      <c r="D54" s="127">
        <v>27999</v>
      </c>
      <c r="E54" s="127">
        <v>1682</v>
      </c>
      <c r="F54" s="127">
        <v>7226</v>
      </c>
      <c r="G54" s="127">
        <v>3328</v>
      </c>
      <c r="H54" s="127">
        <v>8149</v>
      </c>
    </row>
    <row r="55" spans="1:8">
      <c r="A55" s="125">
        <v>1985</v>
      </c>
      <c r="B55" s="126">
        <v>80258</v>
      </c>
      <c r="C55" s="127">
        <v>71372</v>
      </c>
      <c r="D55" s="127">
        <v>57330</v>
      </c>
      <c r="E55" s="127">
        <v>2604</v>
      </c>
      <c r="F55" s="127">
        <v>8205</v>
      </c>
      <c r="G55" s="127">
        <v>3233</v>
      </c>
      <c r="H55" s="127">
        <v>8886</v>
      </c>
    </row>
    <row r="56" spans="1:8">
      <c r="A56" s="125">
        <v>1986</v>
      </c>
      <c r="B56" s="126">
        <v>93236</v>
      </c>
      <c r="C56" s="127">
        <v>84421</v>
      </c>
      <c r="D56" s="127">
        <v>67044</v>
      </c>
      <c r="E56" s="127">
        <v>3949</v>
      </c>
      <c r="F56" s="127">
        <v>9238</v>
      </c>
      <c r="G56" s="127">
        <v>4190</v>
      </c>
      <c r="H56" s="127">
        <v>8815</v>
      </c>
    </row>
    <row r="57" spans="1:8">
      <c r="A57" s="125">
        <v>1987</v>
      </c>
      <c r="B57" s="126">
        <v>105284</v>
      </c>
      <c r="C57" s="127">
        <v>94110</v>
      </c>
      <c r="D57" s="127">
        <v>74537</v>
      </c>
      <c r="E57" s="127">
        <v>3367</v>
      </c>
      <c r="F57" s="127">
        <v>12320</v>
      </c>
      <c r="G57" s="127">
        <v>3886</v>
      </c>
      <c r="H57" s="127">
        <v>11174</v>
      </c>
    </row>
    <row r="58" spans="1:8">
      <c r="A58" s="125">
        <v>1988</v>
      </c>
      <c r="B58" s="126">
        <v>210792</v>
      </c>
      <c r="C58" s="127">
        <v>200017</v>
      </c>
      <c r="D58" s="127">
        <v>184025</v>
      </c>
      <c r="E58" s="127">
        <v>2134</v>
      </c>
      <c r="F58" s="127">
        <v>8723</v>
      </c>
      <c r="G58" s="127">
        <v>5135</v>
      </c>
      <c r="H58" s="127">
        <v>10775</v>
      </c>
    </row>
    <row r="59" spans="1:8">
      <c r="A59" s="125">
        <v>1989</v>
      </c>
      <c r="B59" s="126">
        <v>195117</v>
      </c>
      <c r="C59" s="127">
        <v>185243</v>
      </c>
      <c r="D59" s="127">
        <v>166812</v>
      </c>
      <c r="E59" s="127">
        <v>2180</v>
      </c>
      <c r="F59" s="127">
        <v>9919</v>
      </c>
      <c r="G59" s="127">
        <v>6332</v>
      </c>
      <c r="H59" s="127">
        <v>9874</v>
      </c>
    </row>
    <row r="60" spans="1:8">
      <c r="A60" s="125">
        <v>1990</v>
      </c>
      <c r="B60" s="126">
        <v>248369</v>
      </c>
      <c r="C60" s="127">
        <v>235928</v>
      </c>
      <c r="D60" s="127">
        <v>193439</v>
      </c>
      <c r="E60" s="127">
        <v>9193</v>
      </c>
      <c r="F60" s="127">
        <v>19094</v>
      </c>
      <c r="G60" s="127">
        <v>14202</v>
      </c>
      <c r="H60" s="127">
        <v>12441</v>
      </c>
    </row>
    <row r="61" spans="1:8">
      <c r="A61" s="125">
        <v>1991</v>
      </c>
      <c r="B61" s="126">
        <v>415360</v>
      </c>
      <c r="C61" s="127">
        <v>386920</v>
      </c>
      <c r="D61" s="127">
        <v>328061</v>
      </c>
      <c r="E61" s="127">
        <v>11068</v>
      </c>
      <c r="F61" s="127">
        <v>32860</v>
      </c>
      <c r="G61" s="127">
        <v>14931</v>
      </c>
      <c r="H61" s="127">
        <v>28440</v>
      </c>
    </row>
    <row r="62" spans="1:8">
      <c r="A62" s="125">
        <v>1992</v>
      </c>
      <c r="B62" s="126">
        <v>513671</v>
      </c>
      <c r="C62" s="127">
        <v>483189</v>
      </c>
      <c r="D62" s="127">
        <v>390735</v>
      </c>
      <c r="E62" s="127">
        <v>9578</v>
      </c>
      <c r="F62" s="127">
        <v>64114</v>
      </c>
      <c r="G62" s="127">
        <v>18762</v>
      </c>
      <c r="H62" s="127">
        <v>30482</v>
      </c>
    </row>
    <row r="63" spans="1:8">
      <c r="A63" s="125">
        <v>1993</v>
      </c>
      <c r="B63" s="126">
        <v>1081836</v>
      </c>
      <c r="C63" s="127">
        <v>1015342</v>
      </c>
      <c r="D63" s="127">
        <v>835329</v>
      </c>
      <c r="E63" s="127">
        <v>21347</v>
      </c>
      <c r="F63" s="127">
        <v>142939</v>
      </c>
      <c r="G63" s="127">
        <v>15727</v>
      </c>
      <c r="H63" s="127">
        <v>66494</v>
      </c>
    </row>
    <row r="64" spans="1:8">
      <c r="A64" s="125">
        <v>1994</v>
      </c>
      <c r="B64" s="126">
        <v>3909202</v>
      </c>
      <c r="C64" s="127">
        <v>3691138</v>
      </c>
      <c r="D64" s="127">
        <v>3323388</v>
      </c>
      <c r="E64" s="127">
        <v>41253</v>
      </c>
      <c r="F64" s="127">
        <v>277689</v>
      </c>
      <c r="G64" s="127">
        <v>48808</v>
      </c>
      <c r="H64" s="127">
        <v>218064</v>
      </c>
    </row>
    <row r="65" spans="1:8">
      <c r="A65" s="125">
        <v>1995</v>
      </c>
      <c r="B65" s="126">
        <v>5162567</v>
      </c>
      <c r="C65" s="127">
        <v>4927492</v>
      </c>
      <c r="D65" s="127">
        <v>4348966</v>
      </c>
      <c r="E65" s="127">
        <v>62555</v>
      </c>
      <c r="F65" s="127">
        <v>462693</v>
      </c>
      <c r="G65" s="127">
        <v>53278</v>
      </c>
      <c r="H65" s="127">
        <v>235075</v>
      </c>
    </row>
    <row r="66" spans="1:8">
      <c r="A66" s="125">
        <v>1996</v>
      </c>
      <c r="B66" s="126">
        <v>7705813</v>
      </c>
      <c r="C66" s="127">
        <v>7473288</v>
      </c>
      <c r="D66" s="127">
        <v>6786593</v>
      </c>
      <c r="E66" s="127">
        <v>96437</v>
      </c>
      <c r="F66" s="127">
        <v>534947</v>
      </c>
      <c r="G66" s="127">
        <v>55311</v>
      </c>
      <c r="H66" s="127">
        <v>232525</v>
      </c>
    </row>
    <row r="67" spans="1:8">
      <c r="A67" s="125">
        <v>1997</v>
      </c>
      <c r="B67" s="126">
        <v>8598962</v>
      </c>
      <c r="C67" s="127">
        <v>8357248</v>
      </c>
      <c r="D67" s="127">
        <v>7527127</v>
      </c>
      <c r="E67" s="127">
        <v>115242</v>
      </c>
      <c r="F67" s="127">
        <v>663098</v>
      </c>
      <c r="G67" s="127">
        <v>51781</v>
      </c>
      <c r="H67" s="127">
        <v>241714</v>
      </c>
    </row>
    <row r="68" spans="1:8">
      <c r="A68" s="125">
        <v>1998</v>
      </c>
      <c r="B68" s="126">
        <v>20229104</v>
      </c>
      <c r="C68" s="127">
        <v>19803283</v>
      </c>
      <c r="D68" s="127">
        <v>18502343</v>
      </c>
      <c r="E68" s="127">
        <v>204107</v>
      </c>
      <c r="F68" s="127">
        <v>1008799</v>
      </c>
      <c r="G68" s="127">
        <v>88034</v>
      </c>
      <c r="H68" s="127">
        <v>425821</v>
      </c>
    </row>
    <row r="69" spans="1:8">
      <c r="A69" s="125">
        <v>1999</v>
      </c>
      <c r="B69" s="126">
        <v>66953302</v>
      </c>
      <c r="C69" s="127">
        <v>65693328</v>
      </c>
      <c r="D69" s="127">
        <v>61593383</v>
      </c>
      <c r="E69" s="127">
        <v>760739</v>
      </c>
      <c r="F69" s="127">
        <v>3085017</v>
      </c>
      <c r="G69" s="127">
        <v>254189</v>
      </c>
      <c r="H69" s="127">
        <v>1259974</v>
      </c>
    </row>
    <row r="70" spans="1:8">
      <c r="A70" s="128"/>
      <c r="B70" s="28"/>
      <c r="C70" s="28"/>
      <c r="D70" s="28"/>
      <c r="E70" s="28"/>
      <c r="F70" s="28"/>
      <c r="G70" s="28"/>
      <c r="H70" s="28"/>
    </row>
    <row r="71" spans="1:8">
      <c r="A71" s="135"/>
      <c r="B71" s="52"/>
      <c r="C71" s="52"/>
      <c r="D71" s="52"/>
      <c r="E71" s="52"/>
      <c r="F71" s="52"/>
      <c r="G71" s="52"/>
      <c r="H71" s="52"/>
    </row>
    <row r="72" spans="1:8">
      <c r="A72" s="120"/>
    </row>
    <row r="73" spans="1:8">
      <c r="A73" s="134"/>
    </row>
    <row r="74" spans="1:8">
      <c r="A74" s="100" t="s">
        <v>179</v>
      </c>
      <c r="C74" s="100"/>
    </row>
    <row r="75" spans="1:8">
      <c r="A75" s="120"/>
    </row>
    <row r="76" spans="1:8">
      <c r="A76" s="120"/>
    </row>
  </sheetData>
  <mergeCells count="3">
    <mergeCell ref="A1:H1"/>
    <mergeCell ref="A2:H2"/>
    <mergeCell ref="A3:H3"/>
  </mergeCells>
  <hyperlinks>
    <hyperlink ref="A74:C74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verticalDpi="599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0"/>
  <sheetViews>
    <sheetView showGridLines="0" zoomScaleNormal="100" workbookViewId="0">
      <selection sqref="A1:H1"/>
    </sheetView>
  </sheetViews>
  <sheetFormatPr baseColWidth="10" defaultRowHeight="12.75"/>
  <cols>
    <col min="1" max="1" width="11.42578125" style="129"/>
    <col min="2" max="8" width="15.7109375" style="129" customWidth="1"/>
    <col min="9" max="16384" width="11.42578125" style="129"/>
  </cols>
  <sheetData>
    <row r="1" spans="1:9">
      <c r="A1" s="171" t="s">
        <v>223</v>
      </c>
      <c r="B1" s="168"/>
      <c r="C1" s="168"/>
      <c r="D1" s="168"/>
      <c r="E1" s="168"/>
      <c r="F1" s="168"/>
      <c r="G1" s="168"/>
      <c r="H1" s="168"/>
    </row>
    <row r="2" spans="1:9">
      <c r="A2" s="171" t="s">
        <v>227</v>
      </c>
      <c r="B2" s="168"/>
      <c r="C2" s="168"/>
      <c r="D2" s="168"/>
      <c r="E2" s="168"/>
      <c r="F2" s="168"/>
      <c r="G2" s="168"/>
      <c r="H2" s="168"/>
    </row>
    <row r="3" spans="1:9">
      <c r="A3" s="171" t="s">
        <v>218</v>
      </c>
      <c r="B3" s="168"/>
      <c r="C3" s="168"/>
      <c r="D3" s="168"/>
      <c r="E3" s="168"/>
      <c r="F3" s="168"/>
      <c r="G3" s="168"/>
      <c r="H3" s="168"/>
    </row>
    <row r="4" spans="1:9">
      <c r="A4" s="5"/>
      <c r="B4" s="5"/>
      <c r="C4" s="5"/>
      <c r="D4" s="5"/>
      <c r="E4" s="5"/>
      <c r="F4" s="5"/>
      <c r="G4" s="5"/>
      <c r="H4" s="5"/>
    </row>
    <row r="5" spans="1:9" ht="36.75" customHeight="1">
      <c r="A5" s="116" t="s">
        <v>8</v>
      </c>
      <c r="B5" s="117" t="s">
        <v>68</v>
      </c>
      <c r="C5" s="117" t="s">
        <v>168</v>
      </c>
      <c r="D5" s="117" t="s">
        <v>169</v>
      </c>
      <c r="E5" s="117" t="s">
        <v>170</v>
      </c>
      <c r="F5" s="117" t="s">
        <v>171</v>
      </c>
      <c r="G5" s="117" t="s">
        <v>172</v>
      </c>
      <c r="H5" s="118" t="s">
        <v>173</v>
      </c>
    </row>
    <row r="6" spans="1:9">
      <c r="A6" s="132"/>
      <c r="B6" s="12" t="s">
        <v>174</v>
      </c>
      <c r="C6" s="12" t="s">
        <v>175</v>
      </c>
      <c r="D6" s="12" t="s">
        <v>176</v>
      </c>
      <c r="E6" s="12" t="s">
        <v>17</v>
      </c>
      <c r="F6" s="12" t="s">
        <v>18</v>
      </c>
      <c r="G6" s="12" t="s">
        <v>177</v>
      </c>
      <c r="H6" s="37" t="s">
        <v>178</v>
      </c>
    </row>
    <row r="7" spans="1:9">
      <c r="A7" s="120"/>
      <c r="B7" s="5"/>
      <c r="C7" s="124"/>
      <c r="D7" s="124"/>
      <c r="E7" s="124"/>
      <c r="F7" s="124"/>
      <c r="G7" s="124"/>
      <c r="H7" s="124"/>
    </row>
    <row r="8" spans="1:9">
      <c r="A8" s="125">
        <v>1988</v>
      </c>
      <c r="B8" s="127">
        <v>464.1</v>
      </c>
      <c r="C8" s="127">
        <v>440.4</v>
      </c>
      <c r="D8" s="127">
        <v>405.2</v>
      </c>
      <c r="E8" s="127">
        <v>4.7</v>
      </c>
      <c r="F8" s="127">
        <v>19.2</v>
      </c>
      <c r="G8" s="127">
        <v>11.3</v>
      </c>
      <c r="H8" s="127">
        <v>23.7</v>
      </c>
      <c r="I8" s="130"/>
    </row>
    <row r="9" spans="1:9">
      <c r="A9" s="125">
        <v>1989</v>
      </c>
      <c r="B9" s="127">
        <v>297.89999999999998</v>
      </c>
      <c r="C9" s="127">
        <v>282.8</v>
      </c>
      <c r="D9" s="127">
        <v>254.7</v>
      </c>
      <c r="E9" s="127">
        <v>3.3</v>
      </c>
      <c r="F9" s="127">
        <v>15.1</v>
      </c>
      <c r="G9" s="127">
        <v>9.6999999999999993</v>
      </c>
      <c r="H9" s="127">
        <v>15.1</v>
      </c>
      <c r="I9" s="130"/>
    </row>
    <row r="10" spans="1:9">
      <c r="A10" s="125">
        <v>1990</v>
      </c>
      <c r="B10" s="127">
        <v>278.2</v>
      </c>
      <c r="C10" s="127">
        <v>264.2</v>
      </c>
      <c r="D10" s="127">
        <v>216.3</v>
      </c>
      <c r="E10" s="127">
        <v>10.4</v>
      </c>
      <c r="F10" s="127">
        <v>21.5</v>
      </c>
      <c r="G10" s="127">
        <v>16</v>
      </c>
      <c r="H10" s="127">
        <v>14</v>
      </c>
      <c r="I10" s="130"/>
    </row>
    <row r="11" spans="1:9">
      <c r="A11" s="125">
        <v>1991</v>
      </c>
      <c r="B11" s="127">
        <v>323.7</v>
      </c>
      <c r="C11" s="127">
        <v>301.5</v>
      </c>
      <c r="D11" s="127">
        <v>255.7</v>
      </c>
      <c r="E11" s="127">
        <v>8.6</v>
      </c>
      <c r="F11" s="127">
        <v>25.6</v>
      </c>
      <c r="G11" s="127">
        <v>11.6</v>
      </c>
      <c r="H11" s="127">
        <v>22.2</v>
      </c>
      <c r="I11" s="130"/>
    </row>
    <row r="12" spans="1:9">
      <c r="A12" s="125">
        <v>1992</v>
      </c>
      <c r="B12" s="127">
        <v>256.8</v>
      </c>
      <c r="C12" s="127">
        <v>241.6</v>
      </c>
      <c r="D12" s="127">
        <v>195.3</v>
      </c>
      <c r="E12" s="127">
        <v>4.8</v>
      </c>
      <c r="F12" s="127">
        <v>32.1</v>
      </c>
      <c r="G12" s="127">
        <v>9.4</v>
      </c>
      <c r="H12" s="127">
        <v>15.2</v>
      </c>
      <c r="I12" s="130"/>
    </row>
    <row r="13" spans="1:9">
      <c r="A13" s="125">
        <v>1993</v>
      </c>
      <c r="B13" s="127">
        <v>533.20000000000005</v>
      </c>
      <c r="C13" s="127">
        <v>500.4</v>
      </c>
      <c r="D13" s="127">
        <v>411.7</v>
      </c>
      <c r="E13" s="127">
        <v>10.5</v>
      </c>
      <c r="F13" s="127">
        <v>70.400000000000006</v>
      </c>
      <c r="G13" s="127">
        <v>7.8</v>
      </c>
      <c r="H13" s="127">
        <v>32.799999999999997</v>
      </c>
      <c r="I13" s="130"/>
    </row>
    <row r="14" spans="1:9">
      <c r="A14" s="125">
        <v>1994</v>
      </c>
      <c r="B14" s="127">
        <v>1701.9</v>
      </c>
      <c r="C14" s="127">
        <v>1607</v>
      </c>
      <c r="D14" s="127">
        <v>1446.9</v>
      </c>
      <c r="E14" s="127">
        <v>18</v>
      </c>
      <c r="F14" s="127">
        <v>120.9</v>
      </c>
      <c r="G14" s="127">
        <v>21.2</v>
      </c>
      <c r="H14" s="127">
        <v>94.9</v>
      </c>
      <c r="I14" s="130"/>
    </row>
    <row r="15" spans="1:9">
      <c r="A15" s="125">
        <v>1995</v>
      </c>
      <c r="B15" s="127">
        <v>1766.8</v>
      </c>
      <c r="C15" s="127">
        <v>1686.3</v>
      </c>
      <c r="D15" s="127">
        <v>1488.4</v>
      </c>
      <c r="E15" s="127">
        <v>21.4</v>
      </c>
      <c r="F15" s="127">
        <v>158.30000000000001</v>
      </c>
      <c r="G15" s="127">
        <v>18.2</v>
      </c>
      <c r="H15" s="127">
        <v>80.5</v>
      </c>
      <c r="I15" s="130"/>
    </row>
    <row r="16" spans="1:9">
      <c r="A16" s="125">
        <v>1996</v>
      </c>
      <c r="B16" s="127">
        <v>2224.5</v>
      </c>
      <c r="C16" s="127">
        <v>2160.4</v>
      </c>
      <c r="D16" s="127">
        <v>1971.1</v>
      </c>
      <c r="E16" s="127">
        <v>26.6</v>
      </c>
      <c r="F16" s="127">
        <v>147.5</v>
      </c>
      <c r="G16" s="127">
        <v>15.2</v>
      </c>
      <c r="H16" s="127">
        <v>64.099999999999994</v>
      </c>
      <c r="I16" s="130"/>
    </row>
    <row r="17" spans="1:9">
      <c r="A17" s="125">
        <v>1997</v>
      </c>
      <c r="B17" s="127">
        <v>1937.4</v>
      </c>
      <c r="C17" s="127">
        <v>1882.9</v>
      </c>
      <c r="D17" s="127">
        <v>1696.1</v>
      </c>
      <c r="E17" s="127">
        <v>26</v>
      </c>
      <c r="F17" s="127">
        <v>149.4</v>
      </c>
      <c r="G17" s="127">
        <v>11.4</v>
      </c>
      <c r="H17" s="127">
        <v>54.5</v>
      </c>
      <c r="I17" s="130"/>
    </row>
    <row r="18" spans="1:9">
      <c r="A18" s="125">
        <v>1998</v>
      </c>
      <c r="B18" s="127">
        <v>2755</v>
      </c>
      <c r="C18" s="127">
        <v>2689.7</v>
      </c>
      <c r="D18" s="127">
        <v>2490.1999999999998</v>
      </c>
      <c r="E18" s="127">
        <v>31.3</v>
      </c>
      <c r="F18" s="127">
        <v>154.69999999999999</v>
      </c>
      <c r="G18" s="127">
        <v>13.5</v>
      </c>
      <c r="H18" s="127">
        <v>65.3</v>
      </c>
      <c r="I18" s="130"/>
    </row>
    <row r="19" spans="1:9">
      <c r="A19" s="125">
        <v>1999</v>
      </c>
      <c r="B19" s="127">
        <v>3371.9</v>
      </c>
      <c r="C19" s="127">
        <v>3303</v>
      </c>
      <c r="D19" s="127">
        <v>3078.8</v>
      </c>
      <c r="E19" s="127">
        <v>41.6</v>
      </c>
      <c r="F19" s="127">
        <v>168.7</v>
      </c>
      <c r="G19" s="127">
        <v>13.9</v>
      </c>
      <c r="H19" s="127">
        <v>68.900000000000006</v>
      </c>
      <c r="I19" s="130"/>
    </row>
    <row r="20" spans="1:9">
      <c r="A20" s="125">
        <v>2000</v>
      </c>
      <c r="B20" s="127">
        <v>3127.2</v>
      </c>
      <c r="C20" s="127">
        <v>3057.7</v>
      </c>
      <c r="D20" s="127">
        <v>2832.5</v>
      </c>
      <c r="E20" s="127">
        <v>43.3</v>
      </c>
      <c r="F20" s="127">
        <v>167.9</v>
      </c>
      <c r="G20" s="127">
        <v>14</v>
      </c>
      <c r="H20" s="127">
        <v>69.5</v>
      </c>
      <c r="I20" s="130"/>
    </row>
    <row r="21" spans="1:9">
      <c r="A21" s="125">
        <v>2001</v>
      </c>
      <c r="B21" s="127">
        <v>3116.7</v>
      </c>
      <c r="C21" s="127">
        <v>3040.6</v>
      </c>
      <c r="D21" s="127">
        <v>2801.4</v>
      </c>
      <c r="E21" s="127">
        <v>47</v>
      </c>
      <c r="F21" s="127">
        <v>177.9</v>
      </c>
      <c r="G21" s="127">
        <v>14.3</v>
      </c>
      <c r="H21" s="127">
        <v>76.099999999999994</v>
      </c>
      <c r="I21" s="130"/>
    </row>
    <row r="22" spans="1:9">
      <c r="A22" s="125">
        <v>2002</v>
      </c>
      <c r="B22" s="127">
        <v>3061.7</v>
      </c>
      <c r="C22" s="127">
        <v>3006.6</v>
      </c>
      <c r="D22" s="127">
        <v>2771.1</v>
      </c>
      <c r="E22" s="127">
        <v>48.5</v>
      </c>
      <c r="F22" s="127">
        <v>173.7</v>
      </c>
      <c r="G22" s="127">
        <v>13.3</v>
      </c>
      <c r="H22" s="127">
        <v>55.1</v>
      </c>
      <c r="I22" s="130"/>
    </row>
    <row r="23" spans="1:9">
      <c r="A23" s="125">
        <v>2003</v>
      </c>
      <c r="B23" s="127">
        <v>3294.5</v>
      </c>
      <c r="C23" s="127">
        <v>3253.8</v>
      </c>
      <c r="D23" s="127">
        <v>3016.2</v>
      </c>
      <c r="E23" s="127">
        <v>38.5</v>
      </c>
      <c r="F23" s="127">
        <v>185.8</v>
      </c>
      <c r="G23" s="127">
        <v>13.3</v>
      </c>
      <c r="H23" s="127">
        <v>40.700000000000003</v>
      </c>
      <c r="I23" s="130"/>
    </row>
    <row r="24" spans="1:9">
      <c r="A24" s="125">
        <v>2004</v>
      </c>
      <c r="B24" s="127">
        <v>3782.8</v>
      </c>
      <c r="C24" s="127">
        <v>3738</v>
      </c>
      <c r="D24" s="127">
        <v>3489.1</v>
      </c>
      <c r="E24" s="127">
        <v>41.8</v>
      </c>
      <c r="F24" s="127">
        <v>193.8</v>
      </c>
      <c r="G24" s="127">
        <v>13.3</v>
      </c>
      <c r="H24" s="127">
        <v>44.8</v>
      </c>
      <c r="I24" s="130"/>
    </row>
    <row r="25" spans="1:9">
      <c r="A25" s="125">
        <v>2005</v>
      </c>
      <c r="B25" s="127">
        <v>3977.06</v>
      </c>
      <c r="C25" s="127">
        <v>3934.26</v>
      </c>
      <c r="D25" s="127">
        <v>3686.26</v>
      </c>
      <c r="E25" s="127">
        <v>39.5</v>
      </c>
      <c r="F25" s="127">
        <v>193.8</v>
      </c>
      <c r="G25" s="127">
        <v>14.7</v>
      </c>
      <c r="H25" s="127">
        <v>42.8</v>
      </c>
      <c r="I25" s="130"/>
    </row>
    <row r="26" spans="1:9">
      <c r="A26" s="125">
        <v>2006</v>
      </c>
      <c r="B26" s="127">
        <v>3588.03</v>
      </c>
      <c r="C26" s="127">
        <v>3543.74</v>
      </c>
      <c r="D26" s="127">
        <v>3277.64</v>
      </c>
      <c r="E26" s="127">
        <v>46.8</v>
      </c>
      <c r="F26" s="127">
        <v>203.3</v>
      </c>
      <c r="G26" s="127">
        <v>16</v>
      </c>
      <c r="H26" s="127">
        <v>44.29</v>
      </c>
      <c r="I26" s="130"/>
    </row>
    <row r="27" spans="1:9">
      <c r="A27" s="125">
        <v>2007</v>
      </c>
      <c r="B27" s="127">
        <v>3798.6390545600029</v>
      </c>
      <c r="C27" s="127">
        <v>3753.775409560003</v>
      </c>
      <c r="D27" s="127">
        <v>3240.081981560003</v>
      </c>
      <c r="E27" s="127">
        <v>64.378428000000014</v>
      </c>
      <c r="F27" s="127">
        <v>181.8</v>
      </c>
      <c r="G27" s="127">
        <v>267.51499999999999</v>
      </c>
      <c r="H27" s="127">
        <v>44.863644999999998</v>
      </c>
      <c r="I27" s="130"/>
    </row>
    <row r="28" spans="1:9">
      <c r="A28" s="125">
        <v>2008</v>
      </c>
      <c r="B28" s="127">
        <v>4329.2342167970037</v>
      </c>
      <c r="C28" s="127">
        <v>4280.5425717970038</v>
      </c>
      <c r="D28" s="127">
        <v>3645.4169815600039</v>
      </c>
      <c r="E28" s="127">
        <v>166.05642800000001</v>
      </c>
      <c r="F28" s="127">
        <v>246.82500000000005</v>
      </c>
      <c r="G28" s="127">
        <v>222.24416223699995</v>
      </c>
      <c r="H28" s="127">
        <v>48.691644999999994</v>
      </c>
      <c r="I28" s="130"/>
    </row>
    <row r="29" spans="1:9">
      <c r="A29" s="125">
        <v>2009</v>
      </c>
      <c r="B29" s="127">
        <v>3669.7672167970049</v>
      </c>
      <c r="C29" s="127">
        <v>3622.327571797005</v>
      </c>
      <c r="D29" s="127">
        <v>2842.2429815600049</v>
      </c>
      <c r="E29" s="127">
        <v>220.34142800000001</v>
      </c>
      <c r="F29" s="127">
        <v>339.87300000000005</v>
      </c>
      <c r="G29" s="127">
        <v>219.87016223699996</v>
      </c>
      <c r="H29" s="127">
        <v>47.439644999999999</v>
      </c>
      <c r="I29" s="130"/>
    </row>
    <row r="30" spans="1:9">
      <c r="A30" s="125">
        <v>2010</v>
      </c>
      <c r="B30" s="127">
        <v>5584.9807707970058</v>
      </c>
      <c r="C30" s="127">
        <v>5532.6728127970055</v>
      </c>
      <c r="D30" s="127">
        <v>4664.9857465600053</v>
      </c>
      <c r="E30" s="127">
        <v>245.62179400000002</v>
      </c>
      <c r="F30" s="127">
        <v>398.09253600000005</v>
      </c>
      <c r="G30" s="127">
        <v>223.97273623699996</v>
      </c>
      <c r="H30" s="127">
        <v>52.307957999999999</v>
      </c>
      <c r="I30" s="130"/>
    </row>
    <row r="31" spans="1:9">
      <c r="A31" s="125">
        <v>2011</v>
      </c>
      <c r="B31" s="127">
        <v>5543.7606002370003</v>
      </c>
      <c r="C31" s="127">
        <v>5465.9040402370001</v>
      </c>
      <c r="D31" s="127">
        <v>4506.4573650000002</v>
      </c>
      <c r="E31" s="127">
        <v>280.57809800000001</v>
      </c>
      <c r="F31" s="127">
        <v>455.26404800000006</v>
      </c>
      <c r="G31" s="127">
        <v>223.60452923699995</v>
      </c>
      <c r="H31" s="127">
        <v>77.856560000000002</v>
      </c>
      <c r="I31" s="130"/>
    </row>
    <row r="32" spans="1:9">
      <c r="A32" s="125">
        <v>2012</v>
      </c>
      <c r="B32" s="127">
        <v>8903.2047942369991</v>
      </c>
      <c r="C32" s="127">
        <v>8824.9068962369984</v>
      </c>
      <c r="D32" s="127">
        <v>7780.5123919999996</v>
      </c>
      <c r="E32" s="127">
        <v>285.50815800000004</v>
      </c>
      <c r="F32" s="127">
        <v>535.67418900000007</v>
      </c>
      <c r="G32" s="127">
        <v>223.21215723699996</v>
      </c>
      <c r="H32" s="127">
        <v>78.297898000000004</v>
      </c>
      <c r="I32" s="130"/>
    </row>
    <row r="33" spans="1:9">
      <c r="A33" s="125">
        <v>2013</v>
      </c>
      <c r="B33" s="127">
        <v>11087.605923237001</v>
      </c>
      <c r="C33" s="127">
        <v>10950.798249237001</v>
      </c>
      <c r="D33" s="127">
        <v>9926.5533680000008</v>
      </c>
      <c r="E33" s="127">
        <v>252.86749200000003</v>
      </c>
      <c r="F33" s="127">
        <v>550.14260400000012</v>
      </c>
      <c r="G33" s="127">
        <v>221.23478523699995</v>
      </c>
      <c r="H33" s="127">
        <v>136.80767400000002</v>
      </c>
      <c r="I33" s="130"/>
    </row>
    <row r="34" spans="1:9">
      <c r="A34" s="125">
        <v>2014</v>
      </c>
      <c r="B34" s="127">
        <v>13802.271265236997</v>
      </c>
      <c r="C34" s="127">
        <v>13652.445940236998</v>
      </c>
      <c r="D34" s="127">
        <v>12558.32648</v>
      </c>
      <c r="E34" s="127">
        <v>276.98197100000004</v>
      </c>
      <c r="F34" s="127">
        <v>591.74594100000013</v>
      </c>
      <c r="G34" s="127">
        <v>225.39154823699997</v>
      </c>
      <c r="H34" s="127">
        <v>149.82532500000002</v>
      </c>
      <c r="I34" s="130"/>
    </row>
    <row r="35" spans="1:9">
      <c r="A35" s="125">
        <v>2015</v>
      </c>
      <c r="B35" s="127">
        <v>14084.648320236998</v>
      </c>
      <c r="C35" s="127">
        <v>13828.820292236998</v>
      </c>
      <c r="D35" s="127">
        <v>12546.014009</v>
      </c>
      <c r="E35" s="127">
        <v>286.66415700000005</v>
      </c>
      <c r="F35" s="127">
        <v>768.6528790000001</v>
      </c>
      <c r="G35" s="127">
        <v>227.48924723699997</v>
      </c>
      <c r="H35" s="127">
        <v>255.82802800000002</v>
      </c>
      <c r="I35" s="130"/>
    </row>
    <row r="36" spans="1:9">
      <c r="A36" s="131"/>
      <c r="B36" s="131"/>
      <c r="C36" s="131"/>
      <c r="D36" s="131"/>
      <c r="E36" s="131"/>
      <c r="F36" s="131"/>
      <c r="G36" s="131"/>
      <c r="H36" s="131"/>
    </row>
    <row r="38" spans="1:9">
      <c r="A38" s="133"/>
    </row>
    <row r="39" spans="1:9">
      <c r="A39" s="134"/>
    </row>
    <row r="40" spans="1:9">
      <c r="A40" s="134" t="s">
        <v>179</v>
      </c>
    </row>
  </sheetData>
  <mergeCells count="3">
    <mergeCell ref="A1:H1"/>
    <mergeCell ref="A2:H2"/>
    <mergeCell ref="A3:H3"/>
  </mergeCells>
  <hyperlinks>
    <hyperlink ref="A40" location="'indice cap.3'!A1" display="regresa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2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indice cap.3</vt:lpstr>
      <vt:lpstr>3.1</vt:lpstr>
      <vt:lpstr>3.2</vt:lpstr>
      <vt:lpstr>3.3</vt:lpstr>
      <vt:lpstr>3.4</vt:lpstr>
      <vt:lpstr>3.4cont</vt:lpstr>
      <vt:lpstr>3.5</vt:lpstr>
      <vt:lpstr>3.6</vt:lpstr>
      <vt:lpstr>3.7</vt:lpstr>
      <vt:lpstr>3.8</vt:lpstr>
      <vt:lpstr>'3.2'!Área_de_impresión</vt:lpstr>
      <vt:lpstr>'3.3'!Área_de_impresión</vt:lpstr>
      <vt:lpstr>'3.4'!Área_de_impresión</vt:lpstr>
      <vt:lpstr>'3.4cont'!Área_de_impresión</vt:lpstr>
      <vt:lpstr>'3.5'!Área_de_impresión</vt:lpstr>
      <vt:lpstr>'3.6'!Área_de_impresión</vt:lpstr>
      <vt:lpstr>'3.7'!Área_de_impresión</vt:lpstr>
      <vt:lpstr>'3.8'!Área_de_impresión</vt:lpstr>
      <vt:lpstr>'indice cap.3'!Área_de_impresión</vt:lpstr>
    </vt:vector>
  </TitlesOfParts>
  <Company>Banco Central del Ecuador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Dayana Galarraga Villalba</dc:creator>
  <cp:lastModifiedBy>opazmino</cp:lastModifiedBy>
  <cp:lastPrinted>2012-06-04T19:03:15Z</cp:lastPrinted>
  <dcterms:created xsi:type="dcterms:W3CDTF">2008-04-14T20:41:23Z</dcterms:created>
  <dcterms:modified xsi:type="dcterms:W3CDTF">2017-08-23T17:47:17Z</dcterms:modified>
</cp:coreProperties>
</file>