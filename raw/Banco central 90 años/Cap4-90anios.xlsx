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245" yWindow="-15" windowWidth="10290" windowHeight="7080" tabRatio="0"/>
  </bookViews>
  <sheets>
    <sheet name="Indice cap.4" sheetId="1" r:id="rId1"/>
    <sheet name="4.1" sheetId="34" r:id="rId2"/>
    <sheet name="4.2" sheetId="35" r:id="rId3"/>
    <sheet name="4.3" sheetId="36" r:id="rId4"/>
    <sheet name="4.4" sheetId="37" r:id="rId5"/>
    <sheet name="4.5" sheetId="38" r:id="rId6"/>
    <sheet name="4.6" sheetId="39" r:id="rId7"/>
    <sheet name="4.7" sheetId="6" r:id="rId8"/>
    <sheet name="4.7.a" sheetId="30" r:id="rId9"/>
    <sheet name="4.8" sheetId="7" r:id="rId10"/>
    <sheet name="4.8.a" sheetId="8" r:id="rId11"/>
    <sheet name="4.8.b" sheetId="27" r:id="rId12"/>
    <sheet name="4.9" sheetId="9" r:id="rId13"/>
    <sheet name="4.9.a" sheetId="31" r:id="rId14"/>
    <sheet name="4.10" sheetId="10" r:id="rId15"/>
    <sheet name="4.10.a" sheetId="13" r:id="rId16"/>
    <sheet name="4.10.b" sheetId="28" r:id="rId17"/>
    <sheet name="4.11" sheetId="11" r:id="rId18"/>
    <sheet name="4.12" sheetId="12" r:id="rId19"/>
    <sheet name="4.13" sheetId="40" r:id="rId20"/>
    <sheet name="4.14" sheetId="15" r:id="rId21"/>
    <sheet name="4.15" sheetId="16" r:id="rId22"/>
    <sheet name="4.16" sheetId="17" r:id="rId23"/>
    <sheet name="4.17" sheetId="18" r:id="rId24"/>
    <sheet name="4.18" sheetId="19" r:id="rId25"/>
    <sheet name="4.18.a" sheetId="26" r:id="rId26"/>
    <sheet name="4.19" sheetId="32" r:id="rId27"/>
    <sheet name="4.20" sheetId="33" r:id="rId28"/>
    <sheet name="4.21" sheetId="41" r:id="rId29"/>
    <sheet name="4.22" sheetId="42" r:id="rId30"/>
    <sheet name="4.23" sheetId="43" r:id="rId31"/>
    <sheet name="4.24" sheetId="44" r:id="rId32"/>
    <sheet name="4.25" sheetId="45" r:id="rId33"/>
    <sheet name="4.26" sheetId="46" r:id="rId34"/>
  </sheets>
  <externalReferences>
    <externalReference r:id="rId35"/>
  </externalReferences>
  <definedNames>
    <definedName name="_xlnm.Print_Area" localSheetId="0">'Indice cap.4'!$A$1:$H$43</definedName>
  </definedNames>
  <calcPr calcId="125725"/>
</workbook>
</file>

<file path=xl/calcChain.xml><?xml version="1.0" encoding="utf-8"?>
<calcChain xmlns="http://schemas.openxmlformats.org/spreadsheetml/2006/main">
  <c r="B48" i="39"/>
  <c r="J58" i="37"/>
  <c r="I58"/>
  <c r="H58"/>
  <c r="G58"/>
  <c r="F58"/>
  <c r="E58"/>
  <c r="D58"/>
  <c r="C58"/>
  <c r="B58"/>
  <c r="J57"/>
  <c r="I57"/>
  <c r="H57"/>
  <c r="G57"/>
  <c r="F57"/>
  <c r="E57"/>
  <c r="D57"/>
  <c r="C57"/>
  <c r="B57"/>
  <c r="J56"/>
  <c r="I56"/>
  <c r="H56"/>
  <c r="G56"/>
  <c r="F56"/>
  <c r="E56"/>
  <c r="D56"/>
  <c r="C56"/>
  <c r="B56"/>
  <c r="J55"/>
  <c r="I55"/>
  <c r="H55"/>
  <c r="G55"/>
  <c r="F55"/>
  <c r="E55"/>
  <c r="D55"/>
  <c r="C55"/>
  <c r="B55"/>
  <c r="J54"/>
  <c r="I54"/>
  <c r="H54"/>
  <c r="G54"/>
  <c r="F54"/>
  <c r="E54"/>
  <c r="D54"/>
  <c r="C54"/>
  <c r="B54"/>
  <c r="J53"/>
  <c r="I53"/>
  <c r="H53"/>
  <c r="G53"/>
  <c r="F53"/>
  <c r="E53"/>
  <c r="D53"/>
  <c r="C53"/>
  <c r="B53"/>
  <c r="J52"/>
  <c r="I52"/>
  <c r="H52"/>
  <c r="G52"/>
  <c r="F52"/>
  <c r="E52"/>
  <c r="D52"/>
  <c r="C52"/>
  <c r="B52"/>
  <c r="J51"/>
  <c r="I51"/>
  <c r="H51"/>
  <c r="G51"/>
  <c r="F51"/>
  <c r="E51"/>
  <c r="D51"/>
  <c r="C51"/>
  <c r="B51"/>
  <c r="J50"/>
  <c r="I50"/>
  <c r="H50"/>
  <c r="G50"/>
  <c r="F50"/>
  <c r="E50"/>
  <c r="D50"/>
  <c r="C50"/>
  <c r="B50"/>
  <c r="J49"/>
  <c r="I49"/>
  <c r="H49"/>
  <c r="G49"/>
  <c r="F49"/>
  <c r="E49"/>
  <c r="D49"/>
  <c r="C49"/>
  <c r="B49"/>
  <c r="J48"/>
  <c r="I48"/>
  <c r="H48"/>
  <c r="G48"/>
  <c r="F48"/>
  <c r="E48"/>
  <c r="D48"/>
  <c r="C48"/>
  <c r="B48"/>
  <c r="N8" i="28"/>
  <c r="M8"/>
  <c r="L8"/>
  <c r="K8"/>
  <c r="J8"/>
  <c r="I8"/>
  <c r="H8"/>
  <c r="G8"/>
  <c r="F8"/>
  <c r="E8"/>
  <c r="D8"/>
  <c r="C8"/>
  <c r="B8"/>
</calcChain>
</file>

<file path=xl/sharedStrings.xml><?xml version="1.0" encoding="utf-8"?>
<sst xmlns="http://schemas.openxmlformats.org/spreadsheetml/2006/main" count="2330" uniqueCount="1526">
  <si>
    <t>(Familias de ingresos bajos, medios y altos de Quito, Guayaquil y Cuenca) (2)</t>
  </si>
  <si>
    <t>Base: enero - diciembre de 2004 = 100</t>
  </si>
  <si>
    <t>Año</t>
  </si>
  <si>
    <t>Por ciudades</t>
  </si>
  <si>
    <t>Nacional</t>
  </si>
  <si>
    <t>Quito</t>
  </si>
  <si>
    <t>Guayaquil</t>
  </si>
  <si>
    <t>Cuenca</t>
  </si>
  <si>
    <t>Alimentos</t>
  </si>
  <si>
    <t>Vivienda</t>
  </si>
  <si>
    <t>Indumentaria</t>
  </si>
  <si>
    <t>Diversos</t>
  </si>
  <si>
    <t>De las familias de ingresos bajos y medios</t>
  </si>
  <si>
    <t>Base: septiembre 1994 - agosto 1995 = 100</t>
  </si>
  <si>
    <t>Alimentos, bebidas y tabaco</t>
  </si>
  <si>
    <t>Vestido y calzado</t>
  </si>
  <si>
    <t>Alquiler, agua, electricidad, gas y otros combustibles</t>
  </si>
  <si>
    <t>Muebles, equipamiento y mantenimiento de la vivienda</t>
  </si>
  <si>
    <t>Salud</t>
  </si>
  <si>
    <t>Transporte</t>
  </si>
  <si>
    <t>Esparcimiento y cultura</t>
  </si>
  <si>
    <t>Educación</t>
  </si>
  <si>
    <t>Hoteles, cafeterías y restaurantes</t>
  </si>
  <si>
    <t>Bienes y servicios misceláneos</t>
  </si>
  <si>
    <t>De las familias de ingresos bajos, medios y altos</t>
  </si>
  <si>
    <t>Base: enero - diciembre 2004 = 100</t>
  </si>
  <si>
    <t>Prendas de Vestir y calzado</t>
  </si>
  <si>
    <t>Alojamiento, agua, gas, electricidad y otros</t>
  </si>
  <si>
    <t>Muebles, artículos para el hogar y conservación ordinaria</t>
  </si>
  <si>
    <t>Comunicaciones</t>
  </si>
  <si>
    <t>Recreación y Cultura</t>
  </si>
  <si>
    <t>Restaurantes y Hoteles</t>
  </si>
  <si>
    <t>Familias de ingresos bajos y medios</t>
  </si>
  <si>
    <t>Base: septiembre, 1994 - agosto, 1995 = 100</t>
  </si>
  <si>
    <t>GENERAL</t>
  </si>
  <si>
    <t xml:space="preserve">Alimentos Bebidas y Tabaco </t>
  </si>
  <si>
    <t xml:space="preserve">Vestido y Calzado </t>
  </si>
  <si>
    <t xml:space="preserve">Alquiler, Agua, Gas, Electricidad y otros </t>
  </si>
  <si>
    <t xml:space="preserve">Muebles, Equipamiento, Mantenimiento de Vivienda </t>
  </si>
  <si>
    <t xml:space="preserve">Salud </t>
  </si>
  <si>
    <t xml:space="preserve">Transporte </t>
  </si>
  <si>
    <t xml:space="preserve">Esparcimiento y Cultura </t>
  </si>
  <si>
    <t xml:space="preserve">Educación </t>
  </si>
  <si>
    <t xml:space="preserve">Hoteles, Cafeterías y Restaurantes </t>
  </si>
  <si>
    <t xml:space="preserve">Bienes y Servicios Misceláneos </t>
  </si>
  <si>
    <t>Valores de las UVC (1)</t>
  </si>
  <si>
    <t>-</t>
  </si>
  <si>
    <t>De las familias de ingresos altos, medios y bajos</t>
  </si>
  <si>
    <t>Muebles y artículos para el hogar y conservación ordinaria</t>
  </si>
  <si>
    <t>Región</t>
  </si>
  <si>
    <t>Incrementos</t>
  </si>
  <si>
    <t xml:space="preserve"> -en sucres-</t>
  </si>
  <si>
    <t>mensual</t>
  </si>
  <si>
    <t>diario</t>
  </si>
  <si>
    <t>4-II-1937</t>
  </si>
  <si>
    <t>Obrero manual</t>
  </si>
  <si>
    <t>Sierra</t>
  </si>
  <si>
    <t>mínimo 1,00</t>
  </si>
  <si>
    <t>Costa</t>
  </si>
  <si>
    <t>mínimo 2,00</t>
  </si>
  <si>
    <t>mínimo 1,50</t>
  </si>
  <si>
    <t>Trabajador agrícola</t>
  </si>
  <si>
    <t>mínimo 0,65</t>
  </si>
  <si>
    <t>mínimo 1,20</t>
  </si>
  <si>
    <t>14-II-1942</t>
  </si>
  <si>
    <t>Empleados privados</t>
  </si>
  <si>
    <t xml:space="preserve">incremento </t>
  </si>
  <si>
    <t>y obreros</t>
  </si>
  <si>
    <t>del 25%</t>
  </si>
  <si>
    <t>hasta 100</t>
  </si>
  <si>
    <t>hasta 3,0</t>
  </si>
  <si>
    <t>del 20%</t>
  </si>
  <si>
    <t>101 a 200</t>
  </si>
  <si>
    <t>3,05 a 6,00</t>
  </si>
  <si>
    <t>del 15%</t>
  </si>
  <si>
    <t>201 a 300</t>
  </si>
  <si>
    <t>6,05 a 10,00</t>
  </si>
  <si>
    <t>del 10%</t>
  </si>
  <si>
    <t>301 a 500</t>
  </si>
  <si>
    <t>10,05 a 16,00</t>
  </si>
  <si>
    <t>no menos de</t>
  </si>
  <si>
    <t>1,00 diario</t>
  </si>
  <si>
    <t>1-VIII-1953</t>
  </si>
  <si>
    <t>del 40%</t>
  </si>
  <si>
    <t>hasta 200</t>
  </si>
  <si>
    <t>hasta 7,00</t>
  </si>
  <si>
    <t>del 30%</t>
  </si>
  <si>
    <t>7,05 a 10,00</t>
  </si>
  <si>
    <t>301 a 400</t>
  </si>
  <si>
    <t>10,05 a 14,00</t>
  </si>
  <si>
    <t>401 a 500</t>
  </si>
  <si>
    <t>14,05 a 17,00</t>
  </si>
  <si>
    <t>4-IX-1960</t>
  </si>
  <si>
    <t>Trabajador agrícola:</t>
  </si>
  <si>
    <t>Jornaleros</t>
  </si>
  <si>
    <t>mínimo 6,00</t>
  </si>
  <si>
    <t>Huasipungueros</t>
  </si>
  <si>
    <t>mínimo 3,00</t>
  </si>
  <si>
    <t>24-VII-1965</t>
  </si>
  <si>
    <t>8-X-1968</t>
  </si>
  <si>
    <t>mínimo 600</t>
  </si>
  <si>
    <t>y públicos</t>
  </si>
  <si>
    <t>Sucres</t>
  </si>
  <si>
    <t>Dólares</t>
  </si>
  <si>
    <t>1968 oct.</t>
  </si>
  <si>
    <t>1975 ene</t>
  </si>
  <si>
    <t>1975 may</t>
  </si>
  <si>
    <t>1982 ene</t>
  </si>
  <si>
    <t>1982 nov</t>
  </si>
  <si>
    <t>1983 ene</t>
  </si>
  <si>
    <t>1983 jul</t>
  </si>
  <si>
    <t>1985 ene</t>
  </si>
  <si>
    <t>1985 mar</t>
  </si>
  <si>
    <t>1986 ene</t>
  </si>
  <si>
    <t>1986 ago</t>
  </si>
  <si>
    <t xml:space="preserve">1987 ene </t>
  </si>
  <si>
    <t>1987 jul</t>
  </si>
  <si>
    <t>1988 ene</t>
  </si>
  <si>
    <t>1988 jun</t>
  </si>
  <si>
    <t>1988 sep</t>
  </si>
  <si>
    <t>1989 ene</t>
  </si>
  <si>
    <t>1989 may</t>
  </si>
  <si>
    <t>1992 ene</t>
  </si>
  <si>
    <t>1992 jun</t>
  </si>
  <si>
    <t>1993 ene</t>
  </si>
  <si>
    <t>1993 jul</t>
  </si>
  <si>
    <t>1994 ene</t>
  </si>
  <si>
    <t>1994 jul</t>
  </si>
  <si>
    <t>1995 ene</t>
  </si>
  <si>
    <t>1995 jul</t>
  </si>
  <si>
    <t>1997 ene</t>
  </si>
  <si>
    <t>1997 jul</t>
  </si>
  <si>
    <t>2000 (2)</t>
  </si>
  <si>
    <t>2000 (3) (4)</t>
  </si>
  <si>
    <t>Base: agosto 1950-julio1951</t>
  </si>
  <si>
    <t>ALIMENTOS</t>
  </si>
  <si>
    <t>Carnes y pescados</t>
  </si>
  <si>
    <t>Carne de res de 1ra.</t>
  </si>
  <si>
    <t>Carne de res de 2da.</t>
  </si>
  <si>
    <t>Carne de cordero</t>
  </si>
  <si>
    <t>Carne de cerdo</t>
  </si>
  <si>
    <t xml:space="preserve"> </t>
  </si>
  <si>
    <t>Corvina</t>
  </si>
  <si>
    <t>X</t>
  </si>
  <si>
    <t>Cereales y harinas</t>
  </si>
  <si>
    <t>Arroz de castilla</t>
  </si>
  <si>
    <t>Arroz de cebada</t>
  </si>
  <si>
    <t>Avena en paquete</t>
  </si>
  <si>
    <t>Avena suelta</t>
  </si>
  <si>
    <t>Fideos</t>
  </si>
  <si>
    <t>Harina de cebada</t>
  </si>
  <si>
    <t>Harina de habas</t>
  </si>
  <si>
    <t>Harina de plátano</t>
  </si>
  <si>
    <t>Harina de trigo importada</t>
  </si>
  <si>
    <t>Harina de trigo nacional</t>
  </si>
  <si>
    <t>Maíz</t>
  </si>
  <si>
    <t>Maicena</t>
  </si>
  <si>
    <t>Pan blanco</t>
  </si>
  <si>
    <t>Legumbres, verduras y granos</t>
  </si>
  <si>
    <t>Cebolla colorada</t>
  </si>
  <si>
    <t>Cebolla blanca</t>
  </si>
  <si>
    <t>Col</t>
  </si>
  <si>
    <t>Tomates</t>
  </si>
  <si>
    <t>Yuca</t>
  </si>
  <si>
    <t>Papas toda grosa</t>
  </si>
  <si>
    <t>Papas rodaja</t>
  </si>
  <si>
    <t>Plátano maduro</t>
  </si>
  <si>
    <t>Plátano verde</t>
  </si>
  <si>
    <t>Fréjol blanco</t>
  </si>
  <si>
    <t>Lentejas</t>
  </si>
  <si>
    <t>Huevos</t>
  </si>
  <si>
    <t>Productos lácteos</t>
  </si>
  <si>
    <t>Leche no pasteurizada</t>
  </si>
  <si>
    <t>Queso sin sal</t>
  </si>
  <si>
    <t>Mantequilla</t>
  </si>
  <si>
    <t>Grasos - manteca de cerdo</t>
  </si>
  <si>
    <t>Manteca de cerdo del país</t>
  </si>
  <si>
    <t>Frutas</t>
  </si>
  <si>
    <t>Guineos</t>
  </si>
  <si>
    <t>Naranjas</t>
  </si>
  <si>
    <t>Naranjillas</t>
  </si>
  <si>
    <t>Limones</t>
  </si>
  <si>
    <t>Dulces</t>
  </si>
  <si>
    <t>Azúcar blanca</t>
  </si>
  <si>
    <t>Panela</t>
  </si>
  <si>
    <t>Condimentos</t>
  </si>
  <si>
    <t>Sal en grano</t>
  </si>
  <si>
    <t>Sal refinada</t>
  </si>
  <si>
    <t>Bebidas</t>
  </si>
  <si>
    <t>Café molido</t>
  </si>
  <si>
    <t>Chocolate</t>
  </si>
  <si>
    <t>Aguas gaseosas</t>
  </si>
  <si>
    <t>Cervezas</t>
  </si>
  <si>
    <t>VESTUARIO</t>
  </si>
  <si>
    <t>Ropa de mujer</t>
  </si>
  <si>
    <t>Abrigo</t>
  </si>
  <si>
    <t>Sweater</t>
  </si>
  <si>
    <t>Chalina</t>
  </si>
  <si>
    <t>Vestido de seda sencillo</t>
  </si>
  <si>
    <t>Terno interior de seda</t>
  </si>
  <si>
    <t>Terno interior de jersey de algodón</t>
  </si>
  <si>
    <t>Medias nylon</t>
  </si>
  <si>
    <t>Medias de algodón</t>
  </si>
  <si>
    <t>Medias de algodón para niños</t>
  </si>
  <si>
    <t>Hechura de abrigo sin forro</t>
  </si>
  <si>
    <t>Hechura de vestido de seda</t>
  </si>
  <si>
    <t>Hechura de vestido de algodón</t>
  </si>
  <si>
    <t>Ropa de hombre</t>
  </si>
  <si>
    <t>Abrigo para hombre</t>
  </si>
  <si>
    <t>Chompas de trabajo</t>
  </si>
  <si>
    <t>Impermeables</t>
  </si>
  <si>
    <t>Ternos de casimir</t>
  </si>
  <si>
    <t>Pantalones de trabajo</t>
  </si>
  <si>
    <t>Overoles</t>
  </si>
  <si>
    <t>Camisas popelina estampada</t>
  </si>
  <si>
    <t>Camisas blancas</t>
  </si>
  <si>
    <t>Camisetas punto de algodón</t>
  </si>
  <si>
    <t>Calzoncillos punto de algodón</t>
  </si>
  <si>
    <t>Calcetines de algodón</t>
  </si>
  <si>
    <t>Calcetines de seda</t>
  </si>
  <si>
    <t>Hechura de ternos de casimir</t>
  </si>
  <si>
    <t>Zapatos</t>
  </si>
  <si>
    <t>Mocacines</t>
  </si>
  <si>
    <t>Zapatos de mujer</t>
  </si>
  <si>
    <t>Reparación corridas (mujer)</t>
  </si>
  <si>
    <t>Zapatos de niño</t>
  </si>
  <si>
    <t>Zapatos para hombre</t>
  </si>
  <si>
    <t>Reparación corridas (hombre)</t>
  </si>
  <si>
    <t>Telas</t>
  </si>
  <si>
    <t>Lienzo "Vencedor"</t>
  </si>
  <si>
    <t>Peter Pan</t>
  </si>
  <si>
    <t>Gabardina algodón</t>
  </si>
  <si>
    <t>Bramante algodón</t>
  </si>
  <si>
    <t>Franela</t>
  </si>
  <si>
    <t>Seda opaca</t>
  </si>
  <si>
    <t>Terciopelo de lana</t>
  </si>
  <si>
    <t>Casimir nacional</t>
  </si>
  <si>
    <t>Casimir extranjero</t>
  </si>
  <si>
    <t>ALQUILER</t>
  </si>
  <si>
    <t>ELECTRICIDAD Y COMBUSTIBLE</t>
  </si>
  <si>
    <t>Electricidad</t>
  </si>
  <si>
    <t>Gasolina</t>
  </si>
  <si>
    <t>Kerosene</t>
  </si>
  <si>
    <t>Carbón</t>
  </si>
  <si>
    <t>Leña</t>
  </si>
  <si>
    <t>ENSERES DOMESTICOS</t>
  </si>
  <si>
    <t>Sillas de eucalipto</t>
  </si>
  <si>
    <t>Sillas de cedro</t>
  </si>
  <si>
    <t>Camas de hierro</t>
  </si>
  <si>
    <t>Camas de eucalipto</t>
  </si>
  <si>
    <t>Mesas de cedro</t>
  </si>
  <si>
    <t>Mesas de aliso</t>
  </si>
  <si>
    <t>Cobijas</t>
  </si>
  <si>
    <t>Reverberos de gasolina</t>
  </si>
  <si>
    <t>Platos</t>
  </si>
  <si>
    <t>Cucharas</t>
  </si>
  <si>
    <t>Ollas</t>
  </si>
  <si>
    <t>Planchas eléctricas</t>
  </si>
  <si>
    <t>Escobas</t>
  </si>
  <si>
    <t>MISCELANEOS</t>
  </si>
  <si>
    <t>Otros gastos de casa</t>
  </si>
  <si>
    <t>Espermas</t>
  </si>
  <si>
    <t>Fósforos</t>
  </si>
  <si>
    <t>Jabón para lavar ropa</t>
  </si>
  <si>
    <t>Almidón</t>
  </si>
  <si>
    <t>Gastos médicos</t>
  </si>
  <si>
    <t>Mejoral</t>
  </si>
  <si>
    <t>Yodo</t>
  </si>
  <si>
    <t>Leche de magnesia</t>
  </si>
  <si>
    <t>Sulfadiazina</t>
  </si>
  <si>
    <t>Penicilina</t>
  </si>
  <si>
    <t>Anteojos</t>
  </si>
  <si>
    <t>Consulta médica</t>
  </si>
  <si>
    <t>Dentistas: calces</t>
  </si>
  <si>
    <t>Dentistas: extracciones</t>
  </si>
  <si>
    <t>Cuidados personales</t>
  </si>
  <si>
    <t>Corte de pelo</t>
  </si>
  <si>
    <t>Afeitada</t>
  </si>
  <si>
    <t>Permanentes</t>
  </si>
  <si>
    <t>Jabón para tocador, extranjero</t>
  </si>
  <si>
    <t>Jabón para tocador, nacional</t>
  </si>
  <si>
    <t>Dentríficos</t>
  </si>
  <si>
    <t>Polvo facial</t>
  </si>
  <si>
    <t>Diversiones</t>
  </si>
  <si>
    <t>Cine, luneta</t>
  </si>
  <si>
    <t>Cine, galería</t>
  </si>
  <si>
    <t>Cigarrillos</t>
  </si>
  <si>
    <t>Periódicos</t>
  </si>
  <si>
    <t>Tubos para radio</t>
  </si>
  <si>
    <t>Transportes</t>
  </si>
  <si>
    <t>Omnibus</t>
  </si>
  <si>
    <t xml:space="preserve">                                                                                             </t>
  </si>
  <si>
    <t xml:space="preserve"> (X)  PONDERACIONES MENORES QUE 0.1</t>
  </si>
  <si>
    <t xml:space="preserve">   </t>
  </si>
  <si>
    <t>Base: 1965</t>
  </si>
  <si>
    <t>ALIMENTOS Y BEBIDAS</t>
  </si>
  <si>
    <t>Cereales y derivados</t>
  </si>
  <si>
    <t>Pan de trigo</t>
  </si>
  <si>
    <t>Fideo al detal</t>
  </si>
  <si>
    <t>Avena al detal</t>
  </si>
  <si>
    <t>Carnes y preparaciones de carnes</t>
  </si>
  <si>
    <t>Carne de res con hueso (costilla)</t>
  </si>
  <si>
    <t>Carne de res sin hueso</t>
  </si>
  <si>
    <t>Carne de gallina</t>
  </si>
  <si>
    <t>Pescados y mariscos</t>
  </si>
  <si>
    <t>Corvina de mar</t>
  </si>
  <si>
    <t>Atún</t>
  </si>
  <si>
    <t>Grasas y aceites comestibles</t>
  </si>
  <si>
    <t>Manteca de cerdo</t>
  </si>
  <si>
    <t>Manteca vegetal</t>
  </si>
  <si>
    <t>Leche, productos lácteos y huevos</t>
  </si>
  <si>
    <t>Leche fresca</t>
  </si>
  <si>
    <t>Huevo de gallina</t>
  </si>
  <si>
    <t>Queso</t>
  </si>
  <si>
    <t>Verduras frescas</t>
  </si>
  <si>
    <t>Arvejas tiernas</t>
  </si>
  <si>
    <t>Col blanca</t>
  </si>
  <si>
    <t>Coliflor</t>
  </si>
  <si>
    <t>Choclos en mazorca</t>
  </si>
  <si>
    <t>Fréjol tierno</t>
  </si>
  <si>
    <t>Habas tiernas</t>
  </si>
  <si>
    <t>Lechuga</t>
  </si>
  <si>
    <t>Tomate (riñón)</t>
  </si>
  <si>
    <t>Zanahoria amarilla</t>
  </si>
  <si>
    <t>Tubérculos y derivados</t>
  </si>
  <si>
    <t>Papa chola</t>
  </si>
  <si>
    <t>Leguminosas y derivados</t>
  </si>
  <si>
    <t>Habas secas</t>
  </si>
  <si>
    <t>Maní</t>
  </si>
  <si>
    <t>Fréjol seco</t>
  </si>
  <si>
    <t>Frutas frescas</t>
  </si>
  <si>
    <t>Aguacate de la sierra</t>
  </si>
  <si>
    <t>Naranja</t>
  </si>
  <si>
    <t>Naranjilla</t>
  </si>
  <si>
    <t>Limón</t>
  </si>
  <si>
    <t>Papaya</t>
  </si>
  <si>
    <t>Plátano de seda (guineo)</t>
  </si>
  <si>
    <t>Plátano de cocinar</t>
  </si>
  <si>
    <t>Azúcar, sal y condimentos</t>
  </si>
  <si>
    <t>Azúcar</t>
  </si>
  <si>
    <t>Ajo</t>
  </si>
  <si>
    <t>Café, té y otras bebidas no alcohólicas</t>
  </si>
  <si>
    <t>consumidas en el hogar</t>
  </si>
  <si>
    <t>Café soluble (si café)</t>
  </si>
  <si>
    <t>Chocolate en pasta</t>
  </si>
  <si>
    <t>Bebidas gaseosas</t>
  </si>
  <si>
    <t>Otros productos alimenticios</t>
  </si>
  <si>
    <t>Chocolates para comer</t>
  </si>
  <si>
    <t>Sopas secas (maggi)</t>
  </si>
  <si>
    <t>Salsa de tomate</t>
  </si>
  <si>
    <t>Bebidas alcohólicas en el hogar</t>
  </si>
  <si>
    <t>Cerveza</t>
  </si>
  <si>
    <t>Mallorca</t>
  </si>
  <si>
    <t>Aguardiente de caña</t>
  </si>
  <si>
    <t>Alimentos y bebidas consumidos</t>
  </si>
  <si>
    <t>fuera del hogar</t>
  </si>
  <si>
    <t>Almuerzos y comidas en restaurantes y</t>
  </si>
  <si>
    <t>similares</t>
  </si>
  <si>
    <t>VIVIENDA</t>
  </si>
  <si>
    <t>Alquiler</t>
  </si>
  <si>
    <t>Impuesto sobre bienes raíces</t>
  </si>
  <si>
    <t>Alumbrado y combustible</t>
  </si>
  <si>
    <t>Gas</t>
  </si>
  <si>
    <t>Energía Eléctrica</t>
  </si>
  <si>
    <t>Lavado y mantenimiento</t>
  </si>
  <si>
    <t>Detergentes</t>
  </si>
  <si>
    <t>Agua</t>
  </si>
  <si>
    <t>Jabón para lavar la ropa</t>
  </si>
  <si>
    <t>Cal</t>
  </si>
  <si>
    <t>Pintura</t>
  </si>
  <si>
    <t>Vidrios</t>
  </si>
  <si>
    <t>Empleados de servicio</t>
  </si>
  <si>
    <t>Artículos textiles del hogar</t>
  </si>
  <si>
    <t>Toalla chica 80x56 cms.</t>
  </si>
  <si>
    <t>Toalla grande 138x90 cms.</t>
  </si>
  <si>
    <t>Cortina de plástico 170x180 cms.</t>
  </si>
  <si>
    <t>Sábanas de algodón 145x250 cms.</t>
  </si>
  <si>
    <t>Sobrecamas de algodón 1½ plazas</t>
  </si>
  <si>
    <t>Frazadas de lana 1½ plazas</t>
  </si>
  <si>
    <t>Artículos de mesa y cocina y equipo de cocina</t>
  </si>
  <si>
    <t>Vasos</t>
  </si>
  <si>
    <t>Plato sopero hierro enlozado</t>
  </si>
  <si>
    <t>Taza y plato de loza</t>
  </si>
  <si>
    <t>Olla de aluminio no. 20</t>
  </si>
  <si>
    <t>Molino para granos</t>
  </si>
  <si>
    <t>Cocina de gasolina 3 hornillas</t>
  </si>
  <si>
    <t>Reverbero un hornillo de gasolina</t>
  </si>
  <si>
    <t>Muebles</t>
  </si>
  <si>
    <t>Sofá forrado damasco nacional 180x55 cms.</t>
  </si>
  <si>
    <t>Mesa cedro charolada 120x80 cms.</t>
  </si>
  <si>
    <t>Ropero 2 cuerpos color marfil 120x180 cms (alto)</t>
  </si>
  <si>
    <t>Cómoda cedro charolada 110x58 cms. (alto) x 110</t>
  </si>
  <si>
    <t>Cama hierro tipo simons 1¼ plazas</t>
  </si>
  <si>
    <t>Cuna de hierro con barandas 110x60 cms.</t>
  </si>
  <si>
    <t>Colchón de lana de ceibo 1½ plazas</t>
  </si>
  <si>
    <t>Otros artefactos del hogar</t>
  </si>
  <si>
    <t>Plancha eléctrica automática "Cloer" 110 voltios</t>
  </si>
  <si>
    <t>Escobas de paja "Progreso"</t>
  </si>
  <si>
    <t>Focos de luz 50 bujías esmerilado</t>
  </si>
  <si>
    <t>Biberones 8 onzas "Evenflo" vidrio</t>
  </si>
  <si>
    <t>INDUMENTARIA</t>
  </si>
  <si>
    <t>Telas, hechuras y cuidado de ropa</t>
  </si>
  <si>
    <t>Género de lana (lanilla) 140 cms. ancho, nacional</t>
  </si>
  <si>
    <t>Género de algodón (perterpán) 90 cms. ancho, nacional</t>
  </si>
  <si>
    <t>Máquina de coser Finger y Dalman</t>
  </si>
  <si>
    <t>Hechura de ropa de hombre, vestido</t>
  </si>
  <si>
    <t>Reparación de calzado de hombre, colocada de suela</t>
  </si>
  <si>
    <t>Limpieza en seco, terno de hombre</t>
  </si>
  <si>
    <t>Lustrada de calzado de hombre</t>
  </si>
  <si>
    <t>Lavado de ropa</t>
  </si>
  <si>
    <t>Ropa hecha para hombres y niños</t>
  </si>
  <si>
    <t>Terno para hombre, casimir nacional</t>
  </si>
  <si>
    <t xml:space="preserve"> Pantalón para hombre - tela algodón</t>
  </si>
  <si>
    <t>Saco de lana para hombre</t>
  </si>
  <si>
    <t>Impermeable</t>
  </si>
  <si>
    <t>Chompa de algodón</t>
  </si>
  <si>
    <t>Camisa - popelina de algodón</t>
  </si>
  <si>
    <t>Camiseta de algodón</t>
  </si>
  <si>
    <t>Calzoncillo de algodón</t>
  </si>
  <si>
    <t>Calcetines talla única</t>
  </si>
  <si>
    <t>Calzado para hombre</t>
  </si>
  <si>
    <t>Ropa hecha para mujeres y niñas</t>
  </si>
  <si>
    <t>Vestido de mujer, de algodón</t>
  </si>
  <si>
    <t>Blusas de dacrón nacional "Vera"</t>
  </si>
  <si>
    <t>Falda de jersey Talla 32-33 "Vera"</t>
  </si>
  <si>
    <t>Abrigo de mujer-terciopelo de lana</t>
  </si>
  <si>
    <t>Saco de lana nacional</t>
  </si>
  <si>
    <t>Calzón de algodón</t>
  </si>
  <si>
    <t>Sostén peterpan nacional</t>
  </si>
  <si>
    <t>Combinación de jersey nacional</t>
  </si>
  <si>
    <t>Medias nylon nacional</t>
  </si>
  <si>
    <t>Calzado de mujer, nacional</t>
  </si>
  <si>
    <t>Ropa hecha para infantes</t>
  </si>
  <si>
    <t>Ternito casimir nacional</t>
  </si>
  <si>
    <t>Pañales - tela absorvente</t>
  </si>
  <si>
    <t>Camisita algodón nacional</t>
  </si>
  <si>
    <t>Calzón de agua</t>
  </si>
  <si>
    <t>Botitas nacional</t>
  </si>
  <si>
    <t>DIVERSOS</t>
  </si>
  <si>
    <t xml:space="preserve">Cuidado de la salud </t>
  </si>
  <si>
    <t>Consulta médica - consultorios</t>
  </si>
  <si>
    <t>Consulta dental - calza</t>
  </si>
  <si>
    <t>Gastos en hospitales y clínicas</t>
  </si>
  <si>
    <t>Medicinas y recetas</t>
  </si>
  <si>
    <t>Cuidado y artículos personales</t>
  </si>
  <si>
    <t>Jabón de tocador nacional "Rosas" 4 oz.</t>
  </si>
  <si>
    <t>Pasta dental Efil-Tubo 85 gr.</t>
  </si>
  <si>
    <t>Peinado para mujer</t>
  </si>
  <si>
    <t>Permanente</t>
  </si>
  <si>
    <t>Baños en duchas públicas</t>
  </si>
  <si>
    <t>Recreo, distracciones y materiales de lectura</t>
  </si>
  <si>
    <t>Cinema entada a preferencia</t>
  </si>
  <si>
    <t>Espectáculos deportivos  fútbol, entrada popular</t>
  </si>
  <si>
    <t>Loterías Premio S/. 100.000</t>
  </si>
  <si>
    <t>Periódicos "El Comercio"</t>
  </si>
  <si>
    <t xml:space="preserve">Juguetes y equipo de juego y deporte, pelota </t>
  </si>
  <si>
    <t>para fútbol No. 5 nacional</t>
  </si>
  <si>
    <t>Radio "Nec" japonés 2 bandas, 8 transistores</t>
  </si>
  <si>
    <t>Cigarrillos y tabaco</t>
  </si>
  <si>
    <t>Cigarrilos Full Blanco nacional 18 unidades</t>
  </si>
  <si>
    <t>Gastos de matrícula Enseñanza Primaria</t>
  </si>
  <si>
    <t>Pensión de enseñanza primaria</t>
  </si>
  <si>
    <t>Textos, libros y equipos de escuela: 3 libros</t>
  </si>
  <si>
    <t>Viajes</t>
  </si>
  <si>
    <t>Viajes urbanos bus ordinario</t>
  </si>
  <si>
    <t>Viajes escolares mensuales</t>
  </si>
  <si>
    <t>Franqueo  de carta aéreo, interno</t>
  </si>
  <si>
    <t>Teléfono</t>
  </si>
  <si>
    <t>Gastos diversos</t>
  </si>
  <si>
    <t>Aportes Seguro</t>
  </si>
  <si>
    <t>Interés hipotecario</t>
  </si>
  <si>
    <t>Interés quirografario</t>
  </si>
  <si>
    <t>Base: abril 1978-mayo 1979</t>
  </si>
  <si>
    <t>Arroz</t>
  </si>
  <si>
    <t>Avena</t>
  </si>
  <si>
    <t>Fideo</t>
  </si>
  <si>
    <t>Harina de trigo</t>
  </si>
  <si>
    <t>Pan</t>
  </si>
  <si>
    <t>Carnes y preparaciones</t>
  </si>
  <si>
    <t>Carne de res con hueso</t>
  </si>
  <si>
    <t>Costilla de cerdo</t>
  </si>
  <si>
    <t>Carne de pollo</t>
  </si>
  <si>
    <t>Pargo</t>
  </si>
  <si>
    <t>Atún enlatado</t>
  </si>
  <si>
    <t>Sardina enlatada</t>
  </si>
  <si>
    <t>Camarón</t>
  </si>
  <si>
    <t>Cangrejo</t>
  </si>
  <si>
    <t>Concha</t>
  </si>
  <si>
    <t>Aceite vegetal</t>
  </si>
  <si>
    <t>Arveja tierna</t>
  </si>
  <si>
    <t>Col de seda</t>
  </si>
  <si>
    <t>Choclo</t>
  </si>
  <si>
    <t>Haba tierna</t>
  </si>
  <si>
    <t>Pimiento</t>
  </si>
  <si>
    <t>Tomate riñón</t>
  </si>
  <si>
    <t>Papa blanca</t>
  </si>
  <si>
    <t>Arveja seca</t>
  </si>
  <si>
    <t>Harina de haba</t>
  </si>
  <si>
    <t>Lenteja</t>
  </si>
  <si>
    <t>Aguacate</t>
  </si>
  <si>
    <t>Coco</t>
  </si>
  <si>
    <t>Manzana</t>
  </si>
  <si>
    <t>Mora</t>
  </si>
  <si>
    <t>Piña</t>
  </si>
  <si>
    <t>Guineo</t>
  </si>
  <si>
    <t>Plátano</t>
  </si>
  <si>
    <t>Tomate de árbol</t>
  </si>
  <si>
    <t>Frutas y vegetales en conservas</t>
  </si>
  <si>
    <t>Jugo de naranja</t>
  </si>
  <si>
    <t>Jugo de toronja</t>
  </si>
  <si>
    <t>Jugo de uva</t>
  </si>
  <si>
    <t>Duraznos al jugo</t>
  </si>
  <si>
    <t>Pasas</t>
  </si>
  <si>
    <t>Canela</t>
  </si>
  <si>
    <t>Comino</t>
  </si>
  <si>
    <t>Sal</t>
  </si>
  <si>
    <t>Café, té y bebidas gaseosas</t>
  </si>
  <si>
    <t>Café en grano</t>
  </si>
  <si>
    <t>Café soluble</t>
  </si>
  <si>
    <t>Cocoa</t>
  </si>
  <si>
    <t>Cola (tienda)</t>
  </si>
  <si>
    <t>Alimentos para niños y bebés</t>
  </si>
  <si>
    <t>Cereales preparados</t>
  </si>
  <si>
    <t>Sopas</t>
  </si>
  <si>
    <t>Gelatina</t>
  </si>
  <si>
    <t>Sopas secas</t>
  </si>
  <si>
    <t>Chocolate (Bombón)</t>
  </si>
  <si>
    <t>Caramelo</t>
  </si>
  <si>
    <t>Mermelada</t>
  </si>
  <si>
    <t>Miel de abeja</t>
  </si>
  <si>
    <t>Aguardiente</t>
  </si>
  <si>
    <t>Cerveza (Tienda)</t>
  </si>
  <si>
    <t>Vino</t>
  </si>
  <si>
    <t>Whisky</t>
  </si>
  <si>
    <t>Platos preparados</t>
  </si>
  <si>
    <t>Pollo asado</t>
  </si>
  <si>
    <t>Alimentos y bebidas fuera del hogar</t>
  </si>
  <si>
    <t>Cola (salón)</t>
  </si>
  <si>
    <t>Bebida alcohólica</t>
  </si>
  <si>
    <t>Cerveza (salón)</t>
  </si>
  <si>
    <t>Almuerzo</t>
  </si>
  <si>
    <t>Energía eléctrica</t>
  </si>
  <si>
    <t>Cera para piso</t>
  </si>
  <si>
    <t>Detergente</t>
  </si>
  <si>
    <t>Jabón para lavar</t>
  </si>
  <si>
    <t>Papel higiénico</t>
  </si>
  <si>
    <t>Colchón</t>
  </si>
  <si>
    <t>Frazada</t>
  </si>
  <si>
    <t>Sobrecama</t>
  </si>
  <si>
    <t>Sábana</t>
  </si>
  <si>
    <t>Toalla</t>
  </si>
  <si>
    <t>Artículos de mesa y cocina</t>
  </si>
  <si>
    <t>Cocina de gas</t>
  </si>
  <si>
    <t>Licuadora</t>
  </si>
  <si>
    <t>Olla</t>
  </si>
  <si>
    <t>Olla de presión</t>
  </si>
  <si>
    <t>Taza y plato</t>
  </si>
  <si>
    <t>Refrigeradora</t>
  </si>
  <si>
    <t>Sartén eléctrico</t>
  </si>
  <si>
    <t>Vaso</t>
  </si>
  <si>
    <t>Juego de sala</t>
  </si>
  <si>
    <t>Juego de comedor</t>
  </si>
  <si>
    <t>Cama</t>
  </si>
  <si>
    <t>Cómoda</t>
  </si>
  <si>
    <t>Cuna para bebé</t>
  </si>
  <si>
    <t>Escoba</t>
  </si>
  <si>
    <t>Foco de luz</t>
  </si>
  <si>
    <t>Lámpara eléctrica</t>
  </si>
  <si>
    <t>Plancha eléctrica</t>
  </si>
  <si>
    <t>Termo</t>
  </si>
  <si>
    <t>Ventilador</t>
  </si>
  <si>
    <t>Otros artículos del hogar</t>
  </si>
  <si>
    <t>Máquina de escribir</t>
  </si>
  <si>
    <t>Máquina de coser</t>
  </si>
  <si>
    <t>Telas, hechuras y accesorios</t>
  </si>
  <si>
    <t>Género de lana</t>
  </si>
  <si>
    <t>Género de algodón</t>
  </si>
  <si>
    <t>Género de rayón</t>
  </si>
  <si>
    <t>Género de nylon</t>
  </si>
  <si>
    <t>Género de seda</t>
  </si>
  <si>
    <t>Hechura ropa (hombre)</t>
  </si>
  <si>
    <t>Hechura ropa (mujer)</t>
  </si>
  <si>
    <t>Lana para tejer</t>
  </si>
  <si>
    <t>Ropa confeccionada para hombre</t>
  </si>
  <si>
    <t>Camisa</t>
  </si>
  <si>
    <t>Camiseta</t>
  </si>
  <si>
    <t>Calzoncillo</t>
  </si>
  <si>
    <t>Saco de lana de hombre</t>
  </si>
  <si>
    <t>Pantalón de hombre</t>
  </si>
  <si>
    <t>Terno de hombre</t>
  </si>
  <si>
    <t>Zapatos de hombre</t>
  </si>
  <si>
    <t>Ropa confeccionada para mujer</t>
  </si>
  <si>
    <t>Abrigo de mujer</t>
  </si>
  <si>
    <t>Blusa</t>
  </si>
  <si>
    <t>Calzonaria</t>
  </si>
  <si>
    <t>Falda</t>
  </si>
  <si>
    <t>Medias (Incluso Panty)</t>
  </si>
  <si>
    <t>Pantalón de mujer</t>
  </si>
  <si>
    <t>Saco de lana de mujer</t>
  </si>
  <si>
    <t>Vestido</t>
  </si>
  <si>
    <t>Ropa confeccionada para bebé</t>
  </si>
  <si>
    <t>Vestido para niña</t>
  </si>
  <si>
    <t>Biberón</t>
  </si>
  <si>
    <t>Camisa para bebé</t>
  </si>
  <si>
    <t>Calzón impermeable</t>
  </si>
  <si>
    <t>Conjunto tejido</t>
  </si>
  <si>
    <t>Chambra</t>
  </si>
  <si>
    <t>Pañales</t>
  </si>
  <si>
    <t>Sábana para bebé</t>
  </si>
  <si>
    <t>Terno para bebé</t>
  </si>
  <si>
    <t>Servicio de limpieza</t>
  </si>
  <si>
    <t>Betún para calzado</t>
  </si>
  <si>
    <t>Limpieza en seco</t>
  </si>
  <si>
    <t>Limpieza de calzado</t>
  </si>
  <si>
    <t>Reparación de calzado</t>
  </si>
  <si>
    <t>Cuidado de la salud</t>
  </si>
  <si>
    <t>Atención médica</t>
  </si>
  <si>
    <t>Medicinas y remedios</t>
  </si>
  <si>
    <t>Desodorante</t>
  </si>
  <si>
    <t>Hojas de afeitar</t>
  </si>
  <si>
    <t>Jabón de tocador</t>
  </si>
  <si>
    <t>Pasta dental</t>
  </si>
  <si>
    <t>Colonia</t>
  </si>
  <si>
    <t>Shampoo</t>
  </si>
  <si>
    <t>Talco</t>
  </si>
  <si>
    <t>Recreo, material de lectura</t>
  </si>
  <si>
    <t>Cine</t>
  </si>
  <si>
    <t>Disco</t>
  </si>
  <si>
    <t>Fútbol</t>
  </si>
  <si>
    <t>Juguetes</t>
  </si>
  <si>
    <t>Periódico</t>
  </si>
  <si>
    <t>Revista</t>
  </si>
  <si>
    <t>Tocadisco</t>
  </si>
  <si>
    <t>Televisor</t>
  </si>
  <si>
    <t>Tabaco</t>
  </si>
  <si>
    <t>Utiles primaria</t>
  </si>
  <si>
    <t>Texto primaria</t>
  </si>
  <si>
    <t>Pensión primaria</t>
  </si>
  <si>
    <t>Utiles secundaria</t>
  </si>
  <si>
    <t>Textos secundaria</t>
  </si>
  <si>
    <t>Transporte escolar</t>
  </si>
  <si>
    <t>Matrícula secundaria</t>
  </si>
  <si>
    <t>Pensión secundaria</t>
  </si>
  <si>
    <t>Bus urbano</t>
  </si>
  <si>
    <t>Taxi urbano</t>
  </si>
  <si>
    <t>Bus interurbano</t>
  </si>
  <si>
    <t>Franqueo de carta</t>
  </si>
  <si>
    <t>Telegrama</t>
  </si>
  <si>
    <t>Vehículos y diversos</t>
  </si>
  <si>
    <t>Camioneta</t>
  </si>
  <si>
    <t>Gasolina especial</t>
  </si>
  <si>
    <t>Llanta y tubo</t>
  </si>
  <si>
    <t>Pescado</t>
  </si>
  <si>
    <t>Margarina</t>
  </si>
  <si>
    <t>Leche en polvo</t>
  </si>
  <si>
    <t>Culantro</t>
  </si>
  <si>
    <t>Sandía</t>
  </si>
  <si>
    <t>Uva</t>
  </si>
  <si>
    <t>Café, te y bebidas gaseosas</t>
  </si>
  <si>
    <t>Gaseosas</t>
  </si>
  <si>
    <t>Agua mineral</t>
  </si>
  <si>
    <t>Refrescos en polvo (Yupi, Fresco solo, ect.)</t>
  </si>
  <si>
    <t>Chocolate (bombón)</t>
  </si>
  <si>
    <t>Cerveza (tienda)</t>
  </si>
  <si>
    <t>Ron</t>
  </si>
  <si>
    <t>Desinfectante para uso doméstico</t>
  </si>
  <si>
    <t>Jabón para lavar platos (sólido)</t>
  </si>
  <si>
    <t>Aparador</t>
  </si>
  <si>
    <t>Casimir</t>
  </si>
  <si>
    <t>Confección de ternos de hombre</t>
  </si>
  <si>
    <t>Chalis</t>
  </si>
  <si>
    <t>Calzoncillos (hombre)</t>
  </si>
  <si>
    <t>Calcetines (medias) hombre</t>
  </si>
  <si>
    <t>Pantaloneta hombre</t>
  </si>
  <si>
    <t>Camisetas niños</t>
  </si>
  <si>
    <t>Pantalón de niños</t>
  </si>
  <si>
    <t>Zapatos para niños</t>
  </si>
  <si>
    <t>Zapatos deportivos para hombre</t>
  </si>
  <si>
    <t>Medias (incluso panty)</t>
  </si>
  <si>
    <t>Camiseta mujer</t>
  </si>
  <si>
    <t>Brazieres (sostén) mujer</t>
  </si>
  <si>
    <t>Pantalón niñas</t>
  </si>
  <si>
    <t>Ropa interior niñas</t>
  </si>
  <si>
    <t>Vestidos y trajes completos niñas</t>
  </si>
  <si>
    <t>Zapatos para niñas</t>
  </si>
  <si>
    <t>Zapatos deportivos para mujer</t>
  </si>
  <si>
    <t>Blanqueador para ropa</t>
  </si>
  <si>
    <t>Lentes</t>
  </si>
  <si>
    <t>Examen de laboratorio</t>
  </si>
  <si>
    <t>Crema de manos, facial y para el cuerpo</t>
  </si>
  <si>
    <t>Máquina manual de afeitar</t>
  </si>
  <si>
    <t>Toallas sanitarias</t>
  </si>
  <si>
    <t>Pañales desechables (de niños)</t>
  </si>
  <si>
    <t>Pelota</t>
  </si>
  <si>
    <t>VHS</t>
  </si>
  <si>
    <t>Equipo de sonido</t>
  </si>
  <si>
    <t>Microcomputadora</t>
  </si>
  <si>
    <t>Discotecas</t>
  </si>
  <si>
    <t>Alquiler de casetes de video</t>
  </si>
  <si>
    <t>Pago por alojamiento</t>
  </si>
  <si>
    <t>Utiles y textos escolares</t>
  </si>
  <si>
    <t>Gastos en uniformes</t>
  </si>
  <si>
    <t>Pre-primaria (pensión)</t>
  </si>
  <si>
    <t>Universidad (matrícula)</t>
  </si>
  <si>
    <t>Autobús interprovincial</t>
  </si>
  <si>
    <t>Automóvil o camioneta</t>
  </si>
  <si>
    <t>Llantas, tubos y neumáticos</t>
  </si>
  <si>
    <t>Bicicleta</t>
  </si>
  <si>
    <t>Mantenimiento de automóvil (afinamiento, ABC)</t>
  </si>
  <si>
    <t>arroz flor</t>
  </si>
  <si>
    <t>avena</t>
  </si>
  <si>
    <t>cereales preparados</t>
  </si>
  <si>
    <t>fideos</t>
  </si>
  <si>
    <t>galletas</t>
  </si>
  <si>
    <t>harina de trigo</t>
  </si>
  <si>
    <t>maiz</t>
  </si>
  <si>
    <t>pan baguette</t>
  </si>
  <si>
    <t>pan corriente</t>
  </si>
  <si>
    <t>tallarines</t>
  </si>
  <si>
    <t>carne de cerdo con hueso</t>
  </si>
  <si>
    <t>carne de res con hueso</t>
  </si>
  <si>
    <t>carne de res molida</t>
  </si>
  <si>
    <t>carne de res sin hueso</t>
  </si>
  <si>
    <t>chuleta de cerdo</t>
  </si>
  <si>
    <t>costilla de cerdo</t>
  </si>
  <si>
    <t>jamón</t>
  </si>
  <si>
    <t>mortadela</t>
  </si>
  <si>
    <t>pollo entero</t>
  </si>
  <si>
    <t>presas de pollo</t>
  </si>
  <si>
    <t>salchichas de pollo</t>
  </si>
  <si>
    <t>salchichas de res</t>
  </si>
  <si>
    <t>atún en conserva</t>
  </si>
  <si>
    <t>camarones</t>
  </si>
  <si>
    <t>pescados frescos</t>
  </si>
  <si>
    <t>sardinas en conserva</t>
  </si>
  <si>
    <t>aceite vegetal</t>
  </si>
  <si>
    <t>huevos de gallina</t>
  </si>
  <si>
    <t>leche en polvo</t>
  </si>
  <si>
    <t>leche pasteurizada homogeneizada</t>
  </si>
  <si>
    <t>margarina</t>
  </si>
  <si>
    <t>queso de cocina</t>
  </si>
  <si>
    <t>queso de mesa</t>
  </si>
  <si>
    <t>yogurt</t>
  </si>
  <si>
    <t>ajo</t>
  </si>
  <si>
    <t>arveja tierna</t>
  </si>
  <si>
    <t>brócoli</t>
  </si>
  <si>
    <t>cebolla blanca</t>
  </si>
  <si>
    <t>cebolla paiteña</t>
  </si>
  <si>
    <t>choclos</t>
  </si>
  <si>
    <t>col</t>
  </si>
  <si>
    <t>coliflor</t>
  </si>
  <si>
    <t>culantro</t>
  </si>
  <si>
    <t>fréjol tierno</t>
  </si>
  <si>
    <t>lechuga</t>
  </si>
  <si>
    <t>pimiento</t>
  </si>
  <si>
    <t>tomate riñón</t>
  </si>
  <si>
    <t>melloco</t>
  </si>
  <si>
    <t>papa chola</t>
  </si>
  <si>
    <t>remolacha</t>
  </si>
  <si>
    <t>yuca</t>
  </si>
  <si>
    <t>zanahoria amarilla</t>
  </si>
  <si>
    <t>fréjol seco</t>
  </si>
  <si>
    <t>habas tiernas</t>
  </si>
  <si>
    <t>lenteja</t>
  </si>
  <si>
    <t>aguacate</t>
  </si>
  <si>
    <t>guineo</t>
  </si>
  <si>
    <t>limón</t>
  </si>
  <si>
    <t>mandarina</t>
  </si>
  <si>
    <t>manzana</t>
  </si>
  <si>
    <t>maracuya</t>
  </si>
  <si>
    <t>melón</t>
  </si>
  <si>
    <t>mora</t>
  </si>
  <si>
    <t>naranja</t>
  </si>
  <si>
    <t>naranjilla</t>
  </si>
  <si>
    <t>papaya</t>
  </si>
  <si>
    <t>piña</t>
  </si>
  <si>
    <t>plátano maduro</t>
  </si>
  <si>
    <t>plátano verde</t>
  </si>
  <si>
    <t>sandia</t>
  </si>
  <si>
    <t>tomate de árbol</t>
  </si>
  <si>
    <t>uva</t>
  </si>
  <si>
    <t>duraznos en conserva</t>
  </si>
  <si>
    <t>jugo de frutas</t>
  </si>
  <si>
    <t>papas fritas (envasadas)</t>
  </si>
  <si>
    <t>agua sin gas</t>
  </si>
  <si>
    <t>azúcar refinada</t>
  </si>
  <si>
    <t>comino</t>
  </si>
  <si>
    <t>cubos sazonadores</t>
  </si>
  <si>
    <t>hierbas aromáticas</t>
  </si>
  <si>
    <t>mayonesa</t>
  </si>
  <si>
    <t>sal</t>
  </si>
  <si>
    <t>salsa de tomate</t>
  </si>
  <si>
    <t>bebidas hidratantes</t>
  </si>
  <si>
    <t>café soluble</t>
  </si>
  <si>
    <t>gaseosas</t>
  </si>
  <si>
    <t>gelatina</t>
  </si>
  <si>
    <t>hamburguesa</t>
  </si>
  <si>
    <t>sanduches</t>
  </si>
  <si>
    <t>caramelos</t>
  </si>
  <si>
    <t>helados</t>
  </si>
  <si>
    <t>mermelada</t>
  </si>
  <si>
    <t>aguardiente de caña</t>
  </si>
  <si>
    <t>cerveza</t>
  </si>
  <si>
    <t>whisky</t>
  </si>
  <si>
    <t>pollo preparado</t>
  </si>
  <si>
    <t>almuerzos</t>
  </si>
  <si>
    <t>desayunos</t>
  </si>
  <si>
    <t>casa</t>
  </si>
  <si>
    <t>departamento</t>
  </si>
  <si>
    <t>pieza</t>
  </si>
  <si>
    <t>electricidad</t>
  </si>
  <si>
    <t>gas domestico</t>
  </si>
  <si>
    <t>betún liquido</t>
  </si>
  <si>
    <t>blanqueador para ropa</t>
  </si>
  <si>
    <t>cera para pisos</t>
  </si>
  <si>
    <t>desinfectante para uso domestico</t>
  </si>
  <si>
    <t>desodorante para baño</t>
  </si>
  <si>
    <t>detergente</t>
  </si>
  <si>
    <t>escoba</t>
  </si>
  <si>
    <t>esponja lava vajilla</t>
  </si>
  <si>
    <t>fósforos</t>
  </si>
  <si>
    <t>fundas para basura</t>
  </si>
  <si>
    <t>insecticida</t>
  </si>
  <si>
    <t>jabón para lavar ropa</t>
  </si>
  <si>
    <t>jabón para lavar vajilla</t>
  </si>
  <si>
    <t>pintura</t>
  </si>
  <si>
    <t>pinzas para ropa</t>
  </si>
  <si>
    <t>servilletas</t>
  </si>
  <si>
    <t>suministro de agua</t>
  </si>
  <si>
    <t>velas</t>
  </si>
  <si>
    <t>colcha, sobrecama</t>
  </si>
  <si>
    <t>cortina de tela</t>
  </si>
  <si>
    <t>edredón</t>
  </si>
  <si>
    <t>juego de sabanas</t>
  </si>
  <si>
    <t>mantel de tela</t>
  </si>
  <si>
    <t>toalla</t>
  </si>
  <si>
    <t>cocina de gas</t>
  </si>
  <si>
    <t>horno microondas</t>
  </si>
  <si>
    <t>licuadora</t>
  </si>
  <si>
    <t>olla de metal</t>
  </si>
  <si>
    <t>pilas</t>
  </si>
  <si>
    <t>vajilla de porcelana</t>
  </si>
  <si>
    <t>vaso de vidrio</t>
  </si>
  <si>
    <t>cama de madera</t>
  </si>
  <si>
    <t>colchón</t>
  </si>
  <si>
    <t>juego de comedor</t>
  </si>
  <si>
    <t>juego de sala</t>
  </si>
  <si>
    <t>foco de luz</t>
  </si>
  <si>
    <t>plancha eléctrica</t>
  </si>
  <si>
    <t>lavadora de ropa</t>
  </si>
  <si>
    <t>refrigeradora</t>
  </si>
  <si>
    <t>casimir</t>
  </si>
  <si>
    <t>confección de terno (hombre)</t>
  </si>
  <si>
    <t>confección de traje de mujer</t>
  </si>
  <si>
    <t>seda</t>
  </si>
  <si>
    <t>blue jean (hombre)</t>
  </si>
  <si>
    <t>blue jean (niños)</t>
  </si>
  <si>
    <t>calentador (hombre)</t>
  </si>
  <si>
    <t>calzoncillo (hombre)</t>
  </si>
  <si>
    <t>calzoncillo (niño)</t>
  </si>
  <si>
    <t>camisa (hombre)</t>
  </si>
  <si>
    <t>camisa (niño)</t>
  </si>
  <si>
    <t>camiseta (hombre)</t>
  </si>
  <si>
    <t>camiseta (niño)</t>
  </si>
  <si>
    <t>chompa (hombre)</t>
  </si>
  <si>
    <t>confección de pantalón (hombre)</t>
  </si>
  <si>
    <t>correa (hombre)</t>
  </si>
  <si>
    <t>gorra</t>
  </si>
  <si>
    <t>medias (hombre)</t>
  </si>
  <si>
    <t>pantalón (hombre)</t>
  </si>
  <si>
    <t>pantalón (niño)</t>
  </si>
  <si>
    <t>terno para hombre</t>
  </si>
  <si>
    <t>zapatillas (hombre)</t>
  </si>
  <si>
    <t>zapatos de cuero (hombre)</t>
  </si>
  <si>
    <t>zapatos de cuero (niños)</t>
  </si>
  <si>
    <t>zapatos deportivos (hombre)</t>
  </si>
  <si>
    <t>zapatos deportivos (niños 0-2 años)</t>
  </si>
  <si>
    <t>zapatos deportivos (niños 3-12 años)</t>
  </si>
  <si>
    <t>blue Jean (mujer)</t>
  </si>
  <si>
    <t>blusa (mujer)</t>
  </si>
  <si>
    <t>blusa (niña)</t>
  </si>
  <si>
    <t>brazier</t>
  </si>
  <si>
    <t>calzonaria (panty)</t>
  </si>
  <si>
    <t>calzonaria (panty) (niña)</t>
  </si>
  <si>
    <t>camisa de dormir (pijama) para mujer</t>
  </si>
  <si>
    <t>camiseta (mujer)</t>
  </si>
  <si>
    <t>falda</t>
  </si>
  <si>
    <t>medias (mujer)</t>
  </si>
  <si>
    <t>medias nylon</t>
  </si>
  <si>
    <t>pantalón (mujer)</t>
  </si>
  <si>
    <t>sandalias (mujer)</t>
  </si>
  <si>
    <t>terno para mujer</t>
  </si>
  <si>
    <t>terno para niña</t>
  </si>
  <si>
    <t>zapatos de cuero (mujer)</t>
  </si>
  <si>
    <t>zapatos deportivos (mujer)</t>
  </si>
  <si>
    <t>ternito para bebé</t>
  </si>
  <si>
    <t>limpieza en seco de prendas de vestir</t>
  </si>
  <si>
    <t>reparación de calzado</t>
  </si>
  <si>
    <t>MISCELÁNEOS</t>
  </si>
  <si>
    <t>acrosin-b</t>
  </si>
  <si>
    <t>alka-seltzer</t>
  </si>
  <si>
    <t>apronax</t>
  </si>
  <si>
    <t>aspirina</t>
  </si>
  <si>
    <t>atención medico dental</t>
  </si>
  <si>
    <t>baycuten</t>
  </si>
  <si>
    <t>cataflan</t>
  </si>
  <si>
    <t>comtrex</t>
  </si>
  <si>
    <t>examen de laboratorio</t>
  </si>
  <si>
    <t>fungirex</t>
  </si>
  <si>
    <t>garamicina</t>
  </si>
  <si>
    <t>hepabionta</t>
  </si>
  <si>
    <t>lentes tradicionales</t>
  </si>
  <si>
    <t>linconcin</t>
  </si>
  <si>
    <t>loratadina</t>
  </si>
  <si>
    <t>médico especialista (consulta)</t>
  </si>
  <si>
    <t>médico general (consulta)</t>
  </si>
  <si>
    <t>megacilina</t>
  </si>
  <si>
    <t>mucosolvan</t>
  </si>
  <si>
    <t>mylanta</t>
  </si>
  <si>
    <t>neurobion</t>
  </si>
  <si>
    <t>preservativos</t>
  </si>
  <si>
    <t>radiografías</t>
  </si>
  <si>
    <t>redoxon</t>
  </si>
  <si>
    <t>tempra plus</t>
  </si>
  <si>
    <t>teratos</t>
  </si>
  <si>
    <t>vasotop</t>
  </si>
  <si>
    <t>voltaren</t>
  </si>
  <si>
    <t>base de maquillaje</t>
  </si>
  <si>
    <t>cepillo de dientes</t>
  </si>
  <si>
    <t>colonia</t>
  </si>
  <si>
    <t>corte de cabello</t>
  </si>
  <si>
    <t>crema de manos, facial y para cuerpo</t>
  </si>
  <si>
    <t>desodorante</t>
  </si>
  <si>
    <t>fijador</t>
  </si>
  <si>
    <t>jabón de tocador</t>
  </si>
  <si>
    <t>manicure</t>
  </si>
  <si>
    <t>maquina manual de afeitar</t>
  </si>
  <si>
    <t>pañales desechables (de niños)</t>
  </si>
  <si>
    <t>papel higiénico</t>
  </si>
  <si>
    <t>pasta dental</t>
  </si>
  <si>
    <t>shampoo</t>
  </si>
  <si>
    <t>talco</t>
  </si>
  <si>
    <t>tinte</t>
  </si>
  <si>
    <t>toallas sanitarias</t>
  </si>
  <si>
    <t>alquiler de película</t>
  </si>
  <si>
    <t>auto de juguete</t>
  </si>
  <si>
    <t>balón de fútbol</t>
  </si>
  <si>
    <t>borrador</t>
  </si>
  <si>
    <t>cámara fotográfica</t>
  </si>
  <si>
    <t>carpeta</t>
  </si>
  <si>
    <t>cd de música</t>
  </si>
  <si>
    <t>cine</t>
  </si>
  <si>
    <t>computadoras de escritorio</t>
  </si>
  <si>
    <t>cuaderno escolar</t>
  </si>
  <si>
    <t>cuaderno universitario</t>
  </si>
  <si>
    <t>diccionario</t>
  </si>
  <si>
    <t>discoteca</t>
  </si>
  <si>
    <t>dvd (reproductor)</t>
  </si>
  <si>
    <t>entrada a partido de fútbol</t>
  </si>
  <si>
    <t>equipo de sonido</t>
  </si>
  <si>
    <t>esferográfico</t>
  </si>
  <si>
    <t>hotel</t>
  </si>
  <si>
    <t>juego geométrico</t>
  </si>
  <si>
    <t>lápiz</t>
  </si>
  <si>
    <t>libros no escolares</t>
  </si>
  <si>
    <t>muñeca</t>
  </si>
  <si>
    <t>papel bond</t>
  </si>
  <si>
    <t>periódico</t>
  </si>
  <si>
    <t>radio-grabadora</t>
  </si>
  <si>
    <t>revista</t>
  </si>
  <si>
    <t>rollo para cámara fotográfica</t>
  </si>
  <si>
    <t>servicio de revelado fotográfico</t>
  </si>
  <si>
    <t>suscripción a televisión por cable</t>
  </si>
  <si>
    <t>televisor a color</t>
  </si>
  <si>
    <t>textos escolares</t>
  </si>
  <si>
    <t>cigarrillos</t>
  </si>
  <si>
    <t>enseñanza preescolar (pensión)</t>
  </si>
  <si>
    <t>enseñanza primaria (pensión)</t>
  </si>
  <si>
    <t>enseñanza secundaria (pensión)</t>
  </si>
  <si>
    <t>enseñanza universitaria (créditos)</t>
  </si>
  <si>
    <t>matricula preescolar</t>
  </si>
  <si>
    <t>matricula primaria</t>
  </si>
  <si>
    <t>matricula secundaria</t>
  </si>
  <si>
    <t>matricula universitaria</t>
  </si>
  <si>
    <t>uniforme escolar</t>
  </si>
  <si>
    <t>uniforme secundaria</t>
  </si>
  <si>
    <t>taxi</t>
  </si>
  <si>
    <t>transporte escolar</t>
  </si>
  <si>
    <t>transporte interprovincial</t>
  </si>
  <si>
    <t>transporte urbano</t>
  </si>
  <si>
    <t>viaje en avión</t>
  </si>
  <si>
    <t>alquiler de Internet</t>
  </si>
  <si>
    <t>celular (gasto de tarifa mensual)</t>
  </si>
  <si>
    <t>compra de teléfono celular</t>
  </si>
  <si>
    <t>compra de teléfono convencional</t>
  </si>
  <si>
    <t>envío de cartas y postales</t>
  </si>
  <si>
    <t>teléfono convencional (gasto de tarifa mensual)</t>
  </si>
  <si>
    <t>aceite</t>
  </si>
  <si>
    <t>afinamiento (a b c)</t>
  </si>
  <si>
    <t>alineación y balanceo de llantas</t>
  </si>
  <si>
    <t>automóvil</t>
  </si>
  <si>
    <t>batería</t>
  </si>
  <si>
    <t>bicicleta</t>
  </si>
  <si>
    <t>cambio de aceite y lubricantes</t>
  </si>
  <si>
    <t>estacionamiento</t>
  </si>
  <si>
    <t>gasolina extra</t>
  </si>
  <si>
    <t>gasolina súper</t>
  </si>
  <si>
    <t>lavado, engrasado y pulverizado</t>
  </si>
  <si>
    <t>neumáticos</t>
  </si>
  <si>
    <t>regresar al índice</t>
  </si>
  <si>
    <t>Alimentos y Bebidas No Alcohólicas (1)</t>
  </si>
  <si>
    <t>Bebidas Alcohólicas, Tabaco y estupefacientes (1)</t>
  </si>
  <si>
    <t>Bines y Servicios Diversos (2)</t>
  </si>
  <si>
    <t>Comunicaciones (2)</t>
  </si>
  <si>
    <t>Bienes y Servicios Diversos (2)</t>
  </si>
  <si>
    <r>
      <t xml:space="preserve">PRODUCCIÓN, </t>
    </r>
    <r>
      <rPr>
        <b/>
        <sz val="11"/>
        <rFont val="Calibri"/>
        <family val="2"/>
      </rPr>
      <t>ÍNDICES DE PRECIOS Y POBLACIÓN</t>
    </r>
  </si>
  <si>
    <t>4.8     Indice Ponderado de Precios al Consumidor por Categorías de Bienes y Servicios (1997-2004)</t>
  </si>
  <si>
    <t>4.11     Salario Mínimo Vital (1936 - 1968)</t>
  </si>
  <si>
    <t>ÍNDICE DE PRECIOS</t>
  </si>
  <si>
    <t>PRODUCCIÓN</t>
  </si>
  <si>
    <r>
      <t>Alimentos</t>
    </r>
    <r>
      <rPr>
        <b/>
        <sz val="10"/>
        <color indexed="10"/>
        <rFont val="Calibri"/>
        <family val="2"/>
      </rPr>
      <t xml:space="preserve"> </t>
    </r>
  </si>
  <si>
    <t>Indice Nacional</t>
  </si>
  <si>
    <t>Fecha de vigencia</t>
  </si>
  <si>
    <t>Clase de trabajador</t>
  </si>
  <si>
    <t xml:space="preserve">4.14 CANASTA DE BIENES Y SERVICIOS PARA EL CÁLCULO DEL ÍNDICE DE </t>
  </si>
  <si>
    <t>Notas metodológicas de este capítulo</t>
  </si>
  <si>
    <t>4.11 SALARIO MÍNIMO VITAL (1936 - 1968) (1)</t>
  </si>
  <si>
    <t>4.12 SALARIO  MÍNIMO VITAL GENERAL (S.M.V) Y SALARIO BÁSICO</t>
  </si>
  <si>
    <t>arroz</t>
  </si>
  <si>
    <t>cereales enteros</t>
  </si>
  <si>
    <t>harina de otros cereales</t>
  </si>
  <si>
    <t>pan envasado</t>
  </si>
  <si>
    <t>pan especial</t>
  </si>
  <si>
    <t>tallarines y fideos</t>
  </si>
  <si>
    <t>carne  de res sin hueso</t>
  </si>
  <si>
    <t>carne de cerdo sin hueso</t>
  </si>
  <si>
    <t>carne de ovino</t>
  </si>
  <si>
    <t>chorizo</t>
  </si>
  <si>
    <t>menudencias de pollo</t>
  </si>
  <si>
    <t>salchicha</t>
  </si>
  <si>
    <t>vísceras de res</t>
  </si>
  <si>
    <t>camarón</t>
  </si>
  <si>
    <t>pescado fresco entero</t>
  </si>
  <si>
    <t>pescado fresco fileteado</t>
  </si>
  <si>
    <t>aceite puro</t>
  </si>
  <si>
    <t>leche líquida vegetal</t>
  </si>
  <si>
    <t>leche líquida pasteurizada</t>
  </si>
  <si>
    <t>leche líquida larga vida</t>
  </si>
  <si>
    <t>leche maternizada en polvo</t>
  </si>
  <si>
    <t>mantequilla</t>
  </si>
  <si>
    <t>manteca</t>
  </si>
  <si>
    <t>queso fresco</t>
  </si>
  <si>
    <t>acelga</t>
  </si>
  <si>
    <t>choclo</t>
  </si>
  <si>
    <t>pepinillo</t>
  </si>
  <si>
    <t>papa</t>
  </si>
  <si>
    <t>yuca y camote</t>
  </si>
  <si>
    <t>arveja seca</t>
  </si>
  <si>
    <t>haba tierna</t>
  </si>
  <si>
    <t>maní</t>
  </si>
  <si>
    <t>mote</t>
  </si>
  <si>
    <t>otros productos de huerta frescos</t>
  </si>
  <si>
    <t>banana</t>
  </si>
  <si>
    <t>frutas de temporada</t>
  </si>
  <si>
    <t>frutilla</t>
  </si>
  <si>
    <t>maracuyá</t>
  </si>
  <si>
    <t>sandía</t>
  </si>
  <si>
    <t>uvas</t>
  </si>
  <si>
    <t>agua embotellada purificada</t>
  </si>
  <si>
    <t>aliños preparados</t>
  </si>
  <si>
    <t>azúcar</t>
  </si>
  <si>
    <t>condimentos procesados</t>
  </si>
  <si>
    <t>hierba aromática</t>
  </si>
  <si>
    <t>mostaza</t>
  </si>
  <si>
    <t>sustituto del azúcar</t>
  </si>
  <si>
    <t>bebidas energizantes e hidratantes</t>
  </si>
  <si>
    <t>café molido</t>
  </si>
  <si>
    <t>cocoa</t>
  </si>
  <si>
    <t>gaseosa</t>
  </si>
  <si>
    <t>refrescos</t>
  </si>
  <si>
    <t>gelatina en polvo</t>
  </si>
  <si>
    <t>hamburguesa y sánduche</t>
  </si>
  <si>
    <t>snacks</t>
  </si>
  <si>
    <t>chicle</t>
  </si>
  <si>
    <t>chocolates</t>
  </si>
  <si>
    <t>cerveza envasada</t>
  </si>
  <si>
    <t>alimentos preparados para bebé</t>
  </si>
  <si>
    <t>platos preparados</t>
  </si>
  <si>
    <t>almuerzo ejecutivo</t>
  </si>
  <si>
    <t>almuerzo popular</t>
  </si>
  <si>
    <t>bebidas calientes</t>
  </si>
  <si>
    <t>comida rápida</t>
  </si>
  <si>
    <t>comida tradicional preparada</t>
  </si>
  <si>
    <t>desayuno</t>
  </si>
  <si>
    <t>postres preparados</t>
  </si>
  <si>
    <t>alquiler de casa</t>
  </si>
  <si>
    <t>alquiler de departamento</t>
  </si>
  <si>
    <t>alquiler de pieza</t>
  </si>
  <si>
    <t>materiales para reparación de la vivienda</t>
  </si>
  <si>
    <t>seguro para la vivienda</t>
  </si>
  <si>
    <t>servicio de seguridad de la vivienda</t>
  </si>
  <si>
    <t>servicios de reparación de la vivienda</t>
  </si>
  <si>
    <t>servicios domésticos</t>
  </si>
  <si>
    <t>gas doméstico</t>
  </si>
  <si>
    <t>servicio de consumo eléctrico</t>
  </si>
  <si>
    <t>betún</t>
  </si>
  <si>
    <t>cemento</t>
  </si>
  <si>
    <t>cloro y desinfectante</t>
  </si>
  <si>
    <t>desodorante ambiental</t>
  </si>
  <si>
    <t>detergente para ropa</t>
  </si>
  <si>
    <t>jabón para ropa</t>
  </si>
  <si>
    <t>jabón para vajilla</t>
  </si>
  <si>
    <t>suavizante de ropa</t>
  </si>
  <si>
    <t>ropa de baño</t>
  </si>
  <si>
    <t>ropa de cama</t>
  </si>
  <si>
    <t>candado</t>
  </si>
  <si>
    <t>cocina</t>
  </si>
  <si>
    <t>horno</t>
  </si>
  <si>
    <t>ollas</t>
  </si>
  <si>
    <t>ventilador</t>
  </si>
  <si>
    <t>alfombra suelta</t>
  </si>
  <si>
    <t>juego de dormitorio</t>
  </si>
  <si>
    <t>reparación de muebles</t>
  </si>
  <si>
    <t>bomba de agua</t>
  </si>
  <si>
    <t>ducha eléctrica</t>
  </si>
  <si>
    <t>plancha eléctrica de ropa</t>
  </si>
  <si>
    <t>reparación de artefactos para el hogar</t>
  </si>
  <si>
    <t>acondicionador de aire</t>
  </si>
  <si>
    <t>lavadora y secadora de ropa</t>
  </si>
  <si>
    <t>confección y reparación de prendas de vestir</t>
  </si>
  <si>
    <t>telas para confección</t>
  </si>
  <si>
    <t>blusa para niñas</t>
  </si>
  <si>
    <t>botas para hombre</t>
  </si>
  <si>
    <t>botas para niñas y niños</t>
  </si>
  <si>
    <t>calzado para hombre</t>
  </si>
  <si>
    <t>calzado para niñas y niños</t>
  </si>
  <si>
    <t>camisa para hombre</t>
  </si>
  <si>
    <t>camiseta para hombre</t>
  </si>
  <si>
    <t>camiseta para niñas y niños</t>
  </si>
  <si>
    <t>chompa para hombre</t>
  </si>
  <si>
    <t>chompas de niñas y niños</t>
  </si>
  <si>
    <t>conjunto para niñas y niños</t>
  </si>
  <si>
    <t>corbata</t>
  </si>
  <si>
    <t>correa</t>
  </si>
  <si>
    <t>medias para hombre</t>
  </si>
  <si>
    <t>pantalón para hombre</t>
  </si>
  <si>
    <t>pantalones para niñas y niños</t>
  </si>
  <si>
    <t>ropa interior para hombre</t>
  </si>
  <si>
    <t>sandalias para hombre</t>
  </si>
  <si>
    <t>zapatos deportivos para hombre</t>
  </si>
  <si>
    <t>zapatos deportivos para niñas y niños</t>
  </si>
  <si>
    <t>blusa para mujer</t>
  </si>
  <si>
    <t>botas para mujer</t>
  </si>
  <si>
    <t>calzado para mujer</t>
  </si>
  <si>
    <t>chompa para mujer</t>
  </si>
  <si>
    <t>falda para mujer</t>
  </si>
  <si>
    <t>medias para mujer</t>
  </si>
  <si>
    <t>medias para niñas y niños</t>
  </si>
  <si>
    <t>pantalón y licra para mujer</t>
  </si>
  <si>
    <t>ropa interior para mujer</t>
  </si>
  <si>
    <t>ropa interior para niñas y niños</t>
  </si>
  <si>
    <t>ropa para dormir para mujer</t>
  </si>
  <si>
    <t>terno y vestido para mujer</t>
  </si>
  <si>
    <t>zapatos deportivos para mujer</t>
  </si>
  <si>
    <t>calzado para bebé</t>
  </si>
  <si>
    <t>camiseta para bebé</t>
  </si>
  <si>
    <t>ropa exterior para bebé</t>
  </si>
  <si>
    <t>ropa interior para bebé</t>
  </si>
  <si>
    <t>limpieza y lavado de prendas de vestir</t>
  </si>
  <si>
    <t>limpieza y reparación de calzado</t>
  </si>
  <si>
    <t>alcohol antiséptico</t>
  </si>
  <si>
    <t>analgésicos y antipiréticos (n02b)</t>
  </si>
  <si>
    <t>antibiótico</t>
  </si>
  <si>
    <t>anticonceptivos hormonales para uso sistémico (g03a)</t>
  </si>
  <si>
    <t>antifúngicos para uso dermatológico (d01)</t>
  </si>
  <si>
    <t>antihelmínticos (antiparasitario) (p02)</t>
  </si>
  <si>
    <t>antihistamínico para uso sistémico (r06a)</t>
  </si>
  <si>
    <t>antiinflamatorio y antirreumáticos no esteroideos (m01a)</t>
  </si>
  <si>
    <t>audífonos de corrección</t>
  </si>
  <si>
    <t>combinaciones de supresores de la tos y expectorantes (r05f)</t>
  </si>
  <si>
    <t>consulta médico especialista</t>
  </si>
  <si>
    <t>consulta médico general</t>
  </si>
  <si>
    <t>exámenes médicos de imágenes</t>
  </si>
  <si>
    <t>exámenes médicos de sonido</t>
  </si>
  <si>
    <t>gastos en hospitalización</t>
  </si>
  <si>
    <t>lentes ópticos de corrección</t>
  </si>
  <si>
    <t>medicamentos para el sistema nervioso (n)</t>
  </si>
  <si>
    <t>medicamentos usados en diabetes (a10)</t>
  </si>
  <si>
    <t>oftalmológicos (s01)</t>
  </si>
  <si>
    <t>preparados dermatológicos (d11a)</t>
  </si>
  <si>
    <t>preservativo</t>
  </si>
  <si>
    <t>seguro de salud</t>
  </si>
  <si>
    <t>servicios odontológicos</t>
  </si>
  <si>
    <t>sistema cardiovascular (c)</t>
  </si>
  <si>
    <t>suplementos minerales, vitaminas y preparados antianémicos (a12) (a11) (b03)</t>
  </si>
  <si>
    <t>tracto alimentario y metabolismo (a)</t>
  </si>
  <si>
    <t>aceite para bebé</t>
  </si>
  <si>
    <t>acondicionador para el cabello</t>
  </si>
  <si>
    <t>anillo</t>
  </si>
  <si>
    <t>bolsos y carteras</t>
  </si>
  <si>
    <t>cosméticos</t>
  </si>
  <si>
    <t>cremas para la piel</t>
  </si>
  <si>
    <t>fotocopias</t>
  </si>
  <si>
    <t>gafas para sol</t>
  </si>
  <si>
    <t>gastos compromisos sociales</t>
  </si>
  <si>
    <t>gel y fijador de cabello</t>
  </si>
  <si>
    <t>jabón para tocador</t>
  </si>
  <si>
    <t>lavado y cepillado de cabello para mujer</t>
  </si>
  <si>
    <t>pañales desechables</t>
  </si>
  <si>
    <t>perfumes</t>
  </si>
  <si>
    <t>plancha para el cabello</t>
  </si>
  <si>
    <t>protector solar</t>
  </si>
  <si>
    <t>rasuradora</t>
  </si>
  <si>
    <t>reloj de mano</t>
  </si>
  <si>
    <t>servicios judiciales</t>
  </si>
  <si>
    <t>talco para pies</t>
  </si>
  <si>
    <t>tinte para el cabello</t>
  </si>
  <si>
    <t>tratamientos para el cabello</t>
  </si>
  <si>
    <t>alojamiento en hostales</t>
  </si>
  <si>
    <t>alojamiento en hoteles</t>
  </si>
  <si>
    <t>balón deportivo</t>
  </si>
  <si>
    <t>billete de  lotería</t>
  </si>
  <si>
    <t>bolígrafos</t>
  </si>
  <si>
    <t>clases de deporte</t>
  </si>
  <si>
    <t>computadora escritorio</t>
  </si>
  <si>
    <t>computadora portátil</t>
  </si>
  <si>
    <t>cuadernos</t>
  </si>
  <si>
    <t>dispositivos de almacenamiento de datos</t>
  </si>
  <si>
    <t>entrada a cine</t>
  </si>
  <si>
    <t>entrada a discoteca</t>
  </si>
  <si>
    <t>entrada a estadios deportivos</t>
  </si>
  <si>
    <t>gasto en tarifa de televisión pagada</t>
  </si>
  <si>
    <t>gimnasio</t>
  </si>
  <si>
    <t>guitarra</t>
  </si>
  <si>
    <t>impresora</t>
  </si>
  <si>
    <t>juego electrónico</t>
  </si>
  <si>
    <t>juguete</t>
  </si>
  <si>
    <t>libros y enciclopedias</t>
  </si>
  <si>
    <t>máquina de ejercicio</t>
  </si>
  <si>
    <t>memory flash</t>
  </si>
  <si>
    <t>paquete de vacaciones</t>
  </si>
  <si>
    <t>periódicos y revistas</t>
  </si>
  <si>
    <t>piscina y sitios de recreación</t>
  </si>
  <si>
    <t>reparación de equipos electrónicos</t>
  </si>
  <si>
    <t>reproductor de sonido</t>
  </si>
  <si>
    <t>reproductor de video</t>
  </si>
  <si>
    <t>televisor</t>
  </si>
  <si>
    <t>textos de enseñanza de todo nivel educativo</t>
  </si>
  <si>
    <t>curso de computación</t>
  </si>
  <si>
    <t>curso de idiomas</t>
  </si>
  <si>
    <t>educación bachillerato</t>
  </si>
  <si>
    <t>educación bachillerato a distancia</t>
  </si>
  <si>
    <t>educación básica superior</t>
  </si>
  <si>
    <t>educación general básica</t>
  </si>
  <si>
    <t>educación inicial</t>
  </si>
  <si>
    <t>educación universitaria postgrado</t>
  </si>
  <si>
    <t>educación universitaria pregrado</t>
  </si>
  <si>
    <t>mochila escolar</t>
  </si>
  <si>
    <t>servicio de guarderías infantiles</t>
  </si>
  <si>
    <t>útiles escolares</t>
  </si>
  <si>
    <t>taxi urbano</t>
  </si>
  <si>
    <t>transporte interurbano</t>
  </si>
  <si>
    <t>envío de paquete</t>
  </si>
  <si>
    <t>servicio de alquiler de teléfono</t>
  </si>
  <si>
    <t>servicio de internet</t>
  </si>
  <si>
    <t>servicio de telefonía celular</t>
  </si>
  <si>
    <t>servicio de telefonía residencial</t>
  </si>
  <si>
    <t>servicios bancarios</t>
  </si>
  <si>
    <t>teléfono celular</t>
  </si>
  <si>
    <t>aceite lubricante</t>
  </si>
  <si>
    <t>afinamiento (abc)</t>
  </si>
  <si>
    <t>alimento preparado para mascotas</t>
  </si>
  <si>
    <t>amortiguadores</t>
  </si>
  <si>
    <t>cambio, alineación y balanceo de neumáticos</t>
  </si>
  <si>
    <t>diésel</t>
  </si>
  <si>
    <t>flores</t>
  </si>
  <si>
    <t>gasolina alto octanaje</t>
  </si>
  <si>
    <t>gasolina bajo octanaje</t>
  </si>
  <si>
    <t>gasolina ecológica</t>
  </si>
  <si>
    <t>gasto en médico veterinario</t>
  </si>
  <si>
    <t>inspección técnica</t>
  </si>
  <si>
    <t>motocicleta</t>
  </si>
  <si>
    <t>neumático</t>
  </si>
  <si>
    <t>peaje</t>
  </si>
  <si>
    <t>seguro de vehículo</t>
  </si>
  <si>
    <t>servicio de wincha</t>
  </si>
  <si>
    <t>Base: enero - diciembre 2014 = 100</t>
  </si>
  <si>
    <t>Base: enero - diciembre de 2014 = 100</t>
  </si>
  <si>
    <t>4.14   Canasta de Bienes y Servicios para el Cálculo del Indice de Precios al Consumidor  Base: Agosto 1950-Julio1951</t>
  </si>
  <si>
    <t>4.15   Canasta de Bienes y Servicios para el Cálculo del Indice de Precios al Consumidor Base: 1965</t>
  </si>
  <si>
    <t>4.16   Canasta de Bienes y Servicios para el Cálculo del Indice de Precios al Consumidor: Abril 1978-Mayo 1979</t>
  </si>
  <si>
    <t>4.17   Canasta de Bienes y Servicios para el Cálculo del  Indice de Precios al Consumidor: Agosto 1994-Septiembre 1995</t>
  </si>
  <si>
    <t xml:space="preserve">4.18   Canasta de Bienes y Servicios para el Cálculo del Indice de Precios al Consumidor: Enero-Diciembre 2004 </t>
  </si>
  <si>
    <t>4.19  Indicadores de Coyuntura del Mercado Laboral Ecuatoriano. Total Nacional.</t>
  </si>
  <si>
    <t>POBLACIÓN</t>
  </si>
  <si>
    <t xml:space="preserve">4.18.a  Canasta de Bienes y Servicios para el Cálculo del Indice de Precios al Consumidor: Enero-Diciembre 2014 </t>
  </si>
  <si>
    <t>4.7      Indice Ponderado de Precios al Consumidor por Ciudades y por Categorías de Bienes y Servicios  (1940-2014)</t>
  </si>
  <si>
    <t>4.12   Salario  Mínimo Vital General y Salario Básico Unificado (1968-2016)</t>
  </si>
  <si>
    <t xml:space="preserve">Base: enero-diciembre 2004 </t>
  </si>
  <si>
    <t xml:space="preserve">Base: enero-diciembre 2014 </t>
  </si>
  <si>
    <t>UNIFICADO (S.B.U.) (1968-2016) (1)</t>
  </si>
  <si>
    <t xml:space="preserve">4.7.a   ÍNDICE PONDERADO DE PRECIOS AL CONSUMIDOR POR CIUDADES Y POR CATEGORÍAS DE BIENES Y SERVICIOS (2015-2016) (1) </t>
  </si>
  <si>
    <t xml:space="preserve">4.7 ÍNDICE PONDERADO DE PRECIOS AL CONSUMIDOR POR CIUDADES Y POR CATEGORÍAS DE BIENES Y SERVICIOS (1940-2014) (1) </t>
  </si>
  <si>
    <t>4.9     Variación Anual del  Indice Ponderado de Precios al Consumidor por Ciudades y por Categorías de Bienes y Servicios (1940 - 2014)</t>
  </si>
  <si>
    <t>4.8.a  Indice Ponderado de Precios al Consumidor por Categorías de Bienes y Servcios (2005 - 2014)</t>
  </si>
  <si>
    <t>4.8.b  Indice Ponderado de Precios al Consumidor por Categorías de Bienes y Servicios (2015 - 2016)</t>
  </si>
  <si>
    <t>Por grupo de bienes y servicios</t>
  </si>
  <si>
    <t>2001 (5)</t>
  </si>
  <si>
    <t>4.10     Variación Anual del Índice Ponderado de Precios al Consumidor por Categorías de Bienes y Servicios (1997-2004)</t>
  </si>
  <si>
    <t>4.10.a  Variación Anual del Indice Ponderado de Precios al Consumidor por Categorías de Bienes y Servicios (2005-2014)</t>
  </si>
  <si>
    <t>4.10.b  Variación Anual del Indice Ponderado de Precios al Consumidor por Categorías de Bienes y Servicios (2015-2016)</t>
  </si>
  <si>
    <t>4.7.a  Indice Ponderado de Precios al Consumidor por Ciudades y por Categorías de Bienes y Servicios  (2015-2016)</t>
  </si>
  <si>
    <t>4.9.a   Variación Anual del  Indice Ponderado de Precios al Consumidor por Ciudades y por Categorías de Bienes y Servicios (2015 - 2016)</t>
  </si>
  <si>
    <t xml:space="preserve">4.19 INDICADORES DEL MERCADO LABORAL ECUATORIANO. </t>
  </si>
  <si>
    <t>TOTAL NACIONAL (1) 2007-2016</t>
  </si>
  <si>
    <t>AÑO</t>
  </si>
  <si>
    <t>Tasas de</t>
  </si>
  <si>
    <t>Empleo 
Global</t>
  </si>
  <si>
    <t>Empleo 
Adecuado/Pleno</t>
  </si>
  <si>
    <t>Subempleo</t>
  </si>
  <si>
    <t>Otro Empleo
No pleno</t>
  </si>
  <si>
    <t>Empleo 
No remunerado</t>
  </si>
  <si>
    <t>Empleo
No clasificado</t>
  </si>
  <si>
    <t>Desempleo</t>
  </si>
  <si>
    <t>Desempleo
Abierto</t>
  </si>
  <si>
    <t>Desempleo
Oculto</t>
  </si>
  <si>
    <t>1) Datos a Diciembre de cada año</t>
  </si>
  <si>
    <t>TOTAL URBANO (1) 1998-2014</t>
  </si>
  <si>
    <t>Ocupación Total</t>
  </si>
  <si>
    <t>Ocupación Plena</t>
  </si>
  <si>
    <t>Subocupación Total</t>
  </si>
  <si>
    <t>Desocupación Total</t>
  </si>
  <si>
    <t>Desocupación Abierta</t>
  </si>
  <si>
    <t>Desocupación Oculta</t>
  </si>
  <si>
    <t>2001(2)</t>
  </si>
  <si>
    <t>2007(3)</t>
  </si>
  <si>
    <t>1) Datos a Diciembre/ Noviembre de cada año.</t>
  </si>
  <si>
    <t>2) Dato para agosto.</t>
  </si>
  <si>
    <t>3) Los datos para después del 2007 corresponden a una nueva metodología.</t>
  </si>
  <si>
    <t>4.1 OFERTA Y UTILIZACIÓN FINAL DE BIENES Y SERVICIOS</t>
  </si>
  <si>
    <t>Miles de dólares de 2007</t>
  </si>
  <si>
    <t>AÑOS</t>
  </si>
  <si>
    <t>Producto interno bruto (PIB)</t>
  </si>
  <si>
    <t>Importaciones de bienes y servicios</t>
  </si>
  <si>
    <t>Total oferta final</t>
  </si>
  <si>
    <t>Gasto de consumo final total</t>
  </si>
  <si>
    <t>Gobierno general</t>
  </si>
  <si>
    <t>Hogares residentes (*)</t>
  </si>
  <si>
    <t>Formación bruta de capital fijo</t>
  </si>
  <si>
    <t>Variación de existencias</t>
  </si>
  <si>
    <t>Exportaciones de bienes y servicios</t>
  </si>
  <si>
    <t>Total demanda final</t>
  </si>
  <si>
    <t>2014 sd</t>
  </si>
  <si>
    <t>2015 p</t>
  </si>
  <si>
    <t>2016 prel</t>
  </si>
  <si>
    <t>(*) Incluye Instituciones sin fines de lucro que sirven a los hogares</t>
  </si>
  <si>
    <t>sd: semidefinitivo</t>
  </si>
  <si>
    <t>p: provisional</t>
  </si>
  <si>
    <t>prel: preliminar por sumatoria de trimestres</t>
  </si>
  <si>
    <t>4.2 OFERTA Y UTILIZACIÓN FINAL DE BIENES Y SERVICIOS</t>
  </si>
  <si>
    <t>Miles de dólares</t>
  </si>
  <si>
    <t>4.3 OFERTA Y UTILIZACIÓN FINAL DE BIENES Y SERVICIOS</t>
  </si>
  <si>
    <t>Tasas de variación</t>
  </si>
  <si>
    <t>A precios de 2007</t>
  </si>
  <si>
    <t>4.4 OFERTA Y UTILIZACIÓN FINAL DE BIENES Y SERVICIOS</t>
  </si>
  <si>
    <t>Deflactores implícitos</t>
  </si>
  <si>
    <t>2007=100</t>
  </si>
  <si>
    <t>4.5 OFERTA Y UTILIZACIÓN FINAL DE BIENES Y SERVICIOS</t>
  </si>
  <si>
    <t>Participación en el PIB</t>
  </si>
  <si>
    <t>Hogares residentes(*)</t>
  </si>
  <si>
    <t>Contribución al crecimiento del PIB</t>
  </si>
  <si>
    <t>4.6 OFERTA Y UTILIZACIÓN FINAL DE BIENES Y SERVICIOS</t>
  </si>
  <si>
    <t>4.1     Oferta y Utilización Final de Bienes y Servicios / Miles de dólares de 2007</t>
  </si>
  <si>
    <t>4.2     Oferta y Utilización Final de Bienes y Servicios/ Miles de dólares</t>
  </si>
  <si>
    <t>4.3     Oferta y Utilización Final de Bienes y Servicios / Tasas de variación a Precios de 2007</t>
  </si>
  <si>
    <t>4.4     Oferta y Utilización Final de Bienes y Servicios / Deflactores implícitos</t>
  </si>
  <si>
    <t>4.5     Oferta y Utilización Final de Bienes y Servicios / Participación en el PIB - A precios de 2007</t>
  </si>
  <si>
    <t>4.6     Oferta y Utilización Final de Bienes y Servicios / Contribución al crecimiento del PIB - A precios de 2007</t>
  </si>
  <si>
    <t>Capítulo 4</t>
  </si>
  <si>
    <t>4.13   Población</t>
  </si>
  <si>
    <t>4.13 POBLACIÓN</t>
  </si>
  <si>
    <t>Población total (1)</t>
  </si>
  <si>
    <t>2001 (2)</t>
  </si>
  <si>
    <t>2010 (3)</t>
  </si>
  <si>
    <t>2010 (4)</t>
  </si>
  <si>
    <t>Miles de barriles</t>
  </si>
  <si>
    <t>Producción  Empresas  Públicas</t>
  </si>
  <si>
    <t>Produc. Cías. Privadas</t>
  </si>
  <si>
    <t>Total Producción Nacional</t>
  </si>
  <si>
    <t>EP Petroecuador (1) (2)</t>
  </si>
  <si>
    <t>Petroamazonas EP (2)</t>
  </si>
  <si>
    <t>Operadora Río Napo (3)</t>
  </si>
  <si>
    <t>TOTAL</t>
  </si>
  <si>
    <t>Notas</t>
  </si>
  <si>
    <t>Exportación de las Empresas Publicas</t>
  </si>
  <si>
    <t>Exportaciones de las Cías. Privadas</t>
  </si>
  <si>
    <t>Crudo Oriente</t>
  </si>
  <si>
    <t>Crudo Napo (1)</t>
  </si>
  <si>
    <t>Total Exportaciones de las Empresas Públicas (2)</t>
  </si>
  <si>
    <t>Compañías Privadas</t>
  </si>
  <si>
    <t>Barriles</t>
  </si>
  <si>
    <t>USD FOB</t>
  </si>
  <si>
    <t>Valor unitario dólares/barril</t>
  </si>
  <si>
    <t>Total S.O.T.E. (1)</t>
  </si>
  <si>
    <t>Total  O.T.A. (2)</t>
  </si>
  <si>
    <t>Total  O.C.P. (3)</t>
  </si>
  <si>
    <t>Miles de Barriles</t>
  </si>
  <si>
    <r>
      <t xml:space="preserve"> GASOLINAS</t>
    </r>
    <r>
      <rPr>
        <sz val="10"/>
        <rFont val="Calibri"/>
        <family val="2"/>
      </rPr>
      <t xml:space="preserve"> </t>
    </r>
  </si>
  <si>
    <t>G.L.P.</t>
  </si>
  <si>
    <t xml:space="preserve">NAFTA D 
</t>
  </si>
  <si>
    <t xml:space="preserve">ABSORVER
OIL
</t>
  </si>
  <si>
    <r>
      <t xml:space="preserve">DIESEL 1
</t>
    </r>
    <r>
      <rPr>
        <sz val="10"/>
        <rFont val="Calibri"/>
        <family val="2"/>
      </rPr>
      <t>(2)</t>
    </r>
  </si>
  <si>
    <t>DIESEL 2</t>
  </si>
  <si>
    <t>DIESEL 
PREMIUM</t>
  </si>
  <si>
    <r>
      <t xml:space="preserve">FUEL
OIL # 4
</t>
    </r>
    <r>
      <rPr>
        <sz val="10"/>
        <rFont val="Calibri"/>
        <family val="2"/>
      </rPr>
      <t xml:space="preserve">(3) </t>
    </r>
  </si>
  <si>
    <t>Residuo Termoesmeraldas REE</t>
  </si>
  <si>
    <t>COMBUSTIBLE
MEZCLA
( 4 )</t>
  </si>
  <si>
    <r>
      <t xml:space="preserve">CRUDO REDUCIDO 
REF. AMAZONAS
</t>
    </r>
    <r>
      <rPr>
        <sz val="10"/>
        <rFont val="Calibri"/>
        <family val="2"/>
      </rPr>
      <t>( 5 )</t>
    </r>
  </si>
  <si>
    <t>JET
FUEL</t>
  </si>
  <si>
    <t>SPRAY 
OIL</t>
  </si>
  <si>
    <t>ASFALTOS</t>
  </si>
  <si>
    <t>SOLVENTES</t>
  </si>
  <si>
    <r>
      <t>NAFTA BASE  90</t>
    </r>
    <r>
      <rPr>
        <sz val="10"/>
        <rFont val="Calibri"/>
        <family val="2"/>
      </rPr>
      <t xml:space="preserve"> 
</t>
    </r>
  </si>
  <si>
    <r>
      <t>PESCA ARTESA- NAL</t>
    </r>
    <r>
      <rPr>
        <sz val="10"/>
        <rFont val="Calibri"/>
        <family val="2"/>
      </rPr>
      <t xml:space="preserve"> </t>
    </r>
  </si>
  <si>
    <t>GASOLINA
NATURAL</t>
  </si>
  <si>
    <t xml:space="preserve">SUPER 
</t>
  </si>
  <si>
    <t>ECO-82/85</t>
  </si>
  <si>
    <t xml:space="preserve">Extra con Etanol (ECOPAIS) </t>
  </si>
  <si>
    <t xml:space="preserve">EXTRA
</t>
  </si>
  <si>
    <t>REGULAR</t>
  </si>
  <si>
    <t>1994 (l)</t>
  </si>
  <si>
    <t xml:space="preserve">      GASOLINAS</t>
  </si>
  <si>
    <t>DIESEL</t>
  </si>
  <si>
    <t>GLP</t>
  </si>
  <si>
    <t>AVGAS</t>
  </si>
  <si>
    <t>JET FUEL (1)</t>
  </si>
  <si>
    <t xml:space="preserve">ASFALTOS y OTROS </t>
  </si>
  <si>
    <t>CUTTER STOCK</t>
  </si>
  <si>
    <t>MEZCLAS</t>
  </si>
  <si>
    <t>VGO</t>
  </si>
  <si>
    <t xml:space="preserve"> GASOLEO</t>
  </si>
  <si>
    <t>TOTAL (2)</t>
  </si>
  <si>
    <t xml:space="preserve"> 80-84 OCT.</t>
  </si>
  <si>
    <t xml:space="preserve"> 92 0CT.</t>
  </si>
  <si>
    <t xml:space="preserve"> PRODUCT.</t>
  </si>
  <si>
    <t>GASOLINAS (2)</t>
  </si>
  <si>
    <t>DIESEL 1</t>
  </si>
  <si>
    <t>FUEL OIL</t>
  </si>
  <si>
    <t xml:space="preserve">JET FUEL </t>
  </si>
  <si>
    <t>TURBO FUEL</t>
  </si>
  <si>
    <t>KEREX</t>
  </si>
  <si>
    <t>ABSORVER</t>
  </si>
  <si>
    <t>ASFALTO</t>
  </si>
  <si>
    <t>SPRAY OIL</t>
  </si>
  <si>
    <t>AERO-COMBUSTIBLE</t>
  </si>
  <si>
    <t>LUBRICANTES</t>
  </si>
  <si>
    <t>NAFTA BASE 90 (Sector Eléctrico)</t>
  </si>
  <si>
    <t>NAFTA BASE</t>
  </si>
  <si>
    <t>PESCA ARTESANAL</t>
  </si>
  <si>
    <t>RESIDUO</t>
  </si>
  <si>
    <t>SÚPER</t>
  </si>
  <si>
    <t>EXTRA</t>
  </si>
  <si>
    <t xml:space="preserve">EXTRA CON ETHANOL </t>
  </si>
  <si>
    <t>ECO-85</t>
  </si>
  <si>
    <t>TOTAL GASOLINAS</t>
  </si>
  <si>
    <t>TERRESTRE</t>
  </si>
  <si>
    <t>MARINO INTERN.</t>
  </si>
  <si>
    <t>TOTAL DIESEL 1</t>
  </si>
  <si>
    <t>PREMIUM</t>
  </si>
  <si>
    <t>ELÉCTRICO</t>
  </si>
  <si>
    <t>MARINO NACIONAL</t>
  </si>
  <si>
    <t>MARINO INTERNC.</t>
  </si>
  <si>
    <t>DILUYENTE SECTOR ELÉCTRICO</t>
  </si>
  <si>
    <t>BUQUES CONTRATADOS CEPE</t>
  </si>
  <si>
    <t>PESQUERO</t>
  </si>
  <si>
    <t>TOTAL DIESEL 2</t>
  </si>
  <si>
    <t>NACIONAL</t>
  </si>
  <si>
    <t>INDUSTRIAL</t>
  </si>
  <si>
    <t>MARINO</t>
  </si>
  <si>
    <t>INTERNACIONAL</t>
  </si>
  <si>
    <t>TOTAL FUEL OIL</t>
  </si>
  <si>
    <t>MINERAL TURPENTINE</t>
  </si>
  <si>
    <t>RUBBER SOLVENT</t>
  </si>
  <si>
    <t>SOLVENTE N° 1</t>
  </si>
  <si>
    <t>STODDAR SOLVENT</t>
  </si>
  <si>
    <t>TOTAL SOLVENTES</t>
  </si>
  <si>
    <t>TOTAL AVGAS</t>
  </si>
  <si>
    <t>TOTAL JET FUEL</t>
  </si>
  <si>
    <t>SECTOR ELECTRICO Ref. Amazonas</t>
  </si>
  <si>
    <t>INDUSTRIAL Ref. Amazonas</t>
  </si>
  <si>
    <t>TERMO- ESMERALDAS Ref. Esmeraldas</t>
  </si>
  <si>
    <t>PETRÓLEO</t>
  </si>
  <si>
    <t>4.21  PRODUCCIÓN NACIONAL DE PETRÓLEO (1972-2016)</t>
  </si>
  <si>
    <t>4.22  EXPORTACIONES  (1972-2016)</t>
  </si>
  <si>
    <t>4.24 PRODUCCIÓN NACIONAL DE DERIVADOS  1972-2016 (1)</t>
  </si>
  <si>
    <t>4.25  IMPORTACIÓN DE PRODUCTOS DERIVADOS DE PETRÓLEO REALIZADA  POR EP PETROECUADOR 1972-2016</t>
  </si>
  <si>
    <t>4.26  VENTA NACIONAL DE DERIVADOS 1972-2016 (1)</t>
  </si>
  <si>
    <t>PRECIOS AL CONSUMIDOR - COMPONENTES Y PONDERADORES -</t>
  </si>
  <si>
    <t xml:space="preserve">Secretaría de Hidrocarburos </t>
  </si>
  <si>
    <t>Servicios Cías. Privadas (3)</t>
  </si>
  <si>
    <t>4.23 CRUDO TRANSPORTADO POR OLEODUCTOS  (1972-2016)</t>
  </si>
  <si>
    <t>4.20 INDICADORES DEL MERCADO LABORAL ECUATORIANO. (Anterior metodología)</t>
  </si>
  <si>
    <t>4.20  Indicadores de Coyuntura del Mercado Laboral Ecuatoriano. (Antigua Metodología) Total Urbano.</t>
  </si>
  <si>
    <t>4.21   Producción nacional de petróleo (1972 - 2016)</t>
  </si>
  <si>
    <t>4.22   Exportaciones (1972-2016).</t>
  </si>
  <si>
    <t>4.23   Crudo transportado por oleoductos 1972-2016.</t>
  </si>
  <si>
    <t>4.24   Producción nacional de derivados 1972-2016</t>
  </si>
  <si>
    <t>4.25   Importación de productos derivados de petróleo realizada por EP Petroecuador 1972-2016</t>
  </si>
  <si>
    <t>4.26   Venta nacional de derivados 1972-2016</t>
  </si>
  <si>
    <t>4.8 ÍNDICE PONDERADO DE PRECIOS AL CONSUMIDOR POR DIVISIONES DE BIENES Y SERVICIOS (1997-2004) (1)</t>
  </si>
  <si>
    <t>4.8.a ÍNDICE PONDERADO DE PRECIOS AL CONSUMIDOR POR DIVISIONES DE BIENES Y SERVICIOS (2005 - 2014)</t>
  </si>
  <si>
    <t>4.8.b ÍNDICE PONDERADO DE PRECIOS AL CONSUMIDOR POR DIVISIONES DE BIENES Y SERVICIOS (2015 - 2016)</t>
  </si>
  <si>
    <t xml:space="preserve">Y SERVICIOS  (1940-2014) (1) </t>
  </si>
  <si>
    <t>4.9   VARIACIÓN ANUAL DEL ÍNDICE PONDERADO DE PRECIOS AL CONSUMIDOR POR CIUDADES Y POR CATEGORÍAS DE BIENES</t>
  </si>
  <si>
    <t>4.9.a   VARIACIÓN ANUAL DEL ÍNDICE PONDERADO DE PRECIOS AL CONSUMIDOR POR CIUDADES Y POR CATEGORÍAS DE BIENES</t>
  </si>
  <si>
    <t xml:space="preserve">Y SERVICIOS (2015-2016) (1) </t>
  </si>
  <si>
    <t>4.10 VARIACIÓN ANUAL DEL ÍNDICE PONDERADO DE PRECIOS AL CONSUMIDOR POR DIVISIONES DE BIENES Y SERVICIOS (1997-2004) (1)</t>
  </si>
  <si>
    <t>4.10.a VARIACIÓN ANUAL DEL ÍNDICE PONDERADO DE PRECIOS AL CONSUMIDOR POR DIVISIONES DE BIENES Y SERVICIOS (2005-2014)</t>
  </si>
  <si>
    <t>4.10.b VARIACIÓN ANUAL DEL ÍNDICE PONDERADO DE PRECIOS AL CONSUMIDOR POR DIVISIONES DE BIENES Y SERVICIOS (2015-2016)</t>
  </si>
  <si>
    <t>ÍNDICE GENERAL</t>
  </si>
  <si>
    <t xml:space="preserve">4.15 CANASTA DE BIENES Y SERVICIOS PARA EL CÁLCULO DEL ÍNDICE DE </t>
  </si>
  <si>
    <t xml:space="preserve">4.16 CANASTA DE BIENES Y SERVICIOS PARA EL CÁLCULO DEL ÍNDICE DE </t>
  </si>
  <si>
    <t xml:space="preserve">4.17 CANASTA DE BIENES Y SERVICIOS PARA EL CÁLCULO DEL ÍNDICE DE </t>
  </si>
  <si>
    <t>4.18 CANASTA DE BIENES Y SERVICIOS PARA EL CÁLCULO DEL ÍNDICE DE</t>
  </si>
  <si>
    <t xml:space="preserve">4.18.a CANASTA DE BIENES Y SERVICIOS PARA EL CÁLCULO DEL ÍNDICE DE </t>
  </si>
  <si>
    <t>Base: septiembre 1994-agosto 1995</t>
  </si>
</sst>
</file>

<file path=xl/styles.xml><?xml version="1.0" encoding="utf-8"?>
<styleSheet xmlns="http://schemas.openxmlformats.org/spreadsheetml/2006/main">
  <numFmts count="13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"/>
    <numFmt numFmtId="166" formatCode="0_)"/>
    <numFmt numFmtId="167" formatCode="_-* #,##0.0000\ _P_t_s_-;\-* #,##0.0000\ _P_t_s_-;_-* &quot;-&quot;\ _P_t_s_-;_-@_-"/>
    <numFmt numFmtId="168" formatCode="0.0000"/>
    <numFmt numFmtId="169" formatCode="0.000"/>
    <numFmt numFmtId="170" formatCode="0.0%"/>
    <numFmt numFmtId="171" formatCode="_(* #,##0.0_);_(* \(#,##0.0\);_(* &quot;-&quot;??_);_(@_)"/>
    <numFmt numFmtId="172" formatCode="_-* #,##0.00\ _$_-;\-* #,##0.00\ _$_-;_-* &quot;-&quot;??\ _$_-;_-@_-"/>
    <numFmt numFmtId="173" formatCode="_-* #,##0\ _$_-;\-* #,##0\ _$_-;_-* &quot;-&quot;??\ _$_-;_-@_-"/>
    <numFmt numFmtId="174" formatCode="#,##0.0000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0"/>
      <color indexed="10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sz val="11"/>
      <color theme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0"/>
      <color rgb="FF021078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62"/>
      <name val="Calibri"/>
      <family val="2"/>
      <scheme val="minor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90">
    <xf numFmtId="0" fontId="0" fillId="0" borderId="0" xfId="0"/>
    <xf numFmtId="0" fontId="11" fillId="0" borderId="0" xfId="0" applyFont="1"/>
    <xf numFmtId="0" fontId="8" fillId="0" borderId="0" xfId="2" applyAlignment="1" applyProtection="1"/>
    <xf numFmtId="0" fontId="12" fillId="0" borderId="0" xfId="0" applyFont="1"/>
    <xf numFmtId="0" fontId="13" fillId="0" borderId="0" xfId="2" applyFont="1" applyAlignment="1" applyProtection="1"/>
    <xf numFmtId="0" fontId="14" fillId="0" borderId="0" xfId="0" applyFont="1"/>
    <xf numFmtId="0" fontId="8" fillId="0" borderId="0" xfId="2" quotePrefix="1" applyAlignment="1" applyProtection="1"/>
    <xf numFmtId="0" fontId="8" fillId="2" borderId="0" xfId="2" applyFill="1" applyAlignment="1" applyProtection="1"/>
    <xf numFmtId="0" fontId="0" fillId="3" borderId="0" xfId="0" applyFill="1"/>
    <xf numFmtId="0" fontId="15" fillId="3" borderId="0" xfId="2" applyFont="1" applyFill="1" applyAlignment="1" applyProtection="1"/>
    <xf numFmtId="0" fontId="16" fillId="0" borderId="0" xfId="1" applyFont="1"/>
    <xf numFmtId="0" fontId="16" fillId="0" borderId="0" xfId="1" applyFont="1" applyFill="1"/>
    <xf numFmtId="0" fontId="17" fillId="0" borderId="0" xfId="1" applyFont="1" applyAlignment="1">
      <alignment horizontal="centerContinuous"/>
    </xf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right"/>
    </xf>
    <xf numFmtId="43" fontId="18" fillId="0" borderId="0" xfId="3" applyFont="1" applyFill="1"/>
    <xf numFmtId="43" fontId="18" fillId="0" borderId="0" xfId="3" applyFont="1"/>
    <xf numFmtId="0" fontId="16" fillId="0" borderId="1" xfId="1" applyFont="1" applyBorder="1"/>
    <xf numFmtId="2" fontId="16" fillId="0" borderId="0" xfId="1" applyNumberFormat="1" applyFont="1"/>
    <xf numFmtId="0" fontId="19" fillId="0" borderId="0" xfId="2" applyFont="1" applyAlignment="1" applyProtection="1"/>
    <xf numFmtId="0" fontId="17" fillId="4" borderId="3" xfId="1" applyFont="1" applyFill="1" applyBorder="1" applyAlignment="1">
      <alignment horizontal="center"/>
    </xf>
    <xf numFmtId="0" fontId="17" fillId="4" borderId="4" xfId="1" applyFont="1" applyFill="1" applyBorder="1" applyAlignment="1">
      <alignment horizontal="center"/>
    </xf>
    <xf numFmtId="0" fontId="16" fillId="3" borderId="0" xfId="1" applyFont="1" applyFill="1" applyAlignment="1">
      <alignment horizontal="right"/>
    </xf>
    <xf numFmtId="0" fontId="17" fillId="3" borderId="0" xfId="1" applyFont="1" applyFill="1" applyAlignment="1">
      <alignment horizontal="right"/>
    </xf>
    <xf numFmtId="4" fontId="16" fillId="3" borderId="0" xfId="1" applyNumberFormat="1" applyFont="1" applyFill="1"/>
    <xf numFmtId="41" fontId="16" fillId="3" borderId="0" xfId="1" applyNumberFormat="1" applyFont="1" applyFill="1" applyAlignment="1">
      <alignment horizontal="right"/>
    </xf>
    <xf numFmtId="0" fontId="17" fillId="0" borderId="0" xfId="1" applyFont="1"/>
    <xf numFmtId="0" fontId="16" fillId="0" borderId="0" xfId="1" applyFont="1" applyBorder="1"/>
    <xf numFmtId="0" fontId="17" fillId="0" borderId="0" xfId="1" applyFont="1" applyBorder="1" applyAlignment="1">
      <alignment horizontal="centerContinuous" vertical="center" wrapText="1"/>
    </xf>
    <xf numFmtId="0" fontId="17" fillId="4" borderId="5" xfId="1" applyFont="1" applyFill="1" applyBorder="1" applyAlignment="1">
      <alignment horizontal="centerContinuous" vertical="center" wrapText="1"/>
    </xf>
    <xf numFmtId="0" fontId="17" fillId="4" borderId="6" xfId="1" applyFont="1" applyFill="1" applyBorder="1" applyAlignment="1">
      <alignment horizontal="centerContinuous" vertical="center" wrapText="1"/>
    </xf>
    <xf numFmtId="0" fontId="17" fillId="4" borderId="7" xfId="1" applyFont="1" applyFill="1" applyBorder="1" applyAlignment="1">
      <alignment horizontal="centerContinuous" vertical="center" wrapText="1"/>
    </xf>
    <xf numFmtId="4" fontId="16" fillId="3" borderId="0" xfId="1" applyNumberFormat="1" applyFont="1" applyFill="1" applyBorder="1" applyAlignment="1">
      <alignment horizontal="right" wrapText="1"/>
    </xf>
    <xf numFmtId="4" fontId="16" fillId="3" borderId="0" xfId="3" applyNumberFormat="1" applyFont="1" applyFill="1" applyAlignment="1" applyProtection="1">
      <alignment horizontal="right"/>
    </xf>
    <xf numFmtId="2" fontId="16" fillId="0" borderId="0" xfId="1" applyNumberFormat="1" applyFont="1" applyBorder="1" applyAlignment="1" applyProtection="1">
      <alignment horizontal="left"/>
    </xf>
    <xf numFmtId="2" fontId="16" fillId="0" borderId="0" xfId="1" applyNumberFormat="1" applyFont="1" applyBorder="1" applyProtection="1"/>
    <xf numFmtId="2" fontId="16" fillId="0" borderId="0" xfId="1" applyNumberFormat="1" applyFont="1" applyBorder="1" applyAlignment="1" applyProtection="1">
      <alignment horizontal="fill"/>
    </xf>
    <xf numFmtId="2" fontId="17" fillId="4" borderId="8" xfId="1" applyNumberFormat="1" applyFont="1" applyFill="1" applyBorder="1" applyAlignment="1" applyProtection="1">
      <alignment horizontal="center" vertical="center" wrapText="1"/>
    </xf>
    <xf numFmtId="2" fontId="17" fillId="4" borderId="8" xfId="1" applyNumberFormat="1" applyFont="1" applyFill="1" applyBorder="1" applyAlignment="1" applyProtection="1">
      <alignment horizontal="center" vertical="center"/>
    </xf>
    <xf numFmtId="2" fontId="17" fillId="4" borderId="9" xfId="1" applyNumberFormat="1" applyFont="1" applyFill="1" applyBorder="1" applyAlignment="1" applyProtection="1">
      <alignment horizontal="center" vertical="center" wrapText="1"/>
    </xf>
    <xf numFmtId="2" fontId="17" fillId="0" borderId="0" xfId="1" applyNumberFormat="1" applyFont="1"/>
    <xf numFmtId="0" fontId="16" fillId="3" borderId="0" xfId="1" applyFont="1" applyFill="1" applyBorder="1" applyAlignment="1">
      <alignment horizontal="center" wrapText="1"/>
    </xf>
    <xf numFmtId="2" fontId="16" fillId="0" borderId="2" xfId="1" applyNumberFormat="1" applyFont="1" applyBorder="1" applyAlignment="1" applyProtection="1">
      <alignment horizontal="left"/>
    </xf>
    <xf numFmtId="2" fontId="16" fillId="0" borderId="2" xfId="1" applyNumberFormat="1" applyFont="1" applyBorder="1"/>
    <xf numFmtId="2" fontId="16" fillId="0" borderId="0" xfId="1" applyNumberFormat="1" applyFont="1" applyBorder="1"/>
    <xf numFmtId="2" fontId="16" fillId="0" borderId="0" xfId="1" applyNumberFormat="1" applyFont="1" applyProtection="1"/>
    <xf numFmtId="2" fontId="20" fillId="0" borderId="0" xfId="1" applyNumberFormat="1" applyFont="1"/>
    <xf numFmtId="2" fontId="16" fillId="0" borderId="0" xfId="1" applyNumberFormat="1" applyFont="1" applyAlignment="1" applyProtection="1">
      <alignment horizontal="center"/>
    </xf>
    <xf numFmtId="2" fontId="17" fillId="0" borderId="0" xfId="1" applyNumberFormat="1" applyFont="1" applyBorder="1" applyAlignment="1" applyProtection="1">
      <alignment horizontal="left"/>
    </xf>
    <xf numFmtId="0" fontId="17" fillId="4" borderId="10" xfId="1" applyFont="1" applyFill="1" applyBorder="1" applyAlignment="1">
      <alignment horizontal="center" vertical="center" wrapText="1"/>
    </xf>
    <xf numFmtId="2" fontId="17" fillId="0" borderId="0" xfId="1" applyNumberFormat="1" applyFont="1" applyAlignment="1">
      <alignment horizontal="center" vertical="center"/>
    </xf>
    <xf numFmtId="0" fontId="17" fillId="4" borderId="11" xfId="1" applyFont="1" applyFill="1" applyBorder="1" applyAlignment="1">
      <alignment horizontal="right"/>
    </xf>
    <xf numFmtId="0" fontId="17" fillId="4" borderId="12" xfId="1" applyFont="1" applyFill="1" applyBorder="1" applyAlignment="1">
      <alignment horizontal="right"/>
    </xf>
    <xf numFmtId="0" fontId="17" fillId="0" borderId="0" xfId="1" applyFont="1" applyBorder="1" applyAlignment="1">
      <alignment horizontal="centerContinuous"/>
    </xf>
    <xf numFmtId="0" fontId="16" fillId="0" borderId="0" xfId="1" applyFont="1" applyBorder="1" applyAlignment="1">
      <alignment horizontal="center" wrapText="1"/>
    </xf>
    <xf numFmtId="0" fontId="16" fillId="0" borderId="0" xfId="1" applyFont="1" applyBorder="1" applyAlignment="1">
      <alignment horizontal="right" wrapText="1"/>
    </xf>
    <xf numFmtId="165" fontId="21" fillId="0" borderId="0" xfId="1" applyNumberFormat="1" applyFont="1" applyBorder="1" applyAlignment="1">
      <alignment horizontal="right" wrapText="1"/>
    </xf>
    <xf numFmtId="165" fontId="16" fillId="0" borderId="0" xfId="1" applyNumberFormat="1" applyFont="1" applyBorder="1" applyAlignment="1">
      <alignment horizontal="right" wrapText="1"/>
    </xf>
    <xf numFmtId="0" fontId="17" fillId="4" borderId="6" xfId="1" applyFont="1" applyFill="1" applyBorder="1" applyAlignment="1">
      <alignment horizontal="center" vertical="center" wrapText="1"/>
    </xf>
    <xf numFmtId="0" fontId="16" fillId="3" borderId="0" xfId="1" applyFont="1" applyFill="1" applyBorder="1" applyAlignment="1">
      <alignment horizontal="right" wrapText="1"/>
    </xf>
    <xf numFmtId="2" fontId="16" fillId="3" borderId="0" xfId="1" applyNumberFormat="1" applyFont="1" applyFill="1" applyBorder="1" applyAlignment="1">
      <alignment horizontal="center" wrapText="1"/>
    </xf>
    <xf numFmtId="2" fontId="16" fillId="3" borderId="0" xfId="1" applyNumberFormat="1" applyFont="1" applyFill="1" applyBorder="1" applyAlignment="1">
      <alignment horizontal="right" wrapText="1"/>
    </xf>
    <xf numFmtId="0" fontId="22" fillId="0" borderId="0" xfId="1" applyFont="1" applyBorder="1" applyAlignment="1">
      <alignment horizontal="right" wrapText="1"/>
    </xf>
    <xf numFmtId="2" fontId="17" fillId="4" borderId="6" xfId="1" applyNumberFormat="1" applyFont="1" applyFill="1" applyBorder="1" applyAlignment="1" applyProtection="1">
      <alignment horizontal="center" vertical="center" wrapText="1"/>
    </xf>
    <xf numFmtId="2" fontId="17" fillId="4" borderId="6" xfId="1" applyNumberFormat="1" applyFont="1" applyFill="1" applyBorder="1" applyAlignment="1" applyProtection="1">
      <alignment horizontal="center" vertical="top" wrapText="1"/>
    </xf>
    <xf numFmtId="2" fontId="17" fillId="4" borderId="6" xfId="1" applyNumberFormat="1" applyFont="1" applyFill="1" applyBorder="1" applyAlignment="1" applyProtection="1">
      <alignment horizontal="center" vertical="center"/>
    </xf>
    <xf numFmtId="2" fontId="23" fillId="4" borderId="7" xfId="1" applyNumberFormat="1" applyFont="1" applyFill="1" applyBorder="1" applyAlignment="1" applyProtection="1">
      <alignment horizontal="center" vertical="center" wrapText="1"/>
    </xf>
    <xf numFmtId="2" fontId="16" fillId="3" borderId="0" xfId="1" applyNumberFormat="1" applyFont="1" applyFill="1" applyBorder="1"/>
    <xf numFmtId="0" fontId="17" fillId="0" borderId="0" xfId="1" applyFont="1" applyAlignment="1">
      <alignment horizontal="center"/>
    </xf>
    <xf numFmtId="0" fontId="17" fillId="4" borderId="13" xfId="1" applyFont="1" applyFill="1" applyBorder="1" applyAlignment="1">
      <alignment horizontal="center" vertical="center" wrapText="1"/>
    </xf>
    <xf numFmtId="0" fontId="17" fillId="4" borderId="14" xfId="1" applyFont="1" applyFill="1" applyBorder="1" applyAlignment="1">
      <alignment horizontal="center" vertical="center" wrapText="1"/>
    </xf>
    <xf numFmtId="0" fontId="16" fillId="3" borderId="0" xfId="1" applyFont="1" applyFill="1" applyAlignment="1">
      <alignment horizontal="center"/>
    </xf>
    <xf numFmtId="0" fontId="17" fillId="0" borderId="0" xfId="1" applyFont="1" applyBorder="1"/>
    <xf numFmtId="0" fontId="17" fillId="0" borderId="0" xfId="1" applyFont="1" applyBorder="1" applyAlignment="1">
      <alignment horizontal="center"/>
    </xf>
    <xf numFmtId="1" fontId="16" fillId="0" borderId="0" xfId="1" applyNumberFormat="1" applyFont="1" applyBorder="1"/>
    <xf numFmtId="1" fontId="16" fillId="3" borderId="0" xfId="1" applyNumberFormat="1" applyFont="1" applyFill="1" applyBorder="1" applyAlignment="1" applyProtection="1">
      <alignment horizontal="left"/>
    </xf>
    <xf numFmtId="3" fontId="16" fillId="3" borderId="0" xfId="1" applyNumberFormat="1" applyFont="1" applyFill="1" applyBorder="1" applyProtection="1"/>
    <xf numFmtId="0" fontId="16" fillId="3" borderId="0" xfId="1" applyFont="1" applyFill="1" applyBorder="1"/>
    <xf numFmtId="166" fontId="16" fillId="3" borderId="0" xfId="1" applyNumberFormat="1" applyFont="1" applyFill="1" applyBorder="1" applyAlignment="1">
      <alignment horizontal="left"/>
    </xf>
    <xf numFmtId="3" fontId="16" fillId="3" borderId="0" xfId="1" applyNumberFormat="1" applyFont="1" applyFill="1" applyBorder="1"/>
    <xf numFmtId="1" fontId="16" fillId="3" borderId="0" xfId="1" applyNumberFormat="1" applyFont="1" applyFill="1" applyBorder="1"/>
    <xf numFmtId="0" fontId="16" fillId="3" borderId="0" xfId="1" applyFont="1" applyFill="1" applyBorder="1" applyAlignment="1">
      <alignment horizontal="right"/>
    </xf>
    <xf numFmtId="171" fontId="16" fillId="3" borderId="0" xfId="3" applyNumberFormat="1" applyFont="1" applyFill="1" applyBorder="1"/>
    <xf numFmtId="0" fontId="24" fillId="0" borderId="0" xfId="1" applyFont="1" applyBorder="1"/>
    <xf numFmtId="0" fontId="25" fillId="5" borderId="0" xfId="1" applyFont="1" applyFill="1"/>
    <xf numFmtId="0" fontId="25" fillId="5" borderId="0" xfId="1" applyFont="1" applyFill="1" applyAlignment="1">
      <alignment horizontal="left"/>
    </xf>
    <xf numFmtId="0" fontId="25" fillId="5" borderId="0" xfId="1" applyFont="1" applyFill="1" applyAlignment="1"/>
    <xf numFmtId="0" fontId="17" fillId="3" borderId="0" xfId="1" applyFont="1" applyFill="1"/>
    <xf numFmtId="167" fontId="17" fillId="3" borderId="0" xfId="4" applyNumberFormat="1" applyFont="1" applyFill="1" applyAlignment="1">
      <alignment horizontal="center"/>
    </xf>
    <xf numFmtId="167" fontId="17" fillId="3" borderId="0" xfId="4" applyNumberFormat="1" applyFont="1" applyFill="1" applyAlignment="1" applyProtection="1">
      <alignment horizontal="center"/>
    </xf>
    <xf numFmtId="167" fontId="17" fillId="0" borderId="0" xfId="4" applyNumberFormat="1" applyFont="1" applyAlignment="1">
      <alignment horizontal="center"/>
    </xf>
    <xf numFmtId="0" fontId="26" fillId="5" borderId="0" xfId="1" applyFont="1" applyFill="1" applyAlignment="1"/>
    <xf numFmtId="0" fontId="27" fillId="0" borderId="0" xfId="0" applyFont="1"/>
    <xf numFmtId="167" fontId="27" fillId="0" borderId="0" xfId="1" applyNumberFormat="1" applyFont="1"/>
    <xf numFmtId="167" fontId="27" fillId="0" borderId="0" xfId="4" applyNumberFormat="1" applyFont="1" applyAlignment="1">
      <alignment horizontal="center"/>
    </xf>
    <xf numFmtId="0" fontId="27" fillId="3" borderId="0" xfId="0" applyFont="1" applyFill="1"/>
    <xf numFmtId="167" fontId="27" fillId="3" borderId="0" xfId="4" applyNumberFormat="1" applyFont="1" applyFill="1" applyAlignment="1">
      <alignment horizontal="center"/>
    </xf>
    <xf numFmtId="167" fontId="27" fillId="3" borderId="0" xfId="4" applyNumberFormat="1" applyFont="1" applyFill="1" applyAlignment="1" applyProtection="1">
      <alignment horizontal="center"/>
    </xf>
    <xf numFmtId="167" fontId="27" fillId="0" borderId="0" xfId="4" applyNumberFormat="1" applyFont="1" applyAlignment="1" applyProtection="1">
      <alignment horizontal="center"/>
    </xf>
    <xf numFmtId="0" fontId="27" fillId="3" borderId="0" xfId="1" applyFont="1" applyFill="1" applyAlignment="1"/>
    <xf numFmtId="0" fontId="27" fillId="0" borderId="0" xfId="1" applyFont="1" applyAlignment="1"/>
    <xf numFmtId="1" fontId="17" fillId="0" borderId="0" xfId="1" applyNumberFormat="1" applyFont="1" applyAlignment="1">
      <alignment horizontal="centerContinuous"/>
    </xf>
    <xf numFmtId="0" fontId="27" fillId="0" borderId="0" xfId="1" applyFont="1" applyAlignment="1">
      <alignment horizontal="centerContinuous"/>
    </xf>
    <xf numFmtId="168" fontId="27" fillId="0" borderId="0" xfId="1" applyNumberFormat="1" applyFont="1"/>
    <xf numFmtId="168" fontId="17" fillId="3" borderId="0" xfId="1" applyNumberFormat="1" applyFont="1" applyFill="1"/>
    <xf numFmtId="168" fontId="27" fillId="3" borderId="0" xfId="1" applyNumberFormat="1" applyFont="1" applyFill="1"/>
    <xf numFmtId="0" fontId="8" fillId="3" borderId="0" xfId="2" applyFill="1" applyAlignment="1" applyProtection="1"/>
    <xf numFmtId="0" fontId="28" fillId="0" borderId="0" xfId="2" applyFont="1" applyAlignment="1" applyProtection="1"/>
    <xf numFmtId="0" fontId="27" fillId="0" borderId="1" xfId="0" applyFont="1" applyBorder="1"/>
    <xf numFmtId="169" fontId="27" fillId="0" borderId="1" xfId="1" applyNumberFormat="1" applyFont="1" applyBorder="1"/>
    <xf numFmtId="0" fontId="27" fillId="0" borderId="1" xfId="1" applyFont="1" applyBorder="1" applyAlignment="1"/>
    <xf numFmtId="0" fontId="16" fillId="0" borderId="2" xfId="1" applyFont="1" applyBorder="1"/>
    <xf numFmtId="0" fontId="16" fillId="0" borderId="2" xfId="1" applyFont="1" applyBorder="1" applyAlignment="1">
      <alignment horizontal="center"/>
    </xf>
    <xf numFmtId="2" fontId="16" fillId="0" borderId="1" xfId="1" applyNumberFormat="1" applyFont="1" applyBorder="1" applyAlignment="1" applyProtection="1">
      <alignment horizontal="left"/>
    </xf>
    <xf numFmtId="0" fontId="16" fillId="0" borderId="1" xfId="1" applyFont="1" applyFill="1" applyBorder="1" applyAlignment="1">
      <alignment horizontal="right" wrapText="1"/>
    </xf>
    <xf numFmtId="2" fontId="16" fillId="0" borderId="1" xfId="1" applyNumberFormat="1" applyFont="1" applyFill="1" applyBorder="1" applyAlignment="1">
      <alignment horizontal="center" wrapText="1"/>
    </xf>
    <xf numFmtId="2" fontId="16" fillId="0" borderId="1" xfId="1" applyNumberFormat="1" applyFont="1" applyFill="1" applyBorder="1" applyAlignment="1">
      <alignment horizontal="right" wrapText="1"/>
    </xf>
    <xf numFmtId="0" fontId="16" fillId="0" borderId="0" xfId="1" applyFont="1" applyAlignment="1">
      <alignment horizontal="right"/>
    </xf>
    <xf numFmtId="1" fontId="17" fillId="0" borderId="0" xfId="1" applyNumberFormat="1" applyFont="1"/>
    <xf numFmtId="168" fontId="17" fillId="0" borderId="0" xfId="1" applyNumberFormat="1" applyFont="1" applyAlignment="1">
      <alignment horizontal="right"/>
    </xf>
    <xf numFmtId="1" fontId="16" fillId="0" borderId="0" xfId="1" applyNumberFormat="1" applyFont="1"/>
    <xf numFmtId="168" fontId="16" fillId="0" borderId="0" xfId="1" applyNumberFormat="1" applyFont="1" applyAlignment="1">
      <alignment horizontal="right"/>
    </xf>
    <xf numFmtId="0" fontId="16" fillId="0" borderId="0" xfId="1" applyFont="1" applyProtection="1"/>
    <xf numFmtId="1" fontId="27" fillId="0" borderId="0" xfId="1" applyNumberFormat="1" applyFont="1"/>
    <xf numFmtId="0" fontId="27" fillId="0" borderId="0" xfId="1" applyFont="1" applyProtection="1"/>
    <xf numFmtId="0" fontId="27" fillId="0" borderId="0" xfId="1" applyFont="1" applyAlignment="1">
      <alignment horizontal="right"/>
    </xf>
    <xf numFmtId="1" fontId="17" fillId="3" borderId="0" xfId="1" applyNumberFormat="1" applyFont="1" applyFill="1"/>
    <xf numFmtId="168" fontId="17" fillId="3" borderId="0" xfId="1" applyNumberFormat="1" applyFont="1" applyFill="1" applyAlignment="1">
      <alignment horizontal="right"/>
    </xf>
    <xf numFmtId="0" fontId="16" fillId="3" borderId="0" xfId="1" applyFont="1" applyFill="1" applyProtection="1"/>
    <xf numFmtId="168" fontId="16" fillId="3" borderId="0" xfId="1" applyNumberFormat="1" applyFont="1" applyFill="1" applyAlignment="1" applyProtection="1">
      <alignment horizontal="right"/>
    </xf>
    <xf numFmtId="168" fontId="16" fillId="3" borderId="0" xfId="1" applyNumberFormat="1" applyFont="1" applyFill="1" applyAlignment="1">
      <alignment horizontal="right"/>
    </xf>
    <xf numFmtId="0" fontId="16" fillId="3" borderId="0" xfId="1" applyFont="1" applyFill="1"/>
    <xf numFmtId="0" fontId="17" fillId="0" borderId="1" xfId="1" applyFont="1" applyBorder="1" applyProtection="1"/>
    <xf numFmtId="168" fontId="16" fillId="0" borderId="1" xfId="1" applyNumberFormat="1" applyFont="1" applyBorder="1" applyAlignment="1">
      <alignment horizontal="right"/>
    </xf>
    <xf numFmtId="0" fontId="16" fillId="0" borderId="0" xfId="1" applyFont="1" applyFill="1" applyAlignment="1">
      <alignment horizontal="center"/>
    </xf>
    <xf numFmtId="168" fontId="17" fillId="0" borderId="0" xfId="1" applyNumberFormat="1" applyFont="1"/>
    <xf numFmtId="1" fontId="27" fillId="3" borderId="0" xfId="1" applyNumberFormat="1" applyFont="1" applyFill="1"/>
    <xf numFmtId="1" fontId="27" fillId="3" borderId="0" xfId="1" applyNumberFormat="1" applyFont="1" applyFill="1" applyAlignment="1">
      <alignment wrapText="1"/>
    </xf>
    <xf numFmtId="168" fontId="27" fillId="0" borderId="1" xfId="1" applyNumberFormat="1" applyFont="1" applyBorder="1"/>
    <xf numFmtId="168" fontId="16" fillId="0" borderId="0" xfId="1" applyNumberFormat="1" applyFont="1"/>
    <xf numFmtId="168" fontId="16" fillId="0" borderId="0" xfId="1" applyNumberFormat="1" applyFont="1" applyBorder="1"/>
    <xf numFmtId="169" fontId="16" fillId="0" borderId="0" xfId="1" applyNumberFormat="1" applyFont="1"/>
    <xf numFmtId="0" fontId="27" fillId="0" borderId="0" xfId="1" applyFont="1" applyBorder="1"/>
    <xf numFmtId="169" fontId="27" fillId="0" borderId="0" xfId="1" applyNumberFormat="1" applyFont="1"/>
    <xf numFmtId="1" fontId="16" fillId="3" borderId="0" xfId="1" applyNumberFormat="1" applyFont="1" applyFill="1"/>
    <xf numFmtId="168" fontId="16" fillId="3" borderId="0" xfId="1" applyNumberFormat="1" applyFont="1" applyFill="1"/>
    <xf numFmtId="168" fontId="16" fillId="0" borderId="1" xfId="1" applyNumberFormat="1" applyFont="1" applyBorder="1"/>
    <xf numFmtId="1" fontId="17" fillId="0" borderId="0" xfId="1" applyNumberFormat="1" applyFont="1" applyFill="1"/>
    <xf numFmtId="168" fontId="17" fillId="0" borderId="0" xfId="1" applyNumberFormat="1" applyFont="1" applyFill="1"/>
    <xf numFmtId="168" fontId="16" fillId="0" borderId="0" xfId="1" applyNumberFormat="1" applyFont="1" applyFill="1"/>
    <xf numFmtId="1" fontId="16" fillId="0" borderId="0" xfId="1" applyNumberFormat="1" applyFont="1" applyFill="1"/>
    <xf numFmtId="0" fontId="29" fillId="0" borderId="0" xfId="1" applyFont="1" applyFill="1"/>
    <xf numFmtId="43" fontId="29" fillId="0" borderId="0" xfId="3" applyFont="1"/>
    <xf numFmtId="43" fontId="29" fillId="0" borderId="0" xfId="3" applyFont="1" applyFill="1"/>
    <xf numFmtId="0" fontId="29" fillId="0" borderId="0" xfId="1" applyFont="1" applyBorder="1"/>
    <xf numFmtId="43" fontId="16" fillId="0" borderId="1" xfId="3" applyFont="1" applyBorder="1" applyAlignment="1" applyProtection="1">
      <alignment horizontal="center" vertical="center"/>
    </xf>
    <xf numFmtId="0" fontId="25" fillId="5" borderId="0" xfId="1" applyFont="1" applyFill="1" applyAlignment="1">
      <alignment horizontal="left"/>
    </xf>
    <xf numFmtId="43" fontId="16" fillId="0" borderId="0" xfId="3" applyFont="1"/>
    <xf numFmtId="43" fontId="16" fillId="0" borderId="0" xfId="3" applyFont="1" applyFill="1"/>
    <xf numFmtId="0" fontId="16" fillId="0" borderId="1" xfId="1" applyFont="1" applyFill="1" applyBorder="1"/>
    <xf numFmtId="4" fontId="16" fillId="3" borderId="0" xfId="1" applyNumberFormat="1" applyFont="1" applyFill="1" applyAlignment="1">
      <alignment horizont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170" fontId="27" fillId="3" borderId="0" xfId="7" applyNumberFormat="1" applyFont="1" applyFill="1" applyAlignment="1">
      <alignment horizontal="center"/>
    </xf>
    <xf numFmtId="170" fontId="27" fillId="0" borderId="0" xfId="1" applyNumberFormat="1" applyFont="1"/>
    <xf numFmtId="2" fontId="27" fillId="0" borderId="0" xfId="7" applyNumberFormat="1" applyFont="1" applyAlignment="1">
      <alignment horizontal="center"/>
    </xf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17" fontId="27" fillId="0" borderId="0" xfId="1" applyNumberFormat="1" applyFont="1"/>
    <xf numFmtId="0" fontId="17" fillId="4" borderId="3" xfId="0" applyFont="1" applyFill="1" applyBorder="1" applyAlignment="1">
      <alignment horizontal="center" wrapText="1"/>
    </xf>
    <xf numFmtId="0" fontId="17" fillId="4" borderId="4" xfId="0" applyFont="1" applyFill="1" applyBorder="1" applyAlignment="1">
      <alignment horizontal="center" wrapText="1"/>
    </xf>
    <xf numFmtId="0" fontId="27" fillId="3" borderId="0" xfId="0" applyFont="1" applyFill="1" applyAlignment="1">
      <alignment horizontal="right"/>
    </xf>
    <xf numFmtId="0" fontId="27" fillId="0" borderId="0" xfId="0" applyFont="1" applyFill="1"/>
    <xf numFmtId="0" fontId="30" fillId="4" borderId="5" xfId="1" applyFont="1" applyFill="1" applyBorder="1" applyAlignment="1">
      <alignment horizontal="centerContinuous" vertical="center" wrapText="1"/>
    </xf>
    <xf numFmtId="0" fontId="30" fillId="4" borderId="6" xfId="1" applyFont="1" applyFill="1" applyBorder="1" applyAlignment="1">
      <alignment horizontal="center" vertical="center" wrapText="1"/>
    </xf>
    <xf numFmtId="0" fontId="30" fillId="4" borderId="7" xfId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/>
    <xf numFmtId="0" fontId="27" fillId="0" borderId="0" xfId="1" applyFont="1" applyFill="1" applyBorder="1"/>
    <xf numFmtId="0" fontId="30" fillId="0" borderId="0" xfId="1" applyFont="1" applyFill="1" applyBorder="1"/>
    <xf numFmtId="0" fontId="27" fillId="0" borderId="0" xfId="0" applyFont="1" applyFill="1" applyBorder="1"/>
    <xf numFmtId="0" fontId="30" fillId="0" borderId="0" xfId="0" applyFont="1" applyFill="1" applyBorder="1"/>
    <xf numFmtId="0" fontId="27" fillId="3" borderId="0" xfId="1" applyFont="1" applyFill="1" applyBorder="1" applyAlignment="1">
      <alignment horizontal="center"/>
    </xf>
    <xf numFmtId="3" fontId="27" fillId="3" borderId="0" xfId="1" applyNumberFormat="1" applyFont="1" applyFill="1" applyBorder="1"/>
    <xf numFmtId="3" fontId="30" fillId="3" borderId="0" xfId="1" applyNumberFormat="1" applyFont="1" applyFill="1" applyBorder="1"/>
    <xf numFmtId="43" fontId="27" fillId="0" borderId="0" xfId="3" applyFont="1" applyFill="1"/>
    <xf numFmtId="3" fontId="27" fillId="0" borderId="0" xfId="0" applyNumberFormat="1" applyFont="1" applyFill="1"/>
    <xf numFmtId="0" fontId="27" fillId="0" borderId="1" xfId="0" applyFont="1" applyFill="1" applyBorder="1"/>
    <xf numFmtId="3" fontId="27" fillId="0" borderId="1" xfId="0" applyNumberFormat="1" applyFont="1" applyFill="1" applyBorder="1"/>
    <xf numFmtId="3" fontId="30" fillId="0" borderId="1" xfId="0" applyNumberFormat="1" applyFont="1" applyFill="1" applyBorder="1"/>
    <xf numFmtId="3" fontId="30" fillId="0" borderId="0" xfId="0" applyNumberFormat="1" applyFont="1" applyFill="1"/>
    <xf numFmtId="0" fontId="27" fillId="0" borderId="0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center" vertical="center"/>
    </xf>
    <xf numFmtId="43" fontId="27" fillId="0" borderId="0" xfId="3" applyFont="1" applyFill="1" applyBorder="1"/>
    <xf numFmtId="3" fontId="27" fillId="0" borderId="0" xfId="1" applyNumberFormat="1" applyFont="1" applyFill="1" applyBorder="1"/>
    <xf numFmtId="3" fontId="30" fillId="0" borderId="0" xfId="1" applyNumberFormat="1" applyFont="1" applyFill="1" applyBorder="1"/>
    <xf numFmtId="3" fontId="27" fillId="0" borderId="0" xfId="0" applyNumberFormat="1" applyFont="1" applyFill="1" applyBorder="1"/>
    <xf numFmtId="3" fontId="30" fillId="0" borderId="0" xfId="0" applyNumberFormat="1" applyFont="1" applyFill="1" applyBorder="1"/>
    <xf numFmtId="0" fontId="27" fillId="0" borderId="0" xfId="0" applyFont="1" applyBorder="1"/>
    <xf numFmtId="0" fontId="30" fillId="4" borderId="10" xfId="1" applyFont="1" applyFill="1" applyBorder="1" applyAlignment="1">
      <alignment horizontal="centerContinuous" vertical="center" wrapText="1"/>
    </xf>
    <xf numFmtId="0" fontId="30" fillId="4" borderId="8" xfId="1" applyFont="1" applyFill="1" applyBorder="1" applyAlignment="1">
      <alignment horizontal="center" vertical="center" wrapText="1"/>
    </xf>
    <xf numFmtId="0" fontId="30" fillId="4" borderId="9" xfId="1" applyFont="1" applyFill="1" applyBorder="1" applyAlignment="1">
      <alignment horizontal="center" vertical="center" wrapText="1"/>
    </xf>
    <xf numFmtId="164" fontId="27" fillId="3" borderId="0" xfId="1" applyNumberFormat="1" applyFont="1" applyFill="1" applyBorder="1"/>
    <xf numFmtId="164" fontId="30" fillId="3" borderId="0" xfId="1" applyNumberFormat="1" applyFont="1" applyFill="1" applyBorder="1"/>
    <xf numFmtId="0" fontId="27" fillId="0" borderId="0" xfId="0" applyFont="1" applyFill="1" applyBorder="1" applyAlignment="1">
      <alignment wrapText="1"/>
    </xf>
    <xf numFmtId="3" fontId="27" fillId="0" borderId="0" xfId="0" applyNumberFormat="1" applyFont="1" applyFill="1" applyBorder="1" applyAlignment="1">
      <alignment wrapText="1"/>
    </xf>
    <xf numFmtId="3" fontId="30" fillId="0" borderId="0" xfId="0" applyNumberFormat="1" applyFont="1" applyFill="1" applyBorder="1" applyAlignment="1">
      <alignment wrapText="1"/>
    </xf>
    <xf numFmtId="0" fontId="30" fillId="4" borderId="5" xfId="1" applyFont="1" applyFill="1" applyBorder="1" applyAlignment="1">
      <alignment horizontal="center" vertical="center" wrapText="1"/>
    </xf>
    <xf numFmtId="0" fontId="30" fillId="4" borderId="6" xfId="1" applyFont="1" applyFill="1" applyBorder="1" applyAlignment="1">
      <alignment horizontal="center" wrapText="1"/>
    </xf>
    <xf numFmtId="0" fontId="30" fillId="4" borderId="7" xfId="1" applyFont="1" applyFill="1" applyBorder="1" applyAlignment="1">
      <alignment horizontal="center" wrapText="1"/>
    </xf>
    <xf numFmtId="164" fontId="31" fillId="3" borderId="0" xfId="1" applyNumberFormat="1" applyFont="1" applyFill="1" applyBorder="1"/>
    <xf numFmtId="0" fontId="27" fillId="0" borderId="0" xfId="6" applyFont="1" applyFill="1" applyBorder="1"/>
    <xf numFmtId="3" fontId="27" fillId="0" borderId="0" xfId="6" applyNumberFormat="1" applyFont="1" applyFill="1" applyBorder="1"/>
    <xf numFmtId="3" fontId="27" fillId="0" borderId="1" xfId="6" applyNumberFormat="1" applyFont="1" applyFill="1" applyBorder="1"/>
    <xf numFmtId="0" fontId="27" fillId="0" borderId="1" xfId="6" applyFont="1" applyFill="1" applyBorder="1"/>
    <xf numFmtId="171" fontId="30" fillId="3" borderId="0" xfId="3" applyNumberFormat="1" applyFont="1" applyFill="1" applyBorder="1"/>
    <xf numFmtId="0" fontId="30" fillId="0" borderId="0" xfId="6" applyFont="1" applyFill="1" applyBorder="1" applyAlignment="1">
      <alignment horizontal="center" vertical="center"/>
    </xf>
    <xf numFmtId="0" fontId="10" fillId="6" borderId="0" xfId="0" applyFont="1" applyFill="1"/>
    <xf numFmtId="0" fontId="0" fillId="6" borderId="0" xfId="0" applyFill="1"/>
    <xf numFmtId="0" fontId="1" fillId="0" borderId="0" xfId="1" applyFont="1"/>
    <xf numFmtId="0" fontId="4" fillId="0" borderId="0" xfId="1" applyFont="1" applyAlignment="1">
      <alignment horizontal="centerContinuous"/>
    </xf>
    <xf numFmtId="0" fontId="4" fillId="0" borderId="0" xfId="1" applyFont="1" applyAlignment="1">
      <alignment horizontal="center"/>
    </xf>
    <xf numFmtId="0" fontId="4" fillId="0" borderId="0" xfId="1" applyFont="1"/>
    <xf numFmtId="0" fontId="1" fillId="3" borderId="0" xfId="1" applyFont="1" applyFill="1" applyBorder="1" applyAlignment="1">
      <alignment horizontal="center"/>
    </xf>
    <xf numFmtId="3" fontId="1" fillId="3" borderId="0" xfId="1" applyNumberFormat="1" applyFont="1" applyFill="1" applyBorder="1" applyAlignment="1">
      <alignment horizontal="center"/>
    </xf>
    <xf numFmtId="3" fontId="1" fillId="0" borderId="1" xfId="1" applyNumberFormat="1" applyFont="1" applyBorder="1"/>
    <xf numFmtId="3" fontId="1" fillId="0" borderId="0" xfId="1" applyNumberFormat="1" applyFont="1" applyBorder="1"/>
    <xf numFmtId="0" fontId="1" fillId="0" borderId="1" xfId="1" applyFont="1" applyBorder="1"/>
    <xf numFmtId="0" fontId="32" fillId="0" borderId="0" xfId="0" applyFont="1" applyBorder="1"/>
    <xf numFmtId="0" fontId="32" fillId="0" borderId="0" xfId="0" applyFont="1"/>
    <xf numFmtId="0" fontId="22" fillId="0" borderId="0" xfId="0" applyFont="1" applyBorder="1"/>
    <xf numFmtId="0" fontId="22" fillId="4" borderId="13" xfId="0" applyFont="1" applyFill="1" applyBorder="1" applyAlignment="1">
      <alignment horizontal="centerContinuous" vertical="center" wrapText="1"/>
    </xf>
    <xf numFmtId="0" fontId="32" fillId="3" borderId="0" xfId="0" applyFont="1" applyFill="1" applyBorder="1" applyAlignment="1">
      <alignment horizontal="center"/>
    </xf>
    <xf numFmtId="3" fontId="32" fillId="3" borderId="0" xfId="0" applyNumberFormat="1" applyFont="1" applyFill="1" applyBorder="1"/>
    <xf numFmtId="172" fontId="32" fillId="3" borderId="0" xfId="3" applyNumberFormat="1" applyFont="1" applyFill="1" applyBorder="1"/>
    <xf numFmtId="3" fontId="32" fillId="0" borderId="0" xfId="0" applyNumberFormat="1" applyFont="1"/>
    <xf numFmtId="0" fontId="22" fillId="0" borderId="1" xfId="0" applyFont="1" applyBorder="1"/>
    <xf numFmtId="0" fontId="32" fillId="0" borderId="1" xfId="0" applyFont="1" applyBorder="1"/>
    <xf numFmtId="0" fontId="22" fillId="0" borderId="0" xfId="0" applyFont="1"/>
    <xf numFmtId="0" fontId="17" fillId="0" borderId="0" xfId="0" applyFont="1" applyBorder="1"/>
    <xf numFmtId="0" fontId="27" fillId="0" borderId="0" xfId="0" applyFont="1" applyAlignment="1">
      <alignment vertical="center"/>
    </xf>
    <xf numFmtId="0" fontId="17" fillId="4" borderId="13" xfId="0" applyFont="1" applyFill="1" applyBorder="1" applyAlignment="1">
      <alignment horizontal="centerContinuous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3" fontId="16" fillId="3" borderId="0" xfId="0" applyNumberFormat="1" applyFont="1" applyFill="1" applyBorder="1"/>
    <xf numFmtId="4" fontId="16" fillId="3" borderId="0" xfId="0" applyNumberFormat="1" applyFont="1" applyFill="1" applyBorder="1"/>
    <xf numFmtId="172" fontId="27" fillId="3" borderId="0" xfId="3" applyNumberFormat="1" applyFont="1" applyFill="1"/>
    <xf numFmtId="172" fontId="16" fillId="3" borderId="0" xfId="3" applyNumberFormat="1" applyFont="1" applyFill="1" applyBorder="1"/>
    <xf numFmtId="3" fontId="27" fillId="3" borderId="0" xfId="0" applyNumberFormat="1" applyFont="1" applyFill="1"/>
    <xf numFmtId="0" fontId="33" fillId="3" borderId="0" xfId="0" applyFont="1" applyFill="1" applyBorder="1" applyAlignment="1">
      <alignment horizontal="center"/>
    </xf>
    <xf numFmtId="3" fontId="16" fillId="0" borderId="1" xfId="0" applyNumberFormat="1" applyFont="1" applyBorder="1"/>
    <xf numFmtId="3" fontId="16" fillId="0" borderId="0" xfId="0" applyNumberFormat="1" applyFont="1" applyBorder="1"/>
    <xf numFmtId="0" fontId="30" fillId="0" borderId="0" xfId="0" applyFont="1"/>
    <xf numFmtId="0" fontId="30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72" fontId="16" fillId="0" borderId="1" xfId="3" applyNumberFormat="1" applyFont="1" applyBorder="1"/>
    <xf numFmtId="0" fontId="16" fillId="0" borderId="0" xfId="0" applyFont="1" applyFill="1" applyBorder="1"/>
    <xf numFmtId="0" fontId="16" fillId="0" borderId="0" xfId="0" applyFont="1" applyFill="1"/>
    <xf numFmtId="0" fontId="34" fillId="0" borderId="0" xfId="0" applyFont="1" applyFill="1" applyBorder="1" applyAlignment="1">
      <alignment horizontal="centerContinuous"/>
    </xf>
    <xf numFmtId="0" fontId="16" fillId="0" borderId="0" xfId="0" applyFont="1"/>
    <xf numFmtId="0" fontId="16" fillId="0" borderId="0" xfId="0" applyFont="1" applyBorder="1"/>
    <xf numFmtId="173" fontId="16" fillId="3" borderId="0" xfId="3" applyNumberFormat="1" applyFont="1" applyFill="1" applyBorder="1"/>
    <xf numFmtId="173" fontId="16" fillId="0" borderId="1" xfId="3" applyNumberFormat="1" applyFont="1" applyFill="1" applyBorder="1"/>
    <xf numFmtId="0" fontId="17" fillId="0" borderId="0" xfId="0" applyFont="1" applyFill="1" applyBorder="1"/>
    <xf numFmtId="0" fontId="17" fillId="0" borderId="0" xfId="0" applyFont="1" applyBorder="1" applyAlignment="1">
      <alignment horizontal="center" wrapText="1"/>
    </xf>
    <xf numFmtId="0" fontId="30" fillId="4" borderId="13" xfId="0" applyFont="1" applyFill="1" applyBorder="1" applyAlignment="1">
      <alignment horizontal="center"/>
    </xf>
    <xf numFmtId="173" fontId="27" fillId="3" borderId="0" xfId="3" applyNumberFormat="1" applyFont="1" applyFill="1" applyBorder="1"/>
    <xf numFmtId="173" fontId="27" fillId="0" borderId="1" xfId="3" applyNumberFormat="1" applyFont="1" applyBorder="1"/>
    <xf numFmtId="0" fontId="16" fillId="0" borderId="0" xfId="0" applyFont="1" applyBorder="1" applyAlignment="1">
      <alignment horizontal="center"/>
    </xf>
    <xf numFmtId="173" fontId="27" fillId="0" borderId="0" xfId="3" applyNumberFormat="1" applyFont="1" applyBorder="1"/>
    <xf numFmtId="0" fontId="30" fillId="4" borderId="1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173" fontId="27" fillId="0" borderId="0" xfId="3" applyNumberFormat="1" applyFont="1"/>
    <xf numFmtId="173" fontId="27" fillId="3" borderId="0" xfId="3" applyNumberFormat="1" applyFont="1" applyFill="1" applyAlignment="1">
      <alignment horizontal="right"/>
    </xf>
    <xf numFmtId="173" fontId="27" fillId="3" borderId="0" xfId="3" applyNumberFormat="1" applyFont="1" applyFill="1" applyAlignment="1"/>
    <xf numFmtId="173" fontId="27" fillId="3" borderId="0" xfId="3" applyNumberFormat="1" applyFont="1" applyFill="1"/>
    <xf numFmtId="173" fontId="30" fillId="3" borderId="0" xfId="3" applyNumberFormat="1" applyFont="1" applyFill="1"/>
    <xf numFmtId="1" fontId="27" fillId="0" borderId="0" xfId="0" applyNumberFormat="1" applyFont="1"/>
    <xf numFmtId="173" fontId="27" fillId="0" borderId="1" xfId="3" applyNumberFormat="1" applyFont="1" applyBorder="1" applyAlignment="1"/>
    <xf numFmtId="173" fontId="30" fillId="0" borderId="1" xfId="3" applyNumberFormat="1" applyFont="1" applyBorder="1"/>
    <xf numFmtId="0" fontId="8" fillId="6" borderId="0" xfId="2" applyFill="1" applyAlignment="1" applyProtection="1"/>
    <xf numFmtId="0" fontId="13" fillId="6" borderId="0" xfId="2" applyFont="1" applyFill="1" applyAlignment="1" applyProtection="1"/>
    <xf numFmtId="0" fontId="15" fillId="6" borderId="0" xfId="2" applyFont="1" applyFill="1" applyAlignment="1" applyProtection="1"/>
    <xf numFmtId="0" fontId="25" fillId="5" borderId="0" xfId="1" applyFont="1" applyFill="1" applyAlignment="1">
      <alignment horizontal="left"/>
    </xf>
    <xf numFmtId="3" fontId="27" fillId="0" borderId="0" xfId="0" applyNumberFormat="1" applyFont="1"/>
    <xf numFmtId="174" fontId="27" fillId="0" borderId="0" xfId="0" applyNumberFormat="1" applyFont="1"/>
    <xf numFmtId="0" fontId="25" fillId="5" borderId="0" xfId="1" applyFont="1" applyFill="1" applyAlignment="1">
      <alignment horizontal="left"/>
    </xf>
    <xf numFmtId="0" fontId="25" fillId="7" borderId="0" xfId="1" applyFont="1" applyFill="1" applyAlignment="1">
      <alignment horizontal="left"/>
    </xf>
    <xf numFmtId="0" fontId="25" fillId="7" borderId="0" xfId="1" applyFont="1" applyFill="1" applyBorder="1" applyAlignment="1">
      <alignment horizontal="left"/>
    </xf>
    <xf numFmtId="0" fontId="26" fillId="7" borderId="0" xfId="0" applyFont="1" applyFill="1" applyBorder="1" applyAlignment="1">
      <alignment horizontal="left"/>
    </xf>
    <xf numFmtId="0" fontId="25" fillId="5" borderId="0" xfId="1" applyFont="1" applyFill="1" applyBorder="1" applyAlignment="1">
      <alignment horizontal="left"/>
    </xf>
    <xf numFmtId="0" fontId="26" fillId="7" borderId="0" xfId="0" applyFont="1" applyFill="1" applyAlignment="1"/>
    <xf numFmtId="0" fontId="17" fillId="4" borderId="18" xfId="1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9" xfId="0" applyFont="1" applyFill="1" applyBorder="1" applyAlignment="1">
      <alignment horizontal="center"/>
    </xf>
    <xf numFmtId="0" fontId="17" fillId="4" borderId="0" xfId="1" applyFont="1" applyFill="1" applyBorder="1" applyAlignment="1">
      <alignment horizontal="center" vertical="center" wrapText="1"/>
    </xf>
    <xf numFmtId="0" fontId="27" fillId="0" borderId="5" xfId="0" applyFont="1" applyBorder="1" applyAlignment="1"/>
    <xf numFmtId="0" fontId="17" fillId="4" borderId="6" xfId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7" fillId="7" borderId="0" xfId="0" applyFont="1" applyFill="1" applyAlignment="1"/>
    <xf numFmtId="0" fontId="26" fillId="5" borderId="0" xfId="0" applyFont="1" applyFill="1" applyAlignment="1"/>
    <xf numFmtId="0" fontId="17" fillId="4" borderId="20" xfId="1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horizontal="center" vertical="center"/>
    </xf>
    <xf numFmtId="0" fontId="17" fillId="4" borderId="20" xfId="1" applyFont="1" applyFill="1" applyBorder="1" applyAlignment="1">
      <alignment horizontal="center"/>
    </xf>
    <xf numFmtId="0" fontId="27" fillId="4" borderId="20" xfId="0" applyFont="1" applyFill="1" applyBorder="1" applyAlignment="1">
      <alignment horizontal="center"/>
    </xf>
    <xf numFmtId="0" fontId="27" fillId="4" borderId="21" xfId="0" applyFont="1" applyFill="1" applyBorder="1" applyAlignment="1">
      <alignment horizontal="center"/>
    </xf>
    <xf numFmtId="0" fontId="27" fillId="0" borderId="10" xfId="0" applyFont="1" applyBorder="1" applyAlignment="1"/>
    <xf numFmtId="0" fontId="0" fillId="0" borderId="0" xfId="0" applyAlignment="1"/>
    <xf numFmtId="0" fontId="17" fillId="4" borderId="22" xfId="1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17" fillId="4" borderId="24" xfId="1" applyFont="1" applyFill="1" applyBorder="1" applyAlignment="1">
      <alignment horizontal="center" vertical="center" wrapText="1"/>
    </xf>
    <xf numFmtId="0" fontId="27" fillId="4" borderId="25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horizontal="center" vertical="center" wrapText="1"/>
    </xf>
    <xf numFmtId="0" fontId="16" fillId="4" borderId="22" xfId="1" applyFont="1" applyFill="1" applyBorder="1" applyAlignment="1">
      <alignment horizontal="center" vertical="center" wrapText="1"/>
    </xf>
    <xf numFmtId="0" fontId="17" fillId="4" borderId="27" xfId="1" applyFont="1" applyFill="1" applyBorder="1" applyAlignment="1">
      <alignment horizontal="center" vertical="center" wrapText="1"/>
    </xf>
    <xf numFmtId="0" fontId="17" fillId="4" borderId="23" xfId="1" applyFont="1" applyFill="1" applyBorder="1" applyAlignment="1">
      <alignment horizontal="center" vertical="center" wrapText="1"/>
    </xf>
    <xf numFmtId="0" fontId="17" fillId="4" borderId="28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17" fillId="4" borderId="5" xfId="1" applyFont="1" applyFill="1" applyBorder="1" applyAlignment="1">
      <alignment horizontal="center" vertical="center"/>
    </xf>
    <xf numFmtId="0" fontId="27" fillId="4" borderId="5" xfId="1" applyFont="1" applyFill="1" applyBorder="1" applyAlignment="1">
      <alignment horizontal="center" vertical="center"/>
    </xf>
    <xf numFmtId="0" fontId="17" fillId="4" borderId="7" xfId="1" applyFont="1" applyFill="1" applyBorder="1" applyAlignment="1">
      <alignment horizontal="center" vertical="center"/>
    </xf>
    <xf numFmtId="0" fontId="27" fillId="4" borderId="7" xfId="1" applyFont="1" applyFill="1" applyBorder="1" applyAlignment="1">
      <alignment horizontal="center" vertical="center"/>
    </xf>
    <xf numFmtId="0" fontId="7" fillId="5" borderId="0" xfId="0" applyFont="1" applyFill="1" applyAlignment="1"/>
    <xf numFmtId="0" fontId="25" fillId="5" borderId="0" xfId="1" applyFont="1" applyFill="1" applyBorder="1" applyAlignment="1"/>
    <xf numFmtId="0" fontId="35" fillId="5" borderId="0" xfId="1" applyFont="1" applyFill="1" applyAlignment="1">
      <alignment horizontal="left"/>
    </xf>
    <xf numFmtId="0" fontId="4" fillId="4" borderId="5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1" fontId="25" fillId="7" borderId="0" xfId="1" applyNumberFormat="1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7" fillId="4" borderId="29" xfId="1" applyFont="1" applyFill="1" applyBorder="1" applyAlignment="1">
      <alignment horizontal="center" vertical="center"/>
    </xf>
    <xf numFmtId="0" fontId="0" fillId="4" borderId="30" xfId="0" applyFill="1" applyBorder="1" applyAlignment="1">
      <alignment vertical="center"/>
    </xf>
    <xf numFmtId="0" fontId="17" fillId="4" borderId="19" xfId="1" applyFont="1" applyFill="1" applyBorder="1" applyAlignment="1">
      <alignment horizontal="center"/>
    </xf>
    <xf numFmtId="0" fontId="25" fillId="5" borderId="0" xfId="0" applyFont="1" applyFill="1" applyBorder="1" applyAlignment="1">
      <alignment horizontal="left"/>
    </xf>
    <xf numFmtId="0" fontId="22" fillId="4" borderId="24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/>
    <xf numFmtId="0" fontId="22" fillId="4" borderId="22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wrapText="1"/>
    </xf>
    <xf numFmtId="0" fontId="17" fillId="4" borderId="22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25" fillId="5" borderId="0" xfId="0" applyFont="1" applyFill="1" applyBorder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left"/>
    </xf>
    <xf numFmtId="0" fontId="17" fillId="4" borderId="24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/>
    </xf>
    <xf numFmtId="0" fontId="17" fillId="4" borderId="22" xfId="0" applyFont="1" applyFill="1" applyBorder="1" applyAlignment="1" applyProtection="1">
      <alignment horizontal="center" vertical="center" wrapText="1"/>
      <protection locked="0"/>
    </xf>
    <xf numFmtId="0" fontId="17" fillId="4" borderId="13" xfId="0" applyFont="1" applyFill="1" applyBorder="1" applyAlignment="1" applyProtection="1">
      <alignment horizontal="center" vertical="center" wrapText="1"/>
      <protection locked="0"/>
    </xf>
    <xf numFmtId="0" fontId="17" fillId="4" borderId="27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/>
    </xf>
    <xf numFmtId="0" fontId="30" fillId="4" borderId="13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27" fillId="0" borderId="24" xfId="0" applyFont="1" applyBorder="1" applyAlignment="1"/>
    <xf numFmtId="0" fontId="30" fillId="4" borderId="17" xfId="0" applyFont="1" applyFill="1" applyBorder="1" applyAlignment="1">
      <alignment horizontal="center" vertical="center" wrapText="1"/>
    </xf>
    <xf numFmtId="0" fontId="27" fillId="0" borderId="17" xfId="0" applyFont="1" applyBorder="1" applyAlignment="1"/>
    <xf numFmtId="0" fontId="30" fillId="4" borderId="16" xfId="0" applyFont="1" applyFill="1" applyBorder="1" applyAlignment="1">
      <alignment horizontal="center" vertical="center" wrapText="1"/>
    </xf>
    <xf numFmtId="0" fontId="27" fillId="0" borderId="16" xfId="0" applyFont="1" applyBorder="1" applyAlignment="1"/>
    <xf numFmtId="0" fontId="25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/>
    </xf>
    <xf numFmtId="0" fontId="30" fillId="4" borderId="15" xfId="0" applyFont="1" applyFill="1" applyBorder="1" applyAlignment="1">
      <alignment horizontal="center" vertical="center" wrapText="1"/>
    </xf>
    <xf numFmtId="0" fontId="27" fillId="0" borderId="15" xfId="0" applyFont="1" applyBorder="1" applyAlignment="1"/>
    <xf numFmtId="0" fontId="27" fillId="0" borderId="24" xfId="0" applyFont="1" applyBorder="1" applyAlignment="1">
      <alignment horizontal="center"/>
    </xf>
    <xf numFmtId="0" fontId="30" fillId="4" borderId="16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166" fontId="8" fillId="0" borderId="0" xfId="2" applyNumberFormat="1" applyAlignment="1" applyProtection="1"/>
  </cellXfs>
  <cellStyles count="8">
    <cellStyle name="ANCLAS,REZONES Y SUS PARTES,DE FUNDICION,DE HIERRO O DE ACERO" xfId="1"/>
    <cellStyle name="Hipervínculo" xfId="2" builtinId="8"/>
    <cellStyle name="Millares" xfId="3" builtinId="3"/>
    <cellStyle name="Millares [0]" xfId="4" builtinId="6"/>
    <cellStyle name="Normal" xfId="0" builtinId="0"/>
    <cellStyle name="Normal 2" xfId="5"/>
    <cellStyle name="Normal 3" xfId="6"/>
    <cellStyle name="Porcentual" xfId="7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7083624</xdr:colOff>
      <xdr:row>0</xdr:row>
      <xdr:rowOff>9526</xdr:rowOff>
    </xdr:from>
    <xdr:to>
      <xdr:col>1</xdr:col>
      <xdr:colOff>0</xdr:colOff>
      <xdr:row>3</xdr:row>
      <xdr:rowOff>152401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p="http://schemas.openxmlformats.org/presentationml/2006/main" xmlns:a14="http://schemas.microsoft.com/office/drawing/2010/main" xmlns="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7083624" y="9526"/>
          <a:ext cx="1203126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3</xdr:row>
      <xdr:rowOff>104775</xdr:rowOff>
    </xdr:from>
    <xdr:ext cx="77782" cy="226766"/>
    <xdr:sp macro="" textlink="">
      <xdr:nvSpPr>
        <xdr:cNvPr id="2" name="1 CuadroTexto"/>
        <xdr:cNvSpPr txBox="1"/>
      </xdr:nvSpPr>
      <xdr:spPr>
        <a:xfrm>
          <a:off x="1466850" y="752475"/>
          <a:ext cx="194454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3</xdr:row>
      <xdr:rowOff>104775</xdr:rowOff>
    </xdr:from>
    <xdr:ext cx="77782" cy="226766"/>
    <xdr:sp macro="" textlink="">
      <xdr:nvSpPr>
        <xdr:cNvPr id="2" name="1 CuadroTexto"/>
        <xdr:cNvSpPr txBox="1"/>
      </xdr:nvSpPr>
      <xdr:spPr>
        <a:xfrm>
          <a:off x="1409700" y="676275"/>
          <a:ext cx="77782" cy="2267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3</xdr:row>
      <xdr:rowOff>104775</xdr:rowOff>
    </xdr:from>
    <xdr:ext cx="77782" cy="226766"/>
    <xdr:sp macro="" textlink="">
      <xdr:nvSpPr>
        <xdr:cNvPr id="2" name="1 CuadroTexto"/>
        <xdr:cNvSpPr txBox="1"/>
      </xdr:nvSpPr>
      <xdr:spPr>
        <a:xfrm>
          <a:off x="1409700" y="676275"/>
          <a:ext cx="77782" cy="2267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morejon.BCE\AppData\Local\Temp\notes97E53A\~505222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 cap.4"/>
      <sheetName val="4.1"/>
      <sheetName val="4.2"/>
      <sheetName val="4.3"/>
      <sheetName val="4.4"/>
      <sheetName val="4.5"/>
      <sheetName val="4.6"/>
      <sheetName val="4.7"/>
      <sheetName val="4.8"/>
      <sheetName val="4.8a"/>
      <sheetName val="4.9"/>
      <sheetName val="4.10"/>
      <sheetName val="4.10a"/>
      <sheetName val="4.11"/>
      <sheetName val="4.12"/>
      <sheetName val="4.13"/>
      <sheetName val="4.14"/>
      <sheetName val="4.15"/>
      <sheetName val="4.16"/>
      <sheetName val="4.17"/>
      <sheetName val="4.18"/>
      <sheetName val="4.19"/>
    </sheetNames>
    <sheetDataSet>
      <sheetData sheetId="0"/>
      <sheetData sheetId="1">
        <row r="47">
          <cell r="B47">
            <v>49914615</v>
          </cell>
          <cell r="C47">
            <v>14606164</v>
          </cell>
          <cell r="D47">
            <v>64520779</v>
          </cell>
          <cell r="E47">
            <v>37125765</v>
          </cell>
          <cell r="F47">
            <v>5274232</v>
          </cell>
          <cell r="G47">
            <v>31851533</v>
          </cell>
          <cell r="H47">
            <v>10213818</v>
          </cell>
          <cell r="J47">
            <v>16284882</v>
          </cell>
          <cell r="K47">
            <v>64520779</v>
          </cell>
        </row>
        <row r="48">
          <cell r="B48">
            <v>51007777</v>
          </cell>
          <cell r="C48">
            <v>15636623</v>
          </cell>
          <cell r="D48">
            <v>66644400</v>
          </cell>
          <cell r="E48">
            <v>38775487</v>
          </cell>
          <cell r="F48">
            <v>5574209</v>
          </cell>
          <cell r="G48">
            <v>33201278</v>
          </cell>
          <cell r="H48">
            <v>10593947</v>
          </cell>
          <cell r="J48">
            <v>16287685</v>
          </cell>
          <cell r="K48">
            <v>66644400</v>
          </cell>
        </row>
        <row r="49">
          <cell r="B49">
            <v>54250408</v>
          </cell>
          <cell r="C49">
            <v>17894428</v>
          </cell>
          <cell r="D49">
            <v>72144836</v>
          </cell>
          <cell r="E49">
            <v>41186204</v>
          </cell>
          <cell r="F49">
            <v>6191348</v>
          </cell>
          <cell r="G49">
            <v>34994856</v>
          </cell>
          <cell r="H49">
            <v>12286215</v>
          </cell>
          <cell r="J49">
            <v>16773701</v>
          </cell>
          <cell r="K49">
            <v>72144836</v>
          </cell>
        </row>
        <row r="50">
          <cell r="B50">
            <v>54557732</v>
          </cell>
          <cell r="C50">
            <v>16119428</v>
          </cell>
          <cell r="D50">
            <v>70677160</v>
          </cell>
          <cell r="E50">
            <v>41558650</v>
          </cell>
          <cell r="F50">
            <v>6910254</v>
          </cell>
          <cell r="G50">
            <v>34648396</v>
          </cell>
          <cell r="H50">
            <v>11843329</v>
          </cell>
          <cell r="J50">
            <v>15970518</v>
          </cell>
          <cell r="K50">
            <v>70677160</v>
          </cell>
        </row>
        <row r="51">
          <cell r="B51">
            <v>56481055</v>
          </cell>
          <cell r="C51">
            <v>18508988</v>
          </cell>
          <cell r="D51">
            <v>74990043</v>
          </cell>
          <cell r="E51">
            <v>44534140</v>
          </cell>
          <cell r="F51">
            <v>7213505</v>
          </cell>
          <cell r="G51">
            <v>37320635</v>
          </cell>
          <cell r="H51">
            <v>13050148</v>
          </cell>
          <cell r="J51">
            <v>15932657</v>
          </cell>
          <cell r="K51">
            <v>74990043</v>
          </cell>
        </row>
        <row r="52">
          <cell r="B52">
            <v>60925064</v>
          </cell>
          <cell r="C52">
            <v>19183903</v>
          </cell>
          <cell r="D52">
            <v>80108967</v>
          </cell>
          <cell r="E52">
            <v>47075511</v>
          </cell>
          <cell r="F52">
            <v>7840882</v>
          </cell>
          <cell r="G52">
            <v>39234629</v>
          </cell>
          <cell r="H52">
            <v>14920791</v>
          </cell>
          <cell r="J52">
            <v>16835682</v>
          </cell>
          <cell r="K52">
            <v>80108967</v>
          </cell>
        </row>
        <row r="53">
          <cell r="B53">
            <v>64362433</v>
          </cell>
          <cell r="C53">
            <v>19344062</v>
          </cell>
          <cell r="D53">
            <v>83706495</v>
          </cell>
          <cell r="E53">
            <v>49073972</v>
          </cell>
          <cell r="F53">
            <v>8712092</v>
          </cell>
          <cell r="G53">
            <v>40361880</v>
          </cell>
          <cell r="H53">
            <v>16496168</v>
          </cell>
          <cell r="J53">
            <v>17756018</v>
          </cell>
          <cell r="K53">
            <v>83706495</v>
          </cell>
        </row>
        <row r="54">
          <cell r="B54">
            <v>67546128</v>
          </cell>
          <cell r="C54">
            <v>20691563</v>
          </cell>
          <cell r="D54">
            <v>88237691</v>
          </cell>
          <cell r="E54">
            <v>51552041</v>
          </cell>
          <cell r="F54">
            <v>9609763</v>
          </cell>
          <cell r="G54">
            <v>41942278</v>
          </cell>
          <cell r="H54">
            <v>18214094</v>
          </cell>
          <cell r="J54">
            <v>18210280</v>
          </cell>
          <cell r="K54">
            <v>88237691</v>
          </cell>
        </row>
        <row r="55">
          <cell r="B55">
            <v>70243048</v>
          </cell>
          <cell r="C55">
            <v>21584147</v>
          </cell>
          <cell r="D55">
            <v>91827195</v>
          </cell>
          <cell r="E55">
            <v>53487685</v>
          </cell>
          <cell r="F55">
            <v>10111927</v>
          </cell>
          <cell r="G55">
            <v>43375758</v>
          </cell>
          <cell r="H55">
            <v>18904840</v>
          </cell>
          <cell r="J55">
            <v>18974458</v>
          </cell>
          <cell r="K55">
            <v>91827195</v>
          </cell>
        </row>
        <row r="56">
          <cell r="B56">
            <v>70353852</v>
          </cell>
          <cell r="C56">
            <v>19731906</v>
          </cell>
          <cell r="D56">
            <v>90085758</v>
          </cell>
          <cell r="E56">
            <v>53485516</v>
          </cell>
          <cell r="F56">
            <v>10172307</v>
          </cell>
          <cell r="G56">
            <v>43313209</v>
          </cell>
          <cell r="H56">
            <v>17797927</v>
          </cell>
          <cell r="J56">
            <v>18904003</v>
          </cell>
          <cell r="K56">
            <v>90085758</v>
          </cell>
        </row>
        <row r="57">
          <cell r="B57">
            <v>69321410</v>
          </cell>
          <cell r="C57">
            <v>18462598</v>
          </cell>
          <cell r="D57">
            <v>87784008</v>
          </cell>
          <cell r="E57">
            <v>52341737</v>
          </cell>
          <cell r="F57">
            <v>9831775</v>
          </cell>
          <cell r="G57">
            <v>42509962</v>
          </cell>
          <cell r="H57">
            <v>16367027</v>
          </cell>
          <cell r="J57">
            <v>18844506</v>
          </cell>
          <cell r="K57">
            <v>87784008</v>
          </cell>
        </row>
      </sheetData>
      <sheetData sheetId="2">
        <row r="47">
          <cell r="B47">
            <v>46802044</v>
          </cell>
          <cell r="C47">
            <v>13748900</v>
          </cell>
          <cell r="D47">
            <v>60550944</v>
          </cell>
          <cell r="E47">
            <v>35842793</v>
          </cell>
          <cell r="F47">
            <v>4961903</v>
          </cell>
          <cell r="G47">
            <v>30880890</v>
          </cell>
          <cell r="H47">
            <v>9759712</v>
          </cell>
          <cell r="J47">
            <v>14196499</v>
          </cell>
          <cell r="K47">
            <v>60550944</v>
          </cell>
        </row>
        <row r="48">
          <cell r="B48">
            <v>51007777</v>
          </cell>
          <cell r="C48">
            <v>15636623</v>
          </cell>
          <cell r="D48">
            <v>66644400</v>
          </cell>
          <cell r="E48">
            <v>38775487</v>
          </cell>
          <cell r="F48">
            <v>5574209</v>
          </cell>
          <cell r="G48">
            <v>33201278</v>
          </cell>
          <cell r="H48">
            <v>10593947</v>
          </cell>
          <cell r="J48">
            <v>16287685</v>
          </cell>
          <cell r="K48">
            <v>66644400</v>
          </cell>
        </row>
        <row r="49">
          <cell r="B49">
            <v>61762635</v>
          </cell>
          <cell r="C49">
            <v>20933400</v>
          </cell>
          <cell r="D49">
            <v>82696035</v>
          </cell>
          <cell r="E49">
            <v>45298051</v>
          </cell>
          <cell r="F49">
            <v>7306788</v>
          </cell>
          <cell r="G49">
            <v>37991263</v>
          </cell>
          <cell r="H49">
            <v>13818514</v>
          </cell>
          <cell r="J49">
            <v>21100364</v>
          </cell>
          <cell r="K49">
            <v>82696035</v>
          </cell>
        </row>
        <row r="50">
          <cell r="B50">
            <v>62519686</v>
          </cell>
          <cell r="C50">
            <v>16790125</v>
          </cell>
          <cell r="D50">
            <v>79309811</v>
          </cell>
          <cell r="E50">
            <v>47494560</v>
          </cell>
          <cell r="F50">
            <v>8581275</v>
          </cell>
          <cell r="G50">
            <v>38913285</v>
          </cell>
          <cell r="H50">
            <v>14257689</v>
          </cell>
          <cell r="J50">
            <v>15785663</v>
          </cell>
          <cell r="K50">
            <v>79309811</v>
          </cell>
        </row>
        <row r="51">
          <cell r="B51">
            <v>69555367</v>
          </cell>
          <cell r="C51">
            <v>22541700</v>
          </cell>
          <cell r="D51">
            <v>92097067</v>
          </cell>
          <cell r="E51">
            <v>53193172</v>
          </cell>
          <cell r="F51">
            <v>9181067</v>
          </cell>
          <cell r="G51">
            <v>44012105</v>
          </cell>
          <cell r="H51">
            <v>17127889</v>
          </cell>
          <cell r="J51">
            <v>19402439</v>
          </cell>
          <cell r="K51">
            <v>92097067</v>
          </cell>
        </row>
        <row r="52">
          <cell r="B52">
            <v>79276664</v>
          </cell>
          <cell r="C52">
            <v>26453861</v>
          </cell>
          <cell r="D52">
            <v>105730525</v>
          </cell>
          <cell r="E52">
            <v>58748321</v>
          </cell>
          <cell r="F52">
            <v>10091166</v>
          </cell>
          <cell r="G52">
            <v>48657155</v>
          </cell>
          <cell r="H52">
            <v>20470786</v>
          </cell>
          <cell r="J52">
            <v>24671849</v>
          </cell>
          <cell r="K52">
            <v>105730525</v>
          </cell>
        </row>
        <row r="53">
          <cell r="B53">
            <v>87924544</v>
          </cell>
          <cell r="C53">
            <v>27772113</v>
          </cell>
          <cell r="D53">
            <v>115696657</v>
          </cell>
          <cell r="E53">
            <v>64735024</v>
          </cell>
          <cell r="F53">
            <v>11726752</v>
          </cell>
          <cell r="G53">
            <v>53008272</v>
          </cell>
          <cell r="H53">
            <v>23707838</v>
          </cell>
          <cell r="J53">
            <v>26522271</v>
          </cell>
          <cell r="K53">
            <v>115696657</v>
          </cell>
        </row>
        <row r="54">
          <cell r="B54">
            <v>95129659</v>
          </cell>
          <cell r="C54">
            <v>29459627</v>
          </cell>
          <cell r="D54">
            <v>124589286</v>
          </cell>
          <cell r="E54">
            <v>70265165</v>
          </cell>
          <cell r="F54">
            <v>13323278</v>
          </cell>
          <cell r="G54">
            <v>56941887</v>
          </cell>
          <cell r="H54">
            <v>26211660</v>
          </cell>
          <cell r="J54">
            <v>27243506</v>
          </cell>
          <cell r="K54">
            <v>124589286</v>
          </cell>
        </row>
        <row r="55">
          <cell r="B55">
            <v>102292260</v>
          </cell>
          <cell r="C55">
            <v>30173593</v>
          </cell>
          <cell r="D55">
            <v>132465853</v>
          </cell>
          <cell r="E55">
            <v>74999440</v>
          </cell>
          <cell r="F55">
            <v>14442181</v>
          </cell>
          <cell r="G55">
            <v>60557259</v>
          </cell>
          <cell r="H55">
            <v>27702468</v>
          </cell>
          <cell r="J55">
            <v>28633097</v>
          </cell>
          <cell r="K55">
            <v>132465853</v>
          </cell>
        </row>
        <row r="56">
          <cell r="B56">
            <v>100176808</v>
          </cell>
          <cell r="C56">
            <v>23702545</v>
          </cell>
          <cell r="D56">
            <v>123879353</v>
          </cell>
          <cell r="E56">
            <v>76267509</v>
          </cell>
          <cell r="F56">
            <v>14402697</v>
          </cell>
          <cell r="G56">
            <v>61864812</v>
          </cell>
          <cell r="H56">
            <v>26359701</v>
          </cell>
          <cell r="J56">
            <v>20710150</v>
          </cell>
          <cell r="K56">
            <v>123879353</v>
          </cell>
        </row>
        <row r="57">
          <cell r="B57">
            <v>97802211</v>
          </cell>
          <cell r="C57">
            <v>19219016</v>
          </cell>
          <cell r="D57">
            <v>117021227</v>
          </cell>
          <cell r="E57">
            <v>75154200</v>
          </cell>
          <cell r="F57">
            <v>14025347</v>
          </cell>
          <cell r="G57">
            <v>61128853</v>
          </cell>
          <cell r="H57">
            <v>23026212</v>
          </cell>
          <cell r="J57">
            <v>18885476</v>
          </cell>
          <cell r="K57">
            <v>117021227</v>
          </cell>
        </row>
      </sheetData>
      <sheetData sheetId="3">
        <row r="48">
          <cell r="B48">
            <v>2.190063972245393</v>
          </cell>
        </row>
      </sheetData>
      <sheetData sheetId="4"/>
      <sheetData sheetId="5">
        <row r="49">
          <cell r="B49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Users\jchicaiza.BCE\Downloads\NOTAS%20Cap4-90anio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showGridLines="0" tabSelected="1" workbookViewId="0"/>
  </sheetViews>
  <sheetFormatPr baseColWidth="10" defaultRowHeight="15"/>
  <cols>
    <col min="1" max="1" width="124.28515625" customWidth="1"/>
    <col min="11" max="11" width="7.42578125" customWidth="1"/>
  </cols>
  <sheetData>
    <row r="1" spans="1:9" ht="23.25">
      <c r="A1" s="1" t="s">
        <v>1378</v>
      </c>
    </row>
    <row r="2" spans="1:9">
      <c r="A2" s="3" t="s">
        <v>1015</v>
      </c>
    </row>
    <row r="4" spans="1:9">
      <c r="A4" s="8" t="s">
        <v>1019</v>
      </c>
    </row>
    <row r="5" spans="1:9" s="218" customFormat="1"/>
    <row r="6" spans="1:9">
      <c r="A6" s="7" t="s">
        <v>1372</v>
      </c>
    </row>
    <row r="7" spans="1:9">
      <c r="A7" s="7" t="s">
        <v>1373</v>
      </c>
      <c r="H7" s="217"/>
    </row>
    <row r="8" spans="1:9">
      <c r="A8" s="7" t="s">
        <v>1374</v>
      </c>
    </row>
    <row r="9" spans="1:9">
      <c r="A9" s="7" t="s">
        <v>1375</v>
      </c>
    </row>
    <row r="10" spans="1:9">
      <c r="A10" s="7" t="s">
        <v>1376</v>
      </c>
      <c r="B10" s="2"/>
      <c r="C10" s="2"/>
      <c r="D10" s="2"/>
      <c r="E10" s="2"/>
      <c r="F10" s="2"/>
    </row>
    <row r="11" spans="1:9">
      <c r="A11" s="7" t="s">
        <v>1377</v>
      </c>
      <c r="B11" s="2"/>
      <c r="C11" s="2"/>
      <c r="D11" s="2"/>
      <c r="E11" s="2"/>
      <c r="F11" s="2"/>
    </row>
    <row r="13" spans="1:9">
      <c r="A13" s="9" t="s">
        <v>1018</v>
      </c>
      <c r="B13" s="2"/>
      <c r="C13" s="2"/>
      <c r="D13" s="2"/>
      <c r="E13" s="2"/>
      <c r="F13" s="2"/>
    </row>
    <row r="14" spans="1:9">
      <c r="A14" s="2"/>
      <c r="B14" s="2"/>
      <c r="C14" s="2"/>
      <c r="D14" s="2"/>
      <c r="E14" s="2"/>
      <c r="F14" s="2"/>
    </row>
    <row r="15" spans="1:9">
      <c r="A15" s="7" t="s">
        <v>1296</v>
      </c>
      <c r="B15" s="2"/>
      <c r="C15" s="2"/>
      <c r="D15" s="2"/>
      <c r="E15" s="2"/>
      <c r="F15" s="2"/>
      <c r="G15" s="2"/>
      <c r="H15" s="2"/>
      <c r="I15" s="6"/>
    </row>
    <row r="16" spans="1:9">
      <c r="A16" s="7" t="s">
        <v>1311</v>
      </c>
      <c r="B16" s="2"/>
      <c r="C16" s="2"/>
      <c r="D16" s="2"/>
      <c r="E16" s="2"/>
      <c r="F16" s="2"/>
      <c r="G16" s="2"/>
      <c r="H16" s="2"/>
      <c r="I16" s="6"/>
    </row>
    <row r="17" spans="1:10">
      <c r="A17" s="7" t="s">
        <v>1016</v>
      </c>
    </row>
    <row r="18" spans="1:10">
      <c r="A18" s="7" t="s">
        <v>1304</v>
      </c>
    </row>
    <row r="19" spans="1:10">
      <c r="A19" s="7" t="s">
        <v>1305</v>
      </c>
    </row>
    <row r="20" spans="1:10">
      <c r="A20" s="7" t="s">
        <v>1303</v>
      </c>
    </row>
    <row r="21" spans="1:10">
      <c r="A21" s="7" t="s">
        <v>1312</v>
      </c>
    </row>
    <row r="22" spans="1:10">
      <c r="A22" s="7" t="s">
        <v>1308</v>
      </c>
      <c r="J22" s="5"/>
    </row>
    <row r="23" spans="1:10">
      <c r="A23" s="7" t="s">
        <v>1309</v>
      </c>
      <c r="J23" s="5"/>
    </row>
    <row r="24" spans="1:10">
      <c r="A24" s="7" t="s">
        <v>1310</v>
      </c>
      <c r="J24" s="5"/>
    </row>
    <row r="25" spans="1:10">
      <c r="A25" s="7" t="s">
        <v>1017</v>
      </c>
      <c r="D25" s="2"/>
      <c r="E25" s="2"/>
      <c r="F25" s="2"/>
      <c r="G25" s="2"/>
      <c r="H25" s="2"/>
      <c r="I25" s="2"/>
    </row>
    <row r="26" spans="1:10">
      <c r="A26" s="7" t="s">
        <v>1297</v>
      </c>
      <c r="E26" s="4"/>
      <c r="F26" s="4"/>
      <c r="G26" s="2"/>
      <c r="H26" s="2"/>
      <c r="I26" s="2"/>
    </row>
    <row r="27" spans="1:10">
      <c r="A27" s="2"/>
      <c r="E27" s="4"/>
      <c r="F27" s="4"/>
      <c r="G27" s="2"/>
      <c r="H27" s="2"/>
      <c r="I27" s="2"/>
    </row>
    <row r="28" spans="1:10" ht="15.75" customHeight="1">
      <c r="A28" s="9" t="s">
        <v>1294</v>
      </c>
      <c r="E28" s="4"/>
      <c r="F28" s="4"/>
      <c r="G28" s="2"/>
      <c r="H28" s="2"/>
      <c r="I28" s="2"/>
    </row>
    <row r="29" spans="1:10">
      <c r="A29" s="2"/>
      <c r="E29" s="4"/>
      <c r="F29" s="4"/>
      <c r="G29" s="2"/>
      <c r="H29" s="2"/>
      <c r="I29" s="2"/>
    </row>
    <row r="30" spans="1:10">
      <c r="A30" s="7" t="s">
        <v>1379</v>
      </c>
      <c r="C30" s="2"/>
      <c r="D30" s="2"/>
      <c r="E30" s="2"/>
      <c r="F30" s="2"/>
      <c r="G30" s="2"/>
      <c r="H30" s="2"/>
      <c r="I30" s="2"/>
    </row>
    <row r="31" spans="1:10">
      <c r="A31" s="7" t="s">
        <v>1288</v>
      </c>
    </row>
    <row r="32" spans="1:10">
      <c r="A32" s="7" t="s">
        <v>1289</v>
      </c>
      <c r="I32" s="4"/>
    </row>
    <row r="33" spans="1:9">
      <c r="A33" s="7" t="s">
        <v>1290</v>
      </c>
    </row>
    <row r="34" spans="1:9">
      <c r="A34" s="7" t="s">
        <v>1291</v>
      </c>
    </row>
    <row r="35" spans="1:9">
      <c r="A35" s="7" t="s">
        <v>1292</v>
      </c>
    </row>
    <row r="36" spans="1:9">
      <c r="A36" s="7" t="s">
        <v>1295</v>
      </c>
    </row>
    <row r="37" spans="1:9">
      <c r="A37" s="7" t="s">
        <v>1293</v>
      </c>
      <c r="G37" s="4"/>
      <c r="H37" s="2"/>
      <c r="I37" s="2"/>
    </row>
    <row r="38" spans="1:9">
      <c r="A38" s="7" t="s">
        <v>1502</v>
      </c>
      <c r="G38" s="4"/>
      <c r="H38" s="2"/>
      <c r="I38" s="2"/>
    </row>
    <row r="39" spans="1:9" s="218" customFormat="1">
      <c r="A39" s="285"/>
      <c r="G39" s="286"/>
      <c r="H39" s="285"/>
      <c r="I39" s="285"/>
    </row>
    <row r="40" spans="1:9" ht="15.75" customHeight="1">
      <c r="A40" s="9" t="s">
        <v>1491</v>
      </c>
      <c r="E40" s="4"/>
      <c r="F40" s="4"/>
      <c r="G40" s="2"/>
      <c r="H40" s="2"/>
      <c r="I40" s="2"/>
    </row>
    <row r="41" spans="1:9" s="218" customFormat="1" ht="15.75" customHeight="1">
      <c r="A41" s="287"/>
      <c r="E41" s="286"/>
      <c r="F41" s="286"/>
      <c r="G41" s="285"/>
      <c r="H41" s="285"/>
      <c r="I41" s="285"/>
    </row>
    <row r="42" spans="1:9">
      <c r="A42" s="106" t="s">
        <v>1503</v>
      </c>
      <c r="E42" s="2"/>
      <c r="F42" s="2"/>
    </row>
    <row r="43" spans="1:9">
      <c r="A43" s="106" t="s">
        <v>1504</v>
      </c>
    </row>
    <row r="44" spans="1:9">
      <c r="A44" s="106" t="s">
        <v>1505</v>
      </c>
    </row>
    <row r="45" spans="1:9">
      <c r="A45" s="106" t="s">
        <v>1506</v>
      </c>
    </row>
    <row r="46" spans="1:9">
      <c r="A46" s="106" t="s">
        <v>1507</v>
      </c>
    </row>
    <row r="47" spans="1:9">
      <c r="A47" s="106" t="s">
        <v>1508</v>
      </c>
    </row>
    <row r="49" spans="1:1">
      <c r="A49" s="2" t="s">
        <v>1025</v>
      </c>
    </row>
  </sheetData>
  <hyperlinks>
    <hyperlink ref="A15" location="'4.7'!A1" display="4.7      Indice Ponderado de Precios al Consumidor por Ciudades y por Categorías de Bienes y Servicios  (1940-2011)"/>
    <hyperlink ref="A17" location="'4.8'!A1" display="4.8     Indice Ponderado de Precios al Consumidor por Categorías de Bienes y Servicios (1997-2004)"/>
    <hyperlink ref="A18" location="'4.8a'!A1" display="4.8.a  Indice Ponderado de Precios al Consumidor por Categorías de Divisiones de Consumo (2005 - 2011)"/>
    <hyperlink ref="A20" location="'4.9'!A1" display="4.9     Variación Anual del  Indice Ponderado de Precios al Consumidor por Ciudades y por Categorías de Divisas de Consumo (1940 - 2011)"/>
    <hyperlink ref="A22" location="'4.10'!A1" display="4.10     Variación Anual del Índice Ponderado de Precios al Consumidor por Categoría de Bienes y Servicios (1997-2004)"/>
    <hyperlink ref="A23" location="'4.10.a'!A1" display="4.10.a  Variación Anual del Indice Ponderado de Precios al Consumidor por Categoría de Divisiones de Consumo (2005-2014)"/>
    <hyperlink ref="A25" location="'4.11'!A1" display="4.11     Salario Mínimo Vital (1936 - 1968)"/>
    <hyperlink ref="A26" location="'4.12'!A1" display="4.12   Salario  Mínimo Vital General y Salario Básico Unificado (1968-2011)"/>
    <hyperlink ref="A31" location="'4.14'!A1" display="4.14   Canasta de Bienes y Servicios para el Cálculo del Indice de Precios al Consumidor  Base: Agosto 1950-Julio1951"/>
    <hyperlink ref="A32" location="'4.15'!A1" display="4.15   Canasta de Bienes y Servicios para el Cálculo del Indice de Precios al Consumidor Base: 1965"/>
    <hyperlink ref="A33" location="'4.16'!A1" display="4.16   Canasta de Bienes y Servicios para el Cálculo del Indice de Precios al Consumidor: Abril 1978-Mayo 1979"/>
    <hyperlink ref="A34" location="'4.17'!A1" display="4.17   Canasta de Bienes y Servicios para el Cálculo del  Indice de Precios al Consumidor: Agosto 1994-Septiembre 1995"/>
    <hyperlink ref="A35" location="'4.18'!A1" display="4.18   Canasta de Bienes y Servicios para el Cálculo del Indice de Precios al Consumidor: Enero-Diciembre 2004 "/>
    <hyperlink ref="A38" location="'4.20'!A1" display="4.20  Indicadores de Coyuntura del Mercado Laboral Ecuatoriano. (Antigua Metodología) Total Urbano."/>
    <hyperlink ref="A36" location="'4.18'!A1" display="4.18   Canasta de Bienes y Servicios para el Cálculo del Indice de Precios al Consumidor: Enero-Diciembre 2004 "/>
    <hyperlink ref="A16" location="'4.7.a'!A1" display="4.7.a  Indice Ponderado de Precios al Consumidor por Ciudades y por Categorías de Bienes y Servicios  (2015-2016)"/>
    <hyperlink ref="A19" location="'4.8.b'!A1" display="4.8.b  Indice Ponderado de Precios al Consumidor por Categorías de Divisiones de Consumo (2015 - 2016)"/>
    <hyperlink ref="A21" location="'4.9.a'!A1" display="4.9.a     Variación Anual del  Indice Ponderado de Precios al Consumidor por Ciudades y por Categorías de Divisas de Consumo (2015 - 2016)"/>
    <hyperlink ref="A24" location="'4.10.b'!A1" display="4.10.b  Variación Anual del Indice Ponderado de Precios al Consumidor por Categoría de Divisiones de Consumo (2015-2016)"/>
    <hyperlink ref="A10:A11" location="'4.4'!A1" display="4.4     Oferta y Utilización Final de Bienes y Servicios / Participación en el PIB"/>
    <hyperlink ref="A10" location="'4.5'!A1" display="4.5     Oferta y Utilización Final de Bienes y Servicios / Participación en el PIB - A precios de 2007"/>
    <hyperlink ref="A11" location="'4.6'!A1" display="4.6     Oferta y Utilización Final de Bienes y Servicios / Contribución al crecimiento del PIB - A precios de 2007"/>
    <hyperlink ref="A6" location="'4.1'!A1" display="4.1     Oferta y Utilización Final de Bienes y Servicios / Miles de dólares de 2007"/>
    <hyperlink ref="A7" location="'4.2'!A1" display="4.2     Oferta y Utilización Final de Bienes y Servicios/ Miles de dólares"/>
    <hyperlink ref="A8" location="'4.3'!A1" display="4.3     Oferta y Utilización Final de Bienes y Servicios / Tasas de variación a Precios de 2007"/>
    <hyperlink ref="A9" location="'4.4'!A1" display="4.4     Oferta y Utilización Final de Bienes y Servicios / Deflactores implícitos"/>
    <hyperlink ref="A30" location="'4.13'!A1" display="4.13   Población"/>
    <hyperlink ref="A42" location="'4.21'!A1" display="4.21   Producción nacional de petróleo (1972 - 2016)"/>
    <hyperlink ref="A43" location="'4.22'!A1" display="4.22   Exportaciones (1972-2016)."/>
    <hyperlink ref="A44" location="'4.23'!A1" display="4.23   Crudo transportado por oleoductos 1972-2016."/>
    <hyperlink ref="A45" location="'4.24'!A1" display="4.24   Producción nacional de derivados 1972-2016"/>
    <hyperlink ref="A46" location="'4.25'!A1" display="4.25   Importación de productos derivados de petróleo realizada por EP Petroecuador 1972-2016"/>
    <hyperlink ref="A47" location="'4.26'!A1" display="4.26   Venta nacional de derivados 1972-2016"/>
    <hyperlink ref="A37" location="'4.19'!A1" display="4.19  Indicadores de Coyuntura del Mercado Laboral Ecuatoriano. Total Nacional."/>
    <hyperlink ref="A49" r:id="rId1"/>
  </hyperlinks>
  <pageMargins left="0.70866141732283472" right="0.70866141732283472" top="0.74803149606299213" bottom="0.74803149606299213" header="0.31496062992125984" footer="0.31496062992125984"/>
  <pageSetup paperSize="9" orientation="landscape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RowHeight="12.75"/>
  <cols>
    <col min="1" max="1" width="11.42578125" style="172"/>
    <col min="2" max="3" width="15.7109375" style="172" customWidth="1"/>
    <col min="4" max="4" width="15.7109375" style="177" customWidth="1"/>
    <col min="5" max="10" width="15.7109375" style="172" customWidth="1"/>
    <col min="11" max="11" width="15.7109375" style="177" customWidth="1"/>
    <col min="12" max="21" width="12.28515625" style="172" customWidth="1"/>
    <col min="22" max="16384" width="11.42578125" style="172"/>
  </cols>
  <sheetData>
    <row r="1" spans="1:22">
      <c r="A1" s="291" t="s">
        <v>1339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22">
      <c r="A2" s="292" t="s">
        <v>1340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</row>
    <row r="4" spans="1:22" s="176" customFormat="1" ht="25.5">
      <c r="A4" s="173" t="s">
        <v>1341</v>
      </c>
      <c r="B4" s="174" t="s">
        <v>1342</v>
      </c>
      <c r="C4" s="174" t="s">
        <v>1343</v>
      </c>
      <c r="D4" s="174" t="s">
        <v>1344</v>
      </c>
      <c r="E4" s="174" t="s">
        <v>1345</v>
      </c>
      <c r="F4" s="174" t="s">
        <v>1346</v>
      </c>
      <c r="G4" s="174" t="s">
        <v>1347</v>
      </c>
      <c r="H4" s="174" t="s">
        <v>1348</v>
      </c>
      <c r="I4" s="174" t="s">
        <v>1349</v>
      </c>
      <c r="J4" s="174" t="s">
        <v>1350</v>
      </c>
      <c r="K4" s="175" t="s">
        <v>1351</v>
      </c>
      <c r="M4" s="177"/>
    </row>
    <row r="5" spans="1:22">
      <c r="A5" s="178"/>
      <c r="B5" s="178"/>
      <c r="C5" s="178"/>
      <c r="D5" s="179"/>
      <c r="E5" s="178"/>
      <c r="F5" s="178"/>
      <c r="G5" s="178"/>
      <c r="H5" s="178"/>
      <c r="I5" s="178"/>
      <c r="J5" s="180"/>
      <c r="K5" s="181"/>
    </row>
    <row r="6" spans="1:22">
      <c r="A6" s="182">
        <v>1965</v>
      </c>
      <c r="B6" s="183">
        <v>10315274</v>
      </c>
      <c r="C6" s="183">
        <v>1663211</v>
      </c>
      <c r="D6" s="184">
        <v>11978485</v>
      </c>
      <c r="E6" s="183">
        <v>7756361</v>
      </c>
      <c r="F6" s="183">
        <v>1169835</v>
      </c>
      <c r="G6" s="183">
        <v>6586526</v>
      </c>
      <c r="H6" s="183">
        <v>2900959</v>
      </c>
      <c r="I6" s="183">
        <v>433141</v>
      </c>
      <c r="J6" s="183">
        <v>888024</v>
      </c>
      <c r="K6" s="184">
        <v>11978485</v>
      </c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6"/>
    </row>
    <row r="7" spans="1:22">
      <c r="A7" s="182">
        <v>1966</v>
      </c>
      <c r="B7" s="183">
        <v>10280251</v>
      </c>
      <c r="C7" s="183">
        <v>1717049</v>
      </c>
      <c r="D7" s="184">
        <v>11997300</v>
      </c>
      <c r="E7" s="183">
        <v>7816797</v>
      </c>
      <c r="F7" s="183">
        <v>1183997</v>
      </c>
      <c r="G7" s="183">
        <v>6632800</v>
      </c>
      <c r="H7" s="183">
        <v>2932210</v>
      </c>
      <c r="I7" s="183">
        <v>326686</v>
      </c>
      <c r="J7" s="183">
        <v>921607</v>
      </c>
      <c r="K7" s="184">
        <v>11997300</v>
      </c>
      <c r="L7" s="185"/>
      <c r="M7" s="185"/>
      <c r="N7" s="185"/>
      <c r="O7" s="185"/>
      <c r="P7" s="185"/>
      <c r="Q7" s="185"/>
      <c r="R7" s="185"/>
      <c r="S7" s="185"/>
      <c r="T7" s="185"/>
      <c r="U7" s="185"/>
    </row>
    <row r="8" spans="1:22">
      <c r="A8" s="182">
        <v>1967</v>
      </c>
      <c r="B8" s="183">
        <v>10755309</v>
      </c>
      <c r="C8" s="183">
        <v>2069823</v>
      </c>
      <c r="D8" s="184">
        <v>12825132</v>
      </c>
      <c r="E8" s="183">
        <v>8108626</v>
      </c>
      <c r="F8" s="183">
        <v>1255248</v>
      </c>
      <c r="G8" s="183">
        <v>6853378</v>
      </c>
      <c r="H8" s="183">
        <v>3451557</v>
      </c>
      <c r="I8" s="183">
        <v>276198</v>
      </c>
      <c r="J8" s="183">
        <v>988751</v>
      </c>
      <c r="K8" s="184">
        <v>12825132</v>
      </c>
      <c r="L8" s="185"/>
      <c r="M8" s="185"/>
      <c r="N8" s="185"/>
      <c r="O8" s="185"/>
      <c r="P8" s="185"/>
      <c r="Q8" s="185"/>
      <c r="R8" s="185"/>
      <c r="S8" s="185"/>
      <c r="T8" s="185"/>
      <c r="U8" s="185"/>
    </row>
    <row r="9" spans="1:22">
      <c r="A9" s="182">
        <v>1968</v>
      </c>
      <c r="B9" s="183">
        <v>10960675</v>
      </c>
      <c r="C9" s="183">
        <v>2328028</v>
      </c>
      <c r="D9" s="184">
        <v>13288703</v>
      </c>
      <c r="E9" s="183">
        <v>8515648</v>
      </c>
      <c r="F9" s="183">
        <v>1336105</v>
      </c>
      <c r="G9" s="183">
        <v>7179543</v>
      </c>
      <c r="H9" s="183">
        <v>3654993</v>
      </c>
      <c r="I9" s="183">
        <v>103067</v>
      </c>
      <c r="J9" s="183">
        <v>1014995</v>
      </c>
      <c r="K9" s="184">
        <v>13288703</v>
      </c>
      <c r="L9" s="185"/>
      <c r="M9" s="185"/>
      <c r="N9" s="185"/>
      <c r="O9" s="185"/>
      <c r="P9" s="185"/>
      <c r="Q9" s="185"/>
      <c r="R9" s="185"/>
      <c r="S9" s="185"/>
      <c r="T9" s="185"/>
      <c r="U9" s="185"/>
    </row>
    <row r="10" spans="1:22">
      <c r="A10" s="182">
        <v>1969</v>
      </c>
      <c r="B10" s="183">
        <v>11472455</v>
      </c>
      <c r="C10" s="183">
        <v>2328566</v>
      </c>
      <c r="D10" s="184">
        <v>13801021</v>
      </c>
      <c r="E10" s="183">
        <v>9019510</v>
      </c>
      <c r="F10" s="183">
        <v>1448806</v>
      </c>
      <c r="G10" s="183">
        <v>7570704</v>
      </c>
      <c r="H10" s="183">
        <v>3764536</v>
      </c>
      <c r="I10" s="183">
        <v>125797</v>
      </c>
      <c r="J10" s="183">
        <v>891178</v>
      </c>
      <c r="K10" s="184">
        <v>13801021</v>
      </c>
      <c r="L10" s="185"/>
      <c r="M10" s="185"/>
      <c r="N10" s="185"/>
      <c r="O10" s="185"/>
      <c r="P10" s="185"/>
      <c r="Q10" s="185"/>
      <c r="R10" s="185"/>
      <c r="S10" s="185"/>
      <c r="T10" s="185"/>
      <c r="U10" s="185"/>
    </row>
    <row r="11" spans="1:22">
      <c r="A11" s="182">
        <v>1970</v>
      </c>
      <c r="B11" s="183">
        <v>12260834</v>
      </c>
      <c r="C11" s="183">
        <v>2403425</v>
      </c>
      <c r="D11" s="184">
        <v>14664259</v>
      </c>
      <c r="E11" s="183">
        <v>9723720</v>
      </c>
      <c r="F11" s="183">
        <v>1498394</v>
      </c>
      <c r="G11" s="183">
        <v>8225326</v>
      </c>
      <c r="H11" s="183">
        <v>3755199</v>
      </c>
      <c r="I11" s="183">
        <v>292490</v>
      </c>
      <c r="J11" s="183">
        <v>892850</v>
      </c>
      <c r="K11" s="184">
        <v>14664259</v>
      </c>
      <c r="L11" s="185"/>
      <c r="M11" s="185"/>
      <c r="N11" s="185"/>
      <c r="O11" s="185"/>
      <c r="P11" s="185"/>
      <c r="Q11" s="185"/>
      <c r="R11" s="185"/>
      <c r="S11" s="185"/>
      <c r="T11" s="185"/>
      <c r="U11" s="185"/>
    </row>
    <row r="12" spans="1:22">
      <c r="A12" s="182">
        <v>1971</v>
      </c>
      <c r="B12" s="183">
        <v>13032360</v>
      </c>
      <c r="C12" s="183">
        <v>2893429</v>
      </c>
      <c r="D12" s="184">
        <v>15925789</v>
      </c>
      <c r="E12" s="183">
        <v>10166640</v>
      </c>
      <c r="F12" s="183">
        <v>1514325</v>
      </c>
      <c r="G12" s="183">
        <v>8652315</v>
      </c>
      <c r="H12" s="183">
        <v>4696063</v>
      </c>
      <c r="I12" s="183">
        <v>76266</v>
      </c>
      <c r="J12" s="183">
        <v>986820</v>
      </c>
      <c r="K12" s="184">
        <v>15925789</v>
      </c>
      <c r="L12" s="185"/>
      <c r="M12" s="185"/>
      <c r="N12" s="185"/>
      <c r="O12" s="185"/>
      <c r="P12" s="185"/>
      <c r="Q12" s="185"/>
      <c r="R12" s="185"/>
      <c r="S12" s="185"/>
      <c r="T12" s="185"/>
      <c r="U12" s="185"/>
    </row>
    <row r="13" spans="1:22">
      <c r="A13" s="182">
        <v>1972</v>
      </c>
      <c r="B13" s="183">
        <v>13686277</v>
      </c>
      <c r="C13" s="183">
        <v>2727824</v>
      </c>
      <c r="D13" s="184">
        <v>16414101</v>
      </c>
      <c r="E13" s="183">
        <v>10012395</v>
      </c>
      <c r="F13" s="183">
        <v>1536926</v>
      </c>
      <c r="G13" s="183">
        <v>8475469</v>
      </c>
      <c r="H13" s="183">
        <v>4485935</v>
      </c>
      <c r="I13" s="183">
        <v>122234</v>
      </c>
      <c r="J13" s="183">
        <v>1793537</v>
      </c>
      <c r="K13" s="184">
        <v>16414101</v>
      </c>
      <c r="L13" s="185"/>
      <c r="M13" s="185"/>
      <c r="N13" s="185"/>
      <c r="O13" s="185"/>
      <c r="P13" s="185"/>
      <c r="Q13" s="185"/>
      <c r="R13" s="185"/>
      <c r="S13" s="185"/>
      <c r="T13" s="185"/>
      <c r="U13" s="185"/>
    </row>
    <row r="14" spans="1:22">
      <c r="A14" s="182">
        <v>1973</v>
      </c>
      <c r="B14" s="183">
        <v>15595606</v>
      </c>
      <c r="C14" s="183">
        <v>3226114</v>
      </c>
      <c r="D14" s="184">
        <v>18821720</v>
      </c>
      <c r="E14" s="183">
        <v>10634999</v>
      </c>
      <c r="F14" s="183">
        <v>1744447</v>
      </c>
      <c r="G14" s="183">
        <v>8890552</v>
      </c>
      <c r="H14" s="183">
        <v>4518591</v>
      </c>
      <c r="I14" s="183">
        <v>-109630</v>
      </c>
      <c r="J14" s="183">
        <v>3777760</v>
      </c>
      <c r="K14" s="184">
        <v>18821720</v>
      </c>
      <c r="L14" s="185"/>
      <c r="M14" s="185"/>
      <c r="N14" s="185"/>
      <c r="O14" s="185"/>
      <c r="P14" s="185"/>
      <c r="Q14" s="185"/>
      <c r="R14" s="185"/>
      <c r="S14" s="185"/>
      <c r="T14" s="185"/>
      <c r="U14" s="185"/>
    </row>
    <row r="15" spans="1:22">
      <c r="A15" s="182">
        <v>1974</v>
      </c>
      <c r="B15" s="183">
        <v>17343641</v>
      </c>
      <c r="C15" s="183">
        <v>4740177</v>
      </c>
      <c r="D15" s="184">
        <v>22083818</v>
      </c>
      <c r="E15" s="183">
        <v>13216565</v>
      </c>
      <c r="F15" s="183">
        <v>2921326</v>
      </c>
      <c r="G15" s="183">
        <v>10295239</v>
      </c>
      <c r="H15" s="183">
        <v>4749379</v>
      </c>
      <c r="I15" s="183">
        <v>-518379</v>
      </c>
      <c r="J15" s="183">
        <v>4636253</v>
      </c>
      <c r="K15" s="184">
        <v>22083818</v>
      </c>
      <c r="L15" s="185"/>
      <c r="M15" s="185"/>
      <c r="N15" s="185"/>
      <c r="O15" s="185"/>
      <c r="P15" s="185"/>
      <c r="Q15" s="185"/>
      <c r="R15" s="185"/>
      <c r="S15" s="185"/>
      <c r="T15" s="185"/>
      <c r="U15" s="185"/>
    </row>
    <row r="16" spans="1:22">
      <c r="A16" s="182">
        <v>1975</v>
      </c>
      <c r="B16" s="183">
        <v>19246612</v>
      </c>
      <c r="C16" s="183">
        <v>5001366</v>
      </c>
      <c r="D16" s="184">
        <v>24247978</v>
      </c>
      <c r="E16" s="183">
        <v>14810253</v>
      </c>
      <c r="F16" s="183">
        <v>3064627</v>
      </c>
      <c r="G16" s="183">
        <v>11745626</v>
      </c>
      <c r="H16" s="183">
        <v>5825874</v>
      </c>
      <c r="I16" s="183">
        <v>-131068</v>
      </c>
      <c r="J16" s="183">
        <v>3742919</v>
      </c>
      <c r="K16" s="184">
        <v>24247978</v>
      </c>
      <c r="L16" s="185"/>
      <c r="M16" s="185"/>
      <c r="N16" s="185"/>
      <c r="O16" s="185"/>
      <c r="P16" s="185"/>
      <c r="Q16" s="185"/>
      <c r="R16" s="185"/>
      <c r="S16" s="185"/>
      <c r="T16" s="185"/>
      <c r="U16" s="185"/>
    </row>
    <row r="17" spans="1:21">
      <c r="A17" s="182">
        <v>1976</v>
      </c>
      <c r="B17" s="183">
        <v>20670320</v>
      </c>
      <c r="C17" s="183">
        <v>5100825</v>
      </c>
      <c r="D17" s="184">
        <v>25771145</v>
      </c>
      <c r="E17" s="183">
        <v>15979022</v>
      </c>
      <c r="F17" s="183">
        <v>3373336</v>
      </c>
      <c r="G17" s="183">
        <v>12605686</v>
      </c>
      <c r="H17" s="183">
        <v>6096519</v>
      </c>
      <c r="I17" s="183">
        <v>-145812</v>
      </c>
      <c r="J17" s="183">
        <v>3841416</v>
      </c>
      <c r="K17" s="184">
        <v>25771145</v>
      </c>
      <c r="L17" s="185"/>
      <c r="M17" s="185"/>
      <c r="N17" s="185"/>
      <c r="O17" s="185"/>
      <c r="P17" s="185"/>
      <c r="Q17" s="185"/>
      <c r="R17" s="185"/>
      <c r="S17" s="185"/>
      <c r="T17" s="185"/>
      <c r="U17" s="185"/>
    </row>
    <row r="18" spans="1:21">
      <c r="A18" s="182">
        <v>1977</v>
      </c>
      <c r="B18" s="183">
        <v>21002046</v>
      </c>
      <c r="C18" s="183">
        <v>5983519</v>
      </c>
      <c r="D18" s="184">
        <v>26985565</v>
      </c>
      <c r="E18" s="183">
        <v>16593661</v>
      </c>
      <c r="F18" s="183">
        <v>3519386</v>
      </c>
      <c r="G18" s="183">
        <v>13074275</v>
      </c>
      <c r="H18" s="183">
        <v>6692704</v>
      </c>
      <c r="I18" s="183">
        <v>-198941</v>
      </c>
      <c r="J18" s="183">
        <v>3898141</v>
      </c>
      <c r="K18" s="184">
        <v>26985565</v>
      </c>
      <c r="L18" s="185"/>
      <c r="M18" s="185"/>
      <c r="N18" s="185"/>
      <c r="O18" s="185"/>
      <c r="P18" s="185"/>
      <c r="Q18" s="185"/>
      <c r="R18" s="185"/>
      <c r="S18" s="185"/>
      <c r="T18" s="185"/>
      <c r="U18" s="185"/>
    </row>
    <row r="19" spans="1:21">
      <c r="A19" s="182">
        <v>1978</v>
      </c>
      <c r="B19" s="183">
        <v>22200596</v>
      </c>
      <c r="C19" s="183">
        <v>6209434</v>
      </c>
      <c r="D19" s="184">
        <v>28410030</v>
      </c>
      <c r="E19" s="183">
        <v>17165191</v>
      </c>
      <c r="F19" s="183">
        <v>3791026</v>
      </c>
      <c r="G19" s="183">
        <v>13374165</v>
      </c>
      <c r="H19" s="183">
        <v>7206292</v>
      </c>
      <c r="I19" s="183">
        <v>-111681</v>
      </c>
      <c r="J19" s="183">
        <v>4150228</v>
      </c>
      <c r="K19" s="184">
        <v>28410030</v>
      </c>
      <c r="L19" s="185"/>
      <c r="M19" s="185"/>
      <c r="N19" s="185"/>
      <c r="O19" s="185"/>
      <c r="P19" s="185"/>
      <c r="Q19" s="185"/>
      <c r="R19" s="185"/>
      <c r="S19" s="185"/>
      <c r="T19" s="185"/>
      <c r="U19" s="185"/>
    </row>
    <row r="20" spans="1:21">
      <c r="A20" s="182">
        <v>1979</v>
      </c>
      <c r="B20" s="183">
        <v>23029577</v>
      </c>
      <c r="C20" s="183">
        <v>6355057</v>
      </c>
      <c r="D20" s="184">
        <v>29384634</v>
      </c>
      <c r="E20" s="183">
        <v>18262639</v>
      </c>
      <c r="F20" s="183">
        <v>3830511</v>
      </c>
      <c r="G20" s="183">
        <v>14432128</v>
      </c>
      <c r="H20" s="183">
        <v>7113930</v>
      </c>
      <c r="I20" s="183">
        <v>-262620</v>
      </c>
      <c r="J20" s="183">
        <v>4270685</v>
      </c>
      <c r="K20" s="184">
        <v>29384634</v>
      </c>
      <c r="L20" s="185"/>
      <c r="M20" s="185"/>
      <c r="N20" s="185"/>
      <c r="O20" s="185"/>
      <c r="P20" s="185"/>
      <c r="Q20" s="185"/>
      <c r="R20" s="185"/>
      <c r="S20" s="185"/>
      <c r="T20" s="185"/>
      <c r="U20" s="185"/>
    </row>
    <row r="21" spans="1:21">
      <c r="A21" s="182">
        <v>1980</v>
      </c>
      <c r="B21" s="183">
        <v>23883671</v>
      </c>
      <c r="C21" s="183">
        <v>6954587</v>
      </c>
      <c r="D21" s="184">
        <v>30838258</v>
      </c>
      <c r="E21" s="183">
        <v>19538098</v>
      </c>
      <c r="F21" s="183">
        <v>3974096</v>
      </c>
      <c r="G21" s="183">
        <v>15564002</v>
      </c>
      <c r="H21" s="183">
        <v>7386762</v>
      </c>
      <c r="I21" s="183">
        <v>-373450</v>
      </c>
      <c r="J21" s="183">
        <v>4286848</v>
      </c>
      <c r="K21" s="184">
        <v>30838258</v>
      </c>
      <c r="L21" s="185"/>
      <c r="M21" s="185"/>
      <c r="N21" s="185"/>
      <c r="O21" s="185"/>
      <c r="P21" s="185"/>
      <c r="Q21" s="185"/>
      <c r="R21" s="185"/>
      <c r="S21" s="185"/>
      <c r="T21" s="185"/>
      <c r="U21" s="185"/>
    </row>
    <row r="22" spans="1:21">
      <c r="A22" s="182">
        <v>1981</v>
      </c>
      <c r="B22" s="183">
        <v>25224229</v>
      </c>
      <c r="C22" s="183">
        <v>6737467</v>
      </c>
      <c r="D22" s="184">
        <v>31961696</v>
      </c>
      <c r="E22" s="183">
        <v>20720324</v>
      </c>
      <c r="F22" s="183">
        <v>4009047</v>
      </c>
      <c r="G22" s="183">
        <v>16711277</v>
      </c>
      <c r="H22" s="183">
        <v>7143998</v>
      </c>
      <c r="I22" s="183">
        <v>-225614</v>
      </c>
      <c r="J22" s="183">
        <v>4322988</v>
      </c>
      <c r="K22" s="184">
        <v>31961696</v>
      </c>
      <c r="L22" s="185"/>
      <c r="M22" s="185"/>
      <c r="N22" s="185"/>
      <c r="O22" s="185"/>
      <c r="P22" s="185"/>
      <c r="Q22" s="185"/>
      <c r="R22" s="185"/>
      <c r="S22" s="185"/>
      <c r="T22" s="185"/>
      <c r="U22" s="185"/>
    </row>
    <row r="23" spans="1:21">
      <c r="A23" s="182">
        <v>1982</v>
      </c>
      <c r="B23" s="183">
        <v>25379319</v>
      </c>
      <c r="C23" s="183">
        <v>6926404</v>
      </c>
      <c r="D23" s="184">
        <v>32305723</v>
      </c>
      <c r="E23" s="183">
        <v>21274336</v>
      </c>
      <c r="F23" s="183">
        <v>4034891</v>
      </c>
      <c r="G23" s="183">
        <v>17239445</v>
      </c>
      <c r="H23" s="183">
        <v>7000035</v>
      </c>
      <c r="I23" s="183">
        <v>-79915</v>
      </c>
      <c r="J23" s="183">
        <v>4111267</v>
      </c>
      <c r="K23" s="184">
        <v>32305723</v>
      </c>
      <c r="L23" s="185"/>
      <c r="M23" s="185"/>
      <c r="N23" s="185"/>
      <c r="O23" s="185"/>
      <c r="P23" s="185"/>
      <c r="Q23" s="185"/>
      <c r="R23" s="185"/>
      <c r="S23" s="185"/>
      <c r="T23" s="185"/>
      <c r="U23" s="185"/>
    </row>
    <row r="24" spans="1:21">
      <c r="A24" s="182">
        <v>1983</v>
      </c>
      <c r="B24" s="183">
        <v>25293824</v>
      </c>
      <c r="C24" s="183">
        <v>5380349</v>
      </c>
      <c r="D24" s="184">
        <v>30674173</v>
      </c>
      <c r="E24" s="183">
        <v>20776011</v>
      </c>
      <c r="F24" s="183">
        <v>4178815</v>
      </c>
      <c r="G24" s="183">
        <v>16597196</v>
      </c>
      <c r="H24" s="183">
        <v>5738581</v>
      </c>
      <c r="I24" s="183">
        <v>118055</v>
      </c>
      <c r="J24" s="183">
        <v>4041526</v>
      </c>
      <c r="K24" s="184">
        <v>30674173</v>
      </c>
      <c r="L24" s="185"/>
      <c r="M24" s="185"/>
      <c r="N24" s="185"/>
      <c r="O24" s="185"/>
      <c r="P24" s="185"/>
      <c r="Q24" s="185"/>
      <c r="R24" s="185"/>
      <c r="S24" s="185"/>
      <c r="T24" s="185"/>
      <c r="U24" s="185"/>
    </row>
    <row r="25" spans="1:21">
      <c r="A25" s="182">
        <v>1984</v>
      </c>
      <c r="B25" s="183">
        <v>25957856</v>
      </c>
      <c r="C25" s="183">
        <v>5186929</v>
      </c>
      <c r="D25" s="184">
        <v>31144785</v>
      </c>
      <c r="E25" s="183">
        <v>21106915</v>
      </c>
      <c r="F25" s="183">
        <v>4208420</v>
      </c>
      <c r="G25" s="183">
        <v>16898495</v>
      </c>
      <c r="H25" s="183">
        <v>5732366</v>
      </c>
      <c r="I25" s="183">
        <v>153208</v>
      </c>
      <c r="J25" s="183">
        <v>4152296</v>
      </c>
      <c r="K25" s="184">
        <v>31144785</v>
      </c>
      <c r="L25" s="185"/>
      <c r="M25" s="185"/>
      <c r="N25" s="185"/>
      <c r="O25" s="185"/>
      <c r="P25" s="185"/>
      <c r="Q25" s="185"/>
      <c r="R25" s="185"/>
      <c r="S25" s="185"/>
      <c r="T25" s="185"/>
      <c r="U25" s="185"/>
    </row>
    <row r="26" spans="1:21">
      <c r="A26" s="182">
        <v>1985</v>
      </c>
      <c r="B26" s="183">
        <v>26979298</v>
      </c>
      <c r="C26" s="183">
        <v>5628605</v>
      </c>
      <c r="D26" s="184">
        <v>32607903</v>
      </c>
      <c r="E26" s="183">
        <v>21797947</v>
      </c>
      <c r="F26" s="183">
        <v>4218102</v>
      </c>
      <c r="G26" s="183">
        <v>17579845</v>
      </c>
      <c r="H26" s="183">
        <v>6179486</v>
      </c>
      <c r="I26" s="183">
        <v>167684</v>
      </c>
      <c r="J26" s="183">
        <v>4462786</v>
      </c>
      <c r="K26" s="184">
        <v>32607903</v>
      </c>
      <c r="L26" s="185"/>
      <c r="M26" s="185"/>
      <c r="N26" s="185"/>
      <c r="O26" s="185"/>
      <c r="P26" s="185"/>
      <c r="Q26" s="185"/>
      <c r="R26" s="185"/>
      <c r="S26" s="185"/>
      <c r="T26" s="185"/>
      <c r="U26" s="185"/>
    </row>
    <row r="27" spans="1:21">
      <c r="A27" s="182">
        <v>1986</v>
      </c>
      <c r="B27" s="183">
        <v>27914072</v>
      </c>
      <c r="C27" s="183">
        <v>5600217</v>
      </c>
      <c r="D27" s="184">
        <v>33514289</v>
      </c>
      <c r="E27" s="183">
        <v>21861351</v>
      </c>
      <c r="F27" s="183">
        <v>4238352</v>
      </c>
      <c r="G27" s="183">
        <v>17622999</v>
      </c>
      <c r="H27" s="183">
        <v>6385704</v>
      </c>
      <c r="I27" s="183">
        <v>285999</v>
      </c>
      <c r="J27" s="183">
        <v>4981235</v>
      </c>
      <c r="K27" s="184">
        <v>33514289</v>
      </c>
      <c r="L27" s="185"/>
      <c r="M27" s="185"/>
      <c r="N27" s="185"/>
      <c r="O27" s="185"/>
      <c r="P27" s="185"/>
      <c r="Q27" s="185"/>
      <c r="R27" s="185"/>
      <c r="S27" s="185"/>
      <c r="T27" s="185"/>
      <c r="U27" s="185"/>
    </row>
    <row r="28" spans="1:21">
      <c r="A28" s="182">
        <v>1987</v>
      </c>
      <c r="B28" s="183">
        <v>27841747</v>
      </c>
      <c r="C28" s="183">
        <v>6606438</v>
      </c>
      <c r="D28" s="184">
        <v>34448185</v>
      </c>
      <c r="E28" s="183">
        <v>22925271</v>
      </c>
      <c r="F28" s="183">
        <v>4178721</v>
      </c>
      <c r="G28" s="183">
        <v>18746550</v>
      </c>
      <c r="H28" s="183">
        <v>6377176</v>
      </c>
      <c r="I28" s="183">
        <v>669489</v>
      </c>
      <c r="J28" s="183">
        <v>4476249</v>
      </c>
      <c r="K28" s="184">
        <v>34448185</v>
      </c>
      <c r="L28" s="185"/>
      <c r="M28" s="185"/>
      <c r="N28" s="185"/>
      <c r="O28" s="185"/>
      <c r="P28" s="185"/>
      <c r="Q28" s="185"/>
      <c r="R28" s="185"/>
      <c r="S28" s="185"/>
      <c r="T28" s="185"/>
      <c r="U28" s="185"/>
    </row>
    <row r="29" spans="1:21">
      <c r="A29" s="182">
        <v>1988</v>
      </c>
      <c r="B29" s="183">
        <v>29481756</v>
      </c>
      <c r="C29" s="183">
        <v>5470575</v>
      </c>
      <c r="D29" s="184">
        <v>34952331</v>
      </c>
      <c r="E29" s="183">
        <v>22386346</v>
      </c>
      <c r="F29" s="183">
        <v>4161491</v>
      </c>
      <c r="G29" s="183">
        <v>18224855</v>
      </c>
      <c r="H29" s="183">
        <v>6040147</v>
      </c>
      <c r="I29" s="183">
        <v>374598</v>
      </c>
      <c r="J29" s="183">
        <v>6151240</v>
      </c>
      <c r="K29" s="184">
        <v>34952331</v>
      </c>
      <c r="L29" s="185"/>
      <c r="M29" s="185"/>
      <c r="N29" s="185"/>
      <c r="O29" s="185"/>
      <c r="P29" s="185"/>
      <c r="Q29" s="185"/>
      <c r="R29" s="185"/>
      <c r="S29" s="185"/>
      <c r="T29" s="185"/>
      <c r="U29" s="185"/>
    </row>
    <row r="30" spans="1:21">
      <c r="A30" s="182">
        <v>1989</v>
      </c>
      <c r="B30" s="183">
        <v>29778277</v>
      </c>
      <c r="C30" s="183">
        <v>5720261</v>
      </c>
      <c r="D30" s="184">
        <v>35498538</v>
      </c>
      <c r="E30" s="183">
        <v>22745636</v>
      </c>
      <c r="F30" s="183">
        <v>4494532</v>
      </c>
      <c r="G30" s="183">
        <v>18251104</v>
      </c>
      <c r="H30" s="183">
        <v>5862796</v>
      </c>
      <c r="I30" s="183">
        <v>656855</v>
      </c>
      <c r="J30" s="183">
        <v>6233251</v>
      </c>
      <c r="K30" s="184">
        <v>35498538</v>
      </c>
      <c r="L30" s="185"/>
      <c r="M30" s="185"/>
      <c r="N30" s="185"/>
      <c r="O30" s="185"/>
      <c r="P30" s="185"/>
      <c r="Q30" s="185"/>
      <c r="R30" s="185"/>
      <c r="S30" s="185"/>
      <c r="T30" s="185"/>
      <c r="U30" s="185"/>
    </row>
    <row r="31" spans="1:21">
      <c r="A31" s="182">
        <v>1990</v>
      </c>
      <c r="B31" s="183">
        <v>30874092</v>
      </c>
      <c r="C31" s="183">
        <v>5631295</v>
      </c>
      <c r="D31" s="184">
        <v>36505387</v>
      </c>
      <c r="E31" s="183">
        <v>23830737</v>
      </c>
      <c r="F31" s="183">
        <v>4459229</v>
      </c>
      <c r="G31" s="183">
        <v>19371508</v>
      </c>
      <c r="H31" s="183">
        <v>5598369</v>
      </c>
      <c r="I31" s="183">
        <v>803788</v>
      </c>
      <c r="J31" s="183">
        <v>6272493</v>
      </c>
      <c r="K31" s="184">
        <v>36505387</v>
      </c>
      <c r="L31" s="185"/>
      <c r="M31" s="185"/>
      <c r="N31" s="185"/>
      <c r="O31" s="185"/>
      <c r="P31" s="185"/>
      <c r="Q31" s="185"/>
      <c r="R31" s="185"/>
      <c r="S31" s="185"/>
      <c r="T31" s="185"/>
      <c r="U31" s="185"/>
    </row>
    <row r="32" spans="1:21">
      <c r="A32" s="182">
        <v>1991</v>
      </c>
      <c r="B32" s="183">
        <v>32199005</v>
      </c>
      <c r="C32" s="183">
        <v>6295138</v>
      </c>
      <c r="D32" s="184">
        <v>38494143</v>
      </c>
      <c r="E32" s="183">
        <v>24695814</v>
      </c>
      <c r="F32" s="183">
        <v>4540935</v>
      </c>
      <c r="G32" s="183">
        <v>20154879</v>
      </c>
      <c r="H32" s="183">
        <v>5999038</v>
      </c>
      <c r="I32" s="183">
        <v>480861</v>
      </c>
      <c r="J32" s="183">
        <v>7318430</v>
      </c>
      <c r="K32" s="184">
        <v>38494143</v>
      </c>
      <c r="L32" s="185"/>
      <c r="M32" s="185"/>
      <c r="N32" s="185"/>
      <c r="O32" s="185"/>
      <c r="P32" s="185"/>
      <c r="Q32" s="185"/>
      <c r="R32" s="185"/>
      <c r="S32" s="185"/>
      <c r="T32" s="185"/>
      <c r="U32" s="185"/>
    </row>
    <row r="33" spans="1:21">
      <c r="A33" s="182">
        <v>1992</v>
      </c>
      <c r="B33" s="183">
        <v>32879792</v>
      </c>
      <c r="C33" s="183">
        <v>6577529</v>
      </c>
      <c r="D33" s="184">
        <v>39457321</v>
      </c>
      <c r="E33" s="183">
        <v>24939218</v>
      </c>
      <c r="F33" s="183">
        <v>4576551</v>
      </c>
      <c r="G33" s="183">
        <v>20362667</v>
      </c>
      <c r="H33" s="183">
        <v>6074252</v>
      </c>
      <c r="I33" s="183">
        <v>721717</v>
      </c>
      <c r="J33" s="183">
        <v>7722134</v>
      </c>
      <c r="K33" s="184">
        <v>39457321</v>
      </c>
      <c r="L33" s="185"/>
      <c r="M33" s="185"/>
      <c r="N33" s="185"/>
      <c r="O33" s="185"/>
      <c r="P33" s="185"/>
      <c r="Q33" s="185"/>
      <c r="R33" s="185"/>
      <c r="S33" s="185"/>
      <c r="T33" s="185"/>
      <c r="U33" s="185"/>
    </row>
    <row r="34" spans="1:21">
      <c r="A34" s="182">
        <v>1993</v>
      </c>
      <c r="B34" s="183">
        <v>33528582</v>
      </c>
      <c r="C34" s="183">
        <v>6541308</v>
      </c>
      <c r="D34" s="184">
        <v>40069890</v>
      </c>
      <c r="E34" s="183">
        <v>25673318</v>
      </c>
      <c r="F34" s="183">
        <v>4665966</v>
      </c>
      <c r="G34" s="183">
        <v>21007352</v>
      </c>
      <c r="H34" s="183">
        <v>6087342</v>
      </c>
      <c r="I34" s="183">
        <v>108097</v>
      </c>
      <c r="J34" s="183">
        <v>8201133</v>
      </c>
      <c r="K34" s="184">
        <v>40069890</v>
      </c>
      <c r="L34" s="185"/>
      <c r="M34" s="185"/>
      <c r="N34" s="185"/>
      <c r="O34" s="185"/>
      <c r="P34" s="185"/>
      <c r="Q34" s="185"/>
      <c r="R34" s="185"/>
      <c r="S34" s="185"/>
      <c r="T34" s="185"/>
      <c r="U34" s="185"/>
    </row>
    <row r="35" spans="1:21">
      <c r="A35" s="182">
        <v>1994</v>
      </c>
      <c r="B35" s="183">
        <v>34956313</v>
      </c>
      <c r="C35" s="183">
        <v>7586379</v>
      </c>
      <c r="D35" s="184">
        <v>42542692</v>
      </c>
      <c r="E35" s="183">
        <v>26609126</v>
      </c>
      <c r="F35" s="183">
        <v>4661051</v>
      </c>
      <c r="G35" s="183">
        <v>21948075</v>
      </c>
      <c r="H35" s="183">
        <v>6440394</v>
      </c>
      <c r="I35" s="183">
        <v>234775</v>
      </c>
      <c r="J35" s="183">
        <v>9258397</v>
      </c>
      <c r="K35" s="184">
        <v>42542692</v>
      </c>
      <c r="L35" s="185"/>
      <c r="M35" s="185"/>
      <c r="N35" s="185"/>
      <c r="O35" s="185"/>
      <c r="P35" s="185"/>
      <c r="Q35" s="185"/>
      <c r="R35" s="185"/>
      <c r="S35" s="185"/>
      <c r="T35" s="185"/>
      <c r="U35" s="185"/>
    </row>
    <row r="36" spans="1:21">
      <c r="A36" s="182">
        <v>1995</v>
      </c>
      <c r="B36" s="183">
        <v>35743721</v>
      </c>
      <c r="C36" s="183">
        <v>8438343</v>
      </c>
      <c r="D36" s="184">
        <v>44182064</v>
      </c>
      <c r="E36" s="183">
        <v>27467613</v>
      </c>
      <c r="F36" s="183">
        <v>4645067</v>
      </c>
      <c r="G36" s="183">
        <v>22822546</v>
      </c>
      <c r="H36" s="183">
        <v>6369945</v>
      </c>
      <c r="I36" s="183">
        <v>127047</v>
      </c>
      <c r="J36" s="183">
        <v>10217459</v>
      </c>
      <c r="K36" s="184">
        <v>44182064</v>
      </c>
      <c r="L36" s="185"/>
      <c r="M36" s="185"/>
      <c r="N36" s="185"/>
      <c r="O36" s="185"/>
      <c r="P36" s="185"/>
      <c r="Q36" s="185"/>
      <c r="R36" s="185"/>
      <c r="S36" s="185"/>
      <c r="T36" s="185"/>
      <c r="U36" s="185"/>
    </row>
    <row r="37" spans="1:21">
      <c r="A37" s="182">
        <v>1996</v>
      </c>
      <c r="B37" s="183">
        <v>36362712</v>
      </c>
      <c r="C37" s="183">
        <v>7375367</v>
      </c>
      <c r="D37" s="184">
        <v>43738079</v>
      </c>
      <c r="E37" s="183">
        <v>27551273</v>
      </c>
      <c r="F37" s="183">
        <v>4440096</v>
      </c>
      <c r="G37" s="183">
        <v>23111177</v>
      </c>
      <c r="H37" s="183">
        <v>6177175</v>
      </c>
      <c r="I37" s="183">
        <v>9047</v>
      </c>
      <c r="J37" s="183">
        <v>10000584</v>
      </c>
      <c r="K37" s="184">
        <v>43738079</v>
      </c>
      <c r="L37" s="185"/>
      <c r="M37" s="185"/>
      <c r="N37" s="185"/>
      <c r="O37" s="185"/>
      <c r="P37" s="185"/>
      <c r="Q37" s="185"/>
      <c r="R37" s="185"/>
      <c r="S37" s="185"/>
      <c r="T37" s="185"/>
      <c r="U37" s="185"/>
    </row>
    <row r="38" spans="1:21">
      <c r="A38" s="182">
        <v>1997</v>
      </c>
      <c r="B38" s="183">
        <v>37936441</v>
      </c>
      <c r="C38" s="183">
        <v>8888267</v>
      </c>
      <c r="D38" s="184">
        <v>46824708</v>
      </c>
      <c r="E38" s="183">
        <v>29242987</v>
      </c>
      <c r="F38" s="183">
        <v>4754688</v>
      </c>
      <c r="G38" s="183">
        <v>24488299</v>
      </c>
      <c r="H38" s="183">
        <v>6662640</v>
      </c>
      <c r="I38" s="183">
        <v>219861</v>
      </c>
      <c r="J38" s="183">
        <v>10699220</v>
      </c>
      <c r="K38" s="184">
        <v>46824708</v>
      </c>
      <c r="L38" s="185"/>
      <c r="M38" s="185"/>
      <c r="N38" s="185"/>
      <c r="O38" s="185"/>
      <c r="P38" s="185"/>
      <c r="Q38" s="185"/>
      <c r="R38" s="185"/>
      <c r="S38" s="185"/>
      <c r="T38" s="185"/>
      <c r="U38" s="185"/>
    </row>
    <row r="39" spans="1:21">
      <c r="A39" s="182">
        <v>1998</v>
      </c>
      <c r="B39" s="183">
        <v>39175646</v>
      </c>
      <c r="C39" s="183">
        <v>9468828</v>
      </c>
      <c r="D39" s="184">
        <v>48644474</v>
      </c>
      <c r="E39" s="183">
        <v>30818355</v>
      </c>
      <c r="F39" s="183">
        <v>4644324</v>
      </c>
      <c r="G39" s="183">
        <v>26174031</v>
      </c>
      <c r="H39" s="183">
        <v>6961316</v>
      </c>
      <c r="I39" s="183">
        <v>672364</v>
      </c>
      <c r="J39" s="183">
        <v>10192439</v>
      </c>
      <c r="K39" s="184">
        <v>48644474</v>
      </c>
      <c r="L39" s="185"/>
      <c r="M39" s="185"/>
      <c r="N39" s="185"/>
      <c r="O39" s="185"/>
      <c r="P39" s="185"/>
      <c r="Q39" s="185"/>
      <c r="R39" s="185"/>
      <c r="S39" s="185"/>
      <c r="T39" s="185"/>
      <c r="U39" s="185"/>
    </row>
    <row r="40" spans="1:21">
      <c r="A40" s="182">
        <v>1999</v>
      </c>
      <c r="B40" s="183">
        <v>37318961</v>
      </c>
      <c r="C40" s="183">
        <v>6477106</v>
      </c>
      <c r="D40" s="184">
        <v>43796067</v>
      </c>
      <c r="E40" s="183">
        <v>27493016</v>
      </c>
      <c r="F40" s="183">
        <v>4511268</v>
      </c>
      <c r="G40" s="183">
        <v>22981748</v>
      </c>
      <c r="H40" s="183">
        <v>5205829</v>
      </c>
      <c r="I40" s="183">
        <v>127015</v>
      </c>
      <c r="J40" s="183">
        <v>10970207</v>
      </c>
      <c r="K40" s="184">
        <v>43796067</v>
      </c>
      <c r="L40" s="185"/>
      <c r="M40" s="185"/>
      <c r="N40" s="185"/>
      <c r="O40" s="185"/>
      <c r="P40" s="185"/>
      <c r="Q40" s="185"/>
      <c r="R40" s="185"/>
      <c r="S40" s="185"/>
      <c r="T40" s="185"/>
      <c r="U40" s="185"/>
    </row>
    <row r="41" spans="1:21">
      <c r="A41" s="182">
        <v>2000</v>
      </c>
      <c r="B41" s="183">
        <v>37726410</v>
      </c>
      <c r="C41" s="183">
        <v>7307583</v>
      </c>
      <c r="D41" s="184">
        <v>45033993</v>
      </c>
      <c r="E41" s="183">
        <v>27858446</v>
      </c>
      <c r="F41" s="183">
        <v>4691907</v>
      </c>
      <c r="G41" s="183">
        <v>23166539</v>
      </c>
      <c r="H41" s="183">
        <v>5853793</v>
      </c>
      <c r="I41" s="183">
        <v>73324</v>
      </c>
      <c r="J41" s="183">
        <v>11248430</v>
      </c>
      <c r="K41" s="184">
        <v>45033993</v>
      </c>
      <c r="L41" s="185"/>
      <c r="M41" s="185"/>
      <c r="N41" s="185"/>
      <c r="O41" s="185"/>
      <c r="P41" s="185"/>
      <c r="Q41" s="185"/>
      <c r="R41" s="185"/>
      <c r="S41" s="185"/>
      <c r="T41" s="185"/>
      <c r="U41" s="185"/>
    </row>
    <row r="42" spans="1:21">
      <c r="A42" s="182">
        <v>2001</v>
      </c>
      <c r="B42" s="183">
        <v>39241363</v>
      </c>
      <c r="C42" s="183">
        <v>9187268</v>
      </c>
      <c r="D42" s="184">
        <v>48428631</v>
      </c>
      <c r="E42" s="183">
        <v>29435371</v>
      </c>
      <c r="F42" s="183">
        <v>4535972</v>
      </c>
      <c r="G42" s="183">
        <v>24899399</v>
      </c>
      <c r="H42" s="183">
        <v>7039554</v>
      </c>
      <c r="I42" s="183">
        <v>883806</v>
      </c>
      <c r="J42" s="183">
        <v>11069900</v>
      </c>
      <c r="K42" s="184">
        <v>48428631</v>
      </c>
      <c r="L42" s="185"/>
      <c r="M42" s="185"/>
      <c r="N42" s="185"/>
      <c r="O42" s="185"/>
      <c r="P42" s="185"/>
      <c r="Q42" s="185"/>
      <c r="R42" s="185"/>
      <c r="S42" s="185"/>
      <c r="T42" s="185"/>
      <c r="U42" s="185"/>
    </row>
    <row r="43" spans="1:21">
      <c r="A43" s="182">
        <v>2002</v>
      </c>
      <c r="B43" s="183">
        <v>40848994</v>
      </c>
      <c r="C43" s="183">
        <v>10934226</v>
      </c>
      <c r="D43" s="184">
        <v>51783220</v>
      </c>
      <c r="E43" s="183">
        <v>31304508</v>
      </c>
      <c r="F43" s="183">
        <v>4643172</v>
      </c>
      <c r="G43" s="183">
        <v>26661336</v>
      </c>
      <c r="H43" s="183">
        <v>8313170</v>
      </c>
      <c r="I43" s="183">
        <v>1026590</v>
      </c>
      <c r="J43" s="183">
        <v>11138952</v>
      </c>
      <c r="K43" s="184">
        <v>51783220</v>
      </c>
      <c r="L43" s="185"/>
      <c r="M43" s="185"/>
      <c r="N43" s="185"/>
      <c r="O43" s="185"/>
      <c r="P43" s="185"/>
      <c r="Q43" s="185"/>
      <c r="R43" s="185"/>
      <c r="S43" s="185"/>
      <c r="T43" s="185"/>
      <c r="U43" s="185"/>
    </row>
    <row r="44" spans="1:21">
      <c r="A44" s="182">
        <v>2003</v>
      </c>
      <c r="B44" s="183">
        <v>41961262</v>
      </c>
      <c r="C44" s="183">
        <v>10490331</v>
      </c>
      <c r="D44" s="184">
        <v>52451593</v>
      </c>
      <c r="E44" s="183">
        <v>32158291</v>
      </c>
      <c r="F44" s="183">
        <v>4696702</v>
      </c>
      <c r="G44" s="183">
        <v>27461589</v>
      </c>
      <c r="H44" s="183">
        <v>8344508</v>
      </c>
      <c r="I44" s="183">
        <v>6704</v>
      </c>
      <c r="J44" s="183">
        <v>11942090</v>
      </c>
      <c r="K44" s="184">
        <v>52451593</v>
      </c>
      <c r="L44" s="185"/>
      <c r="M44" s="185"/>
      <c r="N44" s="185"/>
      <c r="O44" s="185"/>
      <c r="P44" s="185"/>
      <c r="Q44" s="185"/>
      <c r="R44" s="185"/>
      <c r="S44" s="185"/>
      <c r="T44" s="185"/>
      <c r="U44" s="185"/>
    </row>
    <row r="45" spans="1:21">
      <c r="A45" s="182">
        <v>2004</v>
      </c>
      <c r="B45" s="183">
        <v>45406710</v>
      </c>
      <c r="C45" s="183">
        <v>11631354</v>
      </c>
      <c r="D45" s="184">
        <v>57038064</v>
      </c>
      <c r="E45" s="183">
        <v>34136114</v>
      </c>
      <c r="F45" s="183">
        <v>4907145</v>
      </c>
      <c r="G45" s="183">
        <v>29228969</v>
      </c>
      <c r="H45" s="183">
        <v>8785131</v>
      </c>
      <c r="I45" s="183">
        <v>123272</v>
      </c>
      <c r="J45" s="183">
        <v>13993547</v>
      </c>
      <c r="K45" s="184">
        <v>57038064</v>
      </c>
      <c r="L45" s="185"/>
      <c r="M45" s="185"/>
      <c r="N45" s="185"/>
      <c r="O45" s="185"/>
      <c r="P45" s="185"/>
      <c r="Q45" s="185"/>
      <c r="R45" s="185"/>
      <c r="S45" s="185"/>
      <c r="T45" s="185"/>
      <c r="U45" s="185"/>
    </row>
    <row r="46" spans="1:21">
      <c r="A46" s="182">
        <v>2005</v>
      </c>
      <c r="B46" s="183">
        <v>47809319</v>
      </c>
      <c r="C46" s="183">
        <v>13305727</v>
      </c>
      <c r="D46" s="184">
        <v>61115046</v>
      </c>
      <c r="E46" s="183">
        <v>35604531</v>
      </c>
      <c r="F46" s="183">
        <v>5081390</v>
      </c>
      <c r="G46" s="183">
        <v>30523141</v>
      </c>
      <c r="H46" s="183">
        <v>9728992</v>
      </c>
      <c r="I46" s="183">
        <v>579908</v>
      </c>
      <c r="J46" s="183">
        <v>15201615</v>
      </c>
      <c r="K46" s="184">
        <v>61115046</v>
      </c>
      <c r="L46" s="185"/>
      <c r="M46" s="185"/>
      <c r="N46" s="185"/>
      <c r="O46" s="185"/>
      <c r="P46" s="185"/>
      <c r="Q46" s="185"/>
      <c r="R46" s="185"/>
      <c r="S46" s="185"/>
      <c r="T46" s="185"/>
      <c r="U46" s="185"/>
    </row>
    <row r="47" spans="1:21">
      <c r="A47" s="182">
        <v>2006</v>
      </c>
      <c r="B47" s="183">
        <v>49914615</v>
      </c>
      <c r="C47" s="183">
        <v>14606164</v>
      </c>
      <c r="D47" s="184">
        <v>64520779</v>
      </c>
      <c r="E47" s="183">
        <v>37125765</v>
      </c>
      <c r="F47" s="183">
        <v>5274232</v>
      </c>
      <c r="G47" s="183">
        <v>31851533</v>
      </c>
      <c r="H47" s="183">
        <v>10213818</v>
      </c>
      <c r="I47" s="183">
        <v>896314</v>
      </c>
      <c r="J47" s="183">
        <v>16284882</v>
      </c>
      <c r="K47" s="184">
        <v>64520779</v>
      </c>
      <c r="L47" s="185"/>
      <c r="M47" s="185"/>
      <c r="N47" s="185"/>
      <c r="O47" s="185"/>
      <c r="P47" s="185"/>
      <c r="Q47" s="185"/>
      <c r="R47" s="185"/>
      <c r="S47" s="185"/>
      <c r="T47" s="185"/>
      <c r="U47" s="185"/>
    </row>
    <row r="48" spans="1:21">
      <c r="A48" s="182">
        <v>2007</v>
      </c>
      <c r="B48" s="183">
        <v>51007777</v>
      </c>
      <c r="C48" s="183">
        <v>15636623</v>
      </c>
      <c r="D48" s="184">
        <v>66644400</v>
      </c>
      <c r="E48" s="183">
        <v>38775487</v>
      </c>
      <c r="F48" s="183">
        <v>5574209</v>
      </c>
      <c r="G48" s="183">
        <v>33201278</v>
      </c>
      <c r="H48" s="183">
        <v>10593947</v>
      </c>
      <c r="I48" s="183">
        <v>987281</v>
      </c>
      <c r="J48" s="183">
        <v>16287685</v>
      </c>
      <c r="K48" s="184">
        <v>66644400</v>
      </c>
      <c r="L48" s="185"/>
      <c r="M48" s="185"/>
      <c r="N48" s="185"/>
      <c r="O48" s="185"/>
      <c r="P48" s="185"/>
      <c r="Q48" s="185"/>
      <c r="R48" s="185"/>
      <c r="S48" s="185"/>
      <c r="T48" s="185"/>
      <c r="U48" s="185"/>
    </row>
    <row r="49" spans="1:21">
      <c r="A49" s="182">
        <v>2008</v>
      </c>
      <c r="B49" s="183">
        <v>54250408</v>
      </c>
      <c r="C49" s="183">
        <v>17894428</v>
      </c>
      <c r="D49" s="184">
        <v>72144836</v>
      </c>
      <c r="E49" s="183">
        <v>41186204</v>
      </c>
      <c r="F49" s="183">
        <v>6191348</v>
      </c>
      <c r="G49" s="183">
        <v>34994856</v>
      </c>
      <c r="H49" s="183">
        <v>12286215</v>
      </c>
      <c r="I49" s="183">
        <v>1898716</v>
      </c>
      <c r="J49" s="183">
        <v>16773701</v>
      </c>
      <c r="K49" s="184">
        <v>72144836</v>
      </c>
      <c r="L49" s="185"/>
      <c r="M49" s="185"/>
      <c r="N49" s="185"/>
      <c r="O49" s="185"/>
      <c r="P49" s="185"/>
      <c r="Q49" s="185"/>
      <c r="R49" s="185"/>
      <c r="S49" s="185"/>
      <c r="T49" s="185"/>
      <c r="U49" s="185"/>
    </row>
    <row r="50" spans="1:21">
      <c r="A50" s="182">
        <v>2009</v>
      </c>
      <c r="B50" s="183">
        <v>54557732</v>
      </c>
      <c r="C50" s="183">
        <v>16119428</v>
      </c>
      <c r="D50" s="184">
        <v>70677160</v>
      </c>
      <c r="E50" s="183">
        <v>41558650</v>
      </c>
      <c r="F50" s="183">
        <v>6910254</v>
      </c>
      <c r="G50" s="183">
        <v>34648396</v>
      </c>
      <c r="H50" s="183">
        <v>11843329</v>
      </c>
      <c r="I50" s="183">
        <v>1304663</v>
      </c>
      <c r="J50" s="183">
        <v>15970518</v>
      </c>
      <c r="K50" s="184">
        <v>70677160</v>
      </c>
      <c r="L50" s="185"/>
      <c r="M50" s="185"/>
      <c r="N50" s="185"/>
      <c r="O50" s="185"/>
      <c r="P50" s="185"/>
      <c r="Q50" s="185"/>
      <c r="R50" s="185"/>
      <c r="S50" s="185"/>
      <c r="T50" s="185"/>
      <c r="U50" s="185"/>
    </row>
    <row r="51" spans="1:21">
      <c r="A51" s="182">
        <v>2010</v>
      </c>
      <c r="B51" s="183">
        <v>56481055</v>
      </c>
      <c r="C51" s="183">
        <v>18508988</v>
      </c>
      <c r="D51" s="184">
        <v>74990043</v>
      </c>
      <c r="E51" s="183">
        <v>44534140</v>
      </c>
      <c r="F51" s="183">
        <v>7213505</v>
      </c>
      <c r="G51" s="183">
        <v>37320635</v>
      </c>
      <c r="H51" s="183">
        <v>13050148</v>
      </c>
      <c r="I51" s="183">
        <v>1473098</v>
      </c>
      <c r="J51" s="183">
        <v>15932657</v>
      </c>
      <c r="K51" s="184">
        <v>74990043</v>
      </c>
      <c r="L51" s="185"/>
      <c r="M51" s="185"/>
      <c r="N51" s="185"/>
      <c r="O51" s="185"/>
      <c r="P51" s="185"/>
      <c r="Q51" s="185"/>
      <c r="R51" s="185"/>
      <c r="S51" s="185"/>
      <c r="T51" s="185"/>
      <c r="U51" s="185"/>
    </row>
    <row r="52" spans="1:21">
      <c r="A52" s="182">
        <v>2011</v>
      </c>
      <c r="B52" s="183">
        <v>60925064</v>
      </c>
      <c r="C52" s="183">
        <v>19183903</v>
      </c>
      <c r="D52" s="184">
        <v>80108967</v>
      </c>
      <c r="E52" s="183">
        <v>47075511</v>
      </c>
      <c r="F52" s="183">
        <v>7840882</v>
      </c>
      <c r="G52" s="183">
        <v>39234629</v>
      </c>
      <c r="H52" s="183">
        <v>14920791</v>
      </c>
      <c r="I52" s="183">
        <v>1276983</v>
      </c>
      <c r="J52" s="183">
        <v>16835682</v>
      </c>
      <c r="K52" s="184">
        <v>80108967</v>
      </c>
      <c r="L52" s="185"/>
      <c r="M52" s="185"/>
      <c r="N52" s="185"/>
      <c r="O52" s="185"/>
      <c r="P52" s="185"/>
      <c r="Q52" s="185"/>
      <c r="R52" s="185"/>
      <c r="S52" s="185"/>
      <c r="T52" s="185"/>
      <c r="U52" s="185"/>
    </row>
    <row r="53" spans="1:21">
      <c r="A53" s="182">
        <v>2012</v>
      </c>
      <c r="B53" s="183">
        <v>64362433</v>
      </c>
      <c r="C53" s="183">
        <v>19344062</v>
      </c>
      <c r="D53" s="184">
        <v>83706495</v>
      </c>
      <c r="E53" s="183">
        <v>49073972</v>
      </c>
      <c r="F53" s="183">
        <v>8712092</v>
      </c>
      <c r="G53" s="183">
        <v>40361880</v>
      </c>
      <c r="H53" s="183">
        <v>16496168</v>
      </c>
      <c r="I53" s="183">
        <v>380337</v>
      </c>
      <c r="J53" s="183">
        <v>17756018</v>
      </c>
      <c r="K53" s="184">
        <v>83706495</v>
      </c>
      <c r="L53" s="185"/>
      <c r="M53" s="185"/>
      <c r="N53" s="185"/>
      <c r="O53" s="185"/>
      <c r="P53" s="185"/>
      <c r="Q53" s="185"/>
      <c r="R53" s="185"/>
      <c r="S53" s="185"/>
      <c r="T53" s="185"/>
      <c r="U53" s="185"/>
    </row>
    <row r="54" spans="1:21">
      <c r="A54" s="182">
        <v>2013</v>
      </c>
      <c r="B54" s="183">
        <v>67546128</v>
      </c>
      <c r="C54" s="183">
        <v>20691563</v>
      </c>
      <c r="D54" s="184">
        <v>88237691</v>
      </c>
      <c r="E54" s="183">
        <v>51552041</v>
      </c>
      <c r="F54" s="183">
        <v>9609763</v>
      </c>
      <c r="G54" s="183">
        <v>41942278</v>
      </c>
      <c r="H54" s="183">
        <v>18214094</v>
      </c>
      <c r="I54" s="183">
        <v>261276</v>
      </c>
      <c r="J54" s="183">
        <v>18210280</v>
      </c>
      <c r="K54" s="184">
        <v>88237691</v>
      </c>
      <c r="L54" s="185"/>
      <c r="M54" s="185"/>
      <c r="N54" s="185"/>
      <c r="O54" s="185"/>
      <c r="P54" s="185"/>
      <c r="Q54" s="185"/>
      <c r="R54" s="185"/>
      <c r="S54" s="185"/>
      <c r="T54" s="185"/>
      <c r="U54" s="185"/>
    </row>
    <row r="55" spans="1:21">
      <c r="A55" s="182" t="s">
        <v>1352</v>
      </c>
      <c r="B55" s="183">
        <v>70243048</v>
      </c>
      <c r="C55" s="183">
        <v>21584147</v>
      </c>
      <c r="D55" s="184">
        <v>91827195</v>
      </c>
      <c r="E55" s="183">
        <v>53487685</v>
      </c>
      <c r="F55" s="183">
        <v>10111927</v>
      </c>
      <c r="G55" s="183">
        <v>43375758</v>
      </c>
      <c r="H55" s="183">
        <v>18904840</v>
      </c>
      <c r="I55" s="183">
        <v>460212</v>
      </c>
      <c r="J55" s="183">
        <v>18974458</v>
      </c>
      <c r="K55" s="184">
        <v>91827195</v>
      </c>
      <c r="L55" s="185"/>
      <c r="M55" s="185"/>
      <c r="N55" s="185"/>
      <c r="O55" s="185"/>
      <c r="P55" s="185"/>
      <c r="Q55" s="185"/>
      <c r="R55" s="185"/>
      <c r="S55" s="185"/>
      <c r="T55" s="185"/>
      <c r="U55" s="185"/>
    </row>
    <row r="56" spans="1:21">
      <c r="A56" s="182" t="s">
        <v>1353</v>
      </c>
      <c r="B56" s="183">
        <v>70353852</v>
      </c>
      <c r="C56" s="183">
        <v>19731906</v>
      </c>
      <c r="D56" s="184">
        <v>90085758</v>
      </c>
      <c r="E56" s="183">
        <v>53485516</v>
      </c>
      <c r="F56" s="183">
        <v>10172307</v>
      </c>
      <c r="G56" s="183">
        <v>43313209</v>
      </c>
      <c r="H56" s="183">
        <v>17797927</v>
      </c>
      <c r="I56" s="183">
        <v>-101688</v>
      </c>
      <c r="J56" s="183">
        <v>18904003</v>
      </c>
      <c r="K56" s="184">
        <v>90085758</v>
      </c>
      <c r="L56" s="185"/>
      <c r="M56" s="185"/>
      <c r="N56" s="185"/>
      <c r="O56" s="185"/>
      <c r="P56" s="185"/>
      <c r="Q56" s="185"/>
      <c r="R56" s="185"/>
      <c r="S56" s="185"/>
      <c r="T56" s="185"/>
      <c r="U56" s="185"/>
    </row>
    <row r="57" spans="1:21">
      <c r="A57" s="182" t="s">
        <v>1354</v>
      </c>
      <c r="B57" s="183">
        <v>69321410</v>
      </c>
      <c r="C57" s="183">
        <v>18462598</v>
      </c>
      <c r="D57" s="184">
        <v>87784008</v>
      </c>
      <c r="E57" s="183">
        <v>52341737</v>
      </c>
      <c r="F57" s="183">
        <v>9831775</v>
      </c>
      <c r="G57" s="183">
        <v>42509962</v>
      </c>
      <c r="H57" s="183">
        <v>16367027</v>
      </c>
      <c r="I57" s="183">
        <v>230738</v>
      </c>
      <c r="J57" s="183">
        <v>18844506</v>
      </c>
      <c r="K57" s="184">
        <v>87784008</v>
      </c>
      <c r="L57" s="185"/>
      <c r="M57" s="185"/>
      <c r="N57" s="185"/>
      <c r="O57" s="185"/>
      <c r="P57" s="185"/>
      <c r="Q57" s="185"/>
      <c r="R57" s="185"/>
      <c r="S57" s="185"/>
      <c r="T57" s="185"/>
      <c r="U57" s="185"/>
    </row>
    <row r="58" spans="1:21">
      <c r="A58" s="178"/>
      <c r="B58" s="178"/>
      <c r="C58" s="178"/>
      <c r="D58" s="179"/>
      <c r="E58" s="178"/>
      <c r="F58" s="178"/>
      <c r="G58" s="178"/>
      <c r="H58" s="178"/>
      <c r="I58" s="178"/>
      <c r="J58" s="178"/>
      <c r="K58" s="179"/>
    </row>
    <row r="59" spans="1:21">
      <c r="A59" s="172" t="s">
        <v>1355</v>
      </c>
      <c r="K59" s="172"/>
      <c r="L59" s="185"/>
      <c r="M59" s="185"/>
    </row>
    <row r="60" spans="1:21">
      <c r="A60" s="180" t="s">
        <v>1356</v>
      </c>
      <c r="K60" s="172"/>
      <c r="L60" s="185"/>
      <c r="M60" s="185"/>
    </row>
    <row r="61" spans="1:21">
      <c r="A61" s="180" t="s">
        <v>1357</v>
      </c>
      <c r="K61" s="172"/>
      <c r="L61" s="185"/>
      <c r="M61" s="185"/>
    </row>
    <row r="62" spans="1:21">
      <c r="A62" s="180" t="s">
        <v>1358</v>
      </c>
      <c r="K62" s="172"/>
      <c r="L62" s="185"/>
      <c r="M62" s="185"/>
    </row>
    <row r="63" spans="1:21">
      <c r="A63" s="187"/>
      <c r="B63" s="188"/>
      <c r="C63" s="188"/>
      <c r="D63" s="189"/>
      <c r="E63" s="188"/>
      <c r="F63" s="188"/>
      <c r="G63" s="188"/>
      <c r="H63" s="188"/>
      <c r="I63" s="188"/>
      <c r="J63" s="188"/>
      <c r="K63" s="189"/>
      <c r="L63" s="185"/>
      <c r="M63" s="185"/>
    </row>
    <row r="64" spans="1:21">
      <c r="B64" s="186"/>
      <c r="C64" s="186"/>
      <c r="D64" s="190"/>
      <c r="E64" s="186"/>
      <c r="F64" s="186"/>
      <c r="G64" s="186"/>
      <c r="H64" s="186"/>
      <c r="I64" s="186"/>
      <c r="J64" s="186"/>
      <c r="K64" s="190"/>
    </row>
    <row r="66" spans="1:1">
      <c r="A66" s="107"/>
    </row>
    <row r="67" spans="1:1">
      <c r="A67" s="19" t="s">
        <v>1009</v>
      </c>
    </row>
  </sheetData>
  <mergeCells count="2">
    <mergeCell ref="A1:K1"/>
    <mergeCell ref="A2:K2"/>
  </mergeCells>
  <hyperlinks>
    <hyperlink ref="A67" location="'indice cap.4'!A1" display="regresar al índice"/>
  </hyperlink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7"/>
  <sheetViews>
    <sheetView showGridLines="0" zoomScale="85" zoomScaleNormal="85" workbookViewId="0">
      <pane xSplit="1" ySplit="4" topLeftCell="B44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RowHeight="12.75"/>
  <cols>
    <col min="1" max="1" width="11.42578125" style="180"/>
    <col min="2" max="3" width="15.7109375" style="180" customWidth="1"/>
    <col min="4" max="4" width="15.7109375" style="181" customWidth="1"/>
    <col min="5" max="10" width="15.7109375" style="180" customWidth="1"/>
    <col min="11" max="11" width="15.7109375" style="181" customWidth="1"/>
    <col min="12" max="16384" width="11.42578125" style="180"/>
  </cols>
  <sheetData>
    <row r="1" spans="1:22" s="191" customFormat="1">
      <c r="A1" s="293" t="s">
        <v>1359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</row>
    <row r="2" spans="1:22">
      <c r="A2" s="293" t="s">
        <v>1360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</row>
    <row r="4" spans="1:22" s="192" customFormat="1" ht="25.5">
      <c r="A4" s="173" t="s">
        <v>1341</v>
      </c>
      <c r="B4" s="174" t="s">
        <v>1342</v>
      </c>
      <c r="C4" s="174" t="s">
        <v>1343</v>
      </c>
      <c r="D4" s="174" t="s">
        <v>1344</v>
      </c>
      <c r="E4" s="174" t="s">
        <v>1345</v>
      </c>
      <c r="F4" s="174" t="s">
        <v>1346</v>
      </c>
      <c r="G4" s="174" t="s">
        <v>1347</v>
      </c>
      <c r="H4" s="174" t="s">
        <v>1348</v>
      </c>
      <c r="I4" s="174" t="s">
        <v>1349</v>
      </c>
      <c r="J4" s="174" t="s">
        <v>1350</v>
      </c>
      <c r="K4" s="175" t="s">
        <v>1351</v>
      </c>
      <c r="L4" s="176"/>
      <c r="M4" s="177"/>
      <c r="N4" s="176"/>
      <c r="O4" s="176"/>
      <c r="P4" s="176"/>
      <c r="Q4" s="176"/>
      <c r="R4" s="176"/>
      <c r="S4" s="176"/>
      <c r="T4" s="176"/>
    </row>
    <row r="5" spans="1:22">
      <c r="A5" s="178"/>
      <c r="B5" s="178"/>
      <c r="C5" s="178"/>
      <c r="D5" s="179"/>
      <c r="E5" s="178"/>
      <c r="F5" s="178"/>
      <c r="G5" s="178"/>
      <c r="H5" s="178"/>
      <c r="I5" s="178"/>
    </row>
    <row r="6" spans="1:22">
      <c r="A6" s="182">
        <v>1965</v>
      </c>
      <c r="B6" s="183">
        <v>2385904</v>
      </c>
      <c r="C6" s="183">
        <v>245521</v>
      </c>
      <c r="D6" s="184">
        <v>2631425</v>
      </c>
      <c r="E6" s="183">
        <v>1835856</v>
      </c>
      <c r="F6" s="183">
        <v>225077</v>
      </c>
      <c r="G6" s="183">
        <v>1610779</v>
      </c>
      <c r="H6" s="183">
        <v>254420</v>
      </c>
      <c r="I6" s="183">
        <v>326903</v>
      </c>
      <c r="J6" s="183">
        <v>214246</v>
      </c>
      <c r="K6" s="184">
        <v>2631425</v>
      </c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</row>
    <row r="7" spans="1:22">
      <c r="A7" s="182">
        <v>1966</v>
      </c>
      <c r="B7" s="183">
        <v>2428145</v>
      </c>
      <c r="C7" s="183">
        <v>269873</v>
      </c>
      <c r="D7" s="184">
        <v>2698018</v>
      </c>
      <c r="E7" s="183">
        <v>1899932</v>
      </c>
      <c r="F7" s="183">
        <v>222215</v>
      </c>
      <c r="G7" s="183">
        <v>1677717</v>
      </c>
      <c r="H7" s="183">
        <v>273737</v>
      </c>
      <c r="I7" s="183">
        <v>269741</v>
      </c>
      <c r="J7" s="183">
        <v>254608</v>
      </c>
      <c r="K7" s="184">
        <v>2698018</v>
      </c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</row>
    <row r="8" spans="1:22">
      <c r="A8" s="182">
        <v>1967</v>
      </c>
      <c r="B8" s="183">
        <v>2552372</v>
      </c>
      <c r="C8" s="183">
        <v>307091</v>
      </c>
      <c r="D8" s="184">
        <v>2859463</v>
      </c>
      <c r="E8" s="183">
        <v>2016892</v>
      </c>
      <c r="F8" s="183">
        <v>190970</v>
      </c>
      <c r="G8" s="183">
        <v>1825922</v>
      </c>
      <c r="H8" s="183">
        <v>342052</v>
      </c>
      <c r="I8" s="183">
        <v>242546</v>
      </c>
      <c r="J8" s="183">
        <v>257973</v>
      </c>
      <c r="K8" s="184">
        <v>2859463</v>
      </c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</row>
    <row r="9" spans="1:22">
      <c r="A9" s="182">
        <v>1968</v>
      </c>
      <c r="B9" s="183">
        <v>2580943</v>
      </c>
      <c r="C9" s="183">
        <v>359221</v>
      </c>
      <c r="D9" s="184">
        <v>2940164</v>
      </c>
      <c r="E9" s="183">
        <v>2181370</v>
      </c>
      <c r="F9" s="183">
        <v>185762</v>
      </c>
      <c r="G9" s="183">
        <v>1995608</v>
      </c>
      <c r="H9" s="183">
        <v>384334</v>
      </c>
      <c r="I9" s="183">
        <v>89468</v>
      </c>
      <c r="J9" s="183">
        <v>284992</v>
      </c>
      <c r="K9" s="184">
        <v>2940164</v>
      </c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</row>
    <row r="10" spans="1:22">
      <c r="A10" s="182">
        <v>1969</v>
      </c>
      <c r="B10" s="183">
        <v>3110675</v>
      </c>
      <c r="C10" s="183">
        <v>376465</v>
      </c>
      <c r="D10" s="184">
        <v>3487140</v>
      </c>
      <c r="E10" s="183">
        <v>2523236</v>
      </c>
      <c r="F10" s="183">
        <v>256195</v>
      </c>
      <c r="G10" s="183">
        <v>2267041</v>
      </c>
      <c r="H10" s="183">
        <v>442828</v>
      </c>
      <c r="I10" s="183">
        <v>256577</v>
      </c>
      <c r="J10" s="183">
        <v>264499</v>
      </c>
      <c r="K10" s="184">
        <v>3487140</v>
      </c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</row>
    <row r="11" spans="1:22">
      <c r="A11" s="182">
        <v>1970</v>
      </c>
      <c r="B11" s="183">
        <v>2861132</v>
      </c>
      <c r="C11" s="183">
        <v>372234</v>
      </c>
      <c r="D11" s="184">
        <v>3233366</v>
      </c>
      <c r="E11" s="183">
        <v>2403605</v>
      </c>
      <c r="F11" s="183">
        <v>277339</v>
      </c>
      <c r="G11" s="183">
        <v>2126266</v>
      </c>
      <c r="H11" s="183">
        <v>450556</v>
      </c>
      <c r="I11" s="183">
        <v>109079</v>
      </c>
      <c r="J11" s="183">
        <v>270126</v>
      </c>
      <c r="K11" s="184">
        <v>3233366</v>
      </c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</row>
    <row r="12" spans="1:22">
      <c r="A12" s="182">
        <v>1971</v>
      </c>
      <c r="B12" s="183">
        <v>2752900</v>
      </c>
      <c r="C12" s="183">
        <v>459462</v>
      </c>
      <c r="D12" s="184">
        <v>3212362</v>
      </c>
      <c r="E12" s="183">
        <v>2304476</v>
      </c>
      <c r="F12" s="183">
        <v>234341</v>
      </c>
      <c r="G12" s="183">
        <v>2070135</v>
      </c>
      <c r="H12" s="183">
        <v>512330</v>
      </c>
      <c r="I12" s="183">
        <v>104288</v>
      </c>
      <c r="J12" s="183">
        <v>291268</v>
      </c>
      <c r="K12" s="184">
        <v>3212362</v>
      </c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</row>
    <row r="13" spans="1:22">
      <c r="A13" s="182">
        <v>1972</v>
      </c>
      <c r="B13" s="183">
        <v>3184460</v>
      </c>
      <c r="C13" s="183">
        <v>495186</v>
      </c>
      <c r="D13" s="184">
        <v>3679646</v>
      </c>
      <c r="E13" s="183">
        <v>2544022</v>
      </c>
      <c r="F13" s="183">
        <v>293838</v>
      </c>
      <c r="G13" s="183">
        <v>2250184</v>
      </c>
      <c r="H13" s="183">
        <v>633048</v>
      </c>
      <c r="I13" s="183">
        <v>107451</v>
      </c>
      <c r="J13" s="183">
        <v>395125</v>
      </c>
      <c r="K13" s="184">
        <v>3679646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</row>
    <row r="14" spans="1:22">
      <c r="A14" s="182">
        <v>1973</v>
      </c>
      <c r="B14" s="183">
        <v>3889890</v>
      </c>
      <c r="C14" s="183">
        <v>648040</v>
      </c>
      <c r="D14" s="184">
        <v>4537930</v>
      </c>
      <c r="E14" s="183">
        <v>3044078</v>
      </c>
      <c r="F14" s="183">
        <v>420376</v>
      </c>
      <c r="G14" s="183">
        <v>2623702</v>
      </c>
      <c r="H14" s="183">
        <v>915277</v>
      </c>
      <c r="I14" s="183">
        <v>-116861</v>
      </c>
      <c r="J14" s="183">
        <v>695436</v>
      </c>
      <c r="K14" s="184">
        <v>4537930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</row>
    <row r="15" spans="1:22">
      <c r="A15" s="182">
        <v>1974</v>
      </c>
      <c r="B15" s="183">
        <v>6596096</v>
      </c>
      <c r="C15" s="183">
        <v>1236921</v>
      </c>
      <c r="D15" s="184">
        <v>7833017</v>
      </c>
      <c r="E15" s="183">
        <v>4713377</v>
      </c>
      <c r="F15" s="183">
        <v>1057872</v>
      </c>
      <c r="G15" s="183">
        <v>3655505</v>
      </c>
      <c r="H15" s="183">
        <v>966016</v>
      </c>
      <c r="I15" s="183">
        <v>659473</v>
      </c>
      <c r="J15" s="183">
        <v>1494151</v>
      </c>
      <c r="K15" s="184">
        <v>7833017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</row>
    <row r="16" spans="1:22">
      <c r="A16" s="182">
        <v>1975</v>
      </c>
      <c r="B16" s="183">
        <v>7727971</v>
      </c>
      <c r="C16" s="183">
        <v>1494138</v>
      </c>
      <c r="D16" s="184">
        <v>9222109</v>
      </c>
      <c r="E16" s="183">
        <v>6390137</v>
      </c>
      <c r="F16" s="183">
        <v>1618152</v>
      </c>
      <c r="G16" s="183">
        <v>4771985</v>
      </c>
      <c r="H16" s="183">
        <v>1430749</v>
      </c>
      <c r="I16" s="183">
        <v>159269</v>
      </c>
      <c r="J16" s="183">
        <v>1241954</v>
      </c>
      <c r="K16" s="184">
        <v>9222109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</row>
    <row r="17" spans="1:22">
      <c r="A17" s="182">
        <v>1976</v>
      </c>
      <c r="B17" s="183">
        <v>9087566</v>
      </c>
      <c r="C17" s="183">
        <v>1633787</v>
      </c>
      <c r="D17" s="184">
        <v>10721353</v>
      </c>
      <c r="E17" s="183">
        <v>7350648</v>
      </c>
      <c r="F17" s="183">
        <v>1834862</v>
      </c>
      <c r="G17" s="183">
        <v>5515786</v>
      </c>
      <c r="H17" s="183">
        <v>1719679</v>
      </c>
      <c r="I17" s="183">
        <v>193777</v>
      </c>
      <c r="J17" s="183">
        <v>1457249</v>
      </c>
      <c r="K17" s="184">
        <v>10721353</v>
      </c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</row>
    <row r="18" spans="1:22">
      <c r="A18" s="182">
        <v>1977</v>
      </c>
      <c r="B18" s="183">
        <v>11021061</v>
      </c>
      <c r="C18" s="183">
        <v>1999147</v>
      </c>
      <c r="D18" s="184">
        <v>13020208</v>
      </c>
      <c r="E18" s="183">
        <v>8524435</v>
      </c>
      <c r="F18" s="183">
        <v>2304812</v>
      </c>
      <c r="G18" s="183">
        <v>6219623</v>
      </c>
      <c r="H18" s="183">
        <v>2180244</v>
      </c>
      <c r="I18" s="183">
        <v>518779</v>
      </c>
      <c r="J18" s="183">
        <v>1796750</v>
      </c>
      <c r="K18" s="184">
        <v>13020208</v>
      </c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</row>
    <row r="19" spans="1:22">
      <c r="A19" s="182">
        <v>1978</v>
      </c>
      <c r="B19" s="183">
        <v>11916787</v>
      </c>
      <c r="C19" s="183">
        <v>2212214</v>
      </c>
      <c r="D19" s="184">
        <v>14129001</v>
      </c>
      <c r="E19" s="183">
        <v>9203169</v>
      </c>
      <c r="F19" s="183">
        <v>2357046</v>
      </c>
      <c r="G19" s="183">
        <v>6846123</v>
      </c>
      <c r="H19" s="183">
        <v>2612519</v>
      </c>
      <c r="I19" s="183">
        <v>557734</v>
      </c>
      <c r="J19" s="183">
        <v>1755579</v>
      </c>
      <c r="K19" s="184">
        <v>14129001</v>
      </c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</row>
    <row r="20" spans="1:22">
      <c r="A20" s="182">
        <v>1979</v>
      </c>
      <c r="B20" s="183">
        <v>14168371</v>
      </c>
      <c r="C20" s="183">
        <v>2574606</v>
      </c>
      <c r="D20" s="184">
        <v>16742977</v>
      </c>
      <c r="E20" s="183">
        <v>10977396</v>
      </c>
      <c r="F20" s="183">
        <v>2668921</v>
      </c>
      <c r="G20" s="183">
        <v>8308475</v>
      </c>
      <c r="H20" s="183">
        <v>2855925</v>
      </c>
      <c r="I20" s="183">
        <v>372373</v>
      </c>
      <c r="J20" s="183">
        <v>2537283</v>
      </c>
      <c r="K20" s="184">
        <v>16742977</v>
      </c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</row>
    <row r="21" spans="1:22">
      <c r="A21" s="182">
        <v>1980</v>
      </c>
      <c r="B21" s="183">
        <v>17872943</v>
      </c>
      <c r="C21" s="183">
        <v>3195143</v>
      </c>
      <c r="D21" s="184">
        <v>21068086</v>
      </c>
      <c r="E21" s="183">
        <v>13467991</v>
      </c>
      <c r="F21" s="183">
        <v>3269238</v>
      </c>
      <c r="G21" s="183">
        <v>10198753</v>
      </c>
      <c r="H21" s="183">
        <v>3370086</v>
      </c>
      <c r="I21" s="183">
        <v>1165152</v>
      </c>
      <c r="J21" s="183">
        <v>3064857</v>
      </c>
      <c r="K21" s="184">
        <v>21068086</v>
      </c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</row>
    <row r="22" spans="1:22">
      <c r="A22" s="182">
        <v>1981</v>
      </c>
      <c r="B22" s="183">
        <v>21800312</v>
      </c>
      <c r="C22" s="183">
        <v>3334887</v>
      </c>
      <c r="D22" s="184">
        <v>25135199</v>
      </c>
      <c r="E22" s="183">
        <v>16318237</v>
      </c>
      <c r="F22" s="183">
        <v>3460333</v>
      </c>
      <c r="G22" s="183">
        <v>12857904</v>
      </c>
      <c r="H22" s="183">
        <v>4153501</v>
      </c>
      <c r="I22" s="183">
        <v>1476725</v>
      </c>
      <c r="J22" s="183">
        <v>3186736</v>
      </c>
      <c r="K22" s="184">
        <v>25135199</v>
      </c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</row>
    <row r="23" spans="1:22">
      <c r="A23" s="182">
        <v>1982</v>
      </c>
      <c r="B23" s="183">
        <v>19920300</v>
      </c>
      <c r="C23" s="183">
        <v>3537139</v>
      </c>
      <c r="D23" s="184">
        <v>23457439</v>
      </c>
      <c r="E23" s="183">
        <v>16202205</v>
      </c>
      <c r="F23" s="183">
        <v>3452985</v>
      </c>
      <c r="G23" s="183">
        <v>12749220</v>
      </c>
      <c r="H23" s="183">
        <v>4031301</v>
      </c>
      <c r="I23" s="183">
        <v>304316</v>
      </c>
      <c r="J23" s="183">
        <v>2919617</v>
      </c>
      <c r="K23" s="184">
        <v>23457439</v>
      </c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</row>
    <row r="24" spans="1:22">
      <c r="A24" s="182">
        <v>1983</v>
      </c>
      <c r="B24" s="183">
        <v>17144261</v>
      </c>
      <c r="C24" s="183">
        <v>2625884</v>
      </c>
      <c r="D24" s="184">
        <v>19770145</v>
      </c>
      <c r="E24" s="183">
        <v>13559525</v>
      </c>
      <c r="F24" s="183">
        <v>2638077</v>
      </c>
      <c r="G24" s="183">
        <v>10921448</v>
      </c>
      <c r="H24" s="183">
        <v>2677620</v>
      </c>
      <c r="I24" s="183">
        <v>865419</v>
      </c>
      <c r="J24" s="183">
        <v>2667581</v>
      </c>
      <c r="K24" s="184">
        <v>19770145</v>
      </c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</row>
    <row r="25" spans="1:22">
      <c r="A25" s="182">
        <v>1984</v>
      </c>
      <c r="B25" s="183">
        <v>16904408</v>
      </c>
      <c r="C25" s="183">
        <v>2650929</v>
      </c>
      <c r="D25" s="184">
        <v>19555337</v>
      </c>
      <c r="E25" s="183">
        <v>13442998</v>
      </c>
      <c r="F25" s="183">
        <v>2738359</v>
      </c>
      <c r="G25" s="183">
        <v>10704639</v>
      </c>
      <c r="H25" s="183">
        <v>2703015</v>
      </c>
      <c r="I25" s="183">
        <v>471943</v>
      </c>
      <c r="J25" s="183">
        <v>2937381</v>
      </c>
      <c r="K25" s="184">
        <v>19555337</v>
      </c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</row>
    <row r="26" spans="1:22">
      <c r="A26" s="182">
        <v>1985</v>
      </c>
      <c r="B26" s="183">
        <v>17140874</v>
      </c>
      <c r="C26" s="183">
        <v>2748700</v>
      </c>
      <c r="D26" s="184">
        <v>19889574</v>
      </c>
      <c r="E26" s="183">
        <v>13267544</v>
      </c>
      <c r="F26" s="183">
        <v>2530334</v>
      </c>
      <c r="G26" s="183">
        <v>10737210</v>
      </c>
      <c r="H26" s="183">
        <v>2877397</v>
      </c>
      <c r="I26" s="183">
        <v>371074</v>
      </c>
      <c r="J26" s="183">
        <v>3373559</v>
      </c>
      <c r="K26" s="184">
        <v>19889574</v>
      </c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</row>
    <row r="27" spans="1:22">
      <c r="A27" s="182">
        <v>1986</v>
      </c>
      <c r="B27" s="183">
        <v>15306803</v>
      </c>
      <c r="C27" s="183">
        <v>2675813</v>
      </c>
      <c r="D27" s="184">
        <v>17982616</v>
      </c>
      <c r="E27" s="183">
        <v>11982617</v>
      </c>
      <c r="F27" s="183">
        <v>2390048</v>
      </c>
      <c r="G27" s="183">
        <v>9592569</v>
      </c>
      <c r="H27" s="183">
        <v>2954472</v>
      </c>
      <c r="I27" s="183">
        <v>653165</v>
      </c>
      <c r="J27" s="183">
        <v>2392362</v>
      </c>
      <c r="K27" s="184">
        <v>17982616</v>
      </c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</row>
    <row r="28" spans="1:22">
      <c r="A28" s="182">
        <v>1987</v>
      </c>
      <c r="B28" s="183">
        <v>13938747</v>
      </c>
      <c r="C28" s="183">
        <v>3117350</v>
      </c>
      <c r="D28" s="184">
        <v>17056097</v>
      </c>
      <c r="E28" s="183">
        <v>11372757</v>
      </c>
      <c r="F28" s="183">
        <v>2129967</v>
      </c>
      <c r="G28" s="183">
        <v>9242790</v>
      </c>
      <c r="H28" s="183">
        <v>3037002</v>
      </c>
      <c r="I28" s="183">
        <v>504498</v>
      </c>
      <c r="J28" s="183">
        <v>2141840</v>
      </c>
      <c r="K28" s="184">
        <v>17056097</v>
      </c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</row>
    <row r="29" spans="1:22">
      <c r="A29" s="182">
        <v>1988</v>
      </c>
      <c r="B29" s="183">
        <v>13045630</v>
      </c>
      <c r="C29" s="183">
        <v>3086133</v>
      </c>
      <c r="D29" s="184">
        <v>16131763</v>
      </c>
      <c r="E29" s="183">
        <v>10246102</v>
      </c>
      <c r="F29" s="183">
        <v>2123235</v>
      </c>
      <c r="G29" s="183">
        <v>8122867</v>
      </c>
      <c r="H29" s="183">
        <v>2687459</v>
      </c>
      <c r="I29" s="183">
        <v>718769</v>
      </c>
      <c r="J29" s="183">
        <v>2479433</v>
      </c>
      <c r="K29" s="184">
        <v>16131763</v>
      </c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</row>
    <row r="30" spans="1:22">
      <c r="A30" s="182">
        <v>1989</v>
      </c>
      <c r="B30" s="183">
        <v>13884170</v>
      </c>
      <c r="C30" s="183">
        <v>3447430</v>
      </c>
      <c r="D30" s="184">
        <v>17331600</v>
      </c>
      <c r="E30" s="183">
        <v>10754257</v>
      </c>
      <c r="F30" s="183">
        <v>1899481</v>
      </c>
      <c r="G30" s="183">
        <v>8854776</v>
      </c>
      <c r="H30" s="183">
        <v>2862321</v>
      </c>
      <c r="I30" s="183">
        <v>898889</v>
      </c>
      <c r="J30" s="183">
        <v>2816133</v>
      </c>
      <c r="K30" s="184">
        <v>17331600</v>
      </c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</row>
    <row r="31" spans="1:22">
      <c r="A31" s="182">
        <v>1990</v>
      </c>
      <c r="B31" s="183">
        <v>15231973</v>
      </c>
      <c r="C31" s="183">
        <v>3325222</v>
      </c>
      <c r="D31" s="184">
        <v>18557195</v>
      </c>
      <c r="E31" s="183">
        <v>11423091</v>
      </c>
      <c r="F31" s="183">
        <v>1873834</v>
      </c>
      <c r="G31" s="183">
        <v>9549257</v>
      </c>
      <c r="H31" s="183">
        <v>2788455</v>
      </c>
      <c r="I31" s="183">
        <v>878186</v>
      </c>
      <c r="J31" s="183">
        <v>3467463</v>
      </c>
      <c r="K31" s="184">
        <v>18557195</v>
      </c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</row>
    <row r="32" spans="1:22">
      <c r="A32" s="182">
        <v>1991</v>
      </c>
      <c r="B32" s="183">
        <v>16980041</v>
      </c>
      <c r="C32" s="183">
        <v>3654454</v>
      </c>
      <c r="D32" s="184">
        <v>20634495</v>
      </c>
      <c r="E32" s="183">
        <v>12871214</v>
      </c>
      <c r="F32" s="183">
        <v>1925297</v>
      </c>
      <c r="G32" s="183">
        <v>10945917</v>
      </c>
      <c r="H32" s="183">
        <v>3108025</v>
      </c>
      <c r="I32" s="183">
        <v>635302</v>
      </c>
      <c r="J32" s="183">
        <v>4019954</v>
      </c>
      <c r="K32" s="184">
        <v>20634495</v>
      </c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</row>
    <row r="33" spans="1:22">
      <c r="A33" s="182">
        <v>1992</v>
      </c>
      <c r="B33" s="183">
        <v>18085191</v>
      </c>
      <c r="C33" s="183">
        <v>3738716</v>
      </c>
      <c r="D33" s="184">
        <v>21823907</v>
      </c>
      <c r="E33" s="183">
        <v>13359351</v>
      </c>
      <c r="F33" s="183">
        <v>1797458</v>
      </c>
      <c r="G33" s="183">
        <v>11561893</v>
      </c>
      <c r="H33" s="183">
        <v>3185933</v>
      </c>
      <c r="I33" s="183">
        <v>913990</v>
      </c>
      <c r="J33" s="183">
        <v>4364633</v>
      </c>
      <c r="K33" s="184">
        <v>21823907</v>
      </c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</row>
    <row r="34" spans="1:22">
      <c r="A34" s="182">
        <v>1993</v>
      </c>
      <c r="B34" s="183">
        <v>18929248</v>
      </c>
      <c r="C34" s="183">
        <v>4379353</v>
      </c>
      <c r="D34" s="184">
        <v>23308601</v>
      </c>
      <c r="E34" s="183">
        <v>15526168</v>
      </c>
      <c r="F34" s="183">
        <v>2007248</v>
      </c>
      <c r="G34" s="183">
        <v>13518920</v>
      </c>
      <c r="H34" s="183">
        <v>3476071</v>
      </c>
      <c r="I34" s="183">
        <v>513728</v>
      </c>
      <c r="J34" s="183">
        <v>3792634</v>
      </c>
      <c r="K34" s="184">
        <v>23308601</v>
      </c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</row>
    <row r="35" spans="1:22">
      <c r="A35" s="182">
        <v>1994</v>
      </c>
      <c r="B35" s="183">
        <v>22697319</v>
      </c>
      <c r="C35" s="183">
        <v>5333400</v>
      </c>
      <c r="D35" s="184">
        <v>28030719</v>
      </c>
      <c r="E35" s="183">
        <v>18596331</v>
      </c>
      <c r="F35" s="183">
        <v>2486898</v>
      </c>
      <c r="G35" s="183">
        <v>16109433</v>
      </c>
      <c r="H35" s="183">
        <v>4044865</v>
      </c>
      <c r="I35" s="183">
        <v>786548</v>
      </c>
      <c r="J35" s="183">
        <v>4602975</v>
      </c>
      <c r="K35" s="184">
        <v>28030719</v>
      </c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</row>
    <row r="36" spans="1:22">
      <c r="A36" s="182">
        <v>1995</v>
      </c>
      <c r="B36" s="183">
        <v>24420668</v>
      </c>
      <c r="C36" s="183">
        <v>6013435</v>
      </c>
      <c r="D36" s="184">
        <v>30434103</v>
      </c>
      <c r="E36" s="183">
        <v>20394359</v>
      </c>
      <c r="F36" s="183">
        <v>2738460</v>
      </c>
      <c r="G36" s="183">
        <v>17655899</v>
      </c>
      <c r="H36" s="183">
        <v>4232780</v>
      </c>
      <c r="I36" s="183">
        <v>608560</v>
      </c>
      <c r="J36" s="183">
        <v>5198404</v>
      </c>
      <c r="K36" s="184">
        <v>30434103</v>
      </c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</row>
    <row r="37" spans="1:22">
      <c r="A37" s="182">
        <v>1996</v>
      </c>
      <c r="B37" s="183">
        <v>25213780</v>
      </c>
      <c r="C37" s="183">
        <v>5532513</v>
      </c>
      <c r="D37" s="184">
        <v>30746293</v>
      </c>
      <c r="E37" s="183">
        <v>20456272</v>
      </c>
      <c r="F37" s="183">
        <v>2742108</v>
      </c>
      <c r="G37" s="183">
        <v>17714164</v>
      </c>
      <c r="H37" s="183">
        <v>4224185</v>
      </c>
      <c r="I37" s="183">
        <v>449899</v>
      </c>
      <c r="J37" s="183">
        <v>5615937</v>
      </c>
      <c r="K37" s="184">
        <v>30746293</v>
      </c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</row>
    <row r="38" spans="1:22">
      <c r="A38" s="182">
        <v>1997</v>
      </c>
      <c r="B38" s="183">
        <v>28147972</v>
      </c>
      <c r="C38" s="183">
        <v>6609780</v>
      </c>
      <c r="D38" s="184">
        <v>34757752</v>
      </c>
      <c r="E38" s="183">
        <v>22979551</v>
      </c>
      <c r="F38" s="183">
        <v>3172083</v>
      </c>
      <c r="G38" s="183">
        <v>19807468</v>
      </c>
      <c r="H38" s="183">
        <v>4804023</v>
      </c>
      <c r="I38" s="183">
        <v>912533</v>
      </c>
      <c r="J38" s="183">
        <v>6061645</v>
      </c>
      <c r="K38" s="184">
        <v>34757752</v>
      </c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</row>
    <row r="39" spans="1:22">
      <c r="A39" s="182">
        <v>1998</v>
      </c>
      <c r="B39" s="183">
        <v>27967906</v>
      </c>
      <c r="C39" s="183">
        <v>7132699</v>
      </c>
      <c r="D39" s="184">
        <v>35100605</v>
      </c>
      <c r="E39" s="183">
        <v>23385518</v>
      </c>
      <c r="F39" s="183">
        <v>3102479</v>
      </c>
      <c r="G39" s="183">
        <v>20283039</v>
      </c>
      <c r="H39" s="183">
        <v>5284859</v>
      </c>
      <c r="I39" s="183">
        <v>1426224</v>
      </c>
      <c r="J39" s="183">
        <v>5004004</v>
      </c>
      <c r="K39" s="184">
        <v>35100605</v>
      </c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</row>
    <row r="40" spans="1:22">
      <c r="A40" s="182">
        <v>1999</v>
      </c>
      <c r="B40" s="183">
        <v>19635450</v>
      </c>
      <c r="C40" s="183">
        <v>4481538</v>
      </c>
      <c r="D40" s="184">
        <v>24116988</v>
      </c>
      <c r="E40" s="183">
        <v>15083502</v>
      </c>
      <c r="F40" s="183">
        <v>2310608</v>
      </c>
      <c r="G40" s="183">
        <v>12772894</v>
      </c>
      <c r="H40" s="183">
        <v>3270763</v>
      </c>
      <c r="I40" s="183">
        <v>583374</v>
      </c>
      <c r="J40" s="183">
        <v>5179349</v>
      </c>
      <c r="K40" s="184">
        <v>24116988</v>
      </c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</row>
    <row r="41" spans="1:22">
      <c r="A41" s="182">
        <v>2000</v>
      </c>
      <c r="B41" s="183">
        <v>18318601</v>
      </c>
      <c r="C41" s="183">
        <v>5007786</v>
      </c>
      <c r="D41" s="184">
        <v>23326387</v>
      </c>
      <c r="E41" s="183">
        <v>13543108</v>
      </c>
      <c r="F41" s="183">
        <v>1712862</v>
      </c>
      <c r="G41" s="183">
        <v>11830246</v>
      </c>
      <c r="H41" s="183">
        <v>3483242</v>
      </c>
      <c r="I41" s="183">
        <v>414722</v>
      </c>
      <c r="J41" s="183">
        <v>5885315</v>
      </c>
      <c r="K41" s="184">
        <v>23326387</v>
      </c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</row>
    <row r="42" spans="1:22">
      <c r="A42" s="182">
        <v>2001</v>
      </c>
      <c r="B42" s="183">
        <v>24468324</v>
      </c>
      <c r="C42" s="183">
        <v>6734248</v>
      </c>
      <c r="D42" s="184">
        <v>31202572</v>
      </c>
      <c r="E42" s="183">
        <v>20051882</v>
      </c>
      <c r="F42" s="183">
        <v>2311996</v>
      </c>
      <c r="G42" s="183">
        <v>17739886</v>
      </c>
      <c r="H42" s="183">
        <v>4661579</v>
      </c>
      <c r="I42" s="183">
        <v>806894</v>
      </c>
      <c r="J42" s="183">
        <v>5682217</v>
      </c>
      <c r="K42" s="184">
        <v>31202572</v>
      </c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</row>
    <row r="43" spans="1:22">
      <c r="A43" s="182">
        <v>2002</v>
      </c>
      <c r="B43" s="183">
        <v>28548945</v>
      </c>
      <c r="C43" s="183">
        <v>7960638</v>
      </c>
      <c r="D43" s="184">
        <v>36509583</v>
      </c>
      <c r="E43" s="183">
        <v>23606958</v>
      </c>
      <c r="F43" s="183">
        <v>2807058</v>
      </c>
      <c r="G43" s="183">
        <v>20799900</v>
      </c>
      <c r="H43" s="183">
        <v>5906605</v>
      </c>
      <c r="I43" s="183">
        <v>860174</v>
      </c>
      <c r="J43" s="183">
        <v>6135846</v>
      </c>
      <c r="K43" s="184">
        <v>36509583</v>
      </c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</row>
    <row r="44" spans="1:22">
      <c r="A44" s="182">
        <v>2003</v>
      </c>
      <c r="B44" s="183">
        <v>32432858</v>
      </c>
      <c r="C44" s="183">
        <v>7992504</v>
      </c>
      <c r="D44" s="184">
        <v>40425362</v>
      </c>
      <c r="E44" s="183">
        <v>26742603</v>
      </c>
      <c r="F44" s="183">
        <v>3474828</v>
      </c>
      <c r="G44" s="183">
        <v>23267775</v>
      </c>
      <c r="H44" s="183">
        <v>6240683</v>
      </c>
      <c r="I44" s="183">
        <v>112769</v>
      </c>
      <c r="J44" s="183">
        <v>7329307</v>
      </c>
      <c r="K44" s="184">
        <v>40425362</v>
      </c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</row>
    <row r="45" spans="1:22">
      <c r="A45" s="182">
        <v>2004</v>
      </c>
      <c r="B45" s="183">
        <v>36591661</v>
      </c>
      <c r="C45" s="183">
        <v>9554409</v>
      </c>
      <c r="D45" s="184">
        <v>46146070</v>
      </c>
      <c r="E45" s="183">
        <v>29770074</v>
      </c>
      <c r="F45" s="183">
        <v>3982766</v>
      </c>
      <c r="G45" s="183">
        <v>25787308</v>
      </c>
      <c r="H45" s="183">
        <v>7209125</v>
      </c>
      <c r="I45" s="183">
        <v>182027</v>
      </c>
      <c r="J45" s="183">
        <v>8984844</v>
      </c>
      <c r="K45" s="184">
        <v>46146070</v>
      </c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</row>
    <row r="46" spans="1:22">
      <c r="A46" s="182">
        <v>2005</v>
      </c>
      <c r="B46" s="183">
        <v>41507085</v>
      </c>
      <c r="C46" s="183">
        <v>11821905</v>
      </c>
      <c r="D46" s="184">
        <v>53328990</v>
      </c>
      <c r="E46" s="183">
        <v>32884561</v>
      </c>
      <c r="F46" s="183">
        <v>4448665</v>
      </c>
      <c r="G46" s="183">
        <v>28435896</v>
      </c>
      <c r="H46" s="183">
        <v>8476753</v>
      </c>
      <c r="I46" s="183">
        <v>504177</v>
      </c>
      <c r="J46" s="183">
        <v>11463499</v>
      </c>
      <c r="K46" s="184">
        <v>53328990</v>
      </c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</row>
    <row r="47" spans="1:22">
      <c r="A47" s="182">
        <v>2006</v>
      </c>
      <c r="B47" s="183">
        <v>46802044</v>
      </c>
      <c r="C47" s="183">
        <v>13748900</v>
      </c>
      <c r="D47" s="184">
        <v>60550944</v>
      </c>
      <c r="E47" s="183">
        <v>35842793</v>
      </c>
      <c r="F47" s="183">
        <v>4961903</v>
      </c>
      <c r="G47" s="183">
        <v>30880890</v>
      </c>
      <c r="H47" s="183">
        <v>9759712</v>
      </c>
      <c r="I47" s="183">
        <v>751940</v>
      </c>
      <c r="J47" s="183">
        <v>14196499</v>
      </c>
      <c r="K47" s="184">
        <v>60550944</v>
      </c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</row>
    <row r="48" spans="1:22">
      <c r="A48" s="182">
        <v>2007</v>
      </c>
      <c r="B48" s="183">
        <v>51007777</v>
      </c>
      <c r="C48" s="183">
        <v>15636623</v>
      </c>
      <c r="D48" s="184">
        <v>66644400</v>
      </c>
      <c r="E48" s="183">
        <v>38775487</v>
      </c>
      <c r="F48" s="183">
        <v>5574209</v>
      </c>
      <c r="G48" s="183">
        <v>33201278</v>
      </c>
      <c r="H48" s="183">
        <v>10593947</v>
      </c>
      <c r="I48" s="183">
        <v>987281</v>
      </c>
      <c r="J48" s="183">
        <v>16287685</v>
      </c>
      <c r="K48" s="184">
        <v>66644400</v>
      </c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</row>
    <row r="49" spans="1:22">
      <c r="A49" s="182">
        <v>2008</v>
      </c>
      <c r="B49" s="183">
        <v>61762635</v>
      </c>
      <c r="C49" s="183">
        <v>20933400</v>
      </c>
      <c r="D49" s="184">
        <v>82696035</v>
      </c>
      <c r="E49" s="183">
        <v>45298051</v>
      </c>
      <c r="F49" s="183">
        <v>7306788</v>
      </c>
      <c r="G49" s="183">
        <v>37991263</v>
      </c>
      <c r="H49" s="183">
        <v>13818514</v>
      </c>
      <c r="I49" s="183">
        <v>2479106</v>
      </c>
      <c r="J49" s="183">
        <v>21100364</v>
      </c>
      <c r="K49" s="184">
        <v>82696035</v>
      </c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</row>
    <row r="50" spans="1:22">
      <c r="A50" s="182">
        <v>2009</v>
      </c>
      <c r="B50" s="183">
        <v>62519686</v>
      </c>
      <c r="C50" s="183">
        <v>16790125</v>
      </c>
      <c r="D50" s="184">
        <v>79309811</v>
      </c>
      <c r="E50" s="183">
        <v>47494560</v>
      </c>
      <c r="F50" s="183">
        <v>8581275</v>
      </c>
      <c r="G50" s="183">
        <v>38913285</v>
      </c>
      <c r="H50" s="183">
        <v>14257689</v>
      </c>
      <c r="I50" s="183">
        <v>1771899</v>
      </c>
      <c r="J50" s="183">
        <v>15785663</v>
      </c>
      <c r="K50" s="184">
        <v>79309811</v>
      </c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</row>
    <row r="51" spans="1:22">
      <c r="A51" s="182">
        <v>2010</v>
      </c>
      <c r="B51" s="183">
        <v>69555367</v>
      </c>
      <c r="C51" s="183">
        <v>22541700</v>
      </c>
      <c r="D51" s="184">
        <v>92097067</v>
      </c>
      <c r="E51" s="183">
        <v>53193172</v>
      </c>
      <c r="F51" s="183">
        <v>9181067</v>
      </c>
      <c r="G51" s="183">
        <v>44012105</v>
      </c>
      <c r="H51" s="183">
        <v>17127889</v>
      </c>
      <c r="I51" s="183">
        <v>2373567</v>
      </c>
      <c r="J51" s="183">
        <v>19402439</v>
      </c>
      <c r="K51" s="184">
        <v>92097067</v>
      </c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</row>
    <row r="52" spans="1:22">
      <c r="A52" s="182">
        <v>2011</v>
      </c>
      <c r="B52" s="183">
        <v>79276664</v>
      </c>
      <c r="C52" s="183">
        <v>26453861</v>
      </c>
      <c r="D52" s="184">
        <v>105730525</v>
      </c>
      <c r="E52" s="183">
        <v>58748321</v>
      </c>
      <c r="F52" s="183">
        <v>10091166</v>
      </c>
      <c r="G52" s="183">
        <v>48657155</v>
      </c>
      <c r="H52" s="183">
        <v>20470786</v>
      </c>
      <c r="I52" s="183">
        <v>1839569</v>
      </c>
      <c r="J52" s="183">
        <v>24671849</v>
      </c>
      <c r="K52" s="184">
        <v>105730525</v>
      </c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</row>
    <row r="53" spans="1:22">
      <c r="A53" s="182">
        <v>2012</v>
      </c>
      <c r="B53" s="183">
        <v>87924544</v>
      </c>
      <c r="C53" s="183">
        <v>27772113</v>
      </c>
      <c r="D53" s="184">
        <v>115696657</v>
      </c>
      <c r="E53" s="183">
        <v>64735024</v>
      </c>
      <c r="F53" s="183">
        <v>11726752</v>
      </c>
      <c r="G53" s="183">
        <v>53008272</v>
      </c>
      <c r="H53" s="183">
        <v>23707838</v>
      </c>
      <c r="I53" s="183">
        <v>731524</v>
      </c>
      <c r="J53" s="183">
        <v>26522271</v>
      </c>
      <c r="K53" s="184">
        <v>115696657</v>
      </c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</row>
    <row r="54" spans="1:22">
      <c r="A54" s="182">
        <v>2013</v>
      </c>
      <c r="B54" s="183">
        <v>95129659</v>
      </c>
      <c r="C54" s="183">
        <v>29459627</v>
      </c>
      <c r="D54" s="184">
        <v>124589286</v>
      </c>
      <c r="E54" s="183">
        <v>70265165</v>
      </c>
      <c r="F54" s="183">
        <v>13323278</v>
      </c>
      <c r="G54" s="183">
        <v>56941887</v>
      </c>
      <c r="H54" s="183">
        <v>26211660</v>
      </c>
      <c r="I54" s="183">
        <v>868955</v>
      </c>
      <c r="J54" s="183">
        <v>27243506</v>
      </c>
      <c r="K54" s="184">
        <v>124589286</v>
      </c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</row>
    <row r="55" spans="1:22">
      <c r="A55" s="182" t="s">
        <v>1352</v>
      </c>
      <c r="B55" s="183">
        <v>102292260</v>
      </c>
      <c r="C55" s="183">
        <v>30173593</v>
      </c>
      <c r="D55" s="184">
        <v>132465853</v>
      </c>
      <c r="E55" s="183">
        <v>74999440</v>
      </c>
      <c r="F55" s="183">
        <v>14442181</v>
      </c>
      <c r="G55" s="183">
        <v>60557259</v>
      </c>
      <c r="H55" s="183">
        <v>27702468</v>
      </c>
      <c r="I55" s="183">
        <v>1130848</v>
      </c>
      <c r="J55" s="183">
        <v>28633097</v>
      </c>
      <c r="K55" s="184">
        <v>132465853</v>
      </c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</row>
    <row r="56" spans="1:22">
      <c r="A56" s="182" t="s">
        <v>1353</v>
      </c>
      <c r="B56" s="183">
        <v>100176808</v>
      </c>
      <c r="C56" s="183">
        <v>23702545</v>
      </c>
      <c r="D56" s="184">
        <v>123879353</v>
      </c>
      <c r="E56" s="183">
        <v>76267509</v>
      </c>
      <c r="F56" s="183">
        <v>14402697</v>
      </c>
      <c r="G56" s="183">
        <v>61864812</v>
      </c>
      <c r="H56" s="183">
        <v>26359701</v>
      </c>
      <c r="I56" s="183">
        <v>541993</v>
      </c>
      <c r="J56" s="183">
        <v>20710150</v>
      </c>
      <c r="K56" s="184">
        <v>123879353</v>
      </c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</row>
    <row r="57" spans="1:22">
      <c r="A57" s="182" t="s">
        <v>1354</v>
      </c>
      <c r="B57" s="183">
        <v>97802211</v>
      </c>
      <c r="C57" s="183">
        <v>19219016</v>
      </c>
      <c r="D57" s="184">
        <v>117021227</v>
      </c>
      <c r="E57" s="183">
        <v>75154200</v>
      </c>
      <c r="F57" s="183">
        <v>14025347</v>
      </c>
      <c r="G57" s="183">
        <v>61128853</v>
      </c>
      <c r="H57" s="183">
        <v>23026212</v>
      </c>
      <c r="I57" s="183">
        <v>-44661</v>
      </c>
      <c r="J57" s="183">
        <v>18885476</v>
      </c>
      <c r="K57" s="184">
        <v>117021227</v>
      </c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</row>
    <row r="58" spans="1:22">
      <c r="B58" s="194"/>
      <c r="C58" s="194"/>
      <c r="D58" s="195"/>
      <c r="E58" s="194"/>
      <c r="F58" s="194"/>
      <c r="G58" s="194"/>
      <c r="H58" s="194"/>
      <c r="I58" s="194"/>
      <c r="J58" s="194"/>
      <c r="K58" s="195"/>
    </row>
    <row r="59" spans="1:22">
      <c r="A59" s="180" t="s">
        <v>1355</v>
      </c>
    </row>
    <row r="60" spans="1:22">
      <c r="A60" s="180" t="s">
        <v>1356</v>
      </c>
    </row>
    <row r="61" spans="1:22">
      <c r="A61" s="180" t="s">
        <v>1357</v>
      </c>
    </row>
    <row r="62" spans="1:22">
      <c r="A62" s="180" t="s">
        <v>1358</v>
      </c>
    </row>
    <row r="63" spans="1:22">
      <c r="A63" s="187"/>
      <c r="B63" s="188"/>
      <c r="C63" s="188"/>
      <c r="D63" s="189"/>
      <c r="E63" s="188"/>
      <c r="F63" s="188"/>
      <c r="G63" s="188"/>
      <c r="H63" s="188"/>
      <c r="I63" s="188"/>
      <c r="J63" s="188"/>
      <c r="K63" s="189"/>
    </row>
    <row r="64" spans="1:22">
      <c r="B64" s="196"/>
      <c r="C64" s="196"/>
      <c r="D64" s="197"/>
      <c r="E64" s="196"/>
      <c r="F64" s="196"/>
      <c r="G64" s="196"/>
      <c r="H64" s="196"/>
      <c r="I64" s="196"/>
      <c r="J64" s="196"/>
      <c r="K64" s="197"/>
    </row>
    <row r="66" spans="1:1">
      <c r="A66" s="107"/>
    </row>
    <row r="67" spans="1:1">
      <c r="A67" s="19" t="s">
        <v>1009</v>
      </c>
    </row>
  </sheetData>
  <mergeCells count="2">
    <mergeCell ref="A1:K1"/>
    <mergeCell ref="A2:K2"/>
  </mergeCells>
  <hyperlinks>
    <hyperlink ref="A58:B58" location="'indice cap.4'!A1" display="regresar al índice"/>
    <hyperlink ref="A67" location="'indice cap.4'!A1" display="regresa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7"/>
  <sheetViews>
    <sheetView showGridLines="0" zoomScale="85" zoomScaleNormal="85" workbookViewId="0">
      <pane xSplit="1" ySplit="5" topLeftCell="B42" activePane="bottomRight" state="frozen"/>
      <selection pane="topRight" activeCell="B1" sqref="B1"/>
      <selection pane="bottomLeft" activeCell="A6" sqref="A6"/>
      <selection pane="bottomRight" sqref="A1:J1"/>
    </sheetView>
  </sheetViews>
  <sheetFormatPr baseColWidth="10" defaultRowHeight="12.75"/>
  <cols>
    <col min="1" max="1" width="11.42578125" style="198"/>
    <col min="2" max="10" width="15.7109375" style="198" customWidth="1"/>
    <col min="11" max="16384" width="11.42578125" style="198"/>
  </cols>
  <sheetData>
    <row r="1" spans="1:10">
      <c r="A1" s="293" t="s">
        <v>1361</v>
      </c>
      <c r="B1" s="294"/>
      <c r="C1" s="294"/>
      <c r="D1" s="294"/>
      <c r="E1" s="294"/>
      <c r="F1" s="294"/>
      <c r="G1" s="294"/>
      <c r="H1" s="294"/>
      <c r="I1" s="294"/>
      <c r="J1" s="294"/>
    </row>
    <row r="2" spans="1:10">
      <c r="A2" s="293" t="s">
        <v>1362</v>
      </c>
      <c r="B2" s="294"/>
      <c r="C2" s="294"/>
      <c r="D2" s="294"/>
      <c r="E2" s="294"/>
      <c r="F2" s="294"/>
      <c r="G2" s="294"/>
      <c r="H2" s="294"/>
      <c r="I2" s="294"/>
      <c r="J2" s="294"/>
    </row>
    <row r="3" spans="1:10">
      <c r="A3" s="293" t="s">
        <v>1363</v>
      </c>
      <c r="B3" s="293"/>
      <c r="C3" s="293"/>
      <c r="D3" s="293"/>
      <c r="E3" s="293"/>
      <c r="F3" s="293"/>
      <c r="G3" s="293"/>
      <c r="H3" s="293"/>
      <c r="I3" s="293"/>
      <c r="J3" s="293"/>
    </row>
    <row r="4" spans="1:10">
      <c r="A4" s="180"/>
      <c r="B4" s="180"/>
      <c r="C4" s="180"/>
      <c r="D4" s="181"/>
      <c r="E4" s="180"/>
      <c r="F4" s="180"/>
      <c r="G4" s="180"/>
      <c r="H4" s="180"/>
      <c r="I4" s="180"/>
      <c r="J4" s="181"/>
    </row>
    <row r="5" spans="1:10" ht="25.5">
      <c r="A5" s="199" t="s">
        <v>1341</v>
      </c>
      <c r="B5" s="200" t="s">
        <v>1342</v>
      </c>
      <c r="C5" s="200" t="s">
        <v>1343</v>
      </c>
      <c r="D5" s="200" t="s">
        <v>1344</v>
      </c>
      <c r="E5" s="200" t="s">
        <v>1345</v>
      </c>
      <c r="F5" s="200" t="s">
        <v>1346</v>
      </c>
      <c r="G5" s="200" t="s">
        <v>1347</v>
      </c>
      <c r="H5" s="200" t="s">
        <v>1348</v>
      </c>
      <c r="I5" s="200" t="s">
        <v>1350</v>
      </c>
      <c r="J5" s="201" t="s">
        <v>1351</v>
      </c>
    </row>
    <row r="6" spans="1:10">
      <c r="A6" s="178"/>
      <c r="B6" s="178"/>
      <c r="C6" s="178"/>
      <c r="D6" s="179"/>
      <c r="E6" s="178"/>
      <c r="F6" s="178"/>
      <c r="G6" s="178"/>
      <c r="H6" s="178"/>
      <c r="I6" s="180"/>
      <c r="J6" s="181"/>
    </row>
    <row r="7" spans="1:10">
      <c r="A7" s="182">
        <v>1966</v>
      </c>
      <c r="B7" s="202">
        <v>-0.3395256393577184</v>
      </c>
      <c r="C7" s="202">
        <v>3.2369915783385217</v>
      </c>
      <c r="D7" s="203">
        <v>0.1570732859789814</v>
      </c>
      <c r="E7" s="202">
        <v>0.77917982414692499</v>
      </c>
      <c r="F7" s="202">
        <v>1.2105980757970203</v>
      </c>
      <c r="G7" s="202">
        <v>0.70255548979840654</v>
      </c>
      <c r="H7" s="202">
        <v>1.0772644494458472</v>
      </c>
      <c r="I7" s="202">
        <v>3.7817671594461366</v>
      </c>
      <c r="J7" s="203">
        <v>0.1570732859789814</v>
      </c>
    </row>
    <row r="8" spans="1:10">
      <c r="A8" s="182">
        <v>1967</v>
      </c>
      <c r="B8" s="202">
        <v>4.6210739407043677</v>
      </c>
      <c r="C8" s="202">
        <v>20.545365915591219</v>
      </c>
      <c r="D8" s="203">
        <v>6.9001525343202141</v>
      </c>
      <c r="E8" s="202">
        <v>3.7333577934798523</v>
      </c>
      <c r="F8" s="202">
        <v>6.017836193841708</v>
      </c>
      <c r="G8" s="202">
        <v>3.3255638644313024</v>
      </c>
      <c r="H8" s="202">
        <v>17.711794175724105</v>
      </c>
      <c r="I8" s="202">
        <v>7.285534940598315</v>
      </c>
      <c r="J8" s="203">
        <v>6.9001525343202141</v>
      </c>
    </row>
    <row r="9" spans="1:10">
      <c r="A9" s="182">
        <v>1968</v>
      </c>
      <c r="B9" s="202">
        <v>1.9094383992128927</v>
      </c>
      <c r="C9" s="202">
        <v>12.474738178095413</v>
      </c>
      <c r="D9" s="203">
        <v>3.6145514915558064</v>
      </c>
      <c r="E9" s="202">
        <v>5.0196173803058519</v>
      </c>
      <c r="F9" s="202">
        <v>6.4415159394796806</v>
      </c>
      <c r="G9" s="202">
        <v>4.7591859080295951</v>
      </c>
      <c r="H9" s="202">
        <v>5.8940356482596101</v>
      </c>
      <c r="I9" s="202">
        <v>2.6542577453777527</v>
      </c>
      <c r="J9" s="203">
        <v>3.6145514915558064</v>
      </c>
    </row>
    <row r="10" spans="1:10">
      <c r="A10" s="182">
        <v>1969</v>
      </c>
      <c r="B10" s="202">
        <v>4.6692379803251249</v>
      </c>
      <c r="C10" s="202">
        <v>2.3109687684175206E-2</v>
      </c>
      <c r="D10" s="203">
        <v>3.8552897148803833</v>
      </c>
      <c r="E10" s="202">
        <v>5.9168955785866117</v>
      </c>
      <c r="F10" s="202">
        <v>8.435040659229621</v>
      </c>
      <c r="G10" s="202">
        <v>5.4482715682599769</v>
      </c>
      <c r="H10" s="202">
        <v>2.997078243378315</v>
      </c>
      <c r="I10" s="202">
        <v>-12.198779304331552</v>
      </c>
      <c r="J10" s="203">
        <v>3.8552897148803833</v>
      </c>
    </row>
    <row r="11" spans="1:10">
      <c r="A11" s="182">
        <v>1970</v>
      </c>
      <c r="B11" s="202">
        <v>6.8719293298600936</v>
      </c>
      <c r="C11" s="202">
        <v>3.2148111756334252</v>
      </c>
      <c r="D11" s="203">
        <v>6.2548850552433866</v>
      </c>
      <c r="E11" s="202">
        <v>7.8076303479900799</v>
      </c>
      <c r="F11" s="202">
        <v>3.4226804692967905</v>
      </c>
      <c r="G11" s="202">
        <v>8.646778423776702</v>
      </c>
      <c r="H11" s="202">
        <v>-0.24802525463961667</v>
      </c>
      <c r="I11" s="202">
        <v>0.18761683973347321</v>
      </c>
      <c r="J11" s="203">
        <v>6.2548850552433866</v>
      </c>
    </row>
    <row r="12" spans="1:10">
      <c r="A12" s="182">
        <v>1971</v>
      </c>
      <c r="B12" s="202">
        <v>6.2926061962832236</v>
      </c>
      <c r="C12" s="202">
        <v>20.387738331755735</v>
      </c>
      <c r="D12" s="203">
        <v>8.6027531292239168</v>
      </c>
      <c r="E12" s="202">
        <v>4.5550468339277561</v>
      </c>
      <c r="F12" s="202">
        <v>1.063205004825174</v>
      </c>
      <c r="G12" s="202">
        <v>5.1911498705340176</v>
      </c>
      <c r="H12" s="202">
        <v>25.054970455626989</v>
      </c>
      <c r="I12" s="202">
        <v>10.524724197793578</v>
      </c>
      <c r="J12" s="203">
        <v>8.6027531292239168</v>
      </c>
    </row>
    <row r="13" spans="1:10">
      <c r="A13" s="182">
        <v>1972</v>
      </c>
      <c r="B13" s="202">
        <v>5.0176407036024218</v>
      </c>
      <c r="C13" s="202">
        <v>-5.7234858709164786</v>
      </c>
      <c r="D13" s="203">
        <v>3.0661714782231453</v>
      </c>
      <c r="E13" s="202">
        <v>-1.5171679138830552</v>
      </c>
      <c r="F13" s="202">
        <v>1.4924801479206939</v>
      </c>
      <c r="G13" s="202">
        <v>-2.0439154145451277</v>
      </c>
      <c r="H13" s="202">
        <v>-4.4745566658709652</v>
      </c>
      <c r="I13" s="202">
        <v>81.749153847712861</v>
      </c>
      <c r="J13" s="203">
        <v>3.0661714782231453</v>
      </c>
    </row>
    <row r="14" spans="1:10">
      <c r="A14" s="182">
        <v>1973</v>
      </c>
      <c r="B14" s="202">
        <v>13.950682132182468</v>
      </c>
      <c r="C14" s="202">
        <v>18.266940975664127</v>
      </c>
      <c r="D14" s="203">
        <v>14.66799186869876</v>
      </c>
      <c r="E14" s="202">
        <v>6.218332377018676</v>
      </c>
      <c r="F14" s="202">
        <v>13.50234168723803</v>
      </c>
      <c r="G14" s="202">
        <v>4.8974634914008996</v>
      </c>
      <c r="H14" s="202">
        <v>0.72796418138025842</v>
      </c>
      <c r="I14" s="202">
        <v>110.63184088201137</v>
      </c>
      <c r="J14" s="203">
        <v>14.66799186869876</v>
      </c>
    </row>
    <row r="15" spans="1:10">
      <c r="A15" s="182">
        <v>1974</v>
      </c>
      <c r="B15" s="202">
        <v>11.208509627647679</v>
      </c>
      <c r="C15" s="202">
        <v>46.931478552834768</v>
      </c>
      <c r="D15" s="203">
        <v>17.331561621360848</v>
      </c>
      <c r="E15" s="202">
        <v>24.27424769856583</v>
      </c>
      <c r="F15" s="202">
        <v>67.464302440830821</v>
      </c>
      <c r="G15" s="202">
        <v>15.799772612544194</v>
      </c>
      <c r="H15" s="202">
        <v>5.1075213490223037</v>
      </c>
      <c r="I15" s="202">
        <v>22.72492164669011</v>
      </c>
      <c r="J15" s="203">
        <v>17.331561621360848</v>
      </c>
    </row>
    <row r="16" spans="1:10">
      <c r="A16" s="182">
        <v>1975</v>
      </c>
      <c r="B16" s="202">
        <v>10.972154001573253</v>
      </c>
      <c r="C16" s="202">
        <v>5.5101106983979742</v>
      </c>
      <c r="D16" s="203">
        <v>9.7997547344394818</v>
      </c>
      <c r="E16" s="202">
        <v>12.058261734421926</v>
      </c>
      <c r="F16" s="202">
        <v>4.9053409307964868</v>
      </c>
      <c r="G16" s="202">
        <v>14.087939094954471</v>
      </c>
      <c r="H16" s="202">
        <v>22.666015914922767</v>
      </c>
      <c r="I16" s="202">
        <v>-19.268448033357977</v>
      </c>
      <c r="J16" s="203">
        <v>9.7997547344394818</v>
      </c>
    </row>
    <row r="17" spans="1:10">
      <c r="A17" s="182">
        <v>1976</v>
      </c>
      <c r="B17" s="202">
        <v>7.3971876193067221</v>
      </c>
      <c r="C17" s="202">
        <v>1.9886367044523512</v>
      </c>
      <c r="D17" s="203">
        <v>6.2816248018700671</v>
      </c>
      <c r="E17" s="202">
        <v>7.8916207575927322</v>
      </c>
      <c r="F17" s="202">
        <v>10.073297663957149</v>
      </c>
      <c r="G17" s="202">
        <v>7.3223853713714426</v>
      </c>
      <c r="H17" s="202">
        <v>4.6455690596810095</v>
      </c>
      <c r="I17" s="202">
        <v>2.6315557456626726</v>
      </c>
      <c r="J17" s="203">
        <v>6.2816248018700671</v>
      </c>
    </row>
    <row r="18" spans="1:10">
      <c r="A18" s="182">
        <v>1977</v>
      </c>
      <c r="B18" s="202">
        <v>1.6048421117815348</v>
      </c>
      <c r="C18" s="202">
        <v>17.304926163904867</v>
      </c>
      <c r="D18" s="203">
        <v>4.7123245785160028</v>
      </c>
      <c r="E18" s="202">
        <v>3.8465370408777178</v>
      </c>
      <c r="F18" s="202">
        <v>4.3295420319825917</v>
      </c>
      <c r="G18" s="202">
        <v>3.7172828198322572</v>
      </c>
      <c r="H18" s="202">
        <v>9.7791050925946532</v>
      </c>
      <c r="I18" s="202">
        <v>1.4766690199655486</v>
      </c>
      <c r="J18" s="203">
        <v>4.7123245785160028</v>
      </c>
    </row>
    <row r="19" spans="1:10">
      <c r="A19" s="182">
        <v>1978</v>
      </c>
      <c r="B19" s="202">
        <v>5.7068249445792141</v>
      </c>
      <c r="C19" s="202">
        <v>3.7756210016212766</v>
      </c>
      <c r="D19" s="203">
        <v>5.2786184020975568</v>
      </c>
      <c r="E19" s="202">
        <v>3.4442670607770065</v>
      </c>
      <c r="F19" s="202">
        <v>7.7183917876584074</v>
      </c>
      <c r="G19" s="202">
        <v>2.2937409531312403</v>
      </c>
      <c r="H19" s="202">
        <v>7.673849015285894</v>
      </c>
      <c r="I19" s="202">
        <v>6.4668517634431488</v>
      </c>
      <c r="J19" s="203">
        <v>5.2786184020975568</v>
      </c>
    </row>
    <row r="20" spans="1:10">
      <c r="A20" s="182">
        <v>1979</v>
      </c>
      <c r="B20" s="202">
        <v>3.7340484012231112</v>
      </c>
      <c r="C20" s="202">
        <v>2.3451895937697476</v>
      </c>
      <c r="D20" s="203">
        <v>3.4304926816339121</v>
      </c>
      <c r="E20" s="202">
        <v>6.3934505593325364</v>
      </c>
      <c r="F20" s="202">
        <v>1.0415386230534951</v>
      </c>
      <c r="G20" s="202">
        <v>7.9104975899429997</v>
      </c>
      <c r="H20" s="202">
        <v>-1.2816855048338294</v>
      </c>
      <c r="I20" s="202">
        <v>2.9024188550604846</v>
      </c>
      <c r="J20" s="203">
        <v>3.4304926816339121</v>
      </c>
    </row>
    <row r="21" spans="1:10">
      <c r="A21" s="182">
        <v>1980</v>
      </c>
      <c r="B21" s="202">
        <v>3.7086829688621759</v>
      </c>
      <c r="C21" s="202">
        <v>9.4339043693864468</v>
      </c>
      <c r="D21" s="203">
        <v>4.9468848242248065</v>
      </c>
      <c r="E21" s="202">
        <v>6.9839796975672552</v>
      </c>
      <c r="F21" s="202">
        <v>3.7484554932749159</v>
      </c>
      <c r="G21" s="202">
        <v>7.8427380910147226</v>
      </c>
      <c r="H21" s="202">
        <v>3.8351797107927688</v>
      </c>
      <c r="I21" s="202">
        <v>0.37846387640390056</v>
      </c>
      <c r="J21" s="203">
        <v>4.9468848242248065</v>
      </c>
    </row>
    <row r="22" spans="1:10">
      <c r="A22" s="182">
        <v>1981</v>
      </c>
      <c r="B22" s="202">
        <v>5.6128641195903217</v>
      </c>
      <c r="C22" s="202">
        <v>-3.1219682779149882</v>
      </c>
      <c r="D22" s="203">
        <v>3.6430008465458741</v>
      </c>
      <c r="E22" s="202">
        <v>6.0508755765274591</v>
      </c>
      <c r="F22" s="202">
        <v>0.87947045063834217</v>
      </c>
      <c r="G22" s="202">
        <v>7.3713367551610398</v>
      </c>
      <c r="H22" s="202">
        <v>-3.2864738298052698</v>
      </c>
      <c r="I22" s="202">
        <v>0.84304365351886013</v>
      </c>
      <c r="J22" s="203">
        <v>3.6430008465458741</v>
      </c>
    </row>
    <row r="23" spans="1:10">
      <c r="A23" s="182">
        <v>1982</v>
      </c>
      <c r="B23" s="202">
        <v>0.61484535364788595</v>
      </c>
      <c r="C23" s="202">
        <v>2.8042734754767595</v>
      </c>
      <c r="D23" s="203">
        <v>1.0763727932334932</v>
      </c>
      <c r="E23" s="202">
        <v>2.6737612790224796</v>
      </c>
      <c r="F23" s="202">
        <v>0.6446419809994719</v>
      </c>
      <c r="G23" s="202">
        <v>3.1605484129070494</v>
      </c>
      <c r="H23" s="202">
        <v>-2.0151601386226625</v>
      </c>
      <c r="I23" s="202">
        <v>-4.8975615939715773</v>
      </c>
      <c r="J23" s="203">
        <v>1.0763727932334932</v>
      </c>
    </row>
    <row r="24" spans="1:10">
      <c r="A24" s="182">
        <v>1983</v>
      </c>
      <c r="B24" s="202">
        <v>-0.33686877098633161</v>
      </c>
      <c r="C24" s="202">
        <v>-22.321178493197912</v>
      </c>
      <c r="D24" s="203">
        <v>-5.0503435567747506</v>
      </c>
      <c r="E24" s="202">
        <v>-2.3423762790998559</v>
      </c>
      <c r="F24" s="202">
        <v>3.5669860722383762</v>
      </c>
      <c r="G24" s="202">
        <v>-3.7254621595996906</v>
      </c>
      <c r="H24" s="202">
        <v>-18.020681325164801</v>
      </c>
      <c r="I24" s="202">
        <v>-1.6963383793852316</v>
      </c>
      <c r="J24" s="203">
        <v>-5.0503435567747506</v>
      </c>
    </row>
    <row r="25" spans="1:10">
      <c r="A25" s="182">
        <v>1984</v>
      </c>
      <c r="B25" s="202">
        <v>2.6252732682887414</v>
      </c>
      <c r="C25" s="202">
        <v>-3.5949340832722942</v>
      </c>
      <c r="D25" s="203">
        <v>1.5342288119715608</v>
      </c>
      <c r="E25" s="202">
        <v>1.5927215286899887</v>
      </c>
      <c r="F25" s="202">
        <v>0.70845443026312793</v>
      </c>
      <c r="G25" s="202">
        <v>1.8153608597500481</v>
      </c>
      <c r="H25" s="202">
        <v>-0.10830203494557322</v>
      </c>
      <c r="I25" s="202">
        <v>2.7407964219455794</v>
      </c>
      <c r="J25" s="203">
        <v>1.5342288119715608</v>
      </c>
    </row>
    <row r="26" spans="1:10">
      <c r="A26" s="182">
        <v>1985</v>
      </c>
      <c r="B26" s="202">
        <v>3.9350014115187237</v>
      </c>
      <c r="C26" s="202">
        <v>8.5151734292102219</v>
      </c>
      <c r="D26" s="203">
        <v>4.6977945103811036</v>
      </c>
      <c r="E26" s="202">
        <v>3.2739602163556425</v>
      </c>
      <c r="F26" s="202">
        <v>0.23006258881004271</v>
      </c>
      <c r="G26" s="202">
        <v>4.0320158688687879</v>
      </c>
      <c r="H26" s="202">
        <v>7.7999206610324556</v>
      </c>
      <c r="I26" s="202">
        <v>7.4775497700549254</v>
      </c>
      <c r="J26" s="203">
        <v>4.6977945103811036</v>
      </c>
    </row>
    <row r="27" spans="1:10">
      <c r="A27" s="182">
        <v>1986</v>
      </c>
      <c r="B27" s="202">
        <v>3.4647825158386159</v>
      </c>
      <c r="C27" s="202">
        <v>-0.50435232175645162</v>
      </c>
      <c r="D27" s="203">
        <v>2.7796513010971635</v>
      </c>
      <c r="E27" s="202">
        <v>0.29087142931396581</v>
      </c>
      <c r="F27" s="202">
        <v>0.48007373932636987</v>
      </c>
      <c r="G27" s="202">
        <v>0.24547429172441237</v>
      </c>
      <c r="H27" s="202">
        <v>3.3371383963002765</v>
      </c>
      <c r="I27" s="202">
        <v>11.617160222336453</v>
      </c>
      <c r="J27" s="203">
        <v>2.7796513010971635</v>
      </c>
    </row>
    <row r="28" spans="1:10">
      <c r="A28" s="182">
        <v>1987</v>
      </c>
      <c r="B28" s="202">
        <v>-0.25909870835040261</v>
      </c>
      <c r="C28" s="202">
        <v>17.967535900840993</v>
      </c>
      <c r="D28" s="203">
        <v>2.7865606816244837</v>
      </c>
      <c r="E28" s="202">
        <v>4.8666708658581914</v>
      </c>
      <c r="F28" s="202">
        <v>-1.4069383571727934</v>
      </c>
      <c r="G28" s="202">
        <v>6.3754812674051697</v>
      </c>
      <c r="H28" s="202">
        <v>-0.1335483135453841</v>
      </c>
      <c r="I28" s="202">
        <v>-10.137767039699996</v>
      </c>
      <c r="J28" s="203">
        <v>2.7865606816244837</v>
      </c>
    </row>
    <row r="29" spans="1:10">
      <c r="A29" s="182">
        <v>1988</v>
      </c>
      <c r="B29" s="202">
        <v>5.8904672900015997</v>
      </c>
      <c r="C29" s="202">
        <v>-17.193274197078669</v>
      </c>
      <c r="D29" s="203">
        <v>1.4634907470451708</v>
      </c>
      <c r="E29" s="202">
        <v>-2.3507900953493643</v>
      </c>
      <c r="F29" s="202">
        <v>-0.41232712114543935</v>
      </c>
      <c r="G29" s="202">
        <v>-2.7828853842440382</v>
      </c>
      <c r="H29" s="202">
        <v>-5.2849254905306005</v>
      </c>
      <c r="I29" s="202">
        <v>37.419522461775465</v>
      </c>
      <c r="J29" s="203">
        <v>1.4634907470451708</v>
      </c>
    </row>
    <row r="30" spans="1:10">
      <c r="A30" s="182">
        <v>1989</v>
      </c>
      <c r="B30" s="202">
        <v>1.0057779461983163</v>
      </c>
      <c r="C30" s="202">
        <v>4.5641637305036564</v>
      </c>
      <c r="D30" s="203">
        <v>1.562719808301205</v>
      </c>
      <c r="E30" s="202">
        <v>1.6049515182156027</v>
      </c>
      <c r="F30" s="202">
        <v>8.0029249132101974</v>
      </c>
      <c r="G30" s="202">
        <v>0.14402858074864522</v>
      </c>
      <c r="H30" s="202">
        <v>-2.9362033738582816</v>
      </c>
      <c r="I30" s="202">
        <v>1.3332433785708142</v>
      </c>
      <c r="J30" s="203">
        <v>1.562719808301205</v>
      </c>
    </row>
    <row r="31" spans="1:10">
      <c r="A31" s="182">
        <v>1990</v>
      </c>
      <c r="B31" s="202">
        <v>3.6799140527841834</v>
      </c>
      <c r="C31" s="202">
        <v>-1.5552786839621469</v>
      </c>
      <c r="D31" s="203">
        <v>2.8363111742799152</v>
      </c>
      <c r="E31" s="202">
        <v>4.7705898397389257</v>
      </c>
      <c r="F31" s="202">
        <v>-0.7854655390149623</v>
      </c>
      <c r="G31" s="202">
        <v>6.138828642913885</v>
      </c>
      <c r="H31" s="202">
        <v>-4.510254151773319</v>
      </c>
      <c r="I31" s="202">
        <v>0.62955911770599116</v>
      </c>
      <c r="J31" s="203">
        <v>2.8363111742799152</v>
      </c>
    </row>
    <row r="32" spans="1:10">
      <c r="A32" s="182">
        <v>1991</v>
      </c>
      <c r="B32" s="202">
        <v>4.2913423980209586</v>
      </c>
      <c r="C32" s="202">
        <v>11.788460735940841</v>
      </c>
      <c r="D32" s="203">
        <v>5.4478425334869129</v>
      </c>
      <c r="E32" s="202">
        <v>3.6300891575447247</v>
      </c>
      <c r="F32" s="202">
        <v>1.8322898420332301</v>
      </c>
      <c r="G32" s="202">
        <v>4.0439340086481756</v>
      </c>
      <c r="H32" s="202">
        <v>7.1568880150629566</v>
      </c>
      <c r="I32" s="202">
        <v>16.674980745295365</v>
      </c>
      <c r="J32" s="203">
        <v>5.4478425334869129</v>
      </c>
    </row>
    <row r="33" spans="1:10">
      <c r="A33" s="182">
        <v>1992</v>
      </c>
      <c r="B33" s="202">
        <v>2.114310675127995</v>
      </c>
      <c r="C33" s="202">
        <v>4.4858587691008589</v>
      </c>
      <c r="D33" s="203">
        <v>2.5021416894513093</v>
      </c>
      <c r="E33" s="202">
        <v>0.98560833022147687</v>
      </c>
      <c r="F33" s="202">
        <v>0.78433186116955156</v>
      </c>
      <c r="G33" s="202">
        <v>1.0309563257611121</v>
      </c>
      <c r="H33" s="202">
        <v>1.2537676874192272</v>
      </c>
      <c r="I33" s="202">
        <v>5.5162651005748575</v>
      </c>
      <c r="J33" s="203">
        <v>2.5021416894513093</v>
      </c>
    </row>
    <row r="34" spans="1:10">
      <c r="A34" s="182">
        <v>1993</v>
      </c>
      <c r="B34" s="202">
        <v>1.9732180787518372</v>
      </c>
      <c r="C34" s="202">
        <v>-0.55067792175450547</v>
      </c>
      <c r="D34" s="203">
        <v>1.5524850255292266</v>
      </c>
      <c r="E34" s="202">
        <v>2.9435566103155342</v>
      </c>
      <c r="F34" s="202">
        <v>1.9537638715268368</v>
      </c>
      <c r="G34" s="202">
        <v>3.1660145500586934</v>
      </c>
      <c r="H34" s="202">
        <v>0.21549978499411093</v>
      </c>
      <c r="I34" s="202">
        <v>6.2029356133939118</v>
      </c>
      <c r="J34" s="203">
        <v>1.5524850255292266</v>
      </c>
    </row>
    <row r="35" spans="1:10">
      <c r="A35" s="182">
        <v>1994</v>
      </c>
      <c r="B35" s="202">
        <v>4.2582504682124656</v>
      </c>
      <c r="C35" s="202">
        <v>15.976483602362102</v>
      </c>
      <c r="D35" s="203">
        <v>6.1712223317808013</v>
      </c>
      <c r="E35" s="202">
        <v>3.6450606033859856</v>
      </c>
      <c r="F35" s="202">
        <v>-0.10533724420623836</v>
      </c>
      <c r="G35" s="202">
        <v>4.47806558389654</v>
      </c>
      <c r="H35" s="202">
        <v>5.7997727086797513</v>
      </c>
      <c r="I35" s="202">
        <v>12.891682161476957</v>
      </c>
      <c r="J35" s="203">
        <v>6.1712223317808013</v>
      </c>
    </row>
    <row r="36" spans="1:10">
      <c r="A36" s="182">
        <v>1995</v>
      </c>
      <c r="B36" s="202">
        <v>2.2525487742371508</v>
      </c>
      <c r="C36" s="202">
        <v>11.230179773512505</v>
      </c>
      <c r="D36" s="203">
        <v>3.8534749987142236</v>
      </c>
      <c r="E36" s="202">
        <v>3.2262878532725914</v>
      </c>
      <c r="F36" s="202">
        <v>-0.34292694930820877</v>
      </c>
      <c r="G36" s="202">
        <v>3.9842719691818074</v>
      </c>
      <c r="H36" s="202">
        <v>-1.0938616488370134</v>
      </c>
      <c r="I36" s="202">
        <v>10.358834256081263</v>
      </c>
      <c r="J36" s="203">
        <v>3.8534749987142236</v>
      </c>
    </row>
    <row r="37" spans="1:10">
      <c r="A37" s="182">
        <v>1996</v>
      </c>
      <c r="B37" s="202">
        <v>1.7</v>
      </c>
      <c r="C37" s="202">
        <v>-12.596975496255602</v>
      </c>
      <c r="D37" s="203">
        <v>-1</v>
      </c>
      <c r="E37" s="202">
        <v>0.3</v>
      </c>
      <c r="F37" s="202">
        <v>-4.4126597097522975</v>
      </c>
      <c r="G37" s="202">
        <v>1.3</v>
      </c>
      <c r="H37" s="202">
        <v>-3.0262427697570371</v>
      </c>
      <c r="I37" s="202">
        <v>-2.1225923196755647</v>
      </c>
      <c r="J37" s="203">
        <v>-1</v>
      </c>
    </row>
    <row r="38" spans="1:10">
      <c r="A38" s="182">
        <v>1997</v>
      </c>
      <c r="B38" s="202">
        <v>4.3</v>
      </c>
      <c r="C38" s="202">
        <v>20.512877528670771</v>
      </c>
      <c r="D38" s="203">
        <v>7.1</v>
      </c>
      <c r="E38" s="202">
        <v>6.1</v>
      </c>
      <c r="F38" s="202">
        <v>7.0852522107630156</v>
      </c>
      <c r="G38" s="202">
        <v>6</v>
      </c>
      <c r="H38" s="202">
        <v>7.8590132220634823</v>
      </c>
      <c r="I38" s="202">
        <v>6.9859520204019976</v>
      </c>
      <c r="J38" s="203">
        <v>7.1</v>
      </c>
    </row>
    <row r="39" spans="1:10">
      <c r="A39" s="182">
        <v>1998</v>
      </c>
      <c r="B39" s="202">
        <v>3.2665294037466541</v>
      </c>
      <c r="C39" s="202">
        <v>6.5317682288347001</v>
      </c>
      <c r="D39" s="203">
        <v>3.8863371021982562</v>
      </c>
      <c r="E39" s="202">
        <v>5.3871651346697247</v>
      </c>
      <c r="F39" s="202">
        <v>-2.3211617670812479</v>
      </c>
      <c r="G39" s="202">
        <v>6.8838264348209721</v>
      </c>
      <c r="H39" s="202">
        <v>4.482847639974552</v>
      </c>
      <c r="I39" s="202">
        <v>-4.7366163140864508</v>
      </c>
      <c r="J39" s="203">
        <v>3.8863371021982562</v>
      </c>
    </row>
    <row r="40" spans="1:10">
      <c r="A40" s="182">
        <v>1999</v>
      </c>
      <c r="B40" s="202">
        <v>-4.7393857908558772</v>
      </c>
      <c r="C40" s="202">
        <v>-31.595483622682764</v>
      </c>
      <c r="D40" s="203">
        <v>-9.9670252370289809</v>
      </c>
      <c r="E40" s="202">
        <v>-10.790124910949983</v>
      </c>
      <c r="F40" s="202">
        <v>-2.8649164011813166</v>
      </c>
      <c r="G40" s="202">
        <v>-12.196375101718193</v>
      </c>
      <c r="H40" s="202">
        <v>-25.217746184773105</v>
      </c>
      <c r="I40" s="202">
        <v>7.6308330125890445</v>
      </c>
      <c r="J40" s="203">
        <v>-9.9670252370289809</v>
      </c>
    </row>
    <row r="41" spans="1:10">
      <c r="A41" s="182">
        <v>2000</v>
      </c>
      <c r="B41" s="202">
        <v>1.0918015643575973</v>
      </c>
      <c r="C41" s="202">
        <v>12.821729334057519</v>
      </c>
      <c r="D41" s="203">
        <v>2.8265688788904342</v>
      </c>
      <c r="E41" s="202">
        <v>1.3291739254798429</v>
      </c>
      <c r="F41" s="202">
        <v>4.0041735494322328</v>
      </c>
      <c r="G41" s="202">
        <v>0.80407721814719224</v>
      </c>
      <c r="H41" s="202">
        <v>12.446893664774628</v>
      </c>
      <c r="I41" s="202">
        <v>2.5361690987234731</v>
      </c>
      <c r="J41" s="203">
        <v>2.8265688788904342</v>
      </c>
    </row>
    <row r="42" spans="1:10">
      <c r="A42" s="182">
        <v>2001</v>
      </c>
      <c r="B42" s="202">
        <v>4.0156298995849271</v>
      </c>
      <c r="C42" s="202">
        <v>25.72239001596013</v>
      </c>
      <c r="D42" s="203">
        <v>7.5379458357156981</v>
      </c>
      <c r="E42" s="202">
        <v>5.6604916153614626</v>
      </c>
      <c r="F42" s="202">
        <v>-3.3234887221762932</v>
      </c>
      <c r="G42" s="202">
        <v>7.4800124438095805</v>
      </c>
      <c r="H42" s="202">
        <v>20.256285112917393</v>
      </c>
      <c r="I42" s="202">
        <v>-1.587154829607329</v>
      </c>
      <c r="J42" s="203">
        <v>7.5379458357156981</v>
      </c>
    </row>
    <row r="43" spans="1:10">
      <c r="A43" s="182">
        <v>2002</v>
      </c>
      <c r="B43" s="202">
        <v>4.0967766588535737</v>
      </c>
      <c r="C43" s="202">
        <v>19.014989004348195</v>
      </c>
      <c r="D43" s="203">
        <v>6.9268714203380988</v>
      </c>
      <c r="E43" s="202">
        <v>6.3499692257998008</v>
      </c>
      <c r="F43" s="202">
        <v>2.3633302851075788</v>
      </c>
      <c r="G43" s="202">
        <v>7.0762230044187024</v>
      </c>
      <c r="H43" s="202">
        <v>18.092282550854776</v>
      </c>
      <c r="I43" s="202">
        <v>0.62378160597655885</v>
      </c>
      <c r="J43" s="203">
        <v>6.9268714203380988</v>
      </c>
    </row>
    <row r="44" spans="1:10">
      <c r="A44" s="182">
        <v>2003</v>
      </c>
      <c r="B44" s="202">
        <v>2.7228773369547321</v>
      </c>
      <c r="C44" s="202">
        <v>-4.0596837855738528</v>
      </c>
      <c r="D44" s="203">
        <v>1.2907134782271124</v>
      </c>
      <c r="E44" s="202">
        <v>2.7273484061784314</v>
      </c>
      <c r="F44" s="202">
        <v>1.1528756634473059</v>
      </c>
      <c r="G44" s="202">
        <v>3.0015487595970392</v>
      </c>
      <c r="H44" s="202">
        <v>0.37696811204390723</v>
      </c>
      <c r="I44" s="202">
        <v>7.210175607184599</v>
      </c>
      <c r="J44" s="203">
        <v>1.2907134782271124</v>
      </c>
    </row>
    <row r="45" spans="1:10">
      <c r="A45" s="182">
        <v>2004</v>
      </c>
      <c r="B45" s="202">
        <v>8.2110209173403845</v>
      </c>
      <c r="C45" s="202">
        <v>10.876901786988412</v>
      </c>
      <c r="D45" s="203">
        <v>8.7441977215067634</v>
      </c>
      <c r="E45" s="202">
        <v>6.1502739682279817</v>
      </c>
      <c r="F45" s="202">
        <v>4.4806547232504768</v>
      </c>
      <c r="G45" s="202">
        <v>6.4358256909314404</v>
      </c>
      <c r="H45" s="202">
        <v>5.2803952012509203</v>
      </c>
      <c r="I45" s="202">
        <v>17.178374974564758</v>
      </c>
      <c r="J45" s="203">
        <v>8.7441977215067634</v>
      </c>
    </row>
    <row r="46" spans="1:10">
      <c r="A46" s="182">
        <v>2005</v>
      </c>
      <c r="B46" s="202">
        <v>5.2913082669940215</v>
      </c>
      <c r="C46" s="202">
        <v>14.395340387714107</v>
      </c>
      <c r="D46" s="203">
        <v>7.1478267565322717</v>
      </c>
      <c r="E46" s="202">
        <v>4.3016524962390168</v>
      </c>
      <c r="F46" s="202">
        <v>3.5508426997775677</v>
      </c>
      <c r="G46" s="202">
        <v>4.4277032145745521</v>
      </c>
      <c r="H46" s="202">
        <v>10.743846619930885</v>
      </c>
      <c r="I46" s="202">
        <v>8.6330363559717895</v>
      </c>
      <c r="J46" s="203">
        <v>7.1478267565322717</v>
      </c>
    </row>
    <row r="47" spans="1:10">
      <c r="A47" s="182">
        <v>2006</v>
      </c>
      <c r="B47" s="202">
        <v>4.4035264338318614</v>
      </c>
      <c r="C47" s="202">
        <v>9.7735133149808426</v>
      </c>
      <c r="D47" s="203">
        <v>5.5726588179284109</v>
      </c>
      <c r="E47" s="202">
        <v>4.2725854189737733</v>
      </c>
      <c r="F47" s="202">
        <v>3.7950639490375693</v>
      </c>
      <c r="G47" s="202">
        <v>4.3520815895061293</v>
      </c>
      <c r="H47" s="202">
        <v>4.9833117346586464</v>
      </c>
      <c r="I47" s="202">
        <v>7.125999441506714</v>
      </c>
      <c r="J47" s="203">
        <v>5.5726588179284109</v>
      </c>
    </row>
    <row r="48" spans="1:10">
      <c r="A48" s="182">
        <v>2007</v>
      </c>
      <c r="B48" s="202">
        <v>2.190063972245393</v>
      </c>
      <c r="C48" s="202">
        <v>7.0549598101185218</v>
      </c>
      <c r="D48" s="203">
        <v>3.2913753257690859</v>
      </c>
      <c r="E48" s="202">
        <v>4.4436040577211067</v>
      </c>
      <c r="F48" s="202">
        <v>5.6875958433379559</v>
      </c>
      <c r="G48" s="202">
        <v>4.237613932114348</v>
      </c>
      <c r="H48" s="202">
        <v>3.7217130753651517</v>
      </c>
      <c r="I48" s="202">
        <v>1.7212283147038931E-2</v>
      </c>
      <c r="J48" s="203">
        <v>3.2913753257690859</v>
      </c>
    </row>
    <row r="49" spans="1:10">
      <c r="A49" s="182">
        <v>2008</v>
      </c>
      <c r="B49" s="202">
        <v>6.3571305999083227</v>
      </c>
      <c r="C49" s="202">
        <v>14.439211075179092</v>
      </c>
      <c r="D49" s="203">
        <v>8.2534106391534792</v>
      </c>
      <c r="E49" s="202">
        <v>6.2171159836109879</v>
      </c>
      <c r="F49" s="202">
        <v>11.071328685379388</v>
      </c>
      <c r="G49" s="202">
        <v>5.4021354238231512</v>
      </c>
      <c r="H49" s="202">
        <v>15.973914160605119</v>
      </c>
      <c r="I49" s="202">
        <v>2.9839476880845872</v>
      </c>
      <c r="J49" s="203">
        <v>8.2534106391534792</v>
      </c>
    </row>
    <row r="50" spans="1:10">
      <c r="A50" s="182">
        <v>2009</v>
      </c>
      <c r="B50" s="202">
        <v>0.56649159210009348</v>
      </c>
      <c r="C50" s="202">
        <v>-9.9192888423144883</v>
      </c>
      <c r="D50" s="203">
        <v>-2.03434657471534</v>
      </c>
      <c r="E50" s="202">
        <v>0.90429795375168709</v>
      </c>
      <c r="F50" s="202">
        <v>11.611461671997759</v>
      </c>
      <c r="G50" s="202">
        <v>-0.99003122058853865</v>
      </c>
      <c r="H50" s="202">
        <v>-3.6047391324341982</v>
      </c>
      <c r="I50" s="202">
        <v>-4.7883469485953007</v>
      </c>
      <c r="J50" s="203">
        <v>-2.03434657471534</v>
      </c>
    </row>
    <row r="51" spans="1:10">
      <c r="A51" s="182">
        <v>2010</v>
      </c>
      <c r="B51" s="202">
        <v>3.5252986689402688</v>
      </c>
      <c r="C51" s="202">
        <v>14.824099217416409</v>
      </c>
      <c r="D51" s="203">
        <v>6.1022301971386472</v>
      </c>
      <c r="E51" s="202">
        <v>7.1597369019446022</v>
      </c>
      <c r="F51" s="202">
        <v>4.3884204545882044</v>
      </c>
      <c r="G51" s="202">
        <v>7.7124464867002862</v>
      </c>
      <c r="H51" s="202">
        <v>10.189863002201482</v>
      </c>
      <c r="I51" s="202">
        <v>-0.23706807756642689</v>
      </c>
      <c r="J51" s="203">
        <v>6.1022301971386472</v>
      </c>
    </row>
    <row r="52" spans="1:10">
      <c r="A52" s="182">
        <v>2011</v>
      </c>
      <c r="B52" s="202">
        <v>7.8681409191099672</v>
      </c>
      <c r="C52" s="202">
        <v>3.64641762153608</v>
      </c>
      <c r="D52" s="203">
        <v>6.8261382381124891</v>
      </c>
      <c r="E52" s="202">
        <v>5.7065680397106577</v>
      </c>
      <c r="F52" s="202">
        <v>8.6972560495903082</v>
      </c>
      <c r="G52" s="202">
        <v>5.1285140244800242</v>
      </c>
      <c r="H52" s="202">
        <v>14.334266553911878</v>
      </c>
      <c r="I52" s="202">
        <v>5.667761503934976</v>
      </c>
      <c r="J52" s="203">
        <v>6.8261382381124891</v>
      </c>
    </row>
    <row r="53" spans="1:10">
      <c r="A53" s="182">
        <v>2012</v>
      </c>
      <c r="B53" s="202">
        <v>5.6419620667119919</v>
      </c>
      <c r="C53" s="202">
        <v>0.8348613939509697</v>
      </c>
      <c r="D53" s="203">
        <v>4.4907931467896622</v>
      </c>
      <c r="E53" s="202">
        <v>4.2452242313418598</v>
      </c>
      <c r="F53" s="202">
        <v>11.111122447704226</v>
      </c>
      <c r="G53" s="202">
        <v>2.8731022281362817</v>
      </c>
      <c r="H53" s="202">
        <v>10.558267319741965</v>
      </c>
      <c r="I53" s="202">
        <v>5.4665798510568298</v>
      </c>
      <c r="J53" s="203">
        <v>4.4907931467896622</v>
      </c>
    </row>
    <row r="54" spans="1:10">
      <c r="A54" s="182">
        <v>2013</v>
      </c>
      <c r="B54" s="202">
        <v>4.9465112669062616</v>
      </c>
      <c r="C54" s="202">
        <v>6.9659671272765733</v>
      </c>
      <c r="D54" s="203">
        <v>5.4131952365225722</v>
      </c>
      <c r="E54" s="202">
        <v>5.0496605410297768</v>
      </c>
      <c r="F54" s="202">
        <v>10.303736461919822</v>
      </c>
      <c r="G54" s="202">
        <v>3.9155708306947146</v>
      </c>
      <c r="H54" s="202">
        <v>10.414091321087415</v>
      </c>
      <c r="I54" s="202">
        <v>2.5583551447176944</v>
      </c>
      <c r="J54" s="203">
        <v>5.4131952365225722</v>
      </c>
    </row>
    <row r="55" spans="1:10">
      <c r="A55" s="182" t="s">
        <v>1352</v>
      </c>
      <c r="B55" s="202">
        <v>3.9927085087690051</v>
      </c>
      <c r="C55" s="202">
        <v>4.3137582211648207</v>
      </c>
      <c r="D55" s="203">
        <v>4.0679940276315607</v>
      </c>
      <c r="E55" s="202">
        <v>3.7547378580025548</v>
      </c>
      <c r="F55" s="202">
        <v>5.2255607136201032</v>
      </c>
      <c r="G55" s="202">
        <v>3.4177447395680405</v>
      </c>
      <c r="H55" s="202">
        <v>3.7923708969548553</v>
      </c>
      <c r="I55" s="202">
        <v>4.196409939880108</v>
      </c>
      <c r="J55" s="203">
        <v>4.0679940276315607</v>
      </c>
    </row>
    <row r="56" spans="1:10">
      <c r="A56" s="182" t="s">
        <v>1353</v>
      </c>
      <c r="B56" s="202">
        <v>0.1577437243326818</v>
      </c>
      <c r="C56" s="202">
        <v>-8.5814880708512611</v>
      </c>
      <c r="D56" s="203">
        <v>-1.8964283946602101</v>
      </c>
      <c r="E56" s="202">
        <v>-4.0551390474319327E-3</v>
      </c>
      <c r="F56" s="202">
        <v>0.59711665244419621</v>
      </c>
      <c r="G56" s="202">
        <v>-0.14420266730554854</v>
      </c>
      <c r="H56" s="202">
        <v>-5.855183117127682</v>
      </c>
      <c r="I56" s="202">
        <v>-0.37131495402925596</v>
      </c>
      <c r="J56" s="203">
        <v>-1.8964283946602101</v>
      </c>
    </row>
    <row r="57" spans="1:10">
      <c r="A57" s="182" t="s">
        <v>1354</v>
      </c>
      <c r="B57" s="202">
        <v>-1.4674988940193368</v>
      </c>
      <c r="C57" s="202">
        <v>-6.4327693432149946</v>
      </c>
      <c r="D57" s="203">
        <v>-2.5550653633840792</v>
      </c>
      <c r="E57" s="202">
        <v>-2.1384836223698356</v>
      </c>
      <c r="F57" s="202">
        <v>-3.3476378563879416</v>
      </c>
      <c r="G57" s="202">
        <v>-1.8545081709369526</v>
      </c>
      <c r="H57" s="202">
        <v>-8.0397003538670511</v>
      </c>
      <c r="I57" s="202">
        <v>-0.31473228183469537</v>
      </c>
      <c r="J57" s="203">
        <v>-2.5550653633840792</v>
      </c>
    </row>
    <row r="58" spans="1:10">
      <c r="A58" s="180"/>
      <c r="B58" s="180"/>
      <c r="C58" s="180"/>
      <c r="D58" s="181"/>
      <c r="E58" s="180"/>
      <c r="F58" s="180"/>
      <c r="G58" s="180"/>
      <c r="H58" s="180"/>
      <c r="I58" s="180"/>
      <c r="J58" s="181"/>
    </row>
    <row r="59" spans="1:10">
      <c r="A59" s="180" t="s">
        <v>1355</v>
      </c>
      <c r="B59" s="180"/>
      <c r="C59" s="180"/>
      <c r="D59" s="181"/>
      <c r="E59" s="180"/>
      <c r="F59" s="180"/>
      <c r="G59" s="180"/>
      <c r="H59" s="180"/>
      <c r="I59" s="180"/>
      <c r="J59" s="181"/>
    </row>
    <row r="60" spans="1:10">
      <c r="A60" s="180" t="s">
        <v>1356</v>
      </c>
      <c r="B60" s="180"/>
      <c r="C60" s="180"/>
      <c r="D60" s="181"/>
      <c r="E60" s="180"/>
      <c r="F60" s="180"/>
      <c r="G60" s="180"/>
      <c r="H60" s="180"/>
      <c r="I60" s="180"/>
      <c r="J60" s="181"/>
    </row>
    <row r="61" spans="1:10">
      <c r="A61" s="180" t="s">
        <v>1357</v>
      </c>
      <c r="B61" s="180"/>
      <c r="C61" s="180"/>
      <c r="D61" s="181"/>
      <c r="E61" s="180"/>
      <c r="F61" s="180"/>
      <c r="G61" s="180"/>
      <c r="H61" s="180"/>
      <c r="I61" s="180"/>
      <c r="J61" s="181"/>
    </row>
    <row r="62" spans="1:10">
      <c r="A62" s="180" t="s">
        <v>1358</v>
      </c>
      <c r="B62" s="180"/>
      <c r="C62" s="180"/>
      <c r="D62" s="181"/>
      <c r="E62" s="180"/>
      <c r="F62" s="180"/>
      <c r="G62" s="180"/>
      <c r="H62" s="180"/>
      <c r="I62" s="180"/>
      <c r="J62" s="181"/>
    </row>
    <row r="63" spans="1:10">
      <c r="A63" s="108"/>
      <c r="B63" s="108"/>
      <c r="C63" s="108"/>
      <c r="D63" s="108"/>
      <c r="E63" s="108"/>
      <c r="F63" s="108"/>
      <c r="G63" s="108"/>
      <c r="H63" s="108"/>
      <c r="I63" s="108"/>
      <c r="J63" s="108"/>
    </row>
    <row r="66" spans="1:1">
      <c r="A66" s="107"/>
    </row>
    <row r="67" spans="1:1">
      <c r="A67" s="19" t="s">
        <v>1009</v>
      </c>
    </row>
  </sheetData>
  <mergeCells count="3">
    <mergeCell ref="A1:J1"/>
    <mergeCell ref="A2:J2"/>
    <mergeCell ref="A3:J3"/>
  </mergeCells>
  <hyperlinks>
    <hyperlink ref="A67" location="'indice cap.4'!A1" display="regresar al índice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8"/>
  <sheetViews>
    <sheetView showGridLines="0" zoomScale="85" zoomScaleNormal="85" workbookViewId="0">
      <pane xSplit="1" ySplit="5" topLeftCell="B24" activePane="bottomRight" state="frozen"/>
      <selection pane="topRight" activeCell="B1" sqref="B1"/>
      <selection pane="bottomLeft" activeCell="A6" sqref="A6"/>
      <selection pane="bottomRight" sqref="A1:J1"/>
    </sheetView>
  </sheetViews>
  <sheetFormatPr baseColWidth="10" defaultRowHeight="12.75"/>
  <cols>
    <col min="1" max="1" width="11.42578125" style="180"/>
    <col min="2" max="3" width="15.7109375" style="180" customWidth="1"/>
    <col min="4" max="4" width="15.7109375" style="181" customWidth="1"/>
    <col min="5" max="9" width="15.7109375" style="180" customWidth="1"/>
    <col min="10" max="10" width="15.7109375" style="181" customWidth="1"/>
    <col min="11" max="16384" width="11.42578125" style="180"/>
  </cols>
  <sheetData>
    <row r="1" spans="1:12">
      <c r="A1" s="295" t="s">
        <v>1364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2">
      <c r="A2" s="295" t="s">
        <v>1365</v>
      </c>
      <c r="B2" s="295"/>
      <c r="C2" s="295"/>
      <c r="D2" s="295"/>
      <c r="E2" s="295"/>
      <c r="F2" s="295"/>
      <c r="G2" s="295"/>
      <c r="H2" s="295"/>
      <c r="I2" s="295"/>
      <c r="J2" s="295"/>
    </row>
    <row r="3" spans="1:12">
      <c r="A3" s="295" t="s">
        <v>1366</v>
      </c>
      <c r="B3" s="295"/>
      <c r="C3" s="295"/>
      <c r="D3" s="295"/>
      <c r="E3" s="295"/>
      <c r="F3" s="295"/>
      <c r="G3" s="295"/>
      <c r="H3" s="295"/>
      <c r="I3" s="295"/>
      <c r="J3" s="295"/>
    </row>
    <row r="5" spans="1:12" s="192" customFormat="1" ht="25.5">
      <c r="A5" s="173" t="s">
        <v>1341</v>
      </c>
      <c r="B5" s="174" t="s">
        <v>1342</v>
      </c>
      <c r="C5" s="174" t="s">
        <v>1343</v>
      </c>
      <c r="D5" s="174" t="s">
        <v>1344</v>
      </c>
      <c r="E5" s="174" t="s">
        <v>1345</v>
      </c>
      <c r="F5" s="174" t="s">
        <v>1346</v>
      </c>
      <c r="G5" s="174" t="s">
        <v>1347</v>
      </c>
      <c r="H5" s="174" t="s">
        <v>1348</v>
      </c>
      <c r="I5" s="174" t="s">
        <v>1350</v>
      </c>
      <c r="J5" s="175" t="s">
        <v>1351</v>
      </c>
      <c r="L5" s="181"/>
    </row>
    <row r="6" spans="1:12">
      <c r="A6" s="178"/>
      <c r="B6" s="178"/>
      <c r="C6" s="178"/>
      <c r="D6" s="179"/>
      <c r="E6" s="178"/>
      <c r="F6" s="178"/>
      <c r="G6" s="178"/>
      <c r="H6" s="178"/>
    </row>
    <row r="7" spans="1:12">
      <c r="A7" s="182">
        <v>1965</v>
      </c>
      <c r="B7" s="202">
        <v>23.129817007284537</v>
      </c>
      <c r="C7" s="202">
        <v>14.761867255567692</v>
      </c>
      <c r="D7" s="203">
        <v>21.967928331504361</v>
      </c>
      <c r="E7" s="202">
        <v>23.669037580896504</v>
      </c>
      <c r="F7" s="202">
        <v>19.240063769676922</v>
      </c>
      <c r="G7" s="202">
        <v>24.455669043134424</v>
      </c>
      <c r="H7" s="202">
        <v>8.7702032327930191</v>
      </c>
      <c r="I7" s="202">
        <v>24.126149743700619</v>
      </c>
      <c r="J7" s="203">
        <v>21.967928331504361</v>
      </c>
      <c r="L7" s="196"/>
    </row>
    <row r="8" spans="1:12">
      <c r="A8" s="182">
        <v>1966</v>
      </c>
      <c r="B8" s="202">
        <v>23.619510846573689</v>
      </c>
      <c r="C8" s="202">
        <v>15.717256758543291</v>
      </c>
      <c r="D8" s="203">
        <v>22.488543255565833</v>
      </c>
      <c r="E8" s="202">
        <v>24.305761042534428</v>
      </c>
      <c r="F8" s="202">
        <v>18.768206338360656</v>
      </c>
      <c r="G8" s="202">
        <v>25.294249788927754</v>
      </c>
      <c r="H8" s="202">
        <v>9.3355182609703942</v>
      </c>
      <c r="I8" s="202">
        <v>27.626526274214498</v>
      </c>
      <c r="J8" s="203">
        <v>22.488543255565833</v>
      </c>
      <c r="L8" s="196"/>
    </row>
    <row r="9" spans="1:12">
      <c r="A9" s="182">
        <v>1967</v>
      </c>
      <c r="B9" s="202">
        <v>23.731275410125363</v>
      </c>
      <c r="C9" s="202">
        <v>14.836582644989452</v>
      </c>
      <c r="D9" s="203">
        <v>22.295778320254325</v>
      </c>
      <c r="E9" s="202">
        <v>24.873412585560118</v>
      </c>
      <c r="F9" s="202">
        <v>15.21372668986527</v>
      </c>
      <c r="G9" s="202">
        <v>26.642657095522821</v>
      </c>
      <c r="H9" s="202">
        <v>9.9100782632301883</v>
      </c>
      <c r="I9" s="202">
        <v>26.090795356970563</v>
      </c>
      <c r="J9" s="203">
        <v>22.295778320254325</v>
      </c>
      <c r="L9" s="196"/>
    </row>
    <row r="10" spans="1:12">
      <c r="A10" s="182">
        <v>1968</v>
      </c>
      <c r="B10" s="202">
        <v>23.547299778526416</v>
      </c>
      <c r="C10" s="202">
        <v>15.430269739023759</v>
      </c>
      <c r="D10" s="203">
        <v>22.125289428170682</v>
      </c>
      <c r="E10" s="202">
        <v>25.616018886642568</v>
      </c>
      <c r="F10" s="202">
        <v>13.903248621927169</v>
      </c>
      <c r="G10" s="202">
        <v>27.795752459453198</v>
      </c>
      <c r="H10" s="202">
        <v>10.515314256415813</v>
      </c>
      <c r="I10" s="202">
        <v>28.078167872748143</v>
      </c>
      <c r="J10" s="203">
        <v>22.125289428170682</v>
      </c>
      <c r="L10" s="196"/>
    </row>
    <row r="11" spans="1:12">
      <c r="A11" s="182">
        <v>1969</v>
      </c>
      <c r="B11" s="202">
        <v>27.11429245091831</v>
      </c>
      <c r="C11" s="202">
        <v>16.167246279469854</v>
      </c>
      <c r="D11" s="203">
        <v>25.267261023659049</v>
      </c>
      <c r="E11" s="202">
        <v>27.97531129739864</v>
      </c>
      <c r="F11" s="202">
        <v>17.683181875282127</v>
      </c>
      <c r="G11" s="202">
        <v>29.944916615416478</v>
      </c>
      <c r="H11" s="202">
        <v>11.76314956212399</v>
      </c>
      <c r="I11" s="202">
        <v>29.679704840110503</v>
      </c>
      <c r="J11" s="203">
        <v>25.267261023659049</v>
      </c>
      <c r="L11" s="196"/>
    </row>
    <row r="12" spans="1:12">
      <c r="A12" s="182">
        <v>1970</v>
      </c>
      <c r="B12" s="202">
        <v>23.335541448485479</v>
      </c>
      <c r="C12" s="202">
        <v>15.48764783590085</v>
      </c>
      <c r="D12" s="203">
        <v>22.049296865255858</v>
      </c>
      <c r="E12" s="202">
        <v>24.718986149333794</v>
      </c>
      <c r="F12" s="202">
        <v>18.509083725642252</v>
      </c>
      <c r="G12" s="202">
        <v>25.850233777968189</v>
      </c>
      <c r="H12" s="202">
        <v>11.998192372761071</v>
      </c>
      <c r="I12" s="202">
        <v>30.254354034832275</v>
      </c>
      <c r="J12" s="203">
        <v>22.049296865255858</v>
      </c>
      <c r="L12" s="196"/>
    </row>
    <row r="13" spans="1:12">
      <c r="A13" s="182">
        <v>1971</v>
      </c>
      <c r="B13" s="202">
        <v>21.123572399780237</v>
      </c>
      <c r="C13" s="202">
        <v>15.879497993557127</v>
      </c>
      <c r="D13" s="203">
        <v>20.17081853840962</v>
      </c>
      <c r="E13" s="202">
        <v>22.667036503702302</v>
      </c>
      <c r="F13" s="202">
        <v>15.474947583907021</v>
      </c>
      <c r="G13" s="202">
        <v>23.925793270355967</v>
      </c>
      <c r="H13" s="202">
        <v>10.909776977012447</v>
      </c>
      <c r="I13" s="202">
        <v>29.515818487667456</v>
      </c>
      <c r="J13" s="203">
        <v>20.17081853840962</v>
      </c>
      <c r="L13" s="196"/>
    </row>
    <row r="14" spans="1:12">
      <c r="A14" s="182">
        <v>1972</v>
      </c>
      <c r="B14" s="202">
        <v>23.26754017911518</v>
      </c>
      <c r="C14" s="202">
        <v>18.153150643149999</v>
      </c>
      <c r="D14" s="203">
        <v>22.417590826326705</v>
      </c>
      <c r="E14" s="202">
        <v>25.408725884266453</v>
      </c>
      <c r="F14" s="202">
        <v>19.118552226977748</v>
      </c>
      <c r="G14" s="202">
        <v>26.549374435798185</v>
      </c>
      <c r="H14" s="202">
        <v>14.111840675355305</v>
      </c>
      <c r="I14" s="202">
        <v>22.030490589265792</v>
      </c>
      <c r="J14" s="203">
        <v>22.417590826326705</v>
      </c>
      <c r="L14" s="196"/>
    </row>
    <row r="15" spans="1:12">
      <c r="A15" s="182">
        <v>1973</v>
      </c>
      <c r="B15" s="202">
        <v>24.942217699010865</v>
      </c>
      <c r="C15" s="202">
        <v>20.087324874446473</v>
      </c>
      <c r="D15" s="203">
        <v>24.110070705546573</v>
      </c>
      <c r="E15" s="202">
        <v>28.623209085398127</v>
      </c>
      <c r="F15" s="202">
        <v>24.097951958414328</v>
      </c>
      <c r="G15" s="202">
        <v>29.511125968331324</v>
      </c>
      <c r="H15" s="202">
        <v>20.255805404826415</v>
      </c>
      <c r="I15" s="202">
        <v>18.40868662911355</v>
      </c>
      <c r="J15" s="203">
        <v>24.110070705546573</v>
      </c>
      <c r="L15" s="196"/>
    </row>
    <row r="16" spans="1:12">
      <c r="A16" s="182">
        <v>1974</v>
      </c>
      <c r="B16" s="202">
        <v>38.031783522271937</v>
      </c>
      <c r="C16" s="202">
        <v>26.094405335496969</v>
      </c>
      <c r="D16" s="203">
        <v>35.46948720551854</v>
      </c>
      <c r="E16" s="202">
        <v>35.662647594136601</v>
      </c>
      <c r="F16" s="202">
        <v>36.212048912035151</v>
      </c>
      <c r="G16" s="202">
        <v>35.50675219875906</v>
      </c>
      <c r="H16" s="202">
        <v>20.339838113572323</v>
      </c>
      <c r="I16" s="202">
        <v>32.227555312447357</v>
      </c>
      <c r="J16" s="203">
        <v>35.46948720551854</v>
      </c>
      <c r="L16" s="196"/>
    </row>
    <row r="17" spans="1:12">
      <c r="A17" s="182">
        <v>1975</v>
      </c>
      <c r="B17" s="202">
        <v>40.152370713349441</v>
      </c>
      <c r="C17" s="202">
        <v>29.874598259755437</v>
      </c>
      <c r="D17" s="203">
        <v>38.032486667548113</v>
      </c>
      <c r="E17" s="202">
        <v>43.146710592992569</v>
      </c>
      <c r="F17" s="202">
        <v>52.800944454251699</v>
      </c>
      <c r="G17" s="202">
        <v>40.627762198455834</v>
      </c>
      <c r="H17" s="202">
        <v>24.558529758796706</v>
      </c>
      <c r="I17" s="202">
        <v>33.181428719136051</v>
      </c>
      <c r="J17" s="203">
        <v>38.032486667548113</v>
      </c>
      <c r="L17" s="196"/>
    </row>
    <row r="18" spans="1:12">
      <c r="A18" s="182">
        <v>1976</v>
      </c>
      <c r="B18" s="202">
        <v>43.96432179085761</v>
      </c>
      <c r="C18" s="202">
        <v>32.029857915141179</v>
      </c>
      <c r="D18" s="203">
        <v>41.602160090287029</v>
      </c>
      <c r="E18" s="202">
        <v>46.001864194191612</v>
      </c>
      <c r="F18" s="202">
        <v>54.393099293992655</v>
      </c>
      <c r="G18" s="202">
        <v>43.756333451428183</v>
      </c>
      <c r="H18" s="202">
        <v>28.207555819968739</v>
      </c>
      <c r="I18" s="202">
        <v>37.935204101820787</v>
      </c>
      <c r="J18" s="203">
        <v>41.602160090287029</v>
      </c>
      <c r="L18" s="196"/>
    </row>
    <row r="19" spans="1:12">
      <c r="A19" s="182">
        <v>1977</v>
      </c>
      <c r="B19" s="202">
        <v>52.476130182745052</v>
      </c>
      <c r="C19" s="202">
        <v>33.410890815254369</v>
      </c>
      <c r="D19" s="203">
        <v>48.248787824157105</v>
      </c>
      <c r="E19" s="202">
        <v>51.371635228657496</v>
      </c>
      <c r="F19" s="202">
        <v>65.48903700815994</v>
      </c>
      <c r="G19" s="202">
        <v>47.571456161049078</v>
      </c>
      <c r="H19" s="202">
        <v>32.576429496956685</v>
      </c>
      <c r="I19" s="202">
        <v>46.092483571015002</v>
      </c>
      <c r="J19" s="203">
        <v>48.248787824157105</v>
      </c>
      <c r="L19" s="196"/>
    </row>
    <row r="20" spans="1:12">
      <c r="A20" s="182">
        <v>1978</v>
      </c>
      <c r="B20" s="202">
        <v>53.677779641591606</v>
      </c>
      <c r="C20" s="202">
        <v>35.626660980694858</v>
      </c>
      <c r="D20" s="203">
        <v>49.732439564477751</v>
      </c>
      <c r="E20" s="202">
        <v>53.615302037711089</v>
      </c>
      <c r="F20" s="202">
        <v>62.174355965904752</v>
      </c>
      <c r="G20" s="202">
        <v>51.189162089745423</v>
      </c>
      <c r="H20" s="202">
        <v>36.253304750903794</v>
      </c>
      <c r="I20" s="202">
        <v>42.300784438830831</v>
      </c>
      <c r="J20" s="203">
        <v>49.732439564477751</v>
      </c>
      <c r="L20" s="196"/>
    </row>
    <row r="21" spans="1:12">
      <c r="A21" s="182">
        <v>1979</v>
      </c>
      <c r="B21" s="202">
        <v>61.522497786216391</v>
      </c>
      <c r="C21" s="202">
        <v>40.512712946555787</v>
      </c>
      <c r="D21" s="203">
        <v>56.978681442824843</v>
      </c>
      <c r="E21" s="202">
        <v>60.10848705929083</v>
      </c>
      <c r="F21" s="202">
        <v>69.675325302551016</v>
      </c>
      <c r="G21" s="202">
        <v>57.569299551666951</v>
      </c>
      <c r="H21" s="202">
        <v>40.145531372954188</v>
      </c>
      <c r="I21" s="202">
        <v>59.411616637611999</v>
      </c>
      <c r="J21" s="203">
        <v>56.978681442824843</v>
      </c>
      <c r="L21" s="196"/>
    </row>
    <row r="22" spans="1:12">
      <c r="A22" s="182">
        <v>1980</v>
      </c>
      <c r="B22" s="202">
        <v>74.833316034205964</v>
      </c>
      <c r="C22" s="202">
        <v>45.942958223112313</v>
      </c>
      <c r="D22" s="203">
        <v>68.31801588792726</v>
      </c>
      <c r="E22" s="202">
        <v>68.931945166822274</v>
      </c>
      <c r="F22" s="202">
        <v>82.263689654200604</v>
      </c>
      <c r="G22" s="202">
        <v>65.527831466482723</v>
      </c>
      <c r="H22" s="202">
        <v>45.623319121422888</v>
      </c>
      <c r="I22" s="202">
        <v>71.494417343465415</v>
      </c>
      <c r="J22" s="203">
        <v>68.31801588792726</v>
      </c>
      <c r="L22" s="196"/>
    </row>
    <row r="23" spans="1:12">
      <c r="A23" s="182">
        <v>1981</v>
      </c>
      <c r="B23" s="202">
        <v>86.426078672216306</v>
      </c>
      <c r="C23" s="202">
        <v>49.497637613661041</v>
      </c>
      <c r="D23" s="203">
        <v>78.641630907195918</v>
      </c>
      <c r="E23" s="202">
        <v>78.754738584203608</v>
      </c>
      <c r="F23" s="202">
        <v>86.313106331754156</v>
      </c>
      <c r="G23" s="202">
        <v>76.941480893411068</v>
      </c>
      <c r="H23" s="202">
        <v>58.139727922656192</v>
      </c>
      <c r="I23" s="202">
        <v>73.716050102382894</v>
      </c>
      <c r="J23" s="203">
        <v>78.641630907195918</v>
      </c>
      <c r="L23" s="196"/>
    </row>
    <row r="24" spans="1:12">
      <c r="A24" s="182">
        <v>1982</v>
      </c>
      <c r="B24" s="202">
        <v>78.490285732253099</v>
      </c>
      <c r="C24" s="202">
        <v>51.067465888504337</v>
      </c>
      <c r="D24" s="203">
        <v>72.610784782621948</v>
      </c>
      <c r="E24" s="202">
        <v>76.158452136884563</v>
      </c>
      <c r="F24" s="202">
        <v>85.5781482077211</v>
      </c>
      <c r="G24" s="202">
        <v>73.953772873778718</v>
      </c>
      <c r="H24" s="202">
        <v>57.589726337082602</v>
      </c>
      <c r="I24" s="202">
        <v>71.015017998101314</v>
      </c>
      <c r="J24" s="203">
        <v>72.610784782621948</v>
      </c>
      <c r="L24" s="196"/>
    </row>
    <row r="25" spans="1:12">
      <c r="A25" s="182">
        <v>1983</v>
      </c>
      <c r="B25" s="202">
        <v>67.780423395054854</v>
      </c>
      <c r="C25" s="202">
        <v>48.805086807565829</v>
      </c>
      <c r="D25" s="203">
        <v>64.452088080744673</v>
      </c>
      <c r="E25" s="202">
        <v>65.265295633507321</v>
      </c>
      <c r="F25" s="202">
        <v>63.129786793624511</v>
      </c>
      <c r="G25" s="202">
        <v>65.80297057406564</v>
      </c>
      <c r="H25" s="202">
        <v>46.659966984869605</v>
      </c>
      <c r="I25" s="202">
        <v>66.004301345580856</v>
      </c>
      <c r="J25" s="203">
        <v>64.452088080744673</v>
      </c>
      <c r="L25" s="196"/>
    </row>
    <row r="26" spans="1:12">
      <c r="A26" s="182">
        <v>1984</v>
      </c>
      <c r="B26" s="202">
        <v>65.122512429377835</v>
      </c>
      <c r="C26" s="202">
        <v>51.107871343525233</v>
      </c>
      <c r="D26" s="203">
        <v>62.788479676453058</v>
      </c>
      <c r="E26" s="202">
        <v>63.690018176507557</v>
      </c>
      <c r="F26" s="202">
        <v>65.068576805546968</v>
      </c>
      <c r="G26" s="202">
        <v>63.346700401426283</v>
      </c>
      <c r="H26" s="202">
        <v>47.153566258679227</v>
      </c>
      <c r="I26" s="202">
        <v>70.74112731847633</v>
      </c>
      <c r="J26" s="203">
        <v>62.788479676453058</v>
      </c>
      <c r="L26" s="196"/>
    </row>
    <row r="27" spans="1:12">
      <c r="A27" s="182">
        <v>1985</v>
      </c>
      <c r="B27" s="202">
        <v>63.533432189377201</v>
      </c>
      <c r="C27" s="202">
        <v>48.834480301957591</v>
      </c>
      <c r="D27" s="203">
        <v>60.996176295053381</v>
      </c>
      <c r="E27" s="202">
        <v>60.866025594061682</v>
      </c>
      <c r="F27" s="202">
        <v>59.98750148763591</v>
      </c>
      <c r="G27" s="202">
        <v>61.076818367852503</v>
      </c>
      <c r="H27" s="202">
        <v>46.563694779792364</v>
      </c>
      <c r="I27" s="202">
        <v>75.593116049033043</v>
      </c>
      <c r="J27" s="203">
        <v>60.996176295053381</v>
      </c>
      <c r="L27" s="196"/>
    </row>
    <row r="28" spans="1:12">
      <c r="A28" s="182">
        <v>1986</v>
      </c>
      <c r="B28" s="202">
        <v>54.835435689927294</v>
      </c>
      <c r="C28" s="202">
        <v>47.780523504714189</v>
      </c>
      <c r="D28" s="203">
        <v>53.65656421951843</v>
      </c>
      <c r="E28" s="202">
        <v>54.811877820359776</v>
      </c>
      <c r="F28" s="202">
        <v>56.390974605223917</v>
      </c>
      <c r="G28" s="202">
        <v>54.432103185161615</v>
      </c>
      <c r="H28" s="202">
        <v>46.26697385284379</v>
      </c>
      <c r="I28" s="202">
        <v>48.027487159308883</v>
      </c>
      <c r="J28" s="203">
        <v>53.65656421951843</v>
      </c>
      <c r="L28" s="196"/>
    </row>
    <row r="29" spans="1:12">
      <c r="A29" s="182">
        <v>1987</v>
      </c>
      <c r="B29" s="202">
        <v>50.064196761790846</v>
      </c>
      <c r="C29" s="202">
        <v>47.186547425405337</v>
      </c>
      <c r="D29" s="203">
        <v>49.512324089063036</v>
      </c>
      <c r="E29" s="202">
        <v>49.60795010885586</v>
      </c>
      <c r="F29" s="202">
        <v>50.971744703702406</v>
      </c>
      <c r="G29" s="202">
        <v>49.3039519271546</v>
      </c>
      <c r="H29" s="202">
        <v>47.622991744308138</v>
      </c>
      <c r="I29" s="202">
        <v>47.848991421165351</v>
      </c>
      <c r="J29" s="203">
        <v>49.512324089063036</v>
      </c>
      <c r="L29" s="196"/>
    </row>
    <row r="30" spans="1:12">
      <c r="A30" s="182">
        <v>1988</v>
      </c>
      <c r="B30" s="202">
        <v>44.249840477616054</v>
      </c>
      <c r="C30" s="202">
        <v>56.413320354807304</v>
      </c>
      <c r="D30" s="203">
        <v>46.153611328526274</v>
      </c>
      <c r="E30" s="202">
        <v>45.769425702613546</v>
      </c>
      <c r="F30" s="202">
        <v>51.021016265564434</v>
      </c>
      <c r="G30" s="202">
        <v>44.570269557700186</v>
      </c>
      <c r="H30" s="202">
        <v>44.493271438592465</v>
      </c>
      <c r="I30" s="202">
        <v>40.307856627281652</v>
      </c>
      <c r="J30" s="203">
        <v>46.153611328526274</v>
      </c>
      <c r="L30" s="196"/>
    </row>
    <row r="31" spans="1:12">
      <c r="A31" s="182">
        <v>1989</v>
      </c>
      <c r="B31" s="202">
        <v>46.625162362483231</v>
      </c>
      <c r="C31" s="202">
        <v>60.267005299233723</v>
      </c>
      <c r="D31" s="203">
        <v>48.823419150388673</v>
      </c>
      <c r="E31" s="202">
        <v>47.280528889146034</v>
      </c>
      <c r="F31" s="202">
        <v>42.262041965659606</v>
      </c>
      <c r="G31" s="202">
        <v>48.516385638918067</v>
      </c>
      <c r="H31" s="202">
        <v>48.821773774833716</v>
      </c>
      <c r="I31" s="202">
        <v>45.179201030088471</v>
      </c>
      <c r="J31" s="203">
        <v>48.823419150388673</v>
      </c>
      <c r="L31" s="196"/>
    </row>
    <row r="32" spans="1:12">
      <c r="A32" s="182">
        <v>1990</v>
      </c>
      <c r="B32" s="202">
        <v>49.335776417327509</v>
      </c>
      <c r="C32" s="202">
        <v>59.048975413293036</v>
      </c>
      <c r="D32" s="203">
        <v>50.834127576842292</v>
      </c>
      <c r="E32" s="202">
        <v>47.934274965981963</v>
      </c>
      <c r="F32" s="202">
        <v>42.021479497913205</v>
      </c>
      <c r="G32" s="202">
        <v>49.295372358207736</v>
      </c>
      <c r="H32" s="202">
        <v>49.808345966477027</v>
      </c>
      <c r="I32" s="202">
        <v>55.280460257189603</v>
      </c>
      <c r="J32" s="203">
        <v>50.834127576842292</v>
      </c>
      <c r="L32" s="196"/>
    </row>
    <row r="33" spans="1:12">
      <c r="A33" s="182">
        <v>1991</v>
      </c>
      <c r="B33" s="202">
        <v>52.734676118097433</v>
      </c>
      <c r="C33" s="202">
        <v>58.052007755826793</v>
      </c>
      <c r="D33" s="203">
        <v>53.6042457160301</v>
      </c>
      <c r="E33" s="202">
        <v>52.119010938452973</v>
      </c>
      <c r="F33" s="202">
        <v>42.398691018479674</v>
      </c>
      <c r="G33" s="202">
        <v>54.309018674833034</v>
      </c>
      <c r="H33" s="202">
        <v>51.808723331974228</v>
      </c>
      <c r="I33" s="202">
        <v>54.929185631344424</v>
      </c>
      <c r="J33" s="203">
        <v>53.6042457160301</v>
      </c>
      <c r="L33" s="196"/>
    </row>
    <row r="34" spans="1:12">
      <c r="A34" s="182">
        <v>1992</v>
      </c>
      <c r="B34" s="202">
        <v>55.003970219762941</v>
      </c>
      <c r="C34" s="202">
        <v>56.840737608302447</v>
      </c>
      <c r="D34" s="203">
        <v>55.310159045009669</v>
      </c>
      <c r="E34" s="202">
        <v>53.567641936487341</v>
      </c>
      <c r="F34" s="202">
        <v>39.27538445436312</v>
      </c>
      <c r="G34" s="202">
        <v>56.779855998234417</v>
      </c>
      <c r="H34" s="202">
        <v>52.449799580261079</v>
      </c>
      <c r="I34" s="202">
        <v>56.521073060892235</v>
      </c>
      <c r="J34" s="203">
        <v>55.310159045009669</v>
      </c>
      <c r="L34" s="196"/>
    </row>
    <row r="35" spans="1:12">
      <c r="A35" s="182">
        <v>1993</v>
      </c>
      <c r="B35" s="202">
        <v>56.457049093218437</v>
      </c>
      <c r="C35" s="202">
        <v>66.949194259007527</v>
      </c>
      <c r="D35" s="203">
        <v>58.169865203024017</v>
      </c>
      <c r="E35" s="202">
        <v>60.475891740989617</v>
      </c>
      <c r="F35" s="202">
        <v>43.018916125835467</v>
      </c>
      <c r="G35" s="202">
        <v>64.353279747014284</v>
      </c>
      <c r="H35" s="202">
        <v>57.103264446124435</v>
      </c>
      <c r="I35" s="202">
        <v>46.245244407083753</v>
      </c>
      <c r="J35" s="203">
        <v>58.169865203024017</v>
      </c>
      <c r="L35" s="196"/>
    </row>
    <row r="36" spans="1:12">
      <c r="A36" s="182">
        <v>1994</v>
      </c>
      <c r="B36" s="202">
        <v>64.930529143619921</v>
      </c>
      <c r="C36" s="202">
        <v>70.302314187044971</v>
      </c>
      <c r="D36" s="203">
        <v>65.888446833594827</v>
      </c>
      <c r="E36" s="202">
        <v>69.887041761537006</v>
      </c>
      <c r="F36" s="202">
        <v>53.354876400193859</v>
      </c>
      <c r="G36" s="202">
        <v>73.397931253652075</v>
      </c>
      <c r="H36" s="202">
        <v>62.804620338445126</v>
      </c>
      <c r="I36" s="202">
        <v>49.716759823541807</v>
      </c>
      <c r="J36" s="203">
        <v>65.888446833594827</v>
      </c>
      <c r="L36" s="196"/>
    </row>
    <row r="37" spans="1:12">
      <c r="A37" s="182">
        <v>1995</v>
      </c>
      <c r="B37" s="202">
        <v>68.321560589620773</v>
      </c>
      <c r="C37" s="202">
        <v>71.26322075317394</v>
      </c>
      <c r="D37" s="203">
        <v>68.883388969786481</v>
      </c>
      <c r="E37" s="202">
        <v>74.248748881091345</v>
      </c>
      <c r="F37" s="202">
        <v>58.954155020799483</v>
      </c>
      <c r="G37" s="202">
        <v>77.361653691047437</v>
      </c>
      <c r="H37" s="202">
        <v>66.449239357639669</v>
      </c>
      <c r="I37" s="202">
        <v>50.877659504187875</v>
      </c>
      <c r="J37" s="203">
        <v>68.883388969786481</v>
      </c>
      <c r="L37" s="196"/>
    </row>
    <row r="38" spans="1:12">
      <c r="A38" s="182">
        <v>1996</v>
      </c>
      <c r="B38" s="202">
        <v>69.3</v>
      </c>
      <c r="C38" s="202">
        <v>75.013392553889176</v>
      </c>
      <c r="D38" s="203">
        <v>70.3</v>
      </c>
      <c r="E38" s="202">
        <v>74.2</v>
      </c>
      <c r="F38" s="202">
        <v>61.75785388424034</v>
      </c>
      <c r="G38" s="202">
        <v>76.599999999999994</v>
      </c>
      <c r="H38" s="202">
        <v>68.383767660783448</v>
      </c>
      <c r="I38" s="202">
        <v>56.156090484315712</v>
      </c>
      <c r="J38" s="203">
        <v>70.3</v>
      </c>
      <c r="L38" s="196"/>
    </row>
    <row r="39" spans="1:12">
      <c r="A39" s="182">
        <v>1997</v>
      </c>
      <c r="B39" s="202">
        <v>74.197714013288703</v>
      </c>
      <c r="C39" s="202">
        <v>74.365227777248364</v>
      </c>
      <c r="D39" s="203">
        <v>74.229511479281413</v>
      </c>
      <c r="E39" s="202">
        <v>78.581408253541269</v>
      </c>
      <c r="F39" s="202">
        <v>66.714850690518489</v>
      </c>
      <c r="G39" s="202">
        <v>80.885438388350295</v>
      </c>
      <c r="H39" s="202">
        <v>72.103895753034834</v>
      </c>
      <c r="I39" s="202">
        <v>56.655017842422161</v>
      </c>
      <c r="J39" s="203">
        <v>74.229511479281413</v>
      </c>
      <c r="L39" s="196"/>
    </row>
    <row r="40" spans="1:12">
      <c r="A40" s="182">
        <v>1998</v>
      </c>
      <c r="B40" s="202">
        <v>71.391052492152909</v>
      </c>
      <c r="C40" s="202">
        <v>75.328213797948379</v>
      </c>
      <c r="D40" s="203">
        <v>72.157435601009894</v>
      </c>
      <c r="E40" s="202">
        <v>75.881785384067385</v>
      </c>
      <c r="F40" s="202">
        <v>66.80151944610239</v>
      </c>
      <c r="G40" s="202">
        <v>77.492989138738324</v>
      </c>
      <c r="H40" s="202">
        <v>75.917527662872942</v>
      </c>
      <c r="I40" s="202">
        <v>49.09525580677991</v>
      </c>
      <c r="J40" s="203">
        <v>72.157435601009894</v>
      </c>
      <c r="L40" s="196"/>
    </row>
    <row r="41" spans="1:12">
      <c r="A41" s="182">
        <v>1999</v>
      </c>
      <c r="B41" s="202">
        <v>52.615210803966384</v>
      </c>
      <c r="C41" s="202">
        <v>69.1904378282523</v>
      </c>
      <c r="D41" s="203">
        <v>55.066561113809598</v>
      </c>
      <c r="E41" s="202">
        <v>54.863031396773643</v>
      </c>
      <c r="F41" s="202">
        <v>51.218593087353717</v>
      </c>
      <c r="G41" s="202">
        <v>55.578426845512361</v>
      </c>
      <c r="H41" s="202">
        <v>62.828859726279909</v>
      </c>
      <c r="I41" s="202">
        <v>47.212864807382395</v>
      </c>
      <c r="J41" s="203">
        <v>55.066561113809598</v>
      </c>
      <c r="L41" s="196"/>
    </row>
    <row r="42" spans="1:12">
      <c r="A42" s="182">
        <v>2000</v>
      </c>
      <c r="B42" s="202">
        <v>48.55643831469785</v>
      </c>
      <c r="C42" s="202">
        <v>68.528622938665222</v>
      </c>
      <c r="D42" s="203">
        <v>51.797287884287769</v>
      </c>
      <c r="E42" s="202">
        <v>48.614010989701292</v>
      </c>
      <c r="F42" s="202">
        <v>36.506733829123213</v>
      </c>
      <c r="G42" s="202">
        <v>51.066091486518552</v>
      </c>
      <c r="H42" s="202">
        <v>59.504017309802379</v>
      </c>
      <c r="I42" s="202">
        <v>52.321212827034522</v>
      </c>
      <c r="J42" s="203">
        <v>51.797287884287769</v>
      </c>
      <c r="L42" s="196"/>
    </row>
    <row r="43" spans="1:12">
      <c r="A43" s="182">
        <v>2001</v>
      </c>
      <c r="B43" s="202">
        <v>62.353399906114369</v>
      </c>
      <c r="C43" s="202">
        <v>73.299788359281564</v>
      </c>
      <c r="D43" s="203">
        <v>64.430010420901638</v>
      </c>
      <c r="E43" s="202">
        <v>68.12172335113425</v>
      </c>
      <c r="F43" s="202">
        <v>50.970244084399106</v>
      </c>
      <c r="G43" s="202">
        <v>71.246241726557329</v>
      </c>
      <c r="H43" s="202">
        <v>66.21980597066235</v>
      </c>
      <c r="I43" s="202">
        <v>51.330337220751765</v>
      </c>
      <c r="J43" s="203">
        <v>64.430010420901638</v>
      </c>
      <c r="L43" s="196"/>
    </row>
    <row r="44" spans="1:12">
      <c r="A44" s="182">
        <v>2002</v>
      </c>
      <c r="B44" s="202">
        <v>69.888979395673729</v>
      </c>
      <c r="C44" s="202">
        <v>72.804769171590195</v>
      </c>
      <c r="D44" s="203">
        <v>70.504659617536333</v>
      </c>
      <c r="E44" s="202">
        <v>75.410729981764916</v>
      </c>
      <c r="F44" s="202">
        <v>60.455610948722125</v>
      </c>
      <c r="G44" s="202">
        <v>78.015220242526482</v>
      </c>
      <c r="H44" s="202">
        <v>71.051175424056041</v>
      </c>
      <c r="I44" s="202">
        <v>55.084589645417267</v>
      </c>
      <c r="J44" s="203">
        <v>70.504659617536333</v>
      </c>
      <c r="L44" s="196"/>
    </row>
    <row r="45" spans="1:12">
      <c r="A45" s="182">
        <v>2003</v>
      </c>
      <c r="B45" s="202">
        <v>77.292379814506049</v>
      </c>
      <c r="C45" s="202">
        <v>76.189245124867838</v>
      </c>
      <c r="D45" s="203">
        <v>77.071752615788043</v>
      </c>
      <c r="E45" s="202">
        <v>83.159279204233826</v>
      </c>
      <c r="F45" s="202">
        <v>73.984425667202231</v>
      </c>
      <c r="G45" s="202">
        <v>84.72843650817147</v>
      </c>
      <c r="H45" s="202">
        <v>74.787908406343433</v>
      </c>
      <c r="I45" s="202">
        <v>61.373737762820411</v>
      </c>
      <c r="J45" s="203">
        <v>77.071752615788043</v>
      </c>
      <c r="L45" s="196"/>
    </row>
    <row r="46" spans="1:12">
      <c r="A46" s="182">
        <v>2004</v>
      </c>
      <c r="B46" s="202">
        <v>80.586461780648719</v>
      </c>
      <c r="C46" s="202">
        <v>82.143566432592451</v>
      </c>
      <c r="D46" s="203">
        <v>80.903990710484138</v>
      </c>
      <c r="E46" s="202">
        <v>87.209909130254246</v>
      </c>
      <c r="F46" s="202">
        <v>81.16259046757331</v>
      </c>
      <c r="G46" s="202">
        <v>88.225171404437845</v>
      </c>
      <c r="H46" s="202">
        <v>82.06052931936928</v>
      </c>
      <c r="I46" s="202">
        <v>64.207052007614649</v>
      </c>
      <c r="J46" s="203">
        <v>80.903990710484138</v>
      </c>
      <c r="L46" s="196"/>
    </row>
    <row r="47" spans="1:12">
      <c r="A47" s="182">
        <v>2005</v>
      </c>
      <c r="B47" s="202">
        <v>86.817979984195119</v>
      </c>
      <c r="C47" s="202">
        <v>88.848245571249123</v>
      </c>
      <c r="D47" s="203">
        <v>87.260001407836612</v>
      </c>
      <c r="E47" s="202">
        <v>92.360607137333162</v>
      </c>
      <c r="F47" s="202">
        <v>87.54819055415939</v>
      </c>
      <c r="G47" s="202">
        <v>93.16176208732908</v>
      </c>
      <c r="H47" s="202">
        <v>87.128789909581585</v>
      </c>
      <c r="I47" s="202">
        <v>75.409744293616171</v>
      </c>
      <c r="J47" s="203">
        <v>87.260001407836612</v>
      </c>
      <c r="L47" s="196"/>
    </row>
    <row r="48" spans="1:12">
      <c r="A48" s="182">
        <v>2006</v>
      </c>
      <c r="B48" s="202">
        <f>+('[1]4.2'!B47/'[1]4.1'!B47)*100</f>
        <v>93.764209139948278</v>
      </c>
      <c r="C48" s="202">
        <f>+('[1]4.2'!C47/'[1]4.1'!C47)*100</f>
        <v>94.130806692297853</v>
      </c>
      <c r="D48" s="203">
        <f>+('[1]4.2'!D47/'[1]4.1'!D47)*100</f>
        <v>93.847199210040529</v>
      </c>
      <c r="E48" s="202">
        <f>+('[1]4.2'!E47/'[1]4.1'!E47)*100</f>
        <v>96.544254374286965</v>
      </c>
      <c r="F48" s="202">
        <f>+('[1]4.2'!F47/'[1]4.1'!F47)*100</f>
        <v>94.078208922171029</v>
      </c>
      <c r="G48" s="202">
        <f>+('[1]4.2'!G47/'[1]4.1'!G47)*100</f>
        <v>96.95260193598844</v>
      </c>
      <c r="H48" s="202">
        <f>+('[1]4.2'!H47/'[1]4.1'!H47)*100</f>
        <v>95.554003409890413</v>
      </c>
      <c r="I48" s="202">
        <f>+('[1]4.2'!J47/'[1]4.1'!J47)*100</f>
        <v>87.175940237086152</v>
      </c>
      <c r="J48" s="203">
        <f>+('[1]4.2'!K47/'[1]4.1'!K47)*100</f>
        <v>93.847199210040529</v>
      </c>
      <c r="L48" s="196"/>
    </row>
    <row r="49" spans="1:12">
      <c r="A49" s="182">
        <v>2007</v>
      </c>
      <c r="B49" s="202">
        <f>+('[1]4.2'!B48/'[1]4.1'!B48)*100</f>
        <v>100</v>
      </c>
      <c r="C49" s="202">
        <f>+('[1]4.2'!C48/'[1]4.1'!C48)*100</f>
        <v>100</v>
      </c>
      <c r="D49" s="203">
        <f>+('[1]4.2'!D48/'[1]4.1'!D48)*100</f>
        <v>100</v>
      </c>
      <c r="E49" s="202">
        <f>+('[1]4.2'!E48/'[1]4.1'!E48)*100</f>
        <v>100</v>
      </c>
      <c r="F49" s="202">
        <f>+('[1]4.2'!F48/'[1]4.1'!F48)*100</f>
        <v>100</v>
      </c>
      <c r="G49" s="202">
        <f>+('[1]4.2'!G48/'[1]4.1'!G48)*100</f>
        <v>100</v>
      </c>
      <c r="H49" s="202">
        <f>+('[1]4.2'!H48/'[1]4.1'!H48)*100</f>
        <v>100</v>
      </c>
      <c r="I49" s="202">
        <f>+('[1]4.2'!J48/'[1]4.1'!J48)*100</f>
        <v>100</v>
      </c>
      <c r="J49" s="203">
        <f>+('[1]4.2'!K48/'[1]4.1'!K48)*100</f>
        <v>100</v>
      </c>
      <c r="L49" s="196"/>
    </row>
    <row r="50" spans="1:12">
      <c r="A50" s="182">
        <v>2008</v>
      </c>
      <c r="B50" s="202">
        <f>+('[1]4.2'!B49/'[1]4.1'!B49)*100</f>
        <v>113.84731889942653</v>
      </c>
      <c r="C50" s="202">
        <f>+('[1]4.2'!C49/'[1]4.1'!C49)*100</f>
        <v>116.98278369110207</v>
      </c>
      <c r="D50" s="203">
        <f>+('[1]4.2'!D49/'[1]4.1'!D49)*100</f>
        <v>114.62502319639343</v>
      </c>
      <c r="E50" s="202">
        <f>+('[1]4.2'!E49/'[1]4.1'!E49)*100</f>
        <v>109.9835542017905</v>
      </c>
      <c r="F50" s="202">
        <f>+('[1]4.2'!F49/'[1]4.1'!F49)*100</f>
        <v>118.0161089313668</v>
      </c>
      <c r="G50" s="202">
        <f>+('[1]4.2'!G49/'[1]4.1'!G49)*100</f>
        <v>108.56242128843165</v>
      </c>
      <c r="H50" s="202">
        <f>+('[1]4.2'!H49/'[1]4.1'!H49)*100</f>
        <v>112.47169286879645</v>
      </c>
      <c r="I50" s="202">
        <f>+('[1]4.2'!J49/'[1]4.1'!J49)*100</f>
        <v>125.7943252952941</v>
      </c>
      <c r="J50" s="203">
        <f>+('[1]4.2'!K49/'[1]4.1'!K49)*100</f>
        <v>114.62502319639343</v>
      </c>
      <c r="L50" s="196"/>
    </row>
    <row r="51" spans="1:12">
      <c r="A51" s="182">
        <v>2009</v>
      </c>
      <c r="B51" s="202">
        <f>+('[1]4.2'!B50/'[1]4.1'!B50)*100</f>
        <v>114.59363083494748</v>
      </c>
      <c r="C51" s="202">
        <f>+('[1]4.2'!C50/'[1]4.1'!C50)*100</f>
        <v>104.16079900601932</v>
      </c>
      <c r="D51" s="203">
        <f>+('[1]4.2'!D50/'[1]4.1'!D50)*100</f>
        <v>112.21420187228802</v>
      </c>
      <c r="E51" s="202">
        <f>+('[1]4.2'!E50/'[1]4.1'!E50)*100</f>
        <v>114.28321179826581</v>
      </c>
      <c r="F51" s="202">
        <f>+('[1]4.2'!F50/'[1]4.1'!F50)*100</f>
        <v>124.18175945486229</v>
      </c>
      <c r="G51" s="202">
        <f>+('[1]4.2'!G50/'[1]4.1'!G50)*100</f>
        <v>112.3090517667831</v>
      </c>
      <c r="H51" s="202">
        <f>+('[1]4.2'!H50/'[1]4.1'!H50)*100</f>
        <v>120.38582226331802</v>
      </c>
      <c r="I51" s="202">
        <f>+('[1]4.2'!J50/'[1]4.1'!J50)*100</f>
        <v>98.84252345478086</v>
      </c>
      <c r="J51" s="203">
        <f>+('[1]4.2'!K50/'[1]4.1'!K50)*100</f>
        <v>112.21420187228802</v>
      </c>
      <c r="L51" s="196"/>
    </row>
    <row r="52" spans="1:12">
      <c r="A52" s="182">
        <v>2010</v>
      </c>
      <c r="B52" s="202">
        <f>+('[1]4.2'!B51/'[1]4.1'!B51)*100</f>
        <v>123.14813701691656</v>
      </c>
      <c r="C52" s="202">
        <f>+('[1]4.2'!C51/'[1]4.1'!C51)*100</f>
        <v>121.78785787748092</v>
      </c>
      <c r="D52" s="203">
        <f>+('[1]4.2'!D51/'[1]4.1'!D51)*100</f>
        <v>122.81239390674838</v>
      </c>
      <c r="E52" s="202">
        <f>+('[1]4.2'!E51/'[1]4.1'!E51)*100</f>
        <v>119.44358193511763</v>
      </c>
      <c r="F52" s="202">
        <f>+('[1]4.2'!F51/'[1]4.1'!F51)*100</f>
        <v>127.27608839253594</v>
      </c>
      <c r="G52" s="202">
        <f>+('[1]4.2'!G51/'[1]4.1'!G51)*100</f>
        <v>117.92967884924788</v>
      </c>
      <c r="H52" s="202">
        <f>+('[1]4.2'!H51/'[1]4.1'!H51)*100</f>
        <v>131.24670310252421</v>
      </c>
      <c r="I52" s="202">
        <f>+('[1]4.2'!J51/'[1]4.1'!J51)*100</f>
        <v>121.77779889443426</v>
      </c>
      <c r="J52" s="203">
        <f>+('[1]4.2'!K51/'[1]4.1'!K51)*100</f>
        <v>122.81239390674838</v>
      </c>
      <c r="L52" s="196"/>
    </row>
    <row r="53" spans="1:12">
      <c r="A53" s="182">
        <v>2011</v>
      </c>
      <c r="B53" s="202">
        <f>+('[1]4.2'!B52/'[1]4.1'!B52)*100</f>
        <v>130.12159330682033</v>
      </c>
      <c r="C53" s="202">
        <f>+('[1]4.2'!C52/'[1]4.1'!C52)*100</f>
        <v>137.89613615123054</v>
      </c>
      <c r="D53" s="203">
        <f>+('[1]4.2'!D52/'[1]4.1'!D52)*100</f>
        <v>131.98338333335394</v>
      </c>
      <c r="E53" s="202">
        <f>+('[1]4.2'!E52/'[1]4.1'!E52)*100</f>
        <v>124.79592839682611</v>
      </c>
      <c r="F53" s="202">
        <f>+('[1]4.2'!F52/'[1]4.1'!F52)*100</f>
        <v>128.69937336131318</v>
      </c>
      <c r="G53" s="202">
        <f>+('[1]4.2'!G52/'[1]4.1'!G52)*100</f>
        <v>124.01584070031603</v>
      </c>
      <c r="H53" s="202">
        <f>+('[1]4.2'!H52/'[1]4.1'!H52)*100</f>
        <v>137.19638590206108</v>
      </c>
      <c r="I53" s="202">
        <f>+('[1]4.2'!J52/'[1]4.1'!J52)*100</f>
        <v>146.54499295009256</v>
      </c>
      <c r="J53" s="203">
        <f>+('[1]4.2'!K52/'[1]4.1'!K52)*100</f>
        <v>131.98338333335394</v>
      </c>
      <c r="L53" s="196"/>
    </row>
    <row r="54" spans="1:12">
      <c r="A54" s="182">
        <v>2012</v>
      </c>
      <c r="B54" s="202">
        <f>+('[1]4.2'!B53/'[1]4.1'!B53)*100</f>
        <v>136.60848402048444</v>
      </c>
      <c r="C54" s="202">
        <f>+('[1]4.2'!C53/'[1]4.1'!C53)*100</f>
        <v>143.56918934606392</v>
      </c>
      <c r="D54" s="203">
        <f>+('[1]4.2'!D53/'[1]4.1'!D53)*100</f>
        <v>138.2170606952304</v>
      </c>
      <c r="E54" s="202">
        <f>+('[1]4.2'!E53/'[1]4.1'!E53)*100</f>
        <v>131.91315347369886</v>
      </c>
      <c r="F54" s="202">
        <f>+('[1]4.2'!F53/'[1]4.1'!F53)*100</f>
        <v>134.60316993897678</v>
      </c>
      <c r="G54" s="202">
        <f>+('[1]4.2'!G53/'[1]4.1'!G53)*100</f>
        <v>131.33251473915487</v>
      </c>
      <c r="H54" s="202">
        <f>+('[1]4.2'!H53/'[1]4.1'!H53)*100</f>
        <v>143.71724390779724</v>
      </c>
      <c r="I54" s="202">
        <f>+('[1]4.2'!J53/'[1]4.1'!J53)*100</f>
        <v>149.3706021248683</v>
      </c>
      <c r="J54" s="203">
        <f>+('[1]4.2'!K53/'[1]4.1'!K53)*100</f>
        <v>138.2170606952304</v>
      </c>
      <c r="L54" s="196"/>
    </row>
    <row r="55" spans="1:12">
      <c r="A55" s="182">
        <v>2013</v>
      </c>
      <c r="B55" s="202">
        <f>+('[1]4.2'!B54/'[1]4.1'!B54)*100</f>
        <v>140.83658355664738</v>
      </c>
      <c r="C55" s="202">
        <f>+('[1]4.2'!C54/'[1]4.1'!C54)*100</f>
        <v>142.37506852430627</v>
      </c>
      <c r="D55" s="203">
        <f>+('[1]4.2'!D54/'[1]4.1'!D54)*100</f>
        <v>141.19735522091122</v>
      </c>
      <c r="E55" s="202">
        <f>+('[1]4.2'!E54/'[1]4.1'!E54)*100</f>
        <v>136.29948230371713</v>
      </c>
      <c r="F55" s="202">
        <f>+('[1]4.2'!F54/'[1]4.1'!F54)*100</f>
        <v>138.64314863956582</v>
      </c>
      <c r="G55" s="202">
        <f>+('[1]4.2'!G54/'[1]4.1'!G54)*100</f>
        <v>135.7625043637353</v>
      </c>
      <c r="H55" s="202">
        <f>+('[1]4.2'!H54/'[1]4.1'!H54)*100</f>
        <v>143.90866765044697</v>
      </c>
      <c r="I55" s="202">
        <f>+('[1]4.2'!J54/'[1]4.1'!J54)*100</f>
        <v>149.60509119025079</v>
      </c>
      <c r="J55" s="203">
        <f>+('[1]4.2'!K54/'[1]4.1'!K54)*100</f>
        <v>141.19735522091122</v>
      </c>
      <c r="L55" s="196"/>
    </row>
    <row r="56" spans="1:12">
      <c r="A56" s="182" t="s">
        <v>1352</v>
      </c>
      <c r="B56" s="202">
        <f>+('[1]4.2'!B55/'[1]4.1'!B55)*100</f>
        <v>145.62616929720932</v>
      </c>
      <c r="C56" s="202">
        <f>+('[1]4.2'!C55/'[1]4.1'!C55)*100</f>
        <v>139.79516077239467</v>
      </c>
      <c r="D56" s="203">
        <f>+('[1]4.2'!D55/'[1]4.1'!D55)*100</f>
        <v>144.25558027771621</v>
      </c>
      <c r="E56" s="202">
        <f>+('[1]4.2'!E55/'[1]4.1'!E55)*100</f>
        <v>140.21814554135219</v>
      </c>
      <c r="F56" s="202">
        <f>+('[1]4.2'!F55/'[1]4.1'!F55)*100</f>
        <v>142.82323240664218</v>
      </c>
      <c r="G56" s="202">
        <f>+('[1]4.2'!G55/'[1]4.1'!G55)*100</f>
        <v>139.61083746363579</v>
      </c>
      <c r="H56" s="202">
        <f>+('[1]4.2'!H55/'[1]4.1'!H55)*100</f>
        <v>146.53637904367346</v>
      </c>
      <c r="I56" s="202">
        <f>+('[1]4.2'!J55/'[1]4.1'!J55)*100</f>
        <v>150.90337231240019</v>
      </c>
      <c r="J56" s="203">
        <f>+('[1]4.2'!K55/'[1]4.1'!K55)*100</f>
        <v>144.25558027771621</v>
      </c>
    </row>
    <row r="57" spans="1:12">
      <c r="A57" s="182" t="s">
        <v>1353</v>
      </c>
      <c r="B57" s="202">
        <f>+('[1]4.2'!B56/'[1]4.1'!B56)*100</f>
        <v>142.38994049679044</v>
      </c>
      <c r="C57" s="202">
        <f>+('[1]4.2'!C56/'[1]4.1'!C56)*100</f>
        <v>120.12293693270179</v>
      </c>
      <c r="D57" s="203">
        <f>+('[1]4.2'!D56/'[1]4.1'!D56)*100</f>
        <v>137.51269429292029</v>
      </c>
      <c r="E57" s="202">
        <f>+('[1]4.2'!E56/'[1]4.1'!E56)*100</f>
        <v>142.59469610426868</v>
      </c>
      <c r="F57" s="202">
        <f>+('[1]4.2'!F56/'[1]4.1'!F56)*100</f>
        <v>141.58732134214981</v>
      </c>
      <c r="G57" s="202">
        <f>+('[1]4.2'!G56/'[1]4.1'!G56)*100</f>
        <v>142.83128271562609</v>
      </c>
      <c r="H57" s="202">
        <f>+('[1]4.2'!H56/'[1]4.1'!H56)*100</f>
        <v>148.10545632645869</v>
      </c>
      <c r="I57" s="202">
        <f>+('[1]4.2'!J56/'[1]4.1'!J56)*100</f>
        <v>109.55430974064065</v>
      </c>
      <c r="J57" s="203">
        <f>+('[1]4.2'!K56/'[1]4.1'!K56)*100</f>
        <v>137.51269429292029</v>
      </c>
    </row>
    <row r="58" spans="1:12">
      <c r="A58" s="182" t="s">
        <v>1354</v>
      </c>
      <c r="B58" s="202">
        <f>+('[1]4.2'!B57/'[1]4.1'!B57)*100</f>
        <v>141.08514382497412</v>
      </c>
      <c r="C58" s="202">
        <f>+('[1]4.2'!C57/'[1]4.1'!C57)*100</f>
        <v>104.09702903134217</v>
      </c>
      <c r="D58" s="203">
        <f>+('[1]4.2'!D57/'[1]4.1'!D57)*100</f>
        <v>133.30586022000728</v>
      </c>
      <c r="E58" s="202">
        <f>+('[1]4.2'!E57/'[1]4.1'!E57)*100</f>
        <v>143.58369497748996</v>
      </c>
      <c r="F58" s="202">
        <f>+('[1]4.2'!F57/'[1]4.1'!F57)*100</f>
        <v>142.65325437166737</v>
      </c>
      <c r="G58" s="202">
        <f>+('[1]4.2'!G57/'[1]4.1'!G57)*100</f>
        <v>143.79888883457483</v>
      </c>
      <c r="H58" s="202">
        <f>+('[1]4.2'!H57/'[1]4.1'!H57)*100</f>
        <v>140.68658895717593</v>
      </c>
      <c r="I58" s="202">
        <f>+('[1]4.2'!J57/'[1]4.1'!J57)*100</f>
        <v>100.21741084642919</v>
      </c>
      <c r="J58" s="203">
        <f>+('[1]4.2'!K57/'[1]4.1'!K57)*100</f>
        <v>133.30586022000728</v>
      </c>
    </row>
    <row r="60" spans="1:12">
      <c r="A60" s="180" t="s">
        <v>1355</v>
      </c>
    </row>
    <row r="61" spans="1:12">
      <c r="A61" s="180" t="s">
        <v>1356</v>
      </c>
    </row>
    <row r="62" spans="1:12">
      <c r="A62" s="180" t="s">
        <v>1357</v>
      </c>
    </row>
    <row r="63" spans="1:12">
      <c r="A63" s="180" t="s">
        <v>1358</v>
      </c>
    </row>
    <row r="64" spans="1:12">
      <c r="A64" s="187"/>
      <c r="B64" s="188"/>
      <c r="C64" s="188"/>
      <c r="D64" s="189"/>
      <c r="E64" s="188"/>
      <c r="F64" s="188"/>
      <c r="G64" s="188"/>
      <c r="H64" s="188"/>
      <c r="I64" s="188"/>
      <c r="J64" s="189"/>
    </row>
    <row r="65" spans="1:11">
      <c r="B65" s="196"/>
      <c r="C65" s="196"/>
      <c r="D65" s="197"/>
      <c r="E65" s="196"/>
      <c r="F65" s="196"/>
      <c r="G65" s="196"/>
      <c r="H65" s="196"/>
      <c r="I65" s="196"/>
      <c r="J65" s="197"/>
    </row>
    <row r="66" spans="1:11">
      <c r="A66" s="204"/>
      <c r="B66" s="205"/>
      <c r="C66" s="205"/>
      <c r="D66" s="206"/>
      <c r="E66" s="205"/>
      <c r="F66" s="205"/>
      <c r="G66" s="205"/>
      <c r="H66" s="205"/>
      <c r="I66" s="205"/>
      <c r="J66" s="206"/>
      <c r="K66" s="204"/>
    </row>
    <row r="67" spans="1:11">
      <c r="A67" s="107"/>
    </row>
    <row r="68" spans="1:11">
      <c r="A68" s="19" t="s">
        <v>1009</v>
      </c>
    </row>
  </sheetData>
  <mergeCells count="3">
    <mergeCell ref="A1:J1"/>
    <mergeCell ref="A2:J2"/>
    <mergeCell ref="A3:J3"/>
  </mergeCells>
  <hyperlinks>
    <hyperlink ref="A57:B57" location="'indice cap.4'!A1" display="regresar al índice"/>
    <hyperlink ref="A68" location="'indice cap.4'!A1" display="regresar al í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8"/>
  <sheetViews>
    <sheetView showGridLines="0" zoomScale="85" zoomScaleNormal="85" workbookViewId="0">
      <pane xSplit="1" ySplit="5" topLeftCell="B27" activePane="bottomRight" state="frozen"/>
      <selection pane="topRight" activeCell="B1" sqref="B1"/>
      <selection pane="bottomLeft" activeCell="A6" sqref="A6"/>
      <selection pane="bottomRight" sqref="A1:I1"/>
    </sheetView>
  </sheetViews>
  <sheetFormatPr baseColWidth="10" defaultRowHeight="12.75"/>
  <cols>
    <col min="1" max="1" width="11.42578125" style="180"/>
    <col min="2" max="9" width="15.7109375" style="180" customWidth="1"/>
    <col min="10" max="16384" width="11.42578125" style="180"/>
  </cols>
  <sheetData>
    <row r="1" spans="1:9">
      <c r="A1" s="295" t="s">
        <v>1367</v>
      </c>
      <c r="B1" s="295"/>
      <c r="C1" s="295"/>
      <c r="D1" s="295"/>
      <c r="E1" s="295"/>
      <c r="F1" s="295"/>
      <c r="G1" s="295"/>
      <c r="H1" s="295"/>
      <c r="I1" s="295"/>
    </row>
    <row r="2" spans="1:9">
      <c r="A2" s="295" t="s">
        <v>1368</v>
      </c>
      <c r="B2" s="295"/>
      <c r="C2" s="295"/>
      <c r="D2" s="295"/>
      <c r="E2" s="295"/>
      <c r="F2" s="295"/>
      <c r="G2" s="295"/>
      <c r="H2" s="295"/>
      <c r="I2" s="295"/>
    </row>
    <row r="3" spans="1:9">
      <c r="A3" s="295" t="s">
        <v>1363</v>
      </c>
      <c r="B3" s="295"/>
      <c r="C3" s="295"/>
      <c r="D3" s="295"/>
      <c r="E3" s="295"/>
      <c r="F3" s="295"/>
      <c r="G3" s="295"/>
      <c r="H3" s="295"/>
      <c r="I3" s="295"/>
    </row>
    <row r="5" spans="1:9" s="192" customFormat="1" ht="25.5">
      <c r="A5" s="207" t="s">
        <v>1341</v>
      </c>
      <c r="B5" s="208" t="s">
        <v>1342</v>
      </c>
      <c r="C5" s="208" t="s">
        <v>1343</v>
      </c>
      <c r="D5" s="208" t="s">
        <v>1345</v>
      </c>
      <c r="E5" s="174" t="s">
        <v>1346</v>
      </c>
      <c r="F5" s="208" t="s">
        <v>1369</v>
      </c>
      <c r="G5" s="208" t="s">
        <v>1348</v>
      </c>
      <c r="H5" s="208" t="s">
        <v>1349</v>
      </c>
      <c r="I5" s="209" t="s">
        <v>1350</v>
      </c>
    </row>
    <row r="6" spans="1:9">
      <c r="A6" s="178"/>
      <c r="B6" s="178"/>
      <c r="C6" s="178"/>
      <c r="D6" s="178"/>
      <c r="E6" s="178"/>
      <c r="F6" s="178"/>
      <c r="G6" s="178"/>
      <c r="H6" s="178"/>
    </row>
    <row r="7" spans="1:9">
      <c r="A7" s="182">
        <v>1965</v>
      </c>
      <c r="B7" s="203">
        <v>100</v>
      </c>
      <c r="C7" s="202">
        <v>16.123769470398944</v>
      </c>
      <c r="D7" s="202">
        <v>75.192971122240664</v>
      </c>
      <c r="E7" s="202">
        <v>11.340803937927388</v>
      </c>
      <c r="F7" s="202">
        <v>63.852167184313281</v>
      </c>
      <c r="G7" s="202">
        <v>28.122946612954731</v>
      </c>
      <c r="H7" s="202">
        <v>4.1990256390668828</v>
      </c>
      <c r="I7" s="202">
        <v>8.6088260961366618</v>
      </c>
    </row>
    <row r="8" spans="1:9">
      <c r="A8" s="182">
        <v>1966</v>
      </c>
      <c r="B8" s="203">
        <v>100</v>
      </c>
      <c r="C8" s="202">
        <v>16.702403472444399</v>
      </c>
      <c r="D8" s="202">
        <v>76.037024776924227</v>
      </c>
      <c r="E8" s="202">
        <v>11.51719933686444</v>
      </c>
      <c r="F8" s="202">
        <v>64.51982544005979</v>
      </c>
      <c r="G8" s="202">
        <v>28.522747158605366</v>
      </c>
      <c r="H8" s="202">
        <v>3.177801787135353</v>
      </c>
      <c r="I8" s="202">
        <v>8.9648297497794562</v>
      </c>
    </row>
    <row r="9" spans="1:9">
      <c r="A9" s="182">
        <v>1967</v>
      </c>
      <c r="B9" s="203">
        <v>100</v>
      </c>
      <c r="C9" s="202">
        <v>19.244663263510141</v>
      </c>
      <c r="D9" s="202">
        <v>75.391846017627202</v>
      </c>
      <c r="E9" s="202">
        <v>11.670961754794771</v>
      </c>
      <c r="F9" s="202">
        <v>63.720884262832435</v>
      </c>
      <c r="G9" s="202">
        <v>32.09165817551127</v>
      </c>
      <c r="H9" s="202">
        <v>2.5680154796110459</v>
      </c>
      <c r="I9" s="202">
        <v>9.1931435907606183</v>
      </c>
    </row>
    <row r="10" spans="1:9">
      <c r="A10" s="182">
        <v>1968</v>
      </c>
      <c r="B10" s="203">
        <v>100</v>
      </c>
      <c r="C10" s="202">
        <v>21.239823277307281</v>
      </c>
      <c r="D10" s="202">
        <v>77.69273333987185</v>
      </c>
      <c r="E10" s="202">
        <v>12.189988299078296</v>
      </c>
      <c r="F10" s="202">
        <v>65.50274504079357</v>
      </c>
      <c r="G10" s="202">
        <v>33.346422551530814</v>
      </c>
      <c r="H10" s="202">
        <v>0.9403344228343602</v>
      </c>
      <c r="I10" s="202">
        <v>9.2603329630702493</v>
      </c>
    </row>
    <row r="11" spans="1:9">
      <c r="A11" s="182">
        <v>1969</v>
      </c>
      <c r="B11" s="203">
        <v>100</v>
      </c>
      <c r="C11" s="202">
        <v>20.29701576515227</v>
      </c>
      <c r="D11" s="202">
        <v>78.618830930258611</v>
      </c>
      <c r="E11" s="202">
        <v>12.628561192874585</v>
      </c>
      <c r="F11" s="202">
        <v>65.990269737384025</v>
      </c>
      <c r="G11" s="202">
        <v>32.813691576911829</v>
      </c>
      <c r="H11" s="202">
        <v>1.096513344353933</v>
      </c>
      <c r="I11" s="202">
        <v>7.7679799136279026</v>
      </c>
    </row>
    <row r="12" spans="1:9">
      <c r="A12" s="182">
        <v>1970</v>
      </c>
      <c r="B12" s="203">
        <v>100</v>
      </c>
      <c r="C12" s="202">
        <v>19.602459343304051</v>
      </c>
      <c r="D12" s="210">
        <v>79.307166217241004</v>
      </c>
      <c r="E12" s="202">
        <v>12.220979421138889</v>
      </c>
      <c r="F12" s="202">
        <v>67.086186796102126</v>
      </c>
      <c r="G12" s="202">
        <v>30.627598416225194</v>
      </c>
      <c r="H12" s="202">
        <v>2.385563657415148</v>
      </c>
      <c r="I12" s="202">
        <v>7.2821310524226979</v>
      </c>
    </row>
    <row r="13" spans="1:9">
      <c r="A13" s="182">
        <v>1971</v>
      </c>
      <c r="B13" s="203">
        <v>100</v>
      </c>
      <c r="C13" s="202">
        <v>22.201880549647186</v>
      </c>
      <c r="D13" s="202">
        <v>78.010736351666168</v>
      </c>
      <c r="E13" s="202">
        <v>11.619729657560104</v>
      </c>
      <c r="F13" s="202">
        <v>66.391006694106053</v>
      </c>
      <c r="G13" s="202">
        <v>36.033864933135675</v>
      </c>
      <c r="H13" s="202">
        <v>0.58520482859589518</v>
      </c>
      <c r="I13" s="202">
        <v>7.5720744362494594</v>
      </c>
    </row>
    <row r="14" spans="1:9">
      <c r="A14" s="182">
        <v>1972</v>
      </c>
      <c r="B14" s="203">
        <v>100</v>
      </c>
      <c r="C14" s="202">
        <v>19.931088637180146</v>
      </c>
      <c r="D14" s="202">
        <v>73.156454454341386</v>
      </c>
      <c r="E14" s="202">
        <v>11.229686495458187</v>
      </c>
      <c r="F14" s="202">
        <v>61.92676795888319</v>
      </c>
      <c r="G14" s="202">
        <v>32.776883004779165</v>
      </c>
      <c r="H14" s="202">
        <v>0.89311359108105148</v>
      </c>
      <c r="I14" s="202">
        <v>13.104637586978548</v>
      </c>
    </row>
    <row r="15" spans="1:9">
      <c r="A15" s="182">
        <v>1973</v>
      </c>
      <c r="B15" s="203">
        <v>100</v>
      </c>
      <c r="C15" s="202">
        <v>20.686044517923829</v>
      </c>
      <c r="D15" s="202">
        <v>68.192278004458444</v>
      </c>
      <c r="E15" s="202">
        <v>11.185503147489106</v>
      </c>
      <c r="F15" s="202">
        <v>57.006774856969336</v>
      </c>
      <c r="G15" s="202">
        <v>28.973487788804103</v>
      </c>
      <c r="H15" s="202">
        <v>-0.70295440908163487</v>
      </c>
      <c r="I15" s="202">
        <v>24.223233133742927</v>
      </c>
    </row>
    <row r="16" spans="1:9">
      <c r="A16" s="182">
        <v>1974</v>
      </c>
      <c r="B16" s="203">
        <v>100</v>
      </c>
      <c r="C16" s="202">
        <v>27.330922036497412</v>
      </c>
      <c r="D16" s="202">
        <v>76.204096936738949</v>
      </c>
      <c r="E16" s="202">
        <v>16.843787299333513</v>
      </c>
      <c r="F16" s="202">
        <v>59.360309637405429</v>
      </c>
      <c r="G16" s="202">
        <v>27.383978946519939</v>
      </c>
      <c r="H16" s="202">
        <v>-2.9888706760016541</v>
      </c>
      <c r="I16" s="202">
        <v>26.731716829240181</v>
      </c>
    </row>
    <row r="17" spans="1:9">
      <c r="A17" s="182">
        <v>1975</v>
      </c>
      <c r="B17" s="203">
        <v>100</v>
      </c>
      <c r="C17" s="202">
        <v>25.985695560340698</v>
      </c>
      <c r="D17" s="202">
        <v>76.94992240712287</v>
      </c>
      <c r="E17" s="202">
        <v>15.922942697655046</v>
      </c>
      <c r="F17" s="202">
        <v>61.026979709467831</v>
      </c>
      <c r="G17" s="202">
        <v>30.269607970483325</v>
      </c>
      <c r="H17" s="202">
        <v>-0.68099258196715351</v>
      </c>
      <c r="I17" s="202">
        <v>19.447157764701654</v>
      </c>
    </row>
    <row r="18" spans="1:9">
      <c r="A18" s="182">
        <v>1976</v>
      </c>
      <c r="B18" s="203">
        <v>100</v>
      </c>
      <c r="C18" s="202">
        <v>24.677049024882052</v>
      </c>
      <c r="D18" s="202">
        <v>77.304183002488585</v>
      </c>
      <c r="E18" s="202">
        <v>16.319708645052422</v>
      </c>
      <c r="F18" s="202">
        <v>60.98447435743617</v>
      </c>
      <c r="G18" s="202">
        <v>29.494071693132955</v>
      </c>
      <c r="H18" s="202">
        <v>-0.70541723592087591</v>
      </c>
      <c r="I18" s="202">
        <v>18.584211565181381</v>
      </c>
    </row>
    <row r="19" spans="1:9">
      <c r="A19" s="182">
        <v>1977</v>
      </c>
      <c r="B19" s="203">
        <v>100</v>
      </c>
      <c r="C19" s="202">
        <v>28.49017186230332</v>
      </c>
      <c r="D19" s="202">
        <v>79.009735527671921</v>
      </c>
      <c r="E19" s="202">
        <v>16.757348307874384</v>
      </c>
      <c r="F19" s="202">
        <v>62.252387219797534</v>
      </c>
      <c r="G19" s="202">
        <v>31.866914299682993</v>
      </c>
      <c r="H19" s="202">
        <v>-0.94724580643238288</v>
      </c>
      <c r="I19" s="202">
        <v>18.560767841380788</v>
      </c>
    </row>
    <row r="20" spans="1:9">
      <c r="A20" s="182">
        <v>1978</v>
      </c>
      <c r="B20" s="203">
        <v>100</v>
      </c>
      <c r="C20" s="202">
        <v>27.969672525908763</v>
      </c>
      <c r="D20" s="202">
        <v>77.318604419448917</v>
      </c>
      <c r="E20" s="202">
        <v>17.076235250621199</v>
      </c>
      <c r="F20" s="202">
        <v>60.242369168827722</v>
      </c>
      <c r="G20" s="202">
        <v>32.459903328721445</v>
      </c>
      <c r="H20" s="202">
        <v>-0.50305406215220527</v>
      </c>
      <c r="I20" s="202">
        <v>18.694218839890606</v>
      </c>
    </row>
    <row r="21" spans="1:9">
      <c r="A21" s="182">
        <v>1979</v>
      </c>
      <c r="B21" s="203">
        <v>100</v>
      </c>
      <c r="C21" s="202">
        <v>27.595196385934489</v>
      </c>
      <c r="D21" s="202">
        <v>79.300800878800331</v>
      </c>
      <c r="E21" s="202">
        <v>16.633006329208737</v>
      </c>
      <c r="F21" s="202">
        <v>62.667794549591591</v>
      </c>
      <c r="G21" s="202">
        <v>30.890406714808528</v>
      </c>
      <c r="H21" s="202">
        <v>-1.1403596340479896</v>
      </c>
      <c r="I21" s="202">
        <v>18.544348426373617</v>
      </c>
    </row>
    <row r="22" spans="1:9">
      <c r="A22" s="182">
        <v>1980</v>
      </c>
      <c r="B22" s="203">
        <v>100</v>
      </c>
      <c r="C22" s="202">
        <v>29.118584827265458</v>
      </c>
      <c r="D22" s="202">
        <v>81.805255146916068</v>
      </c>
      <c r="E22" s="202">
        <v>16.639385126348458</v>
      </c>
      <c r="F22" s="202">
        <v>65.16587002056761</v>
      </c>
      <c r="G22" s="202">
        <v>30.928084715285181</v>
      </c>
      <c r="H22" s="202">
        <v>-1.5636206008699416</v>
      </c>
      <c r="I22" s="202">
        <v>17.948865565934145</v>
      </c>
    </row>
    <row r="23" spans="1:9">
      <c r="A23" s="182">
        <v>1981</v>
      </c>
      <c r="B23" s="203">
        <v>100</v>
      </c>
      <c r="C23" s="202">
        <v>26.710299054135611</v>
      </c>
      <c r="D23" s="202">
        <v>82.14452858004104</v>
      </c>
      <c r="E23" s="202">
        <v>15.89363544075024</v>
      </c>
      <c r="F23" s="202">
        <v>66.250893139290795</v>
      </c>
      <c r="G23" s="202">
        <v>28.321967739826658</v>
      </c>
      <c r="H23" s="202">
        <v>-0.89443368120389333</v>
      </c>
      <c r="I23" s="202">
        <v>17.138236415471809</v>
      </c>
    </row>
    <row r="24" spans="1:9">
      <c r="A24" s="182">
        <v>1982</v>
      </c>
      <c r="B24" s="203">
        <v>100</v>
      </c>
      <c r="C24" s="202">
        <v>27.291528192698944</v>
      </c>
      <c r="D24" s="202">
        <v>83.825480108430014</v>
      </c>
      <c r="E24" s="202">
        <v>15.898342268364255</v>
      </c>
      <c r="F24" s="202">
        <v>67.927137840065768</v>
      </c>
      <c r="G24" s="202">
        <v>27.581650240496998</v>
      </c>
      <c r="H24" s="202">
        <v>-0.31488236544093245</v>
      </c>
      <c r="I24" s="202">
        <v>16.199280209212862</v>
      </c>
    </row>
    <row r="25" spans="1:9">
      <c r="A25" s="182">
        <v>1983</v>
      </c>
      <c r="B25" s="203">
        <v>100</v>
      </c>
      <c r="C25" s="202">
        <v>21.271394155347963</v>
      </c>
      <c r="D25" s="202">
        <v>82.138671479646575</v>
      </c>
      <c r="E25" s="202">
        <v>16.521088309936843</v>
      </c>
      <c r="F25" s="202">
        <v>65.617583169709732</v>
      </c>
      <c r="G25" s="202">
        <v>22.687676643911178</v>
      </c>
      <c r="H25" s="202">
        <v>0.46673448822922142</v>
      </c>
      <c r="I25" s="202">
        <v>15.978311543560988</v>
      </c>
    </row>
    <row r="26" spans="1:9">
      <c r="A26" s="182">
        <v>1984</v>
      </c>
      <c r="B26" s="203">
        <v>100</v>
      </c>
      <c r="C26" s="202">
        <v>19.982116396670051</v>
      </c>
      <c r="D26" s="202">
        <v>81.312243199130165</v>
      </c>
      <c r="E26" s="202">
        <v>16.212510000825954</v>
      </c>
      <c r="F26" s="202">
        <v>65.099733198304207</v>
      </c>
      <c r="G26" s="202">
        <v>22.083356961376165</v>
      </c>
      <c r="H26" s="202">
        <v>0.59021823682202412</v>
      </c>
      <c r="I26" s="202">
        <v>15.996297999341703</v>
      </c>
    </row>
    <row r="27" spans="1:9">
      <c r="A27" s="182">
        <v>1985</v>
      </c>
      <c r="B27" s="203">
        <v>100</v>
      </c>
      <c r="C27" s="202">
        <v>20.862681453016311</v>
      </c>
      <c r="D27" s="202">
        <v>80.79508592106437</v>
      </c>
      <c r="E27" s="202">
        <v>15.634587675335363</v>
      </c>
      <c r="F27" s="202">
        <v>65.160498245729002</v>
      </c>
      <c r="G27" s="202">
        <v>22.904547034544784</v>
      </c>
      <c r="H27" s="202">
        <v>0.62152840299995948</v>
      </c>
      <c r="I27" s="202">
        <v>16.541520094407201</v>
      </c>
    </row>
    <row r="28" spans="1:9">
      <c r="A28" s="182">
        <v>1986</v>
      </c>
      <c r="B28" s="203">
        <v>100</v>
      </c>
      <c r="C28" s="202">
        <v>20.062343466048237</v>
      </c>
      <c r="D28" s="202">
        <v>78.316596016518119</v>
      </c>
      <c r="E28" s="202">
        <v>15.183567628542335</v>
      </c>
      <c r="F28" s="202">
        <v>63.133028387975784</v>
      </c>
      <c r="G28" s="202">
        <v>22.876289779577842</v>
      </c>
      <c r="H28" s="202">
        <v>1.0245692566817195</v>
      </c>
      <c r="I28" s="202">
        <v>17.844888413270553</v>
      </c>
    </row>
    <row r="29" spans="1:9">
      <c r="A29" s="182">
        <v>1987</v>
      </c>
      <c r="B29" s="203">
        <v>100</v>
      </c>
      <c r="C29" s="202">
        <v>23.728532552213768</v>
      </c>
      <c r="D29" s="202">
        <v>82.341352358384682</v>
      </c>
      <c r="E29" s="202">
        <v>15.008831881131595</v>
      </c>
      <c r="F29" s="202">
        <v>67.332520477253098</v>
      </c>
      <c r="G29" s="202">
        <v>22.905085661470885</v>
      </c>
      <c r="H29" s="202">
        <v>2.4046228133600955</v>
      </c>
      <c r="I29" s="202">
        <v>16.077471718998094</v>
      </c>
    </row>
    <row r="30" spans="1:9">
      <c r="A30" s="182">
        <v>1988</v>
      </c>
      <c r="B30" s="203">
        <v>100</v>
      </c>
      <c r="C30" s="202">
        <v>18.555797694004386</v>
      </c>
      <c r="D30" s="202">
        <v>75.932878625004562</v>
      </c>
      <c r="E30" s="202">
        <v>14.115478738783402</v>
      </c>
      <c r="F30" s="202">
        <v>61.81739988622116</v>
      </c>
      <c r="G30" s="202">
        <v>20.487745031198276</v>
      </c>
      <c r="H30" s="202">
        <v>1.2706095254298964</v>
      </c>
      <c r="I30" s="202">
        <v>20.864564512371651</v>
      </c>
    </row>
    <row r="31" spans="1:9">
      <c r="A31" s="182">
        <v>1989</v>
      </c>
      <c r="B31" s="203">
        <v>100</v>
      </c>
      <c r="C31" s="202">
        <v>19.209509670421831</v>
      </c>
      <c r="D31" s="202">
        <v>76.383317946837565</v>
      </c>
      <c r="E31" s="202">
        <v>15.09332457348019</v>
      </c>
      <c r="F31" s="202">
        <v>61.289993373357362</v>
      </c>
      <c r="G31" s="202">
        <v>19.688163959251234</v>
      </c>
      <c r="H31" s="202">
        <v>2.2058193628865763</v>
      </c>
      <c r="I31" s="202">
        <v>20.932208401446463</v>
      </c>
    </row>
    <row r="32" spans="1:9">
      <c r="A32" s="182">
        <v>1990</v>
      </c>
      <c r="B32" s="203">
        <v>100</v>
      </c>
      <c r="C32" s="202">
        <v>18.239548550933904</v>
      </c>
      <c r="D32" s="202">
        <v>77.186843260038216</v>
      </c>
      <c r="E32" s="202">
        <v>14.443271724395975</v>
      </c>
      <c r="F32" s="202">
        <v>62.743571535642253</v>
      </c>
      <c r="G32" s="202">
        <v>18.132902499610353</v>
      </c>
      <c r="H32" s="202">
        <v>2.6034385076004827</v>
      </c>
      <c r="I32" s="202">
        <v>20.316364283684845</v>
      </c>
    </row>
    <row r="33" spans="1:9">
      <c r="A33" s="182">
        <v>1991</v>
      </c>
      <c r="B33" s="203">
        <v>100</v>
      </c>
      <c r="C33" s="202">
        <v>19.550722141879852</v>
      </c>
      <c r="D33" s="202">
        <v>76.697444532835718</v>
      </c>
      <c r="E33" s="202">
        <v>14.102718391453401</v>
      </c>
      <c r="F33" s="202">
        <v>62.594726141382317</v>
      </c>
      <c r="G33" s="202">
        <v>18.631128508474099</v>
      </c>
      <c r="H33" s="202">
        <v>1.4934032899463818</v>
      </c>
      <c r="I33" s="202">
        <v>22.72874581062365</v>
      </c>
    </row>
    <row r="34" spans="1:9">
      <c r="A34" s="182">
        <v>1992</v>
      </c>
      <c r="B34" s="203">
        <v>100</v>
      </c>
      <c r="C34" s="202">
        <v>20.004776794208432</v>
      </c>
      <c r="D34" s="202">
        <v>75.849682990695328</v>
      </c>
      <c r="E34" s="202">
        <v>13.919038782240472</v>
      </c>
      <c r="F34" s="202">
        <v>61.930644208454844</v>
      </c>
      <c r="G34" s="202">
        <v>18.474119300998009</v>
      </c>
      <c r="H34" s="202">
        <v>2.1950169271143807</v>
      </c>
      <c r="I34" s="202">
        <v>23.485957575400722</v>
      </c>
    </row>
    <row r="35" spans="1:9">
      <c r="A35" s="182">
        <v>1993</v>
      </c>
      <c r="B35" s="203">
        <v>100</v>
      </c>
      <c r="C35" s="202">
        <v>19.538784527970748</v>
      </c>
      <c r="D35" s="202">
        <v>76.57143985391329</v>
      </c>
      <c r="E35" s="202">
        <v>13.937167350755775</v>
      </c>
      <c r="F35" s="202">
        <v>62.748631348842679</v>
      </c>
      <c r="G35" s="202">
        <v>18.182795197239834</v>
      </c>
      <c r="H35" s="202">
        <v>0.32288404568628387</v>
      </c>
      <c r="I35" s="202">
        <v>24.460124797404198</v>
      </c>
    </row>
    <row r="36" spans="1:9">
      <c r="A36" s="182">
        <v>1994</v>
      </c>
      <c r="B36" s="203">
        <v>100</v>
      </c>
      <c r="C36" s="202">
        <v>21.702457578978652</v>
      </c>
      <c r="D36" s="202">
        <v>76.121088628540434</v>
      </c>
      <c r="E36" s="202">
        <v>13.333931985332665</v>
      </c>
      <c r="F36" s="202">
        <v>62.787156643207766</v>
      </c>
      <c r="G36" s="202">
        <v>18.424122704245153</v>
      </c>
      <c r="H36" s="202">
        <v>0.6716240354067089</v>
      </c>
      <c r="I36" s="202">
        <v>26.485622210786357</v>
      </c>
    </row>
    <row r="37" spans="1:9">
      <c r="A37" s="182">
        <v>1995</v>
      </c>
      <c r="B37" s="203">
        <v>100</v>
      </c>
      <c r="C37" s="202">
        <v>23.607903049601354</v>
      </c>
      <c r="D37" s="202">
        <v>76.84598086472306</v>
      </c>
      <c r="E37" s="202">
        <v>12.995476883898013</v>
      </c>
      <c r="F37" s="202">
        <v>63.850503980825046</v>
      </c>
      <c r="G37" s="202">
        <v>17.821158015417591</v>
      </c>
      <c r="H37" s="202">
        <v>0.35543865172850919</v>
      </c>
      <c r="I37" s="202">
        <v>28.585325517732191</v>
      </c>
    </row>
    <row r="38" spans="1:9">
      <c r="A38" s="182">
        <v>1996</v>
      </c>
      <c r="B38" s="203">
        <v>100</v>
      </c>
      <c r="C38" s="202">
        <v>20.3</v>
      </c>
      <c r="D38" s="202">
        <v>75.8</v>
      </c>
      <c r="E38" s="202">
        <v>12.15042824407778</v>
      </c>
      <c r="F38" s="202">
        <v>63.6</v>
      </c>
      <c r="G38" s="202">
        <v>17</v>
      </c>
      <c r="H38" s="202">
        <v>2.4757330545143993E-2</v>
      </c>
      <c r="I38" s="202">
        <v>27.5</v>
      </c>
    </row>
    <row r="39" spans="1:9">
      <c r="A39" s="182">
        <v>1997</v>
      </c>
      <c r="B39" s="203">
        <v>100</v>
      </c>
      <c r="C39" s="202">
        <v>23.429364393987299</v>
      </c>
      <c r="D39" s="202">
        <v>77.084160319625127</v>
      </c>
      <c r="E39" s="202">
        <v>12.533300105827006</v>
      </c>
      <c r="F39" s="202">
        <v>64.550860213798117</v>
      </c>
      <c r="G39" s="202">
        <v>17.562638519517421</v>
      </c>
      <c r="H39" s="202">
        <v>0.57955093889803744</v>
      </c>
      <c r="I39" s="202">
        <v>28.20301461594671</v>
      </c>
    </row>
    <row r="40" spans="1:9">
      <c r="A40" s="182">
        <v>1998</v>
      </c>
      <c r="B40" s="203">
        <v>100</v>
      </c>
      <c r="C40" s="202">
        <v>24.170189816397667</v>
      </c>
      <c r="D40" s="202">
        <v>78.667126510179315</v>
      </c>
      <c r="E40" s="202">
        <v>11.855130608439742</v>
      </c>
      <c r="F40" s="202">
        <v>66.811995901739564</v>
      </c>
      <c r="G40" s="202">
        <v>17.769498938192367</v>
      </c>
      <c r="H40" s="202">
        <v>1.7162805688003206</v>
      </c>
      <c r="I40" s="202">
        <v>26.01728379922567</v>
      </c>
    </row>
    <row r="41" spans="1:9">
      <c r="A41" s="182">
        <v>1999</v>
      </c>
      <c r="B41" s="203">
        <v>100</v>
      </c>
      <c r="C41" s="202">
        <v>17.356072694521156</v>
      </c>
      <c r="D41" s="202">
        <v>73.670368261324313</v>
      </c>
      <c r="E41" s="202">
        <v>12.088407284436457</v>
      </c>
      <c r="F41" s="202">
        <v>61.581960976887864</v>
      </c>
      <c r="G41" s="202">
        <v>13.949555026464965</v>
      </c>
      <c r="H41" s="202">
        <v>0.3403497755470738</v>
      </c>
      <c r="I41" s="202">
        <v>29.395799631184801</v>
      </c>
    </row>
    <row r="42" spans="1:9">
      <c r="A42" s="182">
        <v>2000</v>
      </c>
      <c r="B42" s="203">
        <v>100</v>
      </c>
      <c r="C42" s="202">
        <v>19.369940049954394</v>
      </c>
      <c r="D42" s="202">
        <v>73.843352707029368</v>
      </c>
      <c r="E42" s="202">
        <v>12.436664395048455</v>
      </c>
      <c r="F42" s="202">
        <v>61.406688311980915</v>
      </c>
      <c r="G42" s="202">
        <v>15.51643265288163</v>
      </c>
      <c r="H42" s="202">
        <v>0.19435721554210963</v>
      </c>
      <c r="I42" s="202">
        <v>29.815797474501281</v>
      </c>
    </row>
    <row r="43" spans="1:9">
      <c r="A43" s="182">
        <v>2001</v>
      </c>
      <c r="B43" s="203">
        <v>100</v>
      </c>
      <c r="C43" s="202">
        <v>23.412204107181498</v>
      </c>
      <c r="D43" s="202">
        <v>75.0110820564515</v>
      </c>
      <c r="E43" s="202">
        <v>11.55916016474759</v>
      </c>
      <c r="F43" s="202">
        <v>63.451921891703911</v>
      </c>
      <c r="G43" s="202">
        <v>17.93911694657497</v>
      </c>
      <c r="H43" s="202">
        <v>2.2522306373506953</v>
      </c>
      <c r="I43" s="202">
        <v>28.209774466804326</v>
      </c>
    </row>
    <row r="44" spans="1:9">
      <c r="A44" s="182">
        <v>2002</v>
      </c>
      <c r="B44" s="203">
        <v>100</v>
      </c>
      <c r="C44" s="202">
        <v>26.767430306851619</v>
      </c>
      <c r="D44" s="202">
        <v>76.634709780123345</v>
      </c>
      <c r="E44" s="202">
        <v>11.3666740483254</v>
      </c>
      <c r="F44" s="202">
        <v>65.268035731797951</v>
      </c>
      <c r="G44" s="202">
        <v>20.350978533277956</v>
      </c>
      <c r="H44" s="202">
        <v>2.5131341055791974</v>
      </c>
      <c r="I44" s="202">
        <v>27.26860788787112</v>
      </c>
    </row>
    <row r="45" spans="1:9">
      <c r="A45" s="182">
        <v>2003</v>
      </c>
      <c r="B45" s="203">
        <v>100</v>
      </c>
      <c r="C45" s="202">
        <v>25.000036938831823</v>
      </c>
      <c r="D45" s="202">
        <v>76.63804534763517</v>
      </c>
      <c r="E45" s="202">
        <v>11.192947438044165</v>
      </c>
      <c r="F45" s="202">
        <v>65.445097909590999</v>
      </c>
      <c r="G45" s="202">
        <v>19.88621791213048</v>
      </c>
      <c r="H45" s="202">
        <v>1.5976640550038747E-2</v>
      </c>
      <c r="I45" s="202">
        <v>28.459797038516143</v>
      </c>
    </row>
    <row r="46" spans="1:9">
      <c r="A46" s="182">
        <v>2004</v>
      </c>
      <c r="B46" s="203">
        <v>100</v>
      </c>
      <c r="C46" s="202">
        <v>25.615936499253085</v>
      </c>
      <c r="D46" s="202">
        <v>75.178567220571594</v>
      </c>
      <c r="E46" s="202">
        <v>10.807092167655396</v>
      </c>
      <c r="F46" s="202">
        <v>64.371475052916182</v>
      </c>
      <c r="G46" s="202">
        <v>19.347649279148392</v>
      </c>
      <c r="H46" s="202">
        <v>0.27148410444183246</v>
      </c>
      <c r="I46" s="202">
        <v>30.818235895091277</v>
      </c>
    </row>
    <row r="47" spans="1:9">
      <c r="A47" s="182">
        <v>2005</v>
      </c>
      <c r="B47" s="203">
        <v>100</v>
      </c>
      <c r="C47" s="202">
        <v>27.830823107938436</v>
      </c>
      <c r="D47" s="202">
        <v>74.471947613393112</v>
      </c>
      <c r="E47" s="202">
        <v>10.628450909330041</v>
      </c>
      <c r="F47" s="202">
        <v>63.843496704063071</v>
      </c>
      <c r="G47" s="202">
        <v>20.349572433775933</v>
      </c>
      <c r="H47" s="202">
        <v>1.212960176236771</v>
      </c>
      <c r="I47" s="202">
        <v>31.796342884532613</v>
      </c>
    </row>
    <row r="48" spans="1:9">
      <c r="A48" s="182">
        <v>2006</v>
      </c>
      <c r="B48" s="203">
        <v>100</v>
      </c>
      <c r="C48" s="202">
        <v>29.262299228392326</v>
      </c>
      <c r="D48" s="202">
        <v>74.378546243419891</v>
      </c>
      <c r="E48" s="202">
        <v>10.566508426439832</v>
      </c>
      <c r="F48" s="202">
        <v>63.812037816980059</v>
      </c>
      <c r="G48" s="202">
        <v>20.462579947776817</v>
      </c>
      <c r="H48" s="202">
        <v>1.7956945075104758</v>
      </c>
      <c r="I48" s="202">
        <v>32.62547852968514</v>
      </c>
    </row>
    <row r="49" spans="1:9">
      <c r="A49" s="182">
        <v>2007</v>
      </c>
      <c r="B49" s="203">
        <v>100</v>
      </c>
      <c r="C49" s="202">
        <v>30.655370454587739</v>
      </c>
      <c r="D49" s="202">
        <v>76.018774548830066</v>
      </c>
      <c r="E49" s="202">
        <v>10.92815513210858</v>
      </c>
      <c r="F49" s="202">
        <v>65.090619416721495</v>
      </c>
      <c r="G49" s="202">
        <v>20.769277986766607</v>
      </c>
      <c r="H49" s="202">
        <v>1.9355499456484841</v>
      </c>
      <c r="I49" s="202">
        <v>31.931767973342573</v>
      </c>
    </row>
    <row r="50" spans="1:9">
      <c r="A50" s="182">
        <v>2008</v>
      </c>
      <c r="B50" s="203">
        <v>100</v>
      </c>
      <c r="C50" s="202">
        <v>32.98487266676409</v>
      </c>
      <c r="D50" s="202">
        <v>75.918699081488938</v>
      </c>
      <c r="E50" s="202">
        <v>11.412537210780055</v>
      </c>
      <c r="F50" s="202">
        <v>64.50616187070888</v>
      </c>
      <c r="G50" s="202">
        <v>22.647230597786471</v>
      </c>
      <c r="H50" s="202">
        <v>3.4999110052776006</v>
      </c>
      <c r="I50" s="202">
        <v>30.919031982211081</v>
      </c>
    </row>
    <row r="51" spans="1:9">
      <c r="A51" s="182">
        <v>2009</v>
      </c>
      <c r="B51" s="203">
        <v>100</v>
      </c>
      <c r="C51" s="202">
        <v>29.545634338318905</v>
      </c>
      <c r="D51" s="202">
        <v>76.173712646266154</v>
      </c>
      <c r="E51" s="202">
        <v>12.665948063970109</v>
      </c>
      <c r="F51" s="202">
        <v>63.507764582296055</v>
      </c>
      <c r="G51" s="202">
        <v>21.707883678155827</v>
      </c>
      <c r="H51" s="202">
        <v>2.3913439070377778</v>
      </c>
      <c r="I51" s="202">
        <v>29.272694106859131</v>
      </c>
    </row>
    <row r="52" spans="1:9">
      <c r="A52" s="182">
        <v>2010</v>
      </c>
      <c r="B52" s="203">
        <v>100</v>
      </c>
      <c r="C52" s="202">
        <v>32.770258983299797</v>
      </c>
      <c r="D52" s="202">
        <v>78.847925202530305</v>
      </c>
      <c r="E52" s="202">
        <v>12.771547911065046</v>
      </c>
      <c r="F52" s="202">
        <v>66.076377291465249</v>
      </c>
      <c r="G52" s="202">
        <v>23.105354529939287</v>
      </c>
      <c r="H52" s="202">
        <v>2.60812762792763</v>
      </c>
      <c r="I52" s="202">
        <v>28.208851622902582</v>
      </c>
    </row>
    <row r="53" spans="1:9">
      <c r="A53" s="182">
        <v>2011</v>
      </c>
      <c r="B53" s="203">
        <v>100</v>
      </c>
      <c r="C53" s="202">
        <v>31.487702663718171</v>
      </c>
      <c r="D53" s="202">
        <v>77.267889287732217</v>
      </c>
      <c r="E53" s="202">
        <v>12.869714835260575</v>
      </c>
      <c r="F53" s="202">
        <v>64.39817445247165</v>
      </c>
      <c r="G53" s="202">
        <v>24.490398565687187</v>
      </c>
      <c r="H53" s="202">
        <v>2.0959895914101954</v>
      </c>
      <c r="I53" s="202">
        <v>27.633425218888569</v>
      </c>
    </row>
    <row r="54" spans="1:9">
      <c r="A54" s="182">
        <v>2012</v>
      </c>
      <c r="B54" s="203">
        <v>100</v>
      </c>
      <c r="C54" s="202">
        <v>30.054895531994575</v>
      </c>
      <c r="D54" s="202">
        <v>76.246297277170981</v>
      </c>
      <c r="E54" s="202">
        <v>13.535989231482285</v>
      </c>
      <c r="F54" s="202">
        <v>62.710308045688699</v>
      </c>
      <c r="G54" s="202">
        <v>25.630118737121077</v>
      </c>
      <c r="H54" s="202">
        <v>0.59093011601969747</v>
      </c>
      <c r="I54" s="202">
        <v>27.587549401682811</v>
      </c>
    </row>
    <row r="55" spans="1:9">
      <c r="A55" s="182">
        <v>2013</v>
      </c>
      <c r="B55" s="203">
        <v>100</v>
      </c>
      <c r="C55" s="202">
        <v>30.633233336483773</v>
      </c>
      <c r="D55" s="202">
        <v>76.321237836164343</v>
      </c>
      <c r="E55" s="202">
        <v>14.226963535200715</v>
      </c>
      <c r="F55" s="202">
        <v>62.094274300963633</v>
      </c>
      <c r="G55" s="202">
        <v>26.965415397311894</v>
      </c>
      <c r="H55" s="202">
        <v>0.38681121736541285</v>
      </c>
      <c r="I55" s="202">
        <v>26.95976888564212</v>
      </c>
    </row>
    <row r="56" spans="1:9">
      <c r="A56" s="182" t="s">
        <v>1352</v>
      </c>
      <c r="B56" s="203">
        <v>100</v>
      </c>
      <c r="C56" s="202">
        <v>30.727805262664571</v>
      </c>
      <c r="D56" s="202">
        <v>76.146588912257911</v>
      </c>
      <c r="E56" s="202">
        <v>14.395626738748579</v>
      </c>
      <c r="F56" s="202">
        <v>61.750962173509329</v>
      </c>
      <c r="G56" s="202">
        <v>26.913467650207888</v>
      </c>
      <c r="H56" s="202">
        <v>0.65517088609252827</v>
      </c>
      <c r="I56" s="202">
        <v>27.012577814106244</v>
      </c>
    </row>
    <row r="57" spans="1:9">
      <c r="A57" s="182" t="s">
        <v>1353</v>
      </c>
      <c r="B57" s="203">
        <v>100</v>
      </c>
      <c r="C57" s="202">
        <v>28.04666047283381</v>
      </c>
      <c r="D57" s="202">
        <v>76.023578637883247</v>
      </c>
      <c r="E57" s="202">
        <v>14.458777608936039</v>
      </c>
      <c r="F57" s="202">
        <v>61.564801028947215</v>
      </c>
      <c r="G57" s="202">
        <v>25.297729255819569</v>
      </c>
      <c r="H57" s="202">
        <v>-0.14453792807250981</v>
      </c>
      <c r="I57" s="202">
        <v>26.869890507203497</v>
      </c>
    </row>
    <row r="58" spans="1:9">
      <c r="A58" s="182" t="s">
        <v>1354</v>
      </c>
      <c r="B58" s="203">
        <v>100</v>
      </c>
      <c r="C58" s="202">
        <v>26.633327279407617</v>
      </c>
      <c r="D58" s="202">
        <v>75.50587473624671</v>
      </c>
      <c r="E58" s="202">
        <v>14.182883758423264</v>
      </c>
      <c r="F58" s="202">
        <v>61.322990977823444</v>
      </c>
      <c r="G58" s="202">
        <v>23.610349241309432</v>
      </c>
      <c r="H58" s="202">
        <v>0.33285243332471171</v>
      </c>
      <c r="I58" s="202">
        <v>27.184250868526767</v>
      </c>
    </row>
    <row r="59" spans="1:9">
      <c r="A59" s="178"/>
      <c r="B59" s="178"/>
      <c r="C59" s="178"/>
      <c r="D59" s="178"/>
      <c r="E59" s="178"/>
      <c r="F59" s="178"/>
      <c r="G59" s="178"/>
      <c r="H59" s="178"/>
      <c r="I59" s="178"/>
    </row>
    <row r="60" spans="1:9">
      <c r="A60" s="180" t="s">
        <v>1355</v>
      </c>
    </row>
    <row r="61" spans="1:9">
      <c r="A61" s="180" t="s">
        <v>1356</v>
      </c>
    </row>
    <row r="62" spans="1:9">
      <c r="A62" s="180" t="s">
        <v>1357</v>
      </c>
    </row>
    <row r="63" spans="1:9">
      <c r="A63" s="180" t="s">
        <v>1358</v>
      </c>
    </row>
    <row r="64" spans="1:9">
      <c r="A64" s="187"/>
      <c r="B64" s="188"/>
      <c r="C64" s="188"/>
      <c r="D64" s="188"/>
      <c r="E64" s="188"/>
      <c r="F64" s="188"/>
      <c r="G64" s="188"/>
      <c r="H64" s="188"/>
      <c r="I64" s="188"/>
    </row>
    <row r="65" spans="1:9">
      <c r="B65" s="196"/>
      <c r="C65" s="196"/>
      <c r="D65" s="196"/>
      <c r="E65" s="196"/>
      <c r="F65" s="196"/>
      <c r="G65" s="196"/>
      <c r="H65" s="196"/>
      <c r="I65" s="196"/>
    </row>
    <row r="66" spans="1:9">
      <c r="A66" s="204"/>
      <c r="B66" s="205"/>
      <c r="C66" s="205"/>
      <c r="D66" s="206"/>
      <c r="E66" s="205"/>
      <c r="F66" s="205"/>
      <c r="G66" s="205"/>
      <c r="H66" s="205"/>
      <c r="I66" s="205"/>
    </row>
    <row r="67" spans="1:9">
      <c r="A67" s="107"/>
    </row>
    <row r="68" spans="1:9">
      <c r="A68" s="19" t="s">
        <v>1009</v>
      </c>
    </row>
  </sheetData>
  <mergeCells count="3">
    <mergeCell ref="A1:I1"/>
    <mergeCell ref="A2:I2"/>
    <mergeCell ref="A3:I3"/>
  </mergeCells>
  <hyperlinks>
    <hyperlink ref="A68" location="'indice cap.4'!A1" display="regresar al 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H1"/>
    </sheetView>
  </sheetViews>
  <sheetFormatPr baseColWidth="10" defaultRowHeight="12.75"/>
  <cols>
    <col min="1" max="1" width="11.42578125" style="211"/>
    <col min="2" max="8" width="15.7109375" style="211" customWidth="1"/>
    <col min="9" max="16384" width="11.42578125" style="211"/>
  </cols>
  <sheetData>
    <row r="1" spans="1:8">
      <c r="A1" s="295" t="s">
        <v>1371</v>
      </c>
      <c r="B1" s="295"/>
      <c r="C1" s="295"/>
      <c r="D1" s="295"/>
      <c r="E1" s="295"/>
      <c r="F1" s="295"/>
      <c r="G1" s="295"/>
      <c r="H1" s="295"/>
    </row>
    <row r="2" spans="1:8">
      <c r="A2" s="295" t="s">
        <v>1370</v>
      </c>
      <c r="B2" s="295"/>
      <c r="C2" s="295"/>
      <c r="D2" s="295"/>
      <c r="E2" s="295"/>
      <c r="F2" s="295"/>
      <c r="G2" s="295"/>
      <c r="H2" s="295"/>
    </row>
    <row r="3" spans="1:8">
      <c r="A3" s="295" t="s">
        <v>1363</v>
      </c>
      <c r="B3" s="295"/>
      <c r="C3" s="295"/>
      <c r="D3" s="295"/>
      <c r="E3" s="295"/>
      <c r="F3" s="295"/>
      <c r="G3" s="295"/>
      <c r="H3" s="295"/>
    </row>
    <row r="5" spans="1:8" s="216" customFormat="1" ht="25.5">
      <c r="A5" s="173" t="s">
        <v>1341</v>
      </c>
      <c r="B5" s="174" t="s">
        <v>1342</v>
      </c>
      <c r="C5" s="174" t="s">
        <v>1343</v>
      </c>
      <c r="D5" s="174" t="s">
        <v>1346</v>
      </c>
      <c r="E5" s="174" t="s">
        <v>1369</v>
      </c>
      <c r="F5" s="174" t="s">
        <v>1348</v>
      </c>
      <c r="G5" s="174" t="s">
        <v>1349</v>
      </c>
      <c r="H5" s="175" t="s">
        <v>1350</v>
      </c>
    </row>
    <row r="6" spans="1:8">
      <c r="A6" s="178"/>
      <c r="B6" s="178"/>
      <c r="C6" s="178"/>
      <c r="D6" s="178"/>
      <c r="E6" s="178"/>
      <c r="F6" s="178"/>
      <c r="G6" s="178"/>
    </row>
    <row r="7" spans="1:8">
      <c r="A7" s="182">
        <v>1966</v>
      </c>
      <c r="B7" s="203">
        <v>-0.3395256393577204</v>
      </c>
      <c r="C7" s="202">
        <v>0.52192505986753146</v>
      </c>
      <c r="D7" s="202">
        <v>0.13729155425246167</v>
      </c>
      <c r="E7" s="202">
        <v>0.44859690590864959</v>
      </c>
      <c r="F7" s="202">
        <v>0.30295850599799629</v>
      </c>
      <c r="G7" s="202">
        <v>-1.0320133037668218</v>
      </c>
      <c r="H7" s="202">
        <v>0.32556575811752519</v>
      </c>
    </row>
    <row r="8" spans="1:8">
      <c r="A8" s="182">
        <v>1967</v>
      </c>
      <c r="B8" s="203">
        <v>4.6210739407043588</v>
      </c>
      <c r="C8" s="202">
        <v>3.431569910112116</v>
      </c>
      <c r="D8" s="202">
        <v>0.69308619021072548</v>
      </c>
      <c r="E8" s="202">
        <v>2.1456480002287828</v>
      </c>
      <c r="F8" s="202">
        <v>5.0518902699943782</v>
      </c>
      <c r="G8" s="202">
        <v>-0.49111641340274687</v>
      </c>
      <c r="H8" s="202">
        <v>0.65313580378533476</v>
      </c>
    </row>
    <row r="9" spans="1:8">
      <c r="A9" s="182">
        <v>1968</v>
      </c>
      <c r="B9" s="203">
        <v>1.9094383992128958</v>
      </c>
      <c r="C9" s="202">
        <v>2.4007213553790021</v>
      </c>
      <c r="D9" s="202">
        <v>0.75178686172568254</v>
      </c>
      <c r="E9" s="202">
        <v>3.0325953443085689</v>
      </c>
      <c r="F9" s="202">
        <v>1.8914937729822541</v>
      </c>
      <c r="G9" s="202">
        <v>-1.6097259502260697</v>
      </c>
      <c r="H9" s="202">
        <v>0.24400972580146216</v>
      </c>
    </row>
    <row r="10" spans="1:8">
      <c r="A10" s="182">
        <v>1969</v>
      </c>
      <c r="B10" s="203">
        <v>4.6692379803251125</v>
      </c>
      <c r="C10" s="202">
        <v>4.9084568240564588E-3</v>
      </c>
      <c r="D10" s="202">
        <v>1.0282304693825874</v>
      </c>
      <c r="E10" s="202">
        <v>3.5687674344873783</v>
      </c>
      <c r="F10" s="202">
        <v>0.99941837523693</v>
      </c>
      <c r="G10" s="202">
        <v>0.20737773905347992</v>
      </c>
      <c r="H10" s="202">
        <v>-1.1296475810112063</v>
      </c>
    </row>
    <row r="11" spans="1:8">
      <c r="A11" s="182">
        <v>1970</v>
      </c>
      <c r="B11" s="203">
        <v>6.8719293298600839</v>
      </c>
      <c r="C11" s="202">
        <v>0.65251073113819336</v>
      </c>
      <c r="D11" s="202">
        <v>0.43223529750171219</v>
      </c>
      <c r="E11" s="202">
        <v>5.7060324054441685</v>
      </c>
      <c r="F11" s="202">
        <v>-8.1386242090294006E-2</v>
      </c>
      <c r="G11" s="202">
        <v>1.4529845617176096</v>
      </c>
      <c r="H11" s="202">
        <v>1.4574038425079651E-2</v>
      </c>
    </row>
    <row r="12" spans="1:8">
      <c r="A12" s="182">
        <v>1971</v>
      </c>
      <c r="B12" s="203">
        <v>6.2926061962832289</v>
      </c>
      <c r="C12" s="202">
        <v>3.9964981175016336</v>
      </c>
      <c r="D12" s="202">
        <v>0.12993406484420325</v>
      </c>
      <c r="E12" s="202">
        <v>3.4825444990120644</v>
      </c>
      <c r="F12" s="202">
        <v>7.6737357344533024</v>
      </c>
      <c r="G12" s="202">
        <v>-1.7635341935140791</v>
      </c>
      <c r="H12" s="202">
        <v>0.7664242089893718</v>
      </c>
    </row>
    <row r="13" spans="1:8">
      <c r="A13" s="182">
        <v>1972</v>
      </c>
      <c r="B13" s="203">
        <v>5.0176407036024155</v>
      </c>
      <c r="C13" s="202">
        <v>-1.2707214963368105</v>
      </c>
      <c r="D13" s="202">
        <v>0.17342215838113778</v>
      </c>
      <c r="E13" s="202">
        <v>-1.3569760196925214</v>
      </c>
      <c r="F13" s="202">
        <v>-1.6123557053365625</v>
      </c>
      <c r="G13" s="202">
        <v>0.35272199356064449</v>
      </c>
      <c r="H13" s="202">
        <v>6.1901067803529068</v>
      </c>
    </row>
    <row r="14" spans="1:8">
      <c r="A14" s="182">
        <v>1973</v>
      </c>
      <c r="B14" s="203">
        <v>13.950682132182488</v>
      </c>
      <c r="C14" s="202">
        <v>3.6408001971609973</v>
      </c>
      <c r="D14" s="202">
        <v>1.5162706410223901</v>
      </c>
      <c r="E14" s="202">
        <v>3.0328408521908541</v>
      </c>
      <c r="F14" s="202">
        <v>0.2386039680477057</v>
      </c>
      <c r="G14" s="202">
        <v>-1.694134935307827</v>
      </c>
      <c r="H14" s="202">
        <v>14.497901803390363</v>
      </c>
    </row>
    <row r="15" spans="1:8">
      <c r="A15" s="182">
        <v>1974</v>
      </c>
      <c r="B15" s="203">
        <v>11.208509627647688</v>
      </c>
      <c r="C15" s="202">
        <v>9.7082665463592743</v>
      </c>
      <c r="D15" s="202">
        <v>7.5462216729507015</v>
      </c>
      <c r="E15" s="202">
        <v>9.00694080114617</v>
      </c>
      <c r="F15" s="202">
        <v>1.4798270743695399</v>
      </c>
      <c r="G15" s="202">
        <v>-2.6209241243976029</v>
      </c>
      <c r="H15" s="202">
        <v>5.5047107499381571</v>
      </c>
    </row>
    <row r="16" spans="1:8">
      <c r="A16" s="182">
        <v>1975</v>
      </c>
      <c r="B16" s="203">
        <v>10.97215400157325</v>
      </c>
      <c r="C16" s="202">
        <v>1.5059640591038534</v>
      </c>
      <c r="D16" s="202">
        <v>0.826245192690507</v>
      </c>
      <c r="E16" s="202">
        <v>8.3626442682940656</v>
      </c>
      <c r="F16" s="202">
        <v>6.2068570261573086</v>
      </c>
      <c r="G16" s="202">
        <v>2.2331585392017748</v>
      </c>
      <c r="H16" s="202">
        <v>-5.150786965666553</v>
      </c>
    </row>
    <row r="17" spans="1:8">
      <c r="A17" s="182">
        <v>1976</v>
      </c>
      <c r="B17" s="203">
        <v>7.3971876193067159</v>
      </c>
      <c r="C17" s="202">
        <v>0.51676107982018027</v>
      </c>
      <c r="D17" s="202">
        <v>1.6039654147961211</v>
      </c>
      <c r="E17" s="202">
        <v>4.4686306348358915</v>
      </c>
      <c r="F17" s="202">
        <v>1.4061955423635102</v>
      </c>
      <c r="G17" s="202">
        <v>-7.6605690393717035E-2</v>
      </c>
      <c r="H17" s="202">
        <v>0.51176279752509091</v>
      </c>
    </row>
    <row r="18" spans="1:8">
      <c r="A18" s="182">
        <v>1977</v>
      </c>
      <c r="B18" s="203">
        <v>1.6048421117815321</v>
      </c>
      <c r="C18" s="202">
        <v>4.2703451131864449</v>
      </c>
      <c r="D18" s="202">
        <v>0.70656864528464136</v>
      </c>
      <c r="E18" s="202">
        <v>2.2669653880539831</v>
      </c>
      <c r="F18" s="202">
        <v>2.8842562669566831</v>
      </c>
      <c r="G18" s="202">
        <v>-0.25703037011521829</v>
      </c>
      <c r="H18" s="202">
        <v>0.27442729478788802</v>
      </c>
    </row>
    <row r="19" spans="1:8">
      <c r="A19" s="182">
        <v>1978</v>
      </c>
      <c r="B19" s="203">
        <v>5.7068249445792087</v>
      </c>
      <c r="C19" s="202">
        <v>1.0756809122311197</v>
      </c>
      <c r="D19" s="202">
        <v>1.2933977956242915</v>
      </c>
      <c r="E19" s="202">
        <v>1.4279084999623344</v>
      </c>
      <c r="F19" s="202">
        <v>2.4454188891882231</v>
      </c>
      <c r="G19" s="202">
        <v>0.41548332957655648</v>
      </c>
      <c r="H19" s="202">
        <v>1.2002973424589223</v>
      </c>
    </row>
    <row r="20" spans="1:8">
      <c r="A20" s="182">
        <v>1979</v>
      </c>
      <c r="B20" s="203">
        <v>3.7340484012231006</v>
      </c>
      <c r="C20" s="202">
        <v>0.6559418494890884</v>
      </c>
      <c r="D20" s="202">
        <v>0.1778555854986956</v>
      </c>
      <c r="E20" s="202">
        <v>4.7654711612246823</v>
      </c>
      <c r="F20" s="202">
        <v>-0.41603387584729645</v>
      </c>
      <c r="G20" s="202">
        <v>-0.679887152579147</v>
      </c>
      <c r="H20" s="202">
        <v>0.54258453241525428</v>
      </c>
    </row>
    <row r="21" spans="1:8">
      <c r="A21" s="182">
        <v>1980</v>
      </c>
      <c r="B21" s="203">
        <v>3.7086829688621803</v>
      </c>
      <c r="C21" s="202">
        <v>2.6033044375934447</v>
      </c>
      <c r="D21" s="202">
        <v>0.62348083944398924</v>
      </c>
      <c r="E21" s="202">
        <v>4.914870993939668</v>
      </c>
      <c r="F21" s="202">
        <v>1.1847026109077037</v>
      </c>
      <c r="G21" s="202">
        <v>-0.48125069774403589</v>
      </c>
      <c r="H21" s="202">
        <v>7.018365990829932E-2</v>
      </c>
    </row>
    <row r="22" spans="1:8">
      <c r="A22" s="182">
        <v>1981</v>
      </c>
      <c r="B22" s="203">
        <v>5.6128641195903226</v>
      </c>
      <c r="C22" s="202">
        <v>-0.90907298128499447</v>
      </c>
      <c r="D22" s="202">
        <v>0.14633847535414607</v>
      </c>
      <c r="E22" s="202">
        <v>4.8035957286465694</v>
      </c>
      <c r="F22" s="202">
        <v>-1.0164434102278512</v>
      </c>
      <c r="G22" s="202">
        <v>0.61898357250022407</v>
      </c>
      <c r="H22" s="202">
        <v>0.15131677203223987</v>
      </c>
    </row>
    <row r="23" spans="1:8">
      <c r="A23" s="182">
        <v>1982</v>
      </c>
      <c r="B23" s="203">
        <v>0.61484535364787818</v>
      </c>
      <c r="C23" s="202">
        <v>0.74902983159564474</v>
      </c>
      <c r="D23" s="202">
        <v>0.10245704635808649</v>
      </c>
      <c r="E23" s="202">
        <v>2.0938915516506005</v>
      </c>
      <c r="F23" s="202">
        <v>-0.57073300436655661</v>
      </c>
      <c r="G23" s="202">
        <v>0.57761527616959085</v>
      </c>
      <c r="H23" s="202">
        <v>-0.83935568456819842</v>
      </c>
    </row>
    <row r="24" spans="1:8">
      <c r="A24" s="182">
        <v>1983</v>
      </c>
      <c r="B24" s="203">
        <v>-0.3368687709863325</v>
      </c>
      <c r="C24" s="202">
        <v>-6.0917907214137612</v>
      </c>
      <c r="D24" s="202">
        <v>0.56709165442933973</v>
      </c>
      <c r="E24" s="202">
        <v>-2.5305998163307728</v>
      </c>
      <c r="F24" s="202">
        <v>-4.9704012940615145</v>
      </c>
      <c r="G24" s="202">
        <v>0.78004457093588686</v>
      </c>
      <c r="H24" s="202">
        <v>-0.27479460737303402</v>
      </c>
    </row>
    <row r="25" spans="1:8">
      <c r="A25" s="182">
        <v>1984</v>
      </c>
      <c r="B25" s="203">
        <v>2.6252732682887374</v>
      </c>
      <c r="C25" s="202">
        <v>-0.76469259847779469</v>
      </c>
      <c r="D25" s="202">
        <v>0.1170443820594313</v>
      </c>
      <c r="E25" s="202">
        <v>1.1911959219768455</v>
      </c>
      <c r="F25" s="202">
        <v>-2.4571215487227339E-2</v>
      </c>
      <c r="G25" s="202">
        <v>0.1389785901886563</v>
      </c>
      <c r="H25" s="202">
        <v>0.43793299107323702</v>
      </c>
    </row>
    <row r="26" spans="1:8">
      <c r="A26" s="182">
        <v>1985</v>
      </c>
      <c r="B26" s="203">
        <v>3.9350014115187255</v>
      </c>
      <c r="C26" s="202">
        <v>1.7015118660031072</v>
      </c>
      <c r="D26" s="202">
        <v>3.7298920218987272E-2</v>
      </c>
      <c r="E26" s="202">
        <v>2.6248315731468681</v>
      </c>
      <c r="F26" s="202">
        <v>1.7224843222799286</v>
      </c>
      <c r="G26" s="202">
        <v>5.5767317608973528E-2</v>
      </c>
      <c r="H26" s="202">
        <v>1.1961311442670761</v>
      </c>
    </row>
    <row r="27" spans="1:8">
      <c r="A27" s="182">
        <v>1986</v>
      </c>
      <c r="B27" s="203">
        <v>3.4647825158386247</v>
      </c>
      <c r="C27" s="202">
        <v>-0.10522141828894038</v>
      </c>
      <c r="D27" s="202">
        <v>7.5057549681242244E-2</v>
      </c>
      <c r="E27" s="202">
        <v>0.15995227155280142</v>
      </c>
      <c r="F27" s="202">
        <v>0.76435643358845029</v>
      </c>
      <c r="G27" s="202">
        <v>0.43853995014992603</v>
      </c>
      <c r="H27" s="202">
        <v>1.9216548925772645</v>
      </c>
    </row>
    <row r="28" spans="1:8">
      <c r="A28" s="182">
        <v>1987</v>
      </c>
      <c r="B28" s="203">
        <v>-0.25909870835040039</v>
      </c>
      <c r="C28" s="202">
        <v>3.6047087648122442</v>
      </c>
      <c r="D28" s="202">
        <v>-0.2136234369532336</v>
      </c>
      <c r="E28" s="202">
        <v>4.025034398420984</v>
      </c>
      <c r="F28" s="202">
        <v>-3.0550899202381271E-2</v>
      </c>
      <c r="G28" s="202">
        <v>1.373823210028261</v>
      </c>
      <c r="H28" s="202">
        <v>-1.8090732158317859</v>
      </c>
    </row>
    <row r="29" spans="1:8">
      <c r="A29" s="182">
        <v>1988</v>
      </c>
      <c r="B29" s="203">
        <v>5.8904672900015917</v>
      </c>
      <c r="C29" s="202">
        <v>-4.0797116646451821</v>
      </c>
      <c r="D29" s="202">
        <v>-6.1885484413028796E-2</v>
      </c>
      <c r="E29" s="202">
        <v>-1.8737868712046006</v>
      </c>
      <c r="F29" s="202">
        <v>-1.2105167107509442</v>
      </c>
      <c r="G29" s="202">
        <v>-1.0591684494511064</v>
      </c>
      <c r="H29" s="202">
        <v>6.0161131411760893</v>
      </c>
    </row>
    <row r="30" spans="1:8">
      <c r="A30" s="182">
        <v>1989</v>
      </c>
      <c r="B30" s="203">
        <v>1.0057779461983127</v>
      </c>
      <c r="C30" s="202">
        <v>0.84691698825538209</v>
      </c>
      <c r="D30" s="202">
        <v>1.1296511646049854</v>
      </c>
      <c r="E30" s="202">
        <v>8.9034723711838959E-2</v>
      </c>
      <c r="F30" s="202">
        <v>-0.60156186083352625</v>
      </c>
      <c r="G30" s="202">
        <v>0.95739548214156589</v>
      </c>
      <c r="H30" s="202">
        <v>0.2781754248288309</v>
      </c>
    </row>
    <row r="31" spans="1:8">
      <c r="A31" s="182">
        <v>1990</v>
      </c>
      <c r="B31" s="203">
        <v>3.6799140527841878</v>
      </c>
      <c r="C31" s="202">
        <v>-0.29876140919771799</v>
      </c>
      <c r="D31" s="202">
        <v>-0.11855286321636394</v>
      </c>
      <c r="E31" s="202">
        <v>3.7624876684436841</v>
      </c>
      <c r="F31" s="202">
        <v>-0.88798623238006702</v>
      </c>
      <c r="G31" s="202">
        <v>0.49342344421069084</v>
      </c>
      <c r="H31" s="202">
        <v>0.13178062652852571</v>
      </c>
    </row>
    <row r="32" spans="1:8">
      <c r="A32" s="182">
        <v>1991</v>
      </c>
      <c r="B32" s="203">
        <v>4.2913423980209746</v>
      </c>
      <c r="C32" s="202">
        <v>2.1501620193397097</v>
      </c>
      <c r="D32" s="202">
        <v>0.2646426006633652</v>
      </c>
      <c r="E32" s="202">
        <v>2.5373086275703334</v>
      </c>
      <c r="F32" s="202">
        <v>1.2977515257776646</v>
      </c>
      <c r="G32" s="202">
        <v>-1.0459481690991916</v>
      </c>
      <c r="H32" s="202">
        <v>3.3877498324485127</v>
      </c>
    </row>
    <row r="33" spans="1:8">
      <c r="A33" s="182">
        <v>1992</v>
      </c>
      <c r="B33" s="203">
        <v>2.114310675127999</v>
      </c>
      <c r="C33" s="202">
        <v>0.87701778362406069</v>
      </c>
      <c r="D33" s="202">
        <v>0.1106121136351871</v>
      </c>
      <c r="E33" s="202">
        <v>0.64532428874742542</v>
      </c>
      <c r="F33" s="202">
        <v>0.23359106904080007</v>
      </c>
      <c r="G33" s="202">
        <v>0.74802311437884472</v>
      </c>
      <c r="H33" s="202">
        <v>1.2537778729498024</v>
      </c>
    </row>
    <row r="34" spans="1:8">
      <c r="A34" s="182">
        <v>1993</v>
      </c>
      <c r="B34" s="203">
        <v>1.9732180787518379</v>
      </c>
      <c r="C34" s="202">
        <v>-0.11016188910197458</v>
      </c>
      <c r="D34" s="202">
        <v>0.27194515099122335</v>
      </c>
      <c r="E34" s="202">
        <v>1.9607332065847618</v>
      </c>
      <c r="F34" s="202">
        <v>3.9811687373206263E-2</v>
      </c>
      <c r="G34" s="202">
        <v>-1.8662526818904448</v>
      </c>
      <c r="H34" s="202">
        <v>1.4568188265911166</v>
      </c>
    </row>
    <row r="35" spans="1:8">
      <c r="A35" s="182">
        <v>1994</v>
      </c>
      <c r="B35" s="203">
        <v>4.2599006709047913</v>
      </c>
      <c r="C35" s="202">
        <v>3.1216107062121101</v>
      </c>
      <c r="D35" s="202">
        <v>-1.4681028007697732E-2</v>
      </c>
      <c r="E35" s="202">
        <v>2.809924864798639</v>
      </c>
      <c r="F35" s="202">
        <v>1.0545607935246484</v>
      </c>
      <c r="G35" s="202">
        <v>0.37838520161935174</v>
      </c>
      <c r="H35" s="202">
        <v>3.1533215451819587</v>
      </c>
    </row>
    <row r="36" spans="1:8">
      <c r="A36" s="182">
        <v>1995</v>
      </c>
      <c r="B36" s="203">
        <v>2.2525487742371446</v>
      </c>
      <c r="C36" s="202">
        <v>2.4372250013895922</v>
      </c>
      <c r="D36" s="202">
        <v>-4.5725646180132778E-2</v>
      </c>
      <c r="E36" s="202">
        <v>2.5016110823815998</v>
      </c>
      <c r="F36" s="202">
        <v>-0.20153441239641057</v>
      </c>
      <c r="G36" s="202">
        <v>-0.30817895468552414</v>
      </c>
      <c r="H36" s="202">
        <v>2.7436017065072047</v>
      </c>
    </row>
    <row r="37" spans="1:8">
      <c r="A37" s="182">
        <v>1996</v>
      </c>
      <c r="B37" s="203">
        <v>1.7</v>
      </c>
      <c r="C37" s="202">
        <v>-2.9738817623380616</v>
      </c>
      <c r="D37" s="202">
        <v>-0.57344617254594099</v>
      </c>
      <c r="E37" s="202">
        <v>0.8</v>
      </c>
      <c r="F37" s="202">
        <v>-0.53931150592855148</v>
      </c>
      <c r="G37" s="202">
        <v>-0.33012791253602281</v>
      </c>
      <c r="H37" s="202">
        <v>-0.6067499239936428</v>
      </c>
    </row>
    <row r="38" spans="1:8">
      <c r="A38" s="182">
        <v>1997</v>
      </c>
      <c r="B38" s="203">
        <v>4.3</v>
      </c>
      <c r="C38" s="202">
        <v>4.1400868112908524</v>
      </c>
      <c r="D38" s="202">
        <v>0.86088848578069477</v>
      </c>
      <c r="E38" s="202">
        <v>3.8</v>
      </c>
      <c r="F38" s="202">
        <v>1.3284865118932605</v>
      </c>
      <c r="G38" s="202">
        <v>0.57689752200110378</v>
      </c>
      <c r="H38" s="202">
        <v>1.9118340204197184</v>
      </c>
    </row>
    <row r="39" spans="1:8">
      <c r="A39" s="182">
        <v>1998</v>
      </c>
      <c r="B39" s="203">
        <v>3.2665294037466523</v>
      </c>
      <c r="C39" s="202">
        <v>1.530351779704372</v>
      </c>
      <c r="D39" s="202">
        <v>-0.29091817021001004</v>
      </c>
      <c r="E39" s="202">
        <v>4.4435691793017682</v>
      </c>
      <c r="F39" s="202">
        <v>0.78730632638944831</v>
      </c>
      <c r="G39" s="202">
        <v>1.1927924393329361</v>
      </c>
      <c r="H39" s="202">
        <v>-1.3358685913631181</v>
      </c>
    </row>
    <row r="40" spans="1:8">
      <c r="A40" s="182">
        <v>1999</v>
      </c>
      <c r="B40" s="203">
        <v>-4.7393857908558807</v>
      </c>
      <c r="C40" s="202">
        <v>-7.6366883650112616</v>
      </c>
      <c r="D40" s="202">
        <v>-0.33963958118265658</v>
      </c>
      <c r="E40" s="202">
        <v>-8.148641633120743</v>
      </c>
      <c r="F40" s="202">
        <v>-4.4810671405393023</v>
      </c>
      <c r="G40" s="202">
        <v>-1.3920612821547347</v>
      </c>
      <c r="H40" s="202">
        <v>1.9853354811302937</v>
      </c>
    </row>
    <row r="41" spans="1:8">
      <c r="A41" s="182">
        <v>2000</v>
      </c>
      <c r="B41" s="203">
        <v>1.0918015643575889</v>
      </c>
      <c r="C41" s="202">
        <v>2.2253486639137665</v>
      </c>
      <c r="D41" s="202">
        <v>0.48404080703104391</v>
      </c>
      <c r="E41" s="202">
        <v>0.49516651870344941</v>
      </c>
      <c r="F41" s="202">
        <v>1.7362862808533184</v>
      </c>
      <c r="G41" s="202">
        <v>-0.14387056488523353</v>
      </c>
      <c r="H41" s="202">
        <v>0.74552718656877759</v>
      </c>
    </row>
    <row r="42" spans="1:8">
      <c r="A42" s="182">
        <v>2001</v>
      </c>
      <c r="B42" s="203">
        <v>4.0156298995849351</v>
      </c>
      <c r="C42" s="202">
        <v>4.9824115255069312</v>
      </c>
      <c r="D42" s="202">
        <v>-0.41333113858434994</v>
      </c>
      <c r="E42" s="202">
        <v>4.5932279270675362</v>
      </c>
      <c r="F42" s="202">
        <v>3.1430528375215148</v>
      </c>
      <c r="G42" s="202">
        <v>2.1483146686896526</v>
      </c>
      <c r="H42" s="202">
        <v>-0.47322286960248711</v>
      </c>
    </row>
    <row r="43" spans="1:8">
      <c r="A43" s="182">
        <v>2002</v>
      </c>
      <c r="B43" s="203">
        <v>4.096776658853563</v>
      </c>
      <c r="C43" s="202">
        <v>4.451828036656118</v>
      </c>
      <c r="D43" s="202">
        <v>0.2731811328775709</v>
      </c>
      <c r="E43" s="202">
        <v>4.4899994936465388</v>
      </c>
      <c r="F43" s="202">
        <v>3.2455957251026155</v>
      </c>
      <c r="G43" s="202">
        <v>0.36386095967155857</v>
      </c>
      <c r="H43" s="202">
        <v>0.17596738421139727</v>
      </c>
    </row>
    <row r="44" spans="1:8">
      <c r="A44" s="182">
        <v>2003</v>
      </c>
      <c r="B44" s="203">
        <v>2.7228773369547374</v>
      </c>
      <c r="C44" s="202">
        <v>-1.0866730279820367</v>
      </c>
      <c r="D44" s="202">
        <v>0.13104361884652421</v>
      </c>
      <c r="E44" s="202">
        <v>1.9590519169211336</v>
      </c>
      <c r="F44" s="202">
        <v>7.6716699559358753E-2</v>
      </c>
      <c r="G44" s="202">
        <v>-2.4967224407044148</v>
      </c>
      <c r="H44" s="202">
        <v>1.9661145143500991</v>
      </c>
    </row>
    <row r="45" spans="1:8">
      <c r="A45" s="182">
        <v>2004</v>
      </c>
      <c r="B45" s="203">
        <v>8.2110209173403863</v>
      </c>
      <c r="C45" s="202">
        <v>2.7192294645475616</v>
      </c>
      <c r="D45" s="202">
        <v>0.50151732805366911</v>
      </c>
      <c r="E45" s="202">
        <v>4.2119324247206924</v>
      </c>
      <c r="F45" s="202">
        <v>1.0500708963424388</v>
      </c>
      <c r="G45" s="202">
        <v>0.27779908049476681</v>
      </c>
      <c r="H45" s="202">
        <v>4.8889306522763789</v>
      </c>
    </row>
    <row r="46" spans="1:8">
      <c r="A46" s="182">
        <v>2005</v>
      </c>
      <c r="B46" s="203">
        <v>5.291308266994017</v>
      </c>
      <c r="C46" s="202">
        <v>3.6875012525681785</v>
      </c>
      <c r="D46" s="202">
        <v>0.38374284329342495</v>
      </c>
      <c r="E46" s="202">
        <v>2.8501778701870255</v>
      </c>
      <c r="F46" s="202">
        <v>2.0786817631138668</v>
      </c>
      <c r="G46" s="202">
        <v>1.0056575338754998</v>
      </c>
      <c r="H46" s="202">
        <v>2.6605495090923781</v>
      </c>
    </row>
    <row r="47" spans="1:8">
      <c r="A47" s="182">
        <v>2006</v>
      </c>
      <c r="B47" s="203">
        <v>4.4035264338318605</v>
      </c>
      <c r="C47" s="202">
        <v>2.720049202123128</v>
      </c>
      <c r="D47" s="202">
        <v>0.4033565088011401</v>
      </c>
      <c r="E47" s="202">
        <v>2.7785210661544815</v>
      </c>
      <c r="F47" s="202">
        <v>1.0140826310452171</v>
      </c>
      <c r="G47" s="202">
        <v>0.66180821358279529</v>
      </c>
      <c r="H47" s="202">
        <v>2.2658072163713538</v>
      </c>
    </row>
    <row r="48" spans="1:8">
      <c r="A48" s="182">
        <v>2007</v>
      </c>
      <c r="B48" s="203">
        <f>+'[1]4.5'!B49*'[1]4.3'!B48/100</f>
        <v>2.190063972245393</v>
      </c>
      <c r="C48" s="202">
        <v>2.0644434500797009</v>
      </c>
      <c r="D48" s="202">
        <v>0.60098029404814668</v>
      </c>
      <c r="E48" s="202">
        <v>2.7041078048984235</v>
      </c>
      <c r="F48" s="202">
        <v>0.76155851347345738</v>
      </c>
      <c r="G48" s="202">
        <v>0.18224522016247155</v>
      </c>
      <c r="H48" s="202">
        <v>5.6155897426057996E-3</v>
      </c>
    </row>
    <row r="49" spans="1:8">
      <c r="A49" s="182">
        <v>2008</v>
      </c>
      <c r="B49" s="203">
        <v>6.3571305999083219</v>
      </c>
      <c r="C49" s="202">
        <v>4.4263936458160114</v>
      </c>
      <c r="D49" s="202">
        <v>1.2098919739238969</v>
      </c>
      <c r="E49" s="202">
        <v>3.516283409096622</v>
      </c>
      <c r="F49" s="202">
        <v>3.3176666373835531</v>
      </c>
      <c r="G49" s="202">
        <v>1.7868549731151782</v>
      </c>
      <c r="H49" s="202">
        <v>0.95282725220509035</v>
      </c>
    </row>
    <row r="50" spans="1:8">
      <c r="A50" s="182">
        <v>2009</v>
      </c>
      <c r="B50" s="203">
        <v>0.56649159210009348</v>
      </c>
      <c r="C50" s="202">
        <v>-3.2718647940859715</v>
      </c>
      <c r="D50" s="202">
        <v>1.3251623840322082</v>
      </c>
      <c r="E50" s="202">
        <v>-0.63863114172339763</v>
      </c>
      <c r="F50" s="202">
        <v>-0.81637358377102032</v>
      </c>
      <c r="G50" s="202">
        <v>-1.095020336068256</v>
      </c>
      <c r="H50" s="202">
        <v>-1.4805105244554093</v>
      </c>
    </row>
    <row r="51" spans="1:8">
      <c r="A51" s="182">
        <v>2010</v>
      </c>
      <c r="B51" s="203">
        <v>3.5252986689402688</v>
      </c>
      <c r="C51" s="202">
        <v>4.3798741487274464</v>
      </c>
      <c r="D51" s="202">
        <v>0.55583505560678292</v>
      </c>
      <c r="E51" s="202">
        <v>4.8980023583091814</v>
      </c>
      <c r="F51" s="202">
        <v>2.2120036074813352</v>
      </c>
      <c r="G51" s="202">
        <v>0.30872800944144835</v>
      </c>
      <c r="H51" s="202">
        <v>-6.9396213171031673E-2</v>
      </c>
    </row>
    <row r="52" spans="1:8">
      <c r="A52" s="182">
        <v>2011</v>
      </c>
      <c r="B52" s="203">
        <v>7.8681409191099672</v>
      </c>
      <c r="C52" s="202">
        <v>1.1949404981900542</v>
      </c>
      <c r="D52" s="202">
        <v>1.1107742233214293</v>
      </c>
      <c r="E52" s="202">
        <v>3.3887362762611293</v>
      </c>
      <c r="F52" s="202">
        <v>3.3119831065478502</v>
      </c>
      <c r="G52" s="202">
        <v>-0.34722262181540331</v>
      </c>
      <c r="H52" s="202">
        <v>1.5988104329850095</v>
      </c>
    </row>
    <row r="53" spans="1:8">
      <c r="A53" s="182">
        <v>2012</v>
      </c>
      <c r="B53" s="203">
        <v>5.6419620667119919</v>
      </c>
      <c r="C53" s="202">
        <v>0.26287867338145415</v>
      </c>
      <c r="D53" s="202">
        <v>1.4299697740161588</v>
      </c>
      <c r="E53" s="202">
        <v>1.8502253850730528</v>
      </c>
      <c r="F53" s="202">
        <v>2.5857617482355049</v>
      </c>
      <c r="G53" s="202">
        <v>-1.4717194224038894</v>
      </c>
      <c r="H53" s="202">
        <v>1.510603255172619</v>
      </c>
    </row>
    <row r="54" spans="1:8">
      <c r="A54" s="182">
        <v>2013</v>
      </c>
      <c r="B54" s="215">
        <v>4.9465112669062616</v>
      </c>
      <c r="C54" s="202">
        <v>2.0936141428960577</v>
      </c>
      <c r="D54" s="202">
        <v>1.3947126579257809</v>
      </c>
      <c r="E54" s="202">
        <v>2.4554665296757876</v>
      </c>
      <c r="F54" s="202">
        <v>2.6691439709869256</v>
      </c>
      <c r="G54" s="202">
        <v>-0.18498523820564711</v>
      </c>
      <c r="H54" s="202">
        <v>0.70578748941948777</v>
      </c>
    </row>
    <row r="55" spans="1:8">
      <c r="A55" s="182" t="s">
        <v>1352</v>
      </c>
      <c r="B55" s="215">
        <v>3.9927085087690051</v>
      </c>
      <c r="C55" s="202">
        <v>1.3214436214611711</v>
      </c>
      <c r="D55" s="202">
        <v>0.74343861723650628</v>
      </c>
      <c r="E55" s="202">
        <v>2.1222237934941344</v>
      </c>
      <c r="F55" s="202">
        <v>1.0226285657706398</v>
      </c>
      <c r="G55" s="202">
        <v>0.29451873244310905</v>
      </c>
      <c r="H55" s="202">
        <v>1.1313424212857905</v>
      </c>
    </row>
    <row r="56" spans="1:8">
      <c r="A56" s="182" t="s">
        <v>1353</v>
      </c>
      <c r="B56" s="203">
        <v>0.1577437243326818</v>
      </c>
      <c r="C56" s="202">
        <v>-2.6369029430499662</v>
      </c>
      <c r="D56" s="202">
        <v>8.5958684480777134E-2</v>
      </c>
      <c r="E56" s="202">
        <v>-8.9046534541040778E-2</v>
      </c>
      <c r="F56" s="202">
        <v>-1.5758328140885924</v>
      </c>
      <c r="G56" s="202">
        <v>-0.79993681367585301</v>
      </c>
      <c r="H56" s="202">
        <v>-0.10030174089256561</v>
      </c>
    </row>
    <row r="57" spans="1:8">
      <c r="A57" s="182" t="s">
        <v>1354</v>
      </c>
      <c r="B57" s="203">
        <v>-1.4674988940193368</v>
      </c>
      <c r="C57" s="202">
        <v>-1.804176976692051</v>
      </c>
      <c r="D57" s="202">
        <v>-0.48402751280768613</v>
      </c>
      <c r="E57" s="202">
        <v>-1.1417242655029032</v>
      </c>
      <c r="F57" s="202">
        <v>-2.0338616285004543</v>
      </c>
      <c r="G57" s="202">
        <v>0.4725057556194649</v>
      </c>
      <c r="H57" s="202">
        <v>-8.4568219519805754E-2</v>
      </c>
    </row>
    <row r="58" spans="1:8">
      <c r="A58" s="178"/>
      <c r="B58" s="178"/>
      <c r="C58" s="178"/>
      <c r="D58" s="178"/>
      <c r="E58" s="178"/>
      <c r="F58" s="178"/>
      <c r="G58" s="178"/>
      <c r="H58" s="178"/>
    </row>
    <row r="59" spans="1:8">
      <c r="A59" s="211" t="s">
        <v>1355</v>
      </c>
    </row>
    <row r="60" spans="1:8">
      <c r="A60" s="180" t="s">
        <v>1356</v>
      </c>
    </row>
    <row r="61" spans="1:8">
      <c r="A61" s="180" t="s">
        <v>1357</v>
      </c>
    </row>
    <row r="62" spans="1:8">
      <c r="A62" s="180" t="s">
        <v>1358</v>
      </c>
    </row>
    <row r="63" spans="1:8">
      <c r="A63" s="214"/>
      <c r="B63" s="213"/>
      <c r="C63" s="213"/>
      <c r="D63" s="213"/>
      <c r="E63" s="213"/>
      <c r="F63" s="213"/>
      <c r="G63" s="213"/>
      <c r="H63" s="213"/>
    </row>
    <row r="64" spans="1:8">
      <c r="B64" s="212"/>
      <c r="C64" s="212"/>
      <c r="D64" s="212"/>
      <c r="E64" s="212"/>
      <c r="F64" s="212"/>
      <c r="G64" s="212"/>
      <c r="H64" s="212"/>
    </row>
    <row r="65" spans="1:8">
      <c r="A65" s="204"/>
      <c r="B65" s="205"/>
      <c r="C65" s="205"/>
      <c r="D65" s="206"/>
      <c r="E65" s="205"/>
      <c r="F65" s="205"/>
      <c r="G65" s="205"/>
      <c r="H65" s="205"/>
    </row>
    <row r="66" spans="1:8">
      <c r="A66" s="107"/>
    </row>
    <row r="67" spans="1:8">
      <c r="A67" s="19" t="s">
        <v>1009</v>
      </c>
    </row>
  </sheetData>
  <mergeCells count="3">
    <mergeCell ref="A1:H1"/>
    <mergeCell ref="A2:H2"/>
    <mergeCell ref="A3:H3"/>
  </mergeCells>
  <hyperlinks>
    <hyperlink ref="A67" location="'indice cap.4'!A1" display="regresar al 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96"/>
  <sheetViews>
    <sheetView showGridLines="0" zoomScale="93" zoomScaleNormal="93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RowHeight="12.75"/>
  <cols>
    <col min="1" max="1" width="10" style="10" customWidth="1"/>
    <col min="2" max="2" width="3.7109375" style="10" customWidth="1"/>
    <col min="3" max="10" width="15.7109375" style="10" customWidth="1"/>
    <col min="11" max="16384" width="11.42578125" style="10"/>
  </cols>
  <sheetData>
    <row r="1" spans="1:10">
      <c r="A1" s="292" t="s">
        <v>1302</v>
      </c>
      <c r="B1" s="296"/>
      <c r="C1" s="296"/>
      <c r="D1" s="296"/>
      <c r="E1" s="296"/>
      <c r="F1" s="296"/>
      <c r="G1" s="296"/>
      <c r="H1" s="296"/>
      <c r="I1" s="296"/>
      <c r="J1" s="296"/>
    </row>
    <row r="2" spans="1:10" s="11" customFormat="1">
      <c r="A2" s="292" t="s">
        <v>0</v>
      </c>
      <c r="B2" s="292"/>
      <c r="C2" s="292"/>
      <c r="D2" s="292"/>
      <c r="E2" s="292"/>
      <c r="F2" s="292"/>
      <c r="G2" s="292"/>
      <c r="H2" s="292"/>
      <c r="I2" s="292"/>
      <c r="J2" s="292"/>
    </row>
    <row r="3" spans="1:10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300" t="s">
        <v>2</v>
      </c>
      <c r="B5" s="301"/>
      <c r="C5" s="302" t="s">
        <v>1021</v>
      </c>
      <c r="D5" s="297" t="s">
        <v>3</v>
      </c>
      <c r="E5" s="298"/>
      <c r="F5" s="298"/>
      <c r="G5" s="297" t="s">
        <v>1306</v>
      </c>
      <c r="H5" s="298"/>
      <c r="I5" s="298"/>
      <c r="J5" s="299"/>
    </row>
    <row r="6" spans="1:10" s="13" customFormat="1">
      <c r="A6" s="300"/>
      <c r="B6" s="301"/>
      <c r="C6" s="303"/>
      <c r="D6" s="20" t="s">
        <v>5</v>
      </c>
      <c r="E6" s="20" t="s">
        <v>6</v>
      </c>
      <c r="F6" s="20" t="s">
        <v>7</v>
      </c>
      <c r="G6" s="20" t="s">
        <v>1020</v>
      </c>
      <c r="H6" s="20" t="s">
        <v>9</v>
      </c>
      <c r="I6" s="20" t="s">
        <v>10</v>
      </c>
      <c r="J6" s="21" t="s">
        <v>11</v>
      </c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22">
        <v>1940</v>
      </c>
      <c r="B8" s="23"/>
      <c r="C8" s="24">
        <v>3.4368996637377737E-3</v>
      </c>
      <c r="D8" s="24">
        <v>3.8048744525630519E-3</v>
      </c>
      <c r="E8" s="24"/>
      <c r="F8" s="24"/>
      <c r="G8" s="24"/>
      <c r="H8" s="24"/>
      <c r="I8" s="24"/>
      <c r="J8" s="24"/>
    </row>
    <row r="9" spans="1:10">
      <c r="A9" s="22">
        <v>1941</v>
      </c>
      <c r="B9" s="23"/>
      <c r="C9" s="24">
        <v>3.5546017070164642E-3</v>
      </c>
      <c r="D9" s="24">
        <v>3.9351783721713754E-3</v>
      </c>
      <c r="E9" s="24"/>
      <c r="F9" s="24"/>
      <c r="G9" s="24"/>
      <c r="H9" s="24"/>
      <c r="I9" s="24"/>
      <c r="J9" s="24"/>
    </row>
    <row r="10" spans="1:10">
      <c r="A10" s="22">
        <v>1942</v>
      </c>
      <c r="B10" s="23"/>
      <c r="C10" s="24">
        <v>4.5668392792132051E-3</v>
      </c>
      <c r="D10" s="24">
        <v>5.0557920808029589E-3</v>
      </c>
      <c r="E10" s="24"/>
      <c r="F10" s="24"/>
      <c r="G10" s="24"/>
      <c r="H10" s="24"/>
      <c r="I10" s="24"/>
      <c r="J10" s="24"/>
    </row>
    <row r="11" spans="1:10">
      <c r="A11" s="22">
        <v>1943</v>
      </c>
      <c r="B11" s="23"/>
      <c r="C11" s="24">
        <v>5.5790768514099465E-3</v>
      </c>
      <c r="D11" s="24">
        <v>6.1764057894345432E-3</v>
      </c>
      <c r="E11" s="24"/>
      <c r="F11" s="24"/>
      <c r="G11" s="24"/>
      <c r="H11" s="24"/>
      <c r="I11" s="24"/>
      <c r="J11" s="24"/>
    </row>
    <row r="12" spans="1:10">
      <c r="A12" s="22">
        <v>1944</v>
      </c>
      <c r="B12" s="23"/>
      <c r="C12" s="24">
        <v>6.8502589188198081E-3</v>
      </c>
      <c r="D12" s="24">
        <v>7.5836881212044396E-3</v>
      </c>
      <c r="E12" s="24"/>
      <c r="F12" s="24"/>
      <c r="G12" s="24"/>
      <c r="H12" s="24"/>
      <c r="I12" s="24"/>
      <c r="J12" s="24"/>
    </row>
    <row r="13" spans="1:10">
      <c r="A13" s="22">
        <v>1945</v>
      </c>
      <c r="B13" s="23"/>
      <c r="C13" s="24">
        <v>8.8982744718690276E-3</v>
      </c>
      <c r="D13" s="24">
        <v>9.8509763223892707E-3</v>
      </c>
      <c r="E13" s="24"/>
      <c r="F13" s="24"/>
      <c r="G13" s="24"/>
      <c r="H13" s="24"/>
      <c r="I13" s="24"/>
      <c r="J13" s="24"/>
    </row>
    <row r="14" spans="1:10">
      <c r="A14" s="22">
        <v>1946</v>
      </c>
      <c r="B14" s="23"/>
      <c r="C14" s="24">
        <v>1.0216537356590364E-2</v>
      </c>
      <c r="D14" s="24">
        <v>1.1310380222002496E-2</v>
      </c>
      <c r="E14" s="24"/>
      <c r="F14" s="24"/>
      <c r="G14" s="24"/>
      <c r="H14" s="24"/>
      <c r="I14" s="24"/>
      <c r="J14" s="24"/>
    </row>
    <row r="15" spans="1:10">
      <c r="A15" s="22">
        <v>1947</v>
      </c>
      <c r="B15" s="23"/>
      <c r="C15" s="24">
        <v>1.1676042693246132E-2</v>
      </c>
      <c r="D15" s="24">
        <v>1.2926148825145712E-2</v>
      </c>
      <c r="E15" s="24"/>
      <c r="F15" s="24"/>
      <c r="G15" s="24"/>
      <c r="H15" s="24"/>
      <c r="I15" s="24"/>
      <c r="J15" s="24"/>
    </row>
    <row r="16" spans="1:10">
      <c r="A16" s="22">
        <v>1948</v>
      </c>
      <c r="B16" s="23"/>
      <c r="C16" s="24">
        <v>1.3064926803934684E-2</v>
      </c>
      <c r="D16" s="24">
        <v>1.4463735076523931E-2</v>
      </c>
      <c r="E16" s="24"/>
      <c r="F16" s="24"/>
      <c r="G16" s="24"/>
      <c r="H16" s="24"/>
      <c r="I16" s="24"/>
      <c r="J16" s="24"/>
    </row>
    <row r="17" spans="1:10">
      <c r="A17" s="22">
        <v>1949</v>
      </c>
      <c r="B17" s="23"/>
      <c r="C17" s="24">
        <v>1.2829522717377301E-2</v>
      </c>
      <c r="D17" s="24">
        <v>1.4203127237307283E-2</v>
      </c>
      <c r="E17" s="24"/>
      <c r="F17" s="24"/>
      <c r="G17" s="24"/>
      <c r="H17" s="24"/>
      <c r="I17" s="24"/>
      <c r="J17" s="24"/>
    </row>
    <row r="18" spans="1:10">
      <c r="A18" s="22">
        <v>1950</v>
      </c>
      <c r="B18" s="23"/>
      <c r="C18" s="24">
        <v>1.2758901491410088E-2</v>
      </c>
      <c r="D18" s="24">
        <v>1.3994640965933964E-2</v>
      </c>
      <c r="E18" s="24"/>
      <c r="F18" s="24"/>
      <c r="G18" s="24">
        <v>1.0050010094660701E-2</v>
      </c>
      <c r="H18" s="24">
        <v>2.1469680730328886E-2</v>
      </c>
      <c r="I18" s="24">
        <v>2.7489974386254622E-2</v>
      </c>
      <c r="J18" s="24">
        <v>1.2542512314813369E-2</v>
      </c>
    </row>
    <row r="19" spans="1:10">
      <c r="A19" s="22">
        <v>1951</v>
      </c>
      <c r="B19" s="23"/>
      <c r="C19" s="24">
        <v>1.426548764537733E-2</v>
      </c>
      <c r="D19" s="24">
        <v>1.5792835056528832E-2</v>
      </c>
      <c r="E19" s="24"/>
      <c r="F19" s="24"/>
      <c r="G19" s="24">
        <v>9.9265889180596041E-3</v>
      </c>
      <c r="H19" s="24">
        <v>3.1203223621085366E-2</v>
      </c>
      <c r="I19" s="24">
        <v>2.987212121348639E-2</v>
      </c>
      <c r="J19" s="24">
        <v>1.5372501555520357E-2</v>
      </c>
    </row>
    <row r="20" spans="1:10">
      <c r="A20" s="22">
        <v>1952</v>
      </c>
      <c r="B20" s="23"/>
      <c r="C20" s="24">
        <v>1.4736295818492093E-2</v>
      </c>
      <c r="D20" s="24">
        <v>1.6314050734962126E-2</v>
      </c>
      <c r="E20" s="24"/>
      <c r="F20" s="24"/>
      <c r="G20" s="24">
        <v>1.0296852447862893E-2</v>
      </c>
      <c r="H20" s="24">
        <v>3.1715515352177807E-2</v>
      </c>
      <c r="I20" s="24">
        <v>3.0300907642388106E-2</v>
      </c>
      <c r="J20" s="24">
        <v>1.5621540608702571E-2</v>
      </c>
    </row>
    <row r="21" spans="1:10">
      <c r="A21" s="22">
        <v>1953</v>
      </c>
      <c r="B21" s="23"/>
      <c r="C21" s="24">
        <v>1.4806917044459307E-2</v>
      </c>
      <c r="D21" s="24">
        <v>1.6392233086727118E-2</v>
      </c>
      <c r="E21" s="24"/>
      <c r="F21" s="24"/>
      <c r="G21" s="24">
        <v>1.0226326061233694E-2</v>
      </c>
      <c r="H21" s="24">
        <v>3.2600382887701125E-2</v>
      </c>
      <c r="I21" s="24">
        <v>3.0634408198200548E-2</v>
      </c>
      <c r="J21" s="24">
        <v>1.5825299834033475E-2</v>
      </c>
    </row>
    <row r="22" spans="1:10">
      <c r="A22" s="22">
        <v>1954</v>
      </c>
      <c r="B22" s="23"/>
      <c r="C22" s="24">
        <v>1.5348346443541284E-2</v>
      </c>
      <c r="D22" s="24">
        <v>1.6991631116925407E-2</v>
      </c>
      <c r="E22" s="24"/>
      <c r="F22" s="24"/>
      <c r="G22" s="24">
        <v>1.0878695137553776E-2</v>
      </c>
      <c r="H22" s="24">
        <v>3.2227807083270256E-2</v>
      </c>
      <c r="I22" s="24">
        <v>3.1253766373280804E-2</v>
      </c>
      <c r="J22" s="24">
        <v>1.5825299834033475E-2</v>
      </c>
    </row>
    <row r="23" spans="1:10">
      <c r="A23" s="22">
        <v>1955</v>
      </c>
      <c r="B23" s="23"/>
      <c r="C23" s="24">
        <v>1.6054558703213428E-2</v>
      </c>
      <c r="D23" s="24">
        <v>1.7226178172220385E-2</v>
      </c>
      <c r="E23" s="24">
        <v>1.8106428210768018E-2</v>
      </c>
      <c r="F23" s="24"/>
      <c r="G23" s="24">
        <v>1.2148170096879339E-2</v>
      </c>
      <c r="H23" s="24">
        <v>2.9852636330023451E-2</v>
      </c>
      <c r="I23" s="24">
        <v>3.477934367758382E-2</v>
      </c>
      <c r="J23" s="24">
        <v>1.6391297682174871E-2</v>
      </c>
    </row>
    <row r="24" spans="1:10">
      <c r="A24" s="22">
        <v>1956</v>
      </c>
      <c r="B24" s="23"/>
      <c r="C24" s="24">
        <v>1.5583750530098665E-2</v>
      </c>
      <c r="D24" s="24">
        <v>1.6418293870648779E-2</v>
      </c>
      <c r="E24" s="24">
        <v>1.7820673963539251E-2</v>
      </c>
      <c r="F24" s="24"/>
      <c r="G24" s="24">
        <v>1.1566327407188454E-2</v>
      </c>
      <c r="H24" s="24">
        <v>3.0411500036669759E-2</v>
      </c>
      <c r="I24" s="24">
        <v>3.2492482723441324E-2</v>
      </c>
      <c r="J24" s="24">
        <v>1.5598900694776917E-2</v>
      </c>
    </row>
    <row r="25" spans="1:10">
      <c r="A25" s="22">
        <v>1957</v>
      </c>
      <c r="B25" s="23"/>
      <c r="C25" s="24">
        <v>1.5748533390688834E-2</v>
      </c>
      <c r="D25" s="24">
        <v>1.6522537006335439E-2</v>
      </c>
      <c r="E25" s="24">
        <v>1.8028495234251082E-2</v>
      </c>
      <c r="F25" s="24"/>
      <c r="G25" s="24">
        <v>1.176027497041875E-2</v>
      </c>
      <c r="H25" s="24">
        <v>3.0737503865546769E-2</v>
      </c>
      <c r="I25" s="24">
        <v>3.2206625104173506E-2</v>
      </c>
      <c r="J25" s="24">
        <v>1.5168742330189453E-2</v>
      </c>
    </row>
    <row r="26" spans="1:10">
      <c r="A26" s="22">
        <v>1958</v>
      </c>
      <c r="B26" s="23"/>
      <c r="C26" s="24">
        <v>1.5913316251278998E-2</v>
      </c>
      <c r="D26" s="24">
        <v>1.6809205629473755E-2</v>
      </c>
      <c r="E26" s="24">
        <v>1.8158383528445975E-2</v>
      </c>
      <c r="F26" s="24"/>
      <c r="G26" s="24">
        <v>1.1813169760390648E-2</v>
      </c>
      <c r="H26" s="24">
        <v>3.0970363743316062E-2</v>
      </c>
      <c r="I26" s="24">
        <v>3.2206625104173506E-2</v>
      </c>
      <c r="J26" s="24">
        <v>1.6096978801141346E-2</v>
      </c>
    </row>
    <row r="27" spans="1:10">
      <c r="A27" s="22">
        <v>1959</v>
      </c>
      <c r="B27" s="23"/>
      <c r="C27" s="24">
        <v>1.5866235433967524E-2</v>
      </c>
      <c r="D27" s="24">
        <v>1.683526641339542E-2</v>
      </c>
      <c r="E27" s="24">
        <v>1.8054472893090059E-2</v>
      </c>
      <c r="F27" s="24"/>
      <c r="G27" s="24">
        <v>1.1513432617216556E-2</v>
      </c>
      <c r="H27" s="24">
        <v>3.2041519181054808E-2</v>
      </c>
      <c r="I27" s="24">
        <v>3.311184089852158E-2</v>
      </c>
      <c r="J27" s="24">
        <v>1.6210178370769626E-2</v>
      </c>
    </row>
    <row r="28" spans="1:10">
      <c r="A28" s="22">
        <v>1960</v>
      </c>
      <c r="B28" s="23"/>
      <c r="C28" s="24">
        <v>1.5960397068590478E-2</v>
      </c>
      <c r="D28" s="24">
        <v>1.7069813468690406E-2</v>
      </c>
      <c r="E28" s="24">
        <v>1.8028495234251082E-2</v>
      </c>
      <c r="F28" s="24"/>
      <c r="G28" s="24">
        <v>1.1390011440615461E-2</v>
      </c>
      <c r="H28" s="24">
        <v>3.3298962521008994E-2</v>
      </c>
      <c r="I28" s="24">
        <v>3.3064197961976946E-2</v>
      </c>
      <c r="J28" s="24">
        <v>1.6459217423951844E-2</v>
      </c>
    </row>
    <row r="29" spans="1:10">
      <c r="A29" s="22">
        <v>1961</v>
      </c>
      <c r="B29" s="23"/>
      <c r="C29" s="24">
        <v>1.6760770962885578E-2</v>
      </c>
      <c r="D29" s="24">
        <v>1.7799515418497017E-2</v>
      </c>
      <c r="E29" s="24">
        <v>1.9041623928971241E-2</v>
      </c>
      <c r="F29" s="24"/>
      <c r="G29" s="24">
        <v>1.2130538500222041E-2</v>
      </c>
      <c r="H29" s="24">
        <v>3.4556405860963181E-2</v>
      </c>
      <c r="I29" s="24">
        <v>3.5779845345021155E-2</v>
      </c>
      <c r="J29" s="24">
        <v>1.686673587461365E-2</v>
      </c>
    </row>
    <row r="30" spans="1:10">
      <c r="A30" s="22">
        <v>1962</v>
      </c>
      <c r="B30" s="23"/>
      <c r="C30" s="24">
        <v>1.7043255866754436E-2</v>
      </c>
      <c r="D30" s="24">
        <v>1.8294670313008649E-2</v>
      </c>
      <c r="E30" s="24">
        <v>1.9223467540844089E-2</v>
      </c>
      <c r="F30" s="24"/>
      <c r="G30" s="24">
        <v>1.2148170096879341E-2</v>
      </c>
      <c r="H30" s="24">
        <v>3.6186425005348237E-2</v>
      </c>
      <c r="I30" s="24">
        <v>3.754263399717267E-2</v>
      </c>
      <c r="J30" s="24">
        <v>1.7342174067052421E-2</v>
      </c>
    </row>
    <row r="31" spans="1:10">
      <c r="A31" s="22">
        <v>1963</v>
      </c>
      <c r="B31" s="23"/>
      <c r="C31" s="24">
        <v>1.7561144857180671E-2</v>
      </c>
      <c r="D31" s="24">
        <v>1.9389223237718568E-2</v>
      </c>
      <c r="E31" s="24">
        <v>1.9405311152716938E-2</v>
      </c>
      <c r="F31" s="24"/>
      <c r="G31" s="24">
        <v>1.2588960013311829E-2</v>
      </c>
      <c r="H31" s="24">
        <v>3.6885004638656113E-2</v>
      </c>
      <c r="I31" s="24">
        <v>3.8114349235708292E-2</v>
      </c>
      <c r="J31" s="24">
        <v>1.8949607955773995E-2</v>
      </c>
    </row>
    <row r="32" spans="1:10">
      <c r="A32" s="22">
        <v>1964</v>
      </c>
      <c r="B32" s="23"/>
      <c r="C32" s="24">
        <v>1.7796548943738052E-2</v>
      </c>
      <c r="D32" s="24">
        <v>2.0040742835760187E-2</v>
      </c>
      <c r="E32" s="24">
        <v>2.0080730282530379E-2</v>
      </c>
      <c r="F32" s="24"/>
      <c r="G32" s="24">
        <v>1.3012118333087014E-2</v>
      </c>
      <c r="H32" s="24">
        <v>3.8328735880825734E-2</v>
      </c>
      <c r="I32" s="24">
        <v>3.6494489393190686E-2</v>
      </c>
      <c r="J32" s="24">
        <v>1.786289208734251E-2</v>
      </c>
    </row>
    <row r="33" spans="1:10">
      <c r="A33" s="22">
        <v>1965</v>
      </c>
      <c r="B33" s="23"/>
      <c r="C33" s="24">
        <v>1.8926488559213486E-2</v>
      </c>
      <c r="D33" s="24">
        <v>2.0692262433801806E-2</v>
      </c>
      <c r="E33" s="24">
        <v>2.1093858977250541E-2</v>
      </c>
      <c r="F33" s="24"/>
      <c r="G33" s="24">
        <v>1.3629224216092497E-2</v>
      </c>
      <c r="H33" s="24">
        <v>3.995875502521079E-2</v>
      </c>
      <c r="I33" s="24">
        <v>3.8733707410788548E-2</v>
      </c>
      <c r="J33" s="24">
        <v>1.8542089505112189E-2</v>
      </c>
    </row>
    <row r="34" spans="1:10">
      <c r="A34" s="22">
        <v>1966</v>
      </c>
      <c r="B34" s="23"/>
      <c r="C34" s="24">
        <v>1.9632700818885632E-2</v>
      </c>
      <c r="D34" s="24">
        <v>2.1526207519295078E-2</v>
      </c>
      <c r="E34" s="24">
        <v>2.1795255765902962E-2</v>
      </c>
      <c r="F34" s="24"/>
      <c r="G34" s="24">
        <v>1.4299224889069878E-2</v>
      </c>
      <c r="H34" s="24">
        <v>4.1076482438503405E-2</v>
      </c>
      <c r="I34" s="24">
        <v>4.0353567253306154E-2</v>
      </c>
      <c r="J34" s="24">
        <v>1.93571264064358E-2</v>
      </c>
    </row>
    <row r="35" spans="1:10">
      <c r="A35" s="22">
        <v>1967</v>
      </c>
      <c r="B35" s="23"/>
      <c r="C35" s="24">
        <v>2.0574317165115156E-2</v>
      </c>
      <c r="D35" s="24">
        <v>2.2360152604788349E-2</v>
      </c>
      <c r="E35" s="24">
        <v>2.3016205731334949E-2</v>
      </c>
      <c r="F35" s="24"/>
      <c r="G35" s="24">
        <v>1.5216067915249451E-2</v>
      </c>
      <c r="H35" s="24">
        <v>4.191477799847286E-2</v>
      </c>
      <c r="I35" s="24">
        <v>4.0162995507127611E-2</v>
      </c>
      <c r="J35" s="24">
        <v>2.0557041844495562E-2</v>
      </c>
    </row>
    <row r="36" spans="1:10">
      <c r="A36" s="22">
        <v>1968</v>
      </c>
      <c r="B36" s="23"/>
      <c r="C36" s="24">
        <v>2.1186367790164348E-2</v>
      </c>
      <c r="D36" s="24">
        <v>2.3298340825968284E-2</v>
      </c>
      <c r="E36" s="24">
        <v>2.3483803590436565E-2</v>
      </c>
      <c r="F36" s="24"/>
      <c r="G36" s="24">
        <v>1.5797910604940332E-2</v>
      </c>
      <c r="H36" s="24">
        <v>4.2706501582888461E-2</v>
      </c>
      <c r="I36" s="24">
        <v>4.0687067809118606E-2</v>
      </c>
      <c r="J36" s="24">
        <v>2.0941920381231716E-2</v>
      </c>
    </row>
    <row r="37" spans="1:10">
      <c r="A37" s="22">
        <v>1969</v>
      </c>
      <c r="B37" s="23"/>
      <c r="C37" s="24">
        <v>2.2292766996984039E-2</v>
      </c>
      <c r="D37" s="24">
        <v>2.4809866293424836E-2</v>
      </c>
      <c r="E37" s="24">
        <v>2.460084292051264E-2</v>
      </c>
      <c r="F37" s="24">
        <v>1.5656640128600539E-2</v>
      </c>
      <c r="G37" s="24">
        <v>1.7032122370951294E-2</v>
      </c>
      <c r="H37" s="24">
        <v>4.3451653191750199E-2</v>
      </c>
      <c r="I37" s="24">
        <v>4.3259786382528913E-2</v>
      </c>
      <c r="J37" s="24">
        <v>2.1304159004042211E-2</v>
      </c>
    </row>
    <row r="38" spans="1:10">
      <c r="A38" s="22">
        <v>1970</v>
      </c>
      <c r="B38" s="23"/>
      <c r="C38" s="24">
        <v>2.354040865573816E-2</v>
      </c>
      <c r="D38" s="24">
        <v>2.6060783921664745E-2</v>
      </c>
      <c r="E38" s="24">
        <v>2.5977658838978498E-2</v>
      </c>
      <c r="F38" s="24">
        <v>1.6944415723593658E-2</v>
      </c>
      <c r="G38" s="24">
        <v>1.7631596657299478E-2</v>
      </c>
      <c r="H38" s="24">
        <v>4.6571975553858738E-2</v>
      </c>
      <c r="I38" s="24">
        <v>4.7642936544635375E-2</v>
      </c>
      <c r="J38" s="24">
        <v>2.2639913925655911E-2</v>
      </c>
    </row>
    <row r="39" spans="1:10">
      <c r="A39" s="22">
        <v>1971</v>
      </c>
      <c r="B39" s="23"/>
      <c r="C39" s="24">
        <v>2.5776747478033286E-2</v>
      </c>
      <c r="D39" s="24">
        <v>2.8249889771084585E-2</v>
      </c>
      <c r="E39" s="24">
        <v>2.8523469405198388E-2</v>
      </c>
      <c r="F39" s="24">
        <v>1.9181078599108024E-2</v>
      </c>
      <c r="G39" s="24">
        <v>1.9006861196568837E-2</v>
      </c>
      <c r="H39" s="24">
        <v>5.1694892864783203E-2</v>
      </c>
      <c r="I39" s="24">
        <v>5.3836518295437973E-2</v>
      </c>
      <c r="J39" s="24">
        <v>2.4858625490370188E-2</v>
      </c>
    </row>
    <row r="40" spans="1:10">
      <c r="A40" s="22">
        <v>1972</v>
      </c>
      <c r="B40" s="23"/>
      <c r="C40" s="24">
        <v>2.7754141805115293E-2</v>
      </c>
      <c r="D40" s="24">
        <v>3.0491117188347752E-2</v>
      </c>
      <c r="E40" s="24">
        <v>3.0653637429994624E-2</v>
      </c>
      <c r="F40" s="24">
        <v>2.0604409519889889E-2</v>
      </c>
      <c r="G40" s="24">
        <v>2.0946336828871783E-2</v>
      </c>
      <c r="H40" s="24">
        <v>5.4815215226891742E-2</v>
      </c>
      <c r="I40" s="24">
        <v>5.7457381472830263E-2</v>
      </c>
      <c r="J40" s="24">
        <v>2.5673662391693802E-2</v>
      </c>
    </row>
    <row r="41" spans="1:10">
      <c r="A41" s="22">
        <v>1973</v>
      </c>
      <c r="B41" s="23"/>
      <c r="C41" s="24">
        <v>3.1073339425574376E-2</v>
      </c>
      <c r="D41" s="24">
        <v>3.4426295560519127E-2</v>
      </c>
      <c r="E41" s="24">
        <v>3.4212576690934679E-2</v>
      </c>
      <c r="F41" s="24">
        <v>2.268857265389191E-2</v>
      </c>
      <c r="G41" s="24">
        <v>2.4560814143618177E-2</v>
      </c>
      <c r="H41" s="24">
        <v>5.7935537589000281E-2</v>
      </c>
      <c r="I41" s="24">
        <v>6.3555677350543599E-2</v>
      </c>
      <c r="J41" s="24">
        <v>2.7484855505746274E-2</v>
      </c>
    </row>
    <row r="42" spans="1:10">
      <c r="A42" s="22">
        <v>1974</v>
      </c>
      <c r="B42" s="23"/>
      <c r="C42" s="24">
        <v>3.8135462022295827E-2</v>
      </c>
      <c r="D42" s="24">
        <v>4.2479077792313538E-2</v>
      </c>
      <c r="E42" s="24">
        <v>4.1798053071916405E-2</v>
      </c>
      <c r="F42" s="24">
        <v>2.7958285943929535E-2</v>
      </c>
      <c r="G42" s="24">
        <v>3.2212927092886146E-2</v>
      </c>
      <c r="H42" s="24">
        <v>6.4874761946525236E-2</v>
      </c>
      <c r="I42" s="24">
        <v>7.694334251958615E-2</v>
      </c>
      <c r="J42" s="24">
        <v>3.0835562766743346E-2</v>
      </c>
    </row>
    <row r="43" spans="1:10">
      <c r="A43" s="22">
        <v>1975</v>
      </c>
      <c r="B43" s="23"/>
      <c r="C43" s="24">
        <v>4.3997023777574626E-2</v>
      </c>
      <c r="D43" s="24">
        <v>4.8994273772729725E-2</v>
      </c>
      <c r="E43" s="24">
        <v>4.7435205039974733E-2</v>
      </c>
      <c r="F43" s="24">
        <v>3.2313000784893103E-2</v>
      </c>
      <c r="G43" s="24">
        <v>3.7925564409851176E-2</v>
      </c>
      <c r="H43" s="24">
        <v>7.5027452617266427E-2</v>
      </c>
      <c r="I43" s="24">
        <v>8.9187577211557442E-2</v>
      </c>
      <c r="J43" s="24">
        <v>3.289579493397804E-2</v>
      </c>
    </row>
    <row r="44" spans="1:10">
      <c r="A44" s="22">
        <v>1976</v>
      </c>
      <c r="B44" s="23"/>
      <c r="C44" s="24">
        <v>4.8634484282755033E-2</v>
      </c>
      <c r="D44" s="24">
        <v>5.4232491340984339E-2</v>
      </c>
      <c r="E44" s="24">
        <v>5.2059228313312909E-2</v>
      </c>
      <c r="F44" s="24">
        <v>3.5549384188099491E-2</v>
      </c>
      <c r="G44" s="24">
        <v>4.1681094497855967E-2</v>
      </c>
      <c r="H44" s="24">
        <v>8.4202131801376603E-2</v>
      </c>
      <c r="I44" s="24">
        <v>9.9478451505198684E-2</v>
      </c>
      <c r="J44" s="24">
        <v>3.6133302625346836E-2</v>
      </c>
    </row>
    <row r="45" spans="1:10">
      <c r="A45" s="22">
        <v>1977</v>
      </c>
      <c r="B45" s="23"/>
      <c r="C45" s="24">
        <v>5.4919773393837128E-2</v>
      </c>
      <c r="D45" s="24">
        <v>6.1294963783755485E-2</v>
      </c>
      <c r="E45" s="24">
        <v>5.8943307905642207E-2</v>
      </c>
      <c r="F45" s="24">
        <v>3.9311044478737282E-2</v>
      </c>
      <c r="G45" s="24">
        <v>4.7746363747966987E-2</v>
      </c>
      <c r="H45" s="24">
        <v>9.5379405934302705E-2</v>
      </c>
      <c r="I45" s="24">
        <v>0.11248497318188412</v>
      </c>
      <c r="J45" s="24">
        <v>3.9393450230641287E-2</v>
      </c>
    </row>
    <row r="46" spans="1:10">
      <c r="A46" s="22">
        <v>1978</v>
      </c>
      <c r="B46" s="23"/>
      <c r="C46" s="24">
        <v>6.238208293770612E-2</v>
      </c>
      <c r="D46" s="24">
        <v>6.8696226417508277E-2</v>
      </c>
      <c r="E46" s="24">
        <v>6.7100292781081455E-2</v>
      </c>
      <c r="F46" s="24">
        <v>4.5156867903377099E-2</v>
      </c>
      <c r="G46" s="24">
        <v>5.3776369804763413E-2</v>
      </c>
      <c r="H46" s="24">
        <v>0.10958385847822963</v>
      </c>
      <c r="I46" s="24">
        <v>0.12487213668348932</v>
      </c>
      <c r="J46" s="24">
        <v>4.5891105527304528E-2</v>
      </c>
    </row>
    <row r="47" spans="1:10">
      <c r="A47" s="22">
        <v>1979</v>
      </c>
      <c r="B47" s="23"/>
      <c r="C47" s="24">
        <v>6.8690912457443951E-2</v>
      </c>
      <c r="D47" s="24">
        <v>7.5472030237141108E-2</v>
      </c>
      <c r="E47" s="24">
        <v>7.3776551102698928E-2</v>
      </c>
      <c r="F47" s="24">
        <v>5.0392692361967542E-2</v>
      </c>
      <c r="G47" s="24">
        <v>5.8960059222009455E-2</v>
      </c>
      <c r="H47" s="24">
        <v>0.12038855680672486</v>
      </c>
      <c r="I47" s="24">
        <v>0.13540122565985371</v>
      </c>
      <c r="J47" s="24">
        <v>5.2071802029008595E-2</v>
      </c>
    </row>
    <row r="48" spans="1:10">
      <c r="A48" s="22">
        <v>1980</v>
      </c>
      <c r="B48" s="25"/>
      <c r="C48" s="24">
        <v>7.7353782842755597E-2</v>
      </c>
      <c r="D48" s="24">
        <v>8.5296945775608715E-2</v>
      </c>
      <c r="E48" s="24">
        <v>8.2816776378663443E-2</v>
      </c>
      <c r="F48" s="24">
        <v>5.8017679437584686E-2</v>
      </c>
      <c r="G48" s="24">
        <v>6.4743222925603694E-2</v>
      </c>
      <c r="H48" s="24">
        <v>0.1400885024660071</v>
      </c>
      <c r="I48" s="24">
        <v>0.15993733798034093</v>
      </c>
      <c r="J48" s="24">
        <v>5.9316574485218487E-2</v>
      </c>
    </row>
    <row r="49" spans="1:10">
      <c r="A49" s="22">
        <v>1981</v>
      </c>
      <c r="B49" s="25">
        <v>-3</v>
      </c>
      <c r="C49" s="24">
        <v>8.8747340632132868E-2</v>
      </c>
      <c r="D49" s="24">
        <v>9.9291586741542662E-2</v>
      </c>
      <c r="E49" s="24">
        <v>9.3675437773356449E-2</v>
      </c>
      <c r="F49" s="24">
        <v>6.8726550174895887E-2</v>
      </c>
      <c r="G49" s="24">
        <v>7.3294547304393942E-2</v>
      </c>
      <c r="H49" s="24">
        <v>0.16188418702521296</v>
      </c>
      <c r="I49" s="24">
        <v>0.18537866609517623</v>
      </c>
      <c r="J49" s="24">
        <v>6.9821494546722832E-2</v>
      </c>
    </row>
    <row r="50" spans="1:10">
      <c r="A50" s="22">
        <v>1982</v>
      </c>
      <c r="B50" s="25"/>
      <c r="C50" s="24">
        <v>0.1032446987044901</v>
      </c>
      <c r="D50" s="24">
        <v>0.11183591997013159</v>
      </c>
      <c r="E50" s="24">
        <v>0.10761234598390024</v>
      </c>
      <c r="F50" s="24">
        <v>8.4745520516412973E-2</v>
      </c>
      <c r="G50" s="24">
        <v>8.5854784261112191E-2</v>
      </c>
      <c r="H50" s="24">
        <v>0.18650535615452291</v>
      </c>
      <c r="I50" s="24">
        <v>0.21479100176384319</v>
      </c>
      <c r="J50" s="24">
        <v>8.1458410304509996E-2</v>
      </c>
    </row>
    <row r="51" spans="1:10">
      <c r="A51" s="22">
        <v>1983</v>
      </c>
      <c r="B51" s="25"/>
      <c r="C51" s="24">
        <v>0.15320181098085628</v>
      </c>
      <c r="D51" s="24">
        <v>0.1623676125802101</v>
      </c>
      <c r="E51" s="24">
        <v>0.16176520823481913</v>
      </c>
      <c r="F51" s="24">
        <v>0.12599084591187337</v>
      </c>
      <c r="G51" s="24">
        <v>0.15273672113612674</v>
      </c>
      <c r="H51" s="24">
        <v>0.2240526390767206</v>
      </c>
      <c r="I51" s="24">
        <v>0.27968702679425067</v>
      </c>
      <c r="J51" s="24">
        <v>0.11032001194166488</v>
      </c>
    </row>
    <row r="52" spans="1:10">
      <c r="A52" s="22">
        <v>1984</v>
      </c>
      <c r="B52" s="25"/>
      <c r="C52" s="24">
        <v>0.20100391057079098</v>
      </c>
      <c r="D52" s="24">
        <v>0.20978093986792745</v>
      </c>
      <c r="E52" s="24">
        <v>0.21127243441555674</v>
      </c>
      <c r="F52" s="24">
        <v>0.17000778201158454</v>
      </c>
      <c r="G52" s="24">
        <v>0.20923128905115487</v>
      </c>
      <c r="H52" s="24">
        <v>0.27501845917439222</v>
      </c>
      <c r="I52" s="24">
        <v>0.36050349039760621</v>
      </c>
      <c r="J52" s="24">
        <v>0.139950572769863</v>
      </c>
    </row>
    <row r="53" spans="1:10">
      <c r="A53" s="22">
        <v>1985</v>
      </c>
      <c r="B53" s="25"/>
      <c r="C53" s="24">
        <v>0.25729545407697085</v>
      </c>
      <c r="D53" s="24">
        <v>0.27016383201910121</v>
      </c>
      <c r="E53" s="24">
        <v>0.26916954066333815</v>
      </c>
      <c r="F53" s="24">
        <v>0.21797074013090695</v>
      </c>
      <c r="G53" s="24">
        <v>0.27346338690576472</v>
      </c>
      <c r="H53" s="24">
        <v>0.31650512915727957</v>
      </c>
      <c r="I53" s="24">
        <v>0.4558912028643381</v>
      </c>
      <c r="J53" s="24">
        <v>0.18619065212459424</v>
      </c>
    </row>
    <row r="54" spans="1:10">
      <c r="A54" s="22">
        <v>1986</v>
      </c>
      <c r="B54" s="25"/>
      <c r="C54" s="24">
        <v>0.31652565124646637</v>
      </c>
      <c r="D54" s="24">
        <v>0.33083021192685325</v>
      </c>
      <c r="E54" s="24">
        <v>0.3319896343884759</v>
      </c>
      <c r="F54" s="24">
        <v>0.27025553189075596</v>
      </c>
      <c r="G54" s="24">
        <v>0.33690053305425316</v>
      </c>
      <c r="H54" s="24">
        <v>0.37116412462434761</v>
      </c>
      <c r="I54" s="24">
        <v>0.58797687543142518</v>
      </c>
      <c r="J54" s="24">
        <v>0.23222567569504729</v>
      </c>
    </row>
    <row r="55" spans="1:10">
      <c r="A55" s="22">
        <v>1987</v>
      </c>
      <c r="B55" s="25"/>
      <c r="C55" s="24">
        <v>0.40990953432516392</v>
      </c>
      <c r="D55" s="24">
        <v>0.42402681190196301</v>
      </c>
      <c r="E55" s="24">
        <v>0.43911661540981983</v>
      </c>
      <c r="F55" s="24">
        <v>0.34654529093657344</v>
      </c>
      <c r="G55" s="24">
        <v>0.43372565085984072</v>
      </c>
      <c r="H55" s="24">
        <v>0.46600486811044961</v>
      </c>
      <c r="I55" s="24">
        <v>0.74569715248037793</v>
      </c>
      <c r="J55" s="24">
        <v>0.31265880707816635</v>
      </c>
    </row>
    <row r="56" spans="1:10">
      <c r="A56" s="22">
        <v>1988</v>
      </c>
      <c r="B56" s="25"/>
      <c r="C56" s="24">
        <v>0.64859351520113562</v>
      </c>
      <c r="D56" s="24">
        <v>0.6612351922188392</v>
      </c>
      <c r="E56" s="24">
        <v>0.70156038444916424</v>
      </c>
      <c r="F56" s="24">
        <v>0.53261901974228942</v>
      </c>
      <c r="G56" s="24">
        <v>0.71275369970845537</v>
      </c>
      <c r="H56" s="24">
        <v>0.64692121887261922</v>
      </c>
      <c r="I56" s="24">
        <v>1.1555809862483148</v>
      </c>
      <c r="J56" s="24">
        <v>0.49582488638465738</v>
      </c>
    </row>
    <row r="57" spans="1:10">
      <c r="A57" s="22">
        <v>1989</v>
      </c>
      <c r="B57" s="25"/>
      <c r="C57" s="24">
        <v>1.1391527667306292</v>
      </c>
      <c r="D57" s="24">
        <v>1.1438022258542171</v>
      </c>
      <c r="E57" s="24">
        <v>1.2353925054092472</v>
      </c>
      <c r="F57" s="24">
        <v>0.96057450305965197</v>
      </c>
      <c r="G57" s="24">
        <v>1.3397056119362065</v>
      </c>
      <c r="H57" s="24">
        <v>0.96305703049295921</v>
      </c>
      <c r="I57" s="24">
        <v>1.9283968518910874</v>
      </c>
      <c r="J57" s="24">
        <v>0.82411919701403547</v>
      </c>
    </row>
    <row r="58" spans="1:10">
      <c r="A58" s="22">
        <v>1990</v>
      </c>
      <c r="B58" s="25"/>
      <c r="C58" s="24">
        <v>1.6918808690929337</v>
      </c>
      <c r="D58" s="24">
        <v>1.6559228581128806</v>
      </c>
      <c r="E58" s="24">
        <v>1.8572836981473921</v>
      </c>
      <c r="F58" s="24">
        <v>1.4077433554963121</v>
      </c>
      <c r="G58" s="24">
        <v>1.9763559349786384</v>
      </c>
      <c r="H58" s="24">
        <v>1.4115316261833399</v>
      </c>
      <c r="I58" s="24">
        <v>2.8365364454039197</v>
      </c>
      <c r="J58" s="24">
        <v>1.2567869018410109</v>
      </c>
    </row>
    <row r="59" spans="1:10">
      <c r="A59" s="22">
        <v>1991</v>
      </c>
      <c r="B59" s="25"/>
      <c r="C59" s="24">
        <v>2.5162058733603447</v>
      </c>
      <c r="D59" s="24">
        <v>2.4164496370732622</v>
      </c>
      <c r="E59" s="24">
        <v>2.7832213710011322</v>
      </c>
      <c r="F59" s="24">
        <v>2.0866470486799038</v>
      </c>
      <c r="G59" s="24">
        <v>2.937028573436157</v>
      </c>
      <c r="H59" s="24">
        <v>2.0467577897195373</v>
      </c>
      <c r="I59" s="24">
        <v>4.2807091105296591</v>
      </c>
      <c r="J59" s="24">
        <v>1.8770293853364586</v>
      </c>
    </row>
    <row r="60" spans="1:10">
      <c r="A60" s="22">
        <v>1992</v>
      </c>
      <c r="B60" s="25"/>
      <c r="C60" s="24">
        <v>3.8902006033997218</v>
      </c>
      <c r="D60" s="24">
        <v>3.7912235125996334</v>
      </c>
      <c r="E60" s="24">
        <v>4.284593875891205</v>
      </c>
      <c r="F60" s="24">
        <v>3.1403288808213352</v>
      </c>
      <c r="G60" s="24">
        <v>4.5239111691957143</v>
      </c>
      <c r="H60" s="24">
        <v>3.011538302051548</v>
      </c>
      <c r="I60" s="24">
        <v>6.3124538941739514</v>
      </c>
      <c r="J60" s="24">
        <v>3.0269822235685333</v>
      </c>
    </row>
    <row r="61" spans="1:10">
      <c r="A61" s="22">
        <v>1993</v>
      </c>
      <c r="B61" s="25"/>
      <c r="C61" s="24">
        <v>5.6390423759999226</v>
      </c>
      <c r="D61" s="24">
        <v>5.6256727854176871</v>
      </c>
      <c r="E61" s="24">
        <v>6.1283566929388167</v>
      </c>
      <c r="F61" s="24">
        <v>4.5790766950431649</v>
      </c>
      <c r="G61" s="24">
        <v>6.4163732007883407</v>
      </c>
      <c r="H61" s="24">
        <v>4.394755583736182</v>
      </c>
      <c r="I61" s="24">
        <v>8.7582649996858546</v>
      </c>
      <c r="J61" s="24">
        <v>4.6687613603918408</v>
      </c>
    </row>
    <row r="62" spans="1:10">
      <c r="A62" s="22">
        <v>1994</v>
      </c>
      <c r="B62" s="25"/>
      <c r="C62" s="24">
        <v>7.1791145736264621</v>
      </c>
      <c r="D62" s="24">
        <v>7.2918720747065287</v>
      </c>
      <c r="E62" s="24">
        <v>7.787472810659672</v>
      </c>
      <c r="F62" s="24">
        <v>5.7809222587304756</v>
      </c>
      <c r="G62" s="24">
        <v>8.0083567366621757</v>
      </c>
      <c r="H62" s="24">
        <v>5.6908754796258814</v>
      </c>
      <c r="I62" s="24">
        <v>10.425672345507841</v>
      </c>
      <c r="J62" s="24">
        <v>6.2521636786284533</v>
      </c>
    </row>
    <row r="63" spans="1:10">
      <c r="A63" s="22">
        <v>1995</v>
      </c>
      <c r="B63" s="25"/>
      <c r="C63" s="24">
        <v>8.8255605919137992</v>
      </c>
      <c r="D63" s="24">
        <v>9.0889718355953946</v>
      </c>
      <c r="E63" s="24">
        <v>9.5370748249713682</v>
      </c>
      <c r="F63" s="24">
        <v>7.0868676414113398</v>
      </c>
      <c r="G63" s="24">
        <v>9.6925281720558907</v>
      </c>
      <c r="H63" s="24">
        <v>7.1161334075988112</v>
      </c>
      <c r="I63" s="24">
        <v>12.408227920990658</v>
      </c>
      <c r="J63" s="24">
        <v>7.9132565071334611</v>
      </c>
    </row>
    <row r="64" spans="1:10">
      <c r="A64" s="22">
        <v>1996</v>
      </c>
      <c r="B64" s="25">
        <v>-4</v>
      </c>
      <c r="C64" s="24">
        <v>10.978035438780056</v>
      </c>
      <c r="D64" s="24">
        <v>11.490673982108959</v>
      </c>
      <c r="E64" s="24">
        <v>11.792669909431327</v>
      </c>
      <c r="F64" s="24">
        <v>9.093582606042494</v>
      </c>
      <c r="G64" s="24">
        <v>11.993138338112642</v>
      </c>
      <c r="H64" s="24">
        <v>8.8711280568846078</v>
      </c>
      <c r="I64" s="24">
        <v>14.851920697721647</v>
      </c>
      <c r="J64" s="24">
        <v>10.01758779619264</v>
      </c>
    </row>
    <row r="65" spans="1:15">
      <c r="A65" s="22">
        <v>1997</v>
      </c>
      <c r="B65" s="25"/>
      <c r="C65" s="24">
        <v>14.347172031958328</v>
      </c>
      <c r="D65" s="24">
        <v>14.761562335116828</v>
      </c>
      <c r="E65" s="24">
        <v>15.667562494911387</v>
      </c>
      <c r="F65" s="24">
        <v>11.846959242134702</v>
      </c>
      <c r="G65" s="24">
        <v>16.009605861531572</v>
      </c>
      <c r="H65" s="24">
        <v>11.353756913176433</v>
      </c>
      <c r="I65" s="24">
        <v>18.543576512437781</v>
      </c>
      <c r="J65" s="24">
        <v>13.121042837208124</v>
      </c>
    </row>
    <row r="66" spans="1:15">
      <c r="A66" s="22">
        <v>1998</v>
      </c>
      <c r="B66" s="25"/>
      <c r="C66" s="24">
        <v>17.829975394598389</v>
      </c>
      <c r="D66" s="24">
        <v>17.843231503176174</v>
      </c>
      <c r="E66" s="24">
        <v>19.092594735073213</v>
      </c>
      <c r="F66" s="24">
        <v>15.308772290307404</v>
      </c>
      <c r="G66" s="24">
        <v>20.836977150427451</v>
      </c>
      <c r="H66" s="24">
        <v>12.463652688288528</v>
      </c>
      <c r="I66" s="24">
        <v>23.689553007835933</v>
      </c>
      <c r="J66" s="24">
        <v>16.119743331851353</v>
      </c>
    </row>
    <row r="67" spans="1:15">
      <c r="A67" s="22">
        <v>1999</v>
      </c>
      <c r="B67" s="25"/>
      <c r="C67" s="24">
        <v>29.728146543116484</v>
      </c>
      <c r="D67" s="24">
        <v>29.825789712396801</v>
      </c>
      <c r="E67" s="24">
        <v>31.817561246537192</v>
      </c>
      <c r="F67" s="24">
        <v>25.595463311735688</v>
      </c>
      <c r="G67" s="24">
        <v>30.931687244623546</v>
      </c>
      <c r="H67" s="24">
        <v>25.983209785022407</v>
      </c>
      <c r="I67" s="24">
        <v>36.147377105868067</v>
      </c>
      <c r="J67" s="24">
        <v>29.03091514688214</v>
      </c>
    </row>
    <row r="68" spans="1:15">
      <c r="A68" s="22">
        <v>2000</v>
      </c>
      <c r="B68" s="25"/>
      <c r="C68" s="24">
        <v>58.239614587482052</v>
      </c>
      <c r="D68" s="24">
        <v>58.738823302883411</v>
      </c>
      <c r="E68" s="24">
        <v>61.727201461721194</v>
      </c>
      <c r="F68" s="24">
        <v>53.35356296808289</v>
      </c>
      <c r="G68" s="24">
        <v>64.857747079587014</v>
      </c>
      <c r="H68" s="24">
        <v>41.770568799292654</v>
      </c>
      <c r="I68" s="24">
        <v>78.787752910424487</v>
      </c>
      <c r="J68" s="24">
        <v>55.797032497982542</v>
      </c>
    </row>
    <row r="69" spans="1:15">
      <c r="A69" s="22">
        <v>2001</v>
      </c>
      <c r="B69" s="25"/>
      <c r="C69" s="24">
        <v>80.179897345365674</v>
      </c>
      <c r="D69" s="24">
        <v>80.193895414747047</v>
      </c>
      <c r="E69" s="24">
        <v>84.802958243845637</v>
      </c>
      <c r="F69" s="24">
        <v>77.864640855591063</v>
      </c>
      <c r="G69" s="24">
        <v>87.207883478041509</v>
      </c>
      <c r="H69" s="24">
        <v>57.539159073666539</v>
      </c>
      <c r="I69" s="24">
        <v>104.59460148900934</v>
      </c>
      <c r="J69" s="24">
        <v>80.87694225748713</v>
      </c>
    </row>
    <row r="70" spans="1:15">
      <c r="A70" s="22">
        <v>2002</v>
      </c>
      <c r="B70" s="25"/>
      <c r="C70" s="24">
        <v>90.23469575590417</v>
      </c>
      <c r="D70" s="24">
        <v>90.081592963363946</v>
      </c>
      <c r="E70" s="24">
        <v>92.502752278718873</v>
      </c>
      <c r="F70" s="24">
        <v>92.429767657343987</v>
      </c>
      <c r="G70" s="24">
        <v>95.334973180197437</v>
      </c>
      <c r="H70" s="24">
        <v>76.159311111106547</v>
      </c>
      <c r="I70" s="24">
        <v>109.28731506437464</v>
      </c>
      <c r="J70" s="24">
        <v>88.415683893384085</v>
      </c>
    </row>
    <row r="71" spans="1:15">
      <c r="A71" s="22">
        <v>2003</v>
      </c>
      <c r="B71" s="25"/>
      <c r="C71" s="24">
        <v>97.425504011087241</v>
      </c>
      <c r="D71" s="24">
        <v>97.159466002221208</v>
      </c>
      <c r="E71" s="24">
        <v>98.517396678619576</v>
      </c>
      <c r="F71" s="24">
        <v>97.746284461624299</v>
      </c>
      <c r="G71" s="24">
        <v>98.972680215605521</v>
      </c>
      <c r="H71" s="24">
        <v>91.390019898269585</v>
      </c>
      <c r="I71" s="24">
        <v>105.52796492281219</v>
      </c>
      <c r="J71" s="24">
        <v>97.499011871830277</v>
      </c>
    </row>
    <row r="72" spans="1:15" s="11" customFormat="1">
      <c r="A72" s="22">
        <v>2004</v>
      </c>
      <c r="B72" s="25"/>
      <c r="C72" s="24">
        <v>100</v>
      </c>
      <c r="D72" s="24">
        <v>99.86</v>
      </c>
      <c r="E72" s="24">
        <v>99.91</v>
      </c>
      <c r="F72" s="24">
        <v>99.66</v>
      </c>
      <c r="G72" s="24">
        <v>100.13073433355135</v>
      </c>
      <c r="H72" s="24">
        <v>99.562496290440109</v>
      </c>
      <c r="I72" s="24">
        <v>100.1441778593328</v>
      </c>
      <c r="J72" s="24">
        <v>100.03546001748917</v>
      </c>
      <c r="L72" s="15"/>
      <c r="M72" s="15"/>
      <c r="N72" s="15"/>
      <c r="O72" s="15"/>
    </row>
    <row r="73" spans="1:15" s="11" customFormat="1">
      <c r="A73" s="22">
        <v>2005</v>
      </c>
      <c r="B73" s="25">
        <v>-5</v>
      </c>
      <c r="C73" s="24">
        <v>102.08</v>
      </c>
      <c r="D73" s="24">
        <v>102.12</v>
      </c>
      <c r="E73" s="24">
        <v>101.06</v>
      </c>
      <c r="F73" s="24">
        <v>102.42</v>
      </c>
      <c r="G73" s="24">
        <v>102.43440122108804</v>
      </c>
      <c r="H73" s="24">
        <v>101.62136995959175</v>
      </c>
      <c r="I73" s="24">
        <v>99.61098909929801</v>
      </c>
      <c r="J73" s="24">
        <v>102.50741459843904</v>
      </c>
      <c r="L73" s="15"/>
      <c r="M73" s="15"/>
      <c r="N73" s="15"/>
      <c r="O73" s="15"/>
    </row>
    <row r="74" spans="1:15" s="11" customFormat="1">
      <c r="A74" s="22">
        <v>2006</v>
      </c>
      <c r="B74" s="25"/>
      <c r="C74" s="24">
        <v>105.45</v>
      </c>
      <c r="D74" s="24">
        <v>105.54</v>
      </c>
      <c r="E74" s="24">
        <v>103.49</v>
      </c>
      <c r="F74" s="24">
        <v>105.23</v>
      </c>
      <c r="G74" s="24">
        <v>107.25041687710829</v>
      </c>
      <c r="H74" s="24">
        <v>105.52642624956077</v>
      </c>
      <c r="I74" s="24">
        <v>100.24559619116955</v>
      </c>
      <c r="J74" s="24">
        <v>105.1471061127349</v>
      </c>
      <c r="L74" s="15"/>
      <c r="M74" s="15"/>
      <c r="N74" s="15"/>
      <c r="O74" s="15"/>
    </row>
    <row r="75" spans="1:15" s="11" customFormat="1">
      <c r="A75" s="22">
        <v>2007</v>
      </c>
      <c r="B75" s="25"/>
      <c r="C75" s="24">
        <v>107.84751512179538</v>
      </c>
      <c r="D75" s="24">
        <v>107.82115770805937</v>
      </c>
      <c r="E75" s="24">
        <v>105.25518110326071</v>
      </c>
      <c r="F75" s="24">
        <v>107.66898999517305</v>
      </c>
      <c r="G75" s="24">
        <v>110.41748857321734</v>
      </c>
      <c r="H75" s="24">
        <v>108.32810748056959</v>
      </c>
      <c r="I75" s="24">
        <v>101.07987203864622</v>
      </c>
      <c r="J75" s="24">
        <v>107.14256172972473</v>
      </c>
      <c r="L75" s="15"/>
      <c r="M75" s="15"/>
      <c r="N75" s="15"/>
      <c r="O75" s="15"/>
    </row>
    <row r="76" spans="1:15" s="11" customFormat="1">
      <c r="A76" s="22">
        <v>2008</v>
      </c>
      <c r="B76" s="25"/>
      <c r="C76" s="24">
        <v>116.90682687943901</v>
      </c>
      <c r="D76" s="24">
        <v>116.42764878813654</v>
      </c>
      <c r="E76" s="24">
        <v>113.16580862876884</v>
      </c>
      <c r="F76" s="24">
        <v>116.11843739868009</v>
      </c>
      <c r="G76" s="24">
        <v>127.42952627886928</v>
      </c>
      <c r="H76" s="24">
        <v>116.56523166668727</v>
      </c>
      <c r="I76" s="24">
        <v>107.50349180073248</v>
      </c>
      <c r="J76" s="24">
        <v>111.04006220485991</v>
      </c>
      <c r="L76" s="15"/>
      <c r="M76" s="15"/>
      <c r="N76" s="15"/>
      <c r="O76" s="15"/>
    </row>
    <row r="77" spans="1:15" s="11" customFormat="1">
      <c r="A77" s="22">
        <v>2009</v>
      </c>
      <c r="B77" s="25"/>
      <c r="C77" s="24">
        <v>122.93918207737981</v>
      </c>
      <c r="D77" s="24">
        <v>122.19920685827692</v>
      </c>
      <c r="E77" s="24">
        <v>117.9282297476753</v>
      </c>
      <c r="F77" s="24">
        <v>122.17385291372665</v>
      </c>
      <c r="G77" s="24">
        <v>135.56195556736549</v>
      </c>
      <c r="H77" s="24">
        <v>121.85838465444247</v>
      </c>
      <c r="I77" s="24">
        <v>114.03509248762585</v>
      </c>
      <c r="J77" s="24">
        <v>115.65667284070368</v>
      </c>
      <c r="L77" s="15"/>
      <c r="M77" s="15"/>
      <c r="N77" s="15"/>
      <c r="O77" s="15"/>
    </row>
    <row r="78" spans="1:15" s="11" customFormat="1">
      <c r="A78" s="22">
        <v>2010</v>
      </c>
      <c r="B78" s="25"/>
      <c r="C78" s="24">
        <v>127.30890451410153</v>
      </c>
      <c r="D78" s="24">
        <v>126.54271340063541</v>
      </c>
      <c r="E78" s="24">
        <v>121.57083444895567</v>
      </c>
      <c r="F78" s="24">
        <v>125.61172951367594</v>
      </c>
      <c r="G78" s="24">
        <v>142.29999413172973</v>
      </c>
      <c r="H78" s="24">
        <v>124.86710672304702</v>
      </c>
      <c r="I78" s="24">
        <v>119.02618173600581</v>
      </c>
      <c r="J78" s="24">
        <v>118.61905461118475</v>
      </c>
      <c r="L78" s="15"/>
      <c r="M78" s="15"/>
      <c r="N78" s="15"/>
      <c r="O78" s="15"/>
    </row>
    <row r="79" spans="1:15" s="11" customFormat="1">
      <c r="A79" s="22">
        <v>2011</v>
      </c>
      <c r="B79" s="25"/>
      <c r="C79" s="24">
        <v>133.00538302307203</v>
      </c>
      <c r="D79" s="24">
        <v>131.28671222955754</v>
      </c>
      <c r="E79" s="24">
        <v>127.34721132656072</v>
      </c>
      <c r="F79" s="24">
        <v>131.16637167181031</v>
      </c>
      <c r="G79" s="24">
        <v>151.28987897546858</v>
      </c>
      <c r="H79" s="24">
        <v>128.75361929420797</v>
      </c>
      <c r="I79" s="24">
        <v>126.7089401229312</v>
      </c>
      <c r="J79" s="24">
        <v>122.09009228784214</v>
      </c>
      <c r="L79" s="16"/>
      <c r="M79" s="15"/>
      <c r="N79" s="15"/>
      <c r="O79" s="15"/>
    </row>
    <row r="80" spans="1:15" s="151" customFormat="1">
      <c r="A80" s="22">
        <v>2012</v>
      </c>
      <c r="B80" s="25"/>
      <c r="C80" s="24">
        <v>139.79094765668515</v>
      </c>
      <c r="D80" s="24">
        <v>138.5185307009495</v>
      </c>
      <c r="E80" s="24">
        <v>132.81358251492512</v>
      </c>
      <c r="F80" s="24">
        <v>136.7562769213713</v>
      </c>
      <c r="G80" s="24">
        <v>161.11032735992023</v>
      </c>
      <c r="H80" s="24">
        <v>132.74901855227003</v>
      </c>
      <c r="I80" s="24">
        <v>132.30093799650228</v>
      </c>
      <c r="J80" s="24">
        <v>127.89186918228914</v>
      </c>
      <c r="L80" s="152"/>
      <c r="M80" s="153"/>
      <c r="N80" s="153"/>
      <c r="O80" s="153"/>
    </row>
    <row r="81" spans="1:15" s="151" customFormat="1">
      <c r="A81" s="22">
        <v>2013</v>
      </c>
      <c r="B81" s="25"/>
      <c r="C81" s="24">
        <v>143.59574380858808</v>
      </c>
      <c r="D81" s="24">
        <v>142.47185797500291</v>
      </c>
      <c r="E81" s="24">
        <v>136.15891576826309</v>
      </c>
      <c r="F81" s="24">
        <v>141.29831065808335</v>
      </c>
      <c r="G81" s="24">
        <v>165.77149874475856</v>
      </c>
      <c r="H81" s="24">
        <v>135.84088977610668</v>
      </c>
      <c r="I81" s="24">
        <v>135.11548669211152</v>
      </c>
      <c r="J81" s="24">
        <v>131.52851122211021</v>
      </c>
      <c r="L81" s="152"/>
      <c r="M81" s="153"/>
      <c r="N81" s="153"/>
      <c r="O81" s="153"/>
    </row>
    <row r="82" spans="1:15" s="151" customFormat="1">
      <c r="A82" s="22">
        <v>2014</v>
      </c>
      <c r="B82" s="25"/>
      <c r="C82" s="24">
        <v>148.74971120312486</v>
      </c>
      <c r="D82" s="24">
        <v>147.91776431902116</v>
      </c>
      <c r="E82" s="24">
        <v>141.21232132576935</v>
      </c>
      <c r="F82" s="24">
        <v>146.55198495729522</v>
      </c>
      <c r="G82" s="24">
        <v>173.59416619640217</v>
      </c>
      <c r="H82" s="24">
        <v>140.21870306173471</v>
      </c>
      <c r="I82" s="24">
        <v>138.00247325788965</v>
      </c>
      <c r="J82" s="24">
        <v>135.43323870493319</v>
      </c>
      <c r="L82" s="152"/>
      <c r="M82" s="153"/>
      <c r="N82" s="153"/>
      <c r="O82" s="153"/>
    </row>
    <row r="83" spans="1:15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6" spans="1:15">
      <c r="A86" s="107"/>
    </row>
    <row r="87" spans="1:15">
      <c r="A87" s="19" t="s">
        <v>1009</v>
      </c>
      <c r="B87" s="19"/>
    </row>
    <row r="93" spans="1:15">
      <c r="I93" s="18"/>
    </row>
    <row r="94" spans="1:15">
      <c r="I94" s="18"/>
    </row>
    <row r="95" spans="1:15">
      <c r="I95" s="18"/>
    </row>
    <row r="96" spans="1:15">
      <c r="I96" s="18"/>
    </row>
  </sheetData>
  <mergeCells count="7">
    <mergeCell ref="A1:J1"/>
    <mergeCell ref="A2:J2"/>
    <mergeCell ref="A3:J3"/>
    <mergeCell ref="D5:F5"/>
    <mergeCell ref="G5:J5"/>
    <mergeCell ref="A5:B6"/>
    <mergeCell ref="C5:C6"/>
  </mergeCells>
  <hyperlinks>
    <hyperlink ref="A87:B87" location="'indice cap.4'!A1" display="regresar al índice"/>
  </hyperlinks>
  <pageMargins left="0" right="0" top="0.55118110236220474" bottom="0.55118110236220474" header="0.31496062992125984" footer="0.31496062992125984"/>
  <pageSetup paperSize="9" scale="71" orientation="portrait" verticalDpi="599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3"/>
  <sheetViews>
    <sheetView showGridLines="0" zoomScale="93" zoomScaleNormal="93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8" sqref="A8:J9"/>
    </sheetView>
  </sheetViews>
  <sheetFormatPr baseColWidth="10" defaultRowHeight="12.75"/>
  <cols>
    <col min="1" max="1" width="10" style="10" customWidth="1"/>
    <col min="2" max="2" width="3.7109375" style="10" customWidth="1"/>
    <col min="3" max="10" width="15.7109375" style="10" customWidth="1"/>
    <col min="11" max="16384" width="11.42578125" style="10"/>
  </cols>
  <sheetData>
    <row r="1" spans="1:15">
      <c r="A1" s="292" t="s">
        <v>1301</v>
      </c>
      <c r="B1" s="296"/>
      <c r="C1" s="296"/>
      <c r="D1" s="296"/>
      <c r="E1" s="296"/>
      <c r="F1" s="296"/>
      <c r="G1" s="296"/>
      <c r="H1" s="296"/>
      <c r="I1" s="296"/>
      <c r="J1" s="296"/>
    </row>
    <row r="2" spans="1:15" s="11" customFormat="1">
      <c r="A2" s="292" t="s">
        <v>0</v>
      </c>
      <c r="B2" s="292"/>
      <c r="C2" s="292"/>
      <c r="D2" s="292"/>
      <c r="E2" s="292"/>
      <c r="F2" s="292"/>
      <c r="G2" s="292"/>
      <c r="H2" s="292"/>
      <c r="I2" s="292"/>
      <c r="J2" s="292"/>
    </row>
    <row r="3" spans="1:15">
      <c r="A3" s="292" t="s">
        <v>1287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5">
      <c r="A5" s="300" t="s">
        <v>2</v>
      </c>
      <c r="B5" s="301"/>
      <c r="C5" s="302" t="s">
        <v>1021</v>
      </c>
      <c r="D5" s="297" t="s">
        <v>3</v>
      </c>
      <c r="E5" s="298"/>
      <c r="F5" s="298"/>
      <c r="G5" s="297" t="s">
        <v>1306</v>
      </c>
      <c r="H5" s="298"/>
      <c r="I5" s="298"/>
      <c r="J5" s="299"/>
    </row>
    <row r="6" spans="1:15" s="13" customFormat="1">
      <c r="A6" s="300"/>
      <c r="B6" s="301"/>
      <c r="C6" s="303"/>
      <c r="D6" s="20" t="s">
        <v>5</v>
      </c>
      <c r="E6" s="20" t="s">
        <v>6</v>
      </c>
      <c r="F6" s="20" t="s">
        <v>7</v>
      </c>
      <c r="G6" s="20" t="s">
        <v>1020</v>
      </c>
      <c r="H6" s="20" t="s">
        <v>9</v>
      </c>
      <c r="I6" s="20" t="s">
        <v>10</v>
      </c>
      <c r="J6" s="21" t="s">
        <v>11</v>
      </c>
    </row>
    <row r="7" spans="1:1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5" s="11" customFormat="1">
      <c r="A8" s="22">
        <v>2015</v>
      </c>
      <c r="B8" s="25"/>
      <c r="C8" s="24">
        <v>103.22038088155142</v>
      </c>
      <c r="D8" s="24">
        <v>102.8380448835516</v>
      </c>
      <c r="E8" s="24">
        <v>103.38543099772193</v>
      </c>
      <c r="F8" s="24">
        <v>103.23523890134707</v>
      </c>
      <c r="G8" s="24">
        <v>104.3140105251228</v>
      </c>
      <c r="H8" s="24">
        <v>107.20526681291328</v>
      </c>
      <c r="I8" s="24">
        <v>98.610460039319619</v>
      </c>
      <c r="J8" s="24">
        <v>102.55658639772217</v>
      </c>
      <c r="L8" s="157"/>
      <c r="M8" s="158"/>
      <c r="N8" s="158"/>
      <c r="O8" s="158"/>
    </row>
    <row r="9" spans="1:15" s="11" customFormat="1">
      <c r="A9" s="22">
        <v>2016</v>
      </c>
      <c r="B9" s="25"/>
      <c r="C9" s="24">
        <v>105.00430221862855</v>
      </c>
      <c r="D9" s="24">
        <v>104.85543071562331</v>
      </c>
      <c r="E9" s="24">
        <v>105.15814096494263</v>
      </c>
      <c r="F9" s="24">
        <v>105.47546841385581</v>
      </c>
      <c r="G9" s="24">
        <v>107.27835264689195</v>
      </c>
      <c r="H9" s="24">
        <v>110.57192137904379</v>
      </c>
      <c r="I9" s="24">
        <v>98.14916925322207</v>
      </c>
      <c r="J9" s="24">
        <v>104.58088762838388</v>
      </c>
      <c r="L9" s="157"/>
      <c r="M9" s="158"/>
      <c r="N9" s="158"/>
      <c r="O9" s="158"/>
    </row>
    <row r="10" spans="1:15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3" spans="1:15">
      <c r="A13" s="107"/>
    </row>
    <row r="14" spans="1:15">
      <c r="A14" s="19" t="s">
        <v>1009</v>
      </c>
      <c r="B14" s="19"/>
    </row>
    <row r="20" spans="9:9">
      <c r="I20" s="18"/>
    </row>
    <row r="21" spans="9:9">
      <c r="I21" s="18"/>
    </row>
    <row r="22" spans="9:9">
      <c r="I22" s="18"/>
    </row>
    <row r="23" spans="9:9">
      <c r="I23" s="18"/>
    </row>
  </sheetData>
  <mergeCells count="7">
    <mergeCell ref="A1:J1"/>
    <mergeCell ref="A2:J2"/>
    <mergeCell ref="A3:J3"/>
    <mergeCell ref="A5:B6"/>
    <mergeCell ref="C5:C6"/>
    <mergeCell ref="D5:F5"/>
    <mergeCell ref="G5:J5"/>
  </mergeCells>
  <hyperlinks>
    <hyperlink ref="A14:B14" location="'indice cap.4'!A1" display="regresar al índice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75" orientation="landscape" verticalDpi="599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9"/>
  <sheetViews>
    <sheetView showGridLines="0" workbookViewId="0">
      <selection activeCell="B5" sqref="B5"/>
    </sheetView>
  </sheetViews>
  <sheetFormatPr baseColWidth="10" defaultRowHeight="12.75"/>
  <cols>
    <col min="1" max="1" width="9.85546875" style="10" customWidth="1"/>
    <col min="2" max="2" width="13.5703125" style="10" customWidth="1"/>
    <col min="3" max="3" width="15.140625" style="10" customWidth="1"/>
    <col min="4" max="4" width="16" style="10" customWidth="1"/>
    <col min="5" max="5" width="16.28515625" style="10" customWidth="1"/>
    <col min="6" max="6" width="17.85546875" style="10" customWidth="1"/>
    <col min="7" max="7" width="14.85546875" style="10" customWidth="1"/>
    <col min="8" max="8" width="13.42578125" style="10" customWidth="1"/>
    <col min="9" max="9" width="16.5703125" style="10" customWidth="1"/>
    <col min="10" max="10" width="11.85546875" style="10" customWidth="1"/>
    <col min="11" max="11" width="12.42578125" style="10" customWidth="1"/>
    <col min="12" max="12" width="15" style="10" customWidth="1"/>
    <col min="13" max="16384" width="11.42578125" style="10"/>
  </cols>
  <sheetData>
    <row r="1" spans="1:12" s="26" customFormat="1" ht="15">
      <c r="A1" s="292" t="s">
        <v>1509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</row>
    <row r="2" spans="1:12" ht="15">
      <c r="A2" s="292" t="s">
        <v>12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</row>
    <row r="3" spans="1:12" ht="15">
      <c r="A3" s="292" t="s">
        <v>13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</row>
    <row r="4" spans="1:12" ht="11.25" customHeigh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66" customHeight="1">
      <c r="A5" s="29" t="s">
        <v>2</v>
      </c>
      <c r="B5" s="30" t="s">
        <v>1519</v>
      </c>
      <c r="C5" s="30" t="s">
        <v>14</v>
      </c>
      <c r="D5" s="30" t="s">
        <v>15</v>
      </c>
      <c r="E5" s="30" t="s">
        <v>16</v>
      </c>
      <c r="F5" s="30" t="s">
        <v>17</v>
      </c>
      <c r="G5" s="30" t="s">
        <v>18</v>
      </c>
      <c r="H5" s="30" t="s">
        <v>19</v>
      </c>
      <c r="I5" s="30" t="s">
        <v>20</v>
      </c>
      <c r="J5" s="30" t="s">
        <v>21</v>
      </c>
      <c r="K5" s="30" t="s">
        <v>22</v>
      </c>
      <c r="L5" s="31" t="s">
        <v>23</v>
      </c>
    </row>
    <row r="7" spans="1:12">
      <c r="A7" s="41">
        <v>1997</v>
      </c>
      <c r="B7" s="32">
        <v>177.11</v>
      </c>
      <c r="C7" s="32">
        <v>181.2</v>
      </c>
      <c r="D7" s="32">
        <v>167.11</v>
      </c>
      <c r="E7" s="32">
        <v>197.1</v>
      </c>
      <c r="F7" s="32">
        <v>160.47999999999999</v>
      </c>
      <c r="G7" s="32">
        <v>169.97</v>
      </c>
      <c r="H7" s="32">
        <v>180.38</v>
      </c>
      <c r="I7" s="32">
        <v>147.80000000000001</v>
      </c>
      <c r="J7" s="32">
        <v>186.09</v>
      </c>
      <c r="K7" s="32">
        <v>178.88</v>
      </c>
      <c r="L7" s="32">
        <v>159.59</v>
      </c>
    </row>
    <row r="8" spans="1:12">
      <c r="A8" s="41">
        <v>1998</v>
      </c>
      <c r="B8" s="32">
        <v>241.04</v>
      </c>
      <c r="C8" s="32">
        <v>253.01</v>
      </c>
      <c r="D8" s="33">
        <v>204.95583333333332</v>
      </c>
      <c r="E8" s="33">
        <v>303.90499999999997</v>
      </c>
      <c r="F8" s="33">
        <v>206.17916666666667</v>
      </c>
      <c r="G8" s="33">
        <v>225.29833333333332</v>
      </c>
      <c r="H8" s="33">
        <v>255.26833333333332</v>
      </c>
      <c r="I8" s="33">
        <v>192.20083333333332</v>
      </c>
      <c r="J8" s="33">
        <v>237.72749999999999</v>
      </c>
      <c r="K8" s="33">
        <v>242.53416666666669</v>
      </c>
      <c r="L8" s="33">
        <v>196.495</v>
      </c>
    </row>
    <row r="9" spans="1:12">
      <c r="A9" s="41">
        <v>1999</v>
      </c>
      <c r="B9" s="32">
        <v>366.96</v>
      </c>
      <c r="C9" s="32">
        <v>351.78</v>
      </c>
      <c r="D9" s="33">
        <v>323.40249999999997</v>
      </c>
      <c r="E9" s="33">
        <v>481.05</v>
      </c>
      <c r="F9" s="33">
        <v>348.7716666666667</v>
      </c>
      <c r="G9" s="33">
        <v>363.70083333333338</v>
      </c>
      <c r="H9" s="33">
        <v>438.75416666666666</v>
      </c>
      <c r="I9" s="33">
        <v>361.74166666666673</v>
      </c>
      <c r="J9" s="33">
        <v>325.04916666666662</v>
      </c>
      <c r="K9" s="33">
        <v>343.51083333333332</v>
      </c>
      <c r="L9" s="33">
        <v>338.72500000000002</v>
      </c>
    </row>
    <row r="10" spans="1:12">
      <c r="A10" s="41">
        <v>2000</v>
      </c>
      <c r="B10" s="32">
        <v>719.61</v>
      </c>
      <c r="C10" s="32">
        <v>776.77</v>
      </c>
      <c r="D10" s="33">
        <v>709.17083333333346</v>
      </c>
      <c r="E10" s="33">
        <v>632.2741666666667</v>
      </c>
      <c r="F10" s="33">
        <v>748.42250000000001</v>
      </c>
      <c r="G10" s="33">
        <v>774.29416666666657</v>
      </c>
      <c r="H10" s="33">
        <v>816.65666666666675</v>
      </c>
      <c r="I10" s="33">
        <v>775.98500000000001</v>
      </c>
      <c r="J10" s="33">
        <v>520.34833333333336</v>
      </c>
      <c r="K10" s="33">
        <v>626.45249999999999</v>
      </c>
      <c r="L10" s="33">
        <v>752.55583333333334</v>
      </c>
    </row>
    <row r="11" spans="1:12">
      <c r="A11" s="41">
        <v>2001</v>
      </c>
      <c r="B11" s="32">
        <v>990.73</v>
      </c>
      <c r="C11" s="32">
        <v>1023.04</v>
      </c>
      <c r="D11" s="33">
        <v>926.26666666666677</v>
      </c>
      <c r="E11" s="33">
        <v>956.58416666666687</v>
      </c>
      <c r="F11" s="33">
        <v>971.67416666666668</v>
      </c>
      <c r="G11" s="33">
        <v>1061.6858333333332</v>
      </c>
      <c r="H11" s="33">
        <v>1211.73</v>
      </c>
      <c r="I11" s="33">
        <v>952.75916666666683</v>
      </c>
      <c r="J11" s="33">
        <v>886.92666666666673</v>
      </c>
      <c r="K11" s="33">
        <v>907.73749999999995</v>
      </c>
      <c r="L11" s="33">
        <v>987.10749999999996</v>
      </c>
    </row>
    <row r="12" spans="1:12">
      <c r="A12" s="41">
        <v>2002</v>
      </c>
      <c r="B12" s="32">
        <v>1114.42</v>
      </c>
      <c r="C12" s="32">
        <v>1106.8699999999999</v>
      </c>
      <c r="D12" s="33">
        <v>939.48333333333323</v>
      </c>
      <c r="E12" s="33">
        <v>1403.9416666666664</v>
      </c>
      <c r="F12" s="33">
        <v>1027.8891666666666</v>
      </c>
      <c r="G12" s="33">
        <v>1195.0350000000001</v>
      </c>
      <c r="H12" s="33">
        <v>1233.2666666666667</v>
      </c>
      <c r="I12" s="33">
        <v>964.39583333333337</v>
      </c>
      <c r="J12" s="33">
        <v>1237.2674999999999</v>
      </c>
      <c r="K12" s="33">
        <v>1029.4408333333333</v>
      </c>
      <c r="L12" s="33">
        <v>1009.2566666666667</v>
      </c>
    </row>
    <row r="13" spans="1:12">
      <c r="A13" s="41">
        <v>2003</v>
      </c>
      <c r="B13" s="32">
        <v>1202.78</v>
      </c>
      <c r="C13" s="32">
        <v>1133.78</v>
      </c>
      <c r="D13" s="33">
        <v>883.90583333333325</v>
      </c>
      <c r="E13" s="33">
        <v>1806.3391666666666</v>
      </c>
      <c r="F13" s="33">
        <v>1013.0475</v>
      </c>
      <c r="G13" s="33">
        <v>1257.5716666666667</v>
      </c>
      <c r="H13" s="33">
        <v>1426.35</v>
      </c>
      <c r="I13" s="33">
        <v>942.22916666666663</v>
      </c>
      <c r="J13" s="33">
        <v>1534.364166666667</v>
      </c>
      <c r="K13" s="33">
        <v>1113.8566666666666</v>
      </c>
      <c r="L13" s="33">
        <v>951.625</v>
      </c>
    </row>
    <row r="14" spans="1:12">
      <c r="A14" s="41">
        <v>2004</v>
      </c>
      <c r="B14" s="32">
        <v>1235.761625300833</v>
      </c>
      <c r="C14" s="32">
        <v>1147.3967128866668</v>
      </c>
      <c r="D14" s="33">
        <v>821.95322162333332</v>
      </c>
      <c r="E14" s="33">
        <v>2021.6126733008332</v>
      </c>
      <c r="F14" s="33">
        <v>998.20914457833339</v>
      </c>
      <c r="G14" s="33">
        <v>1281.0702595675</v>
      </c>
      <c r="H14" s="33">
        <v>1436.6305614599999</v>
      </c>
      <c r="I14" s="33">
        <v>881.18600996833322</v>
      </c>
      <c r="J14" s="33">
        <v>1787.7360263050002</v>
      </c>
      <c r="K14" s="33">
        <v>1126.9916938191666</v>
      </c>
      <c r="L14" s="33">
        <v>869.16497832500011</v>
      </c>
    </row>
    <row r="15" spans="1:1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>
      <c r="A16" s="27"/>
      <c r="B16" s="27"/>
      <c r="C16" s="27"/>
      <c r="D16" s="27"/>
      <c r="E16" s="27"/>
      <c r="F16" s="27"/>
      <c r="G16" s="27"/>
    </row>
    <row r="17" spans="1:7">
      <c r="A17" s="27"/>
      <c r="B17" s="27"/>
      <c r="C17" s="27"/>
      <c r="D17" s="27"/>
      <c r="E17" s="27"/>
      <c r="F17" s="27"/>
      <c r="G17" s="27"/>
    </row>
    <row r="18" spans="1:7">
      <c r="A18" s="107"/>
    </row>
    <row r="19" spans="1:7">
      <c r="A19" s="19" t="s">
        <v>1009</v>
      </c>
    </row>
  </sheetData>
  <mergeCells count="3">
    <mergeCell ref="A1:L1"/>
    <mergeCell ref="A2:L2"/>
    <mergeCell ref="A3:L3"/>
  </mergeCells>
  <hyperlinks>
    <hyperlink ref="A19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75" orientation="landscape" verticalDpi="599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3"/>
  <sheetViews>
    <sheetView showGridLines="0" workbookViewId="0">
      <selection activeCell="E20" sqref="E20"/>
    </sheetView>
  </sheetViews>
  <sheetFormatPr baseColWidth="10" defaultColWidth="11" defaultRowHeight="12.75"/>
  <cols>
    <col min="1" max="1" width="6.5703125" style="18" customWidth="1"/>
    <col min="2" max="2" width="12.5703125" style="18" customWidth="1"/>
    <col min="3" max="8" width="15" style="18" customWidth="1"/>
    <col min="9" max="9" width="14.85546875" style="18" customWidth="1"/>
    <col min="10" max="10" width="17.5703125" style="18" bestFit="1" customWidth="1"/>
    <col min="11" max="11" width="15.140625" style="18" customWidth="1"/>
    <col min="12" max="12" width="15" style="18" customWidth="1"/>
    <col min="13" max="13" width="15.28515625" style="18" customWidth="1"/>
    <col min="14" max="14" width="15.140625" style="18" customWidth="1"/>
    <col min="15" max="16384" width="11" style="18"/>
  </cols>
  <sheetData>
    <row r="1" spans="1:14" s="26" customFormat="1">
      <c r="A1" s="291" t="s">
        <v>1510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4" s="26" customFormat="1">
      <c r="A2" s="291" t="s">
        <v>24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</row>
    <row r="3" spans="1:14" s="10" customFormat="1">
      <c r="A3" s="291" t="s">
        <v>25</v>
      </c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</row>
    <row r="4" spans="1:14" ht="20.100000000000001" customHeight="1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50" customFormat="1" ht="75" customHeight="1">
      <c r="A5" s="49" t="s">
        <v>2</v>
      </c>
      <c r="B5" s="30" t="s">
        <v>1519</v>
      </c>
      <c r="C5" s="37" t="s">
        <v>1010</v>
      </c>
      <c r="D5" s="37" t="s">
        <v>1011</v>
      </c>
      <c r="E5" s="37" t="s">
        <v>26</v>
      </c>
      <c r="F5" s="37" t="s">
        <v>27</v>
      </c>
      <c r="G5" s="37" t="s">
        <v>28</v>
      </c>
      <c r="H5" s="38" t="s">
        <v>18</v>
      </c>
      <c r="I5" s="38" t="s">
        <v>19</v>
      </c>
      <c r="J5" s="37" t="s">
        <v>1013</v>
      </c>
      <c r="K5" s="37" t="s">
        <v>30</v>
      </c>
      <c r="L5" s="38" t="s">
        <v>21</v>
      </c>
      <c r="M5" s="37" t="s">
        <v>31</v>
      </c>
      <c r="N5" s="39" t="s">
        <v>1014</v>
      </c>
    </row>
    <row r="6" spans="1:14" s="10" customFormat="1"/>
    <row r="7" spans="1:14" s="10" customFormat="1">
      <c r="A7" s="41">
        <v>2005</v>
      </c>
      <c r="B7" s="32">
        <v>102.07999202693337</v>
      </c>
      <c r="C7" s="32">
        <v>102.89787935013521</v>
      </c>
      <c r="D7" s="32">
        <v>106.14220602289919</v>
      </c>
      <c r="E7" s="32">
        <v>99.61098909929801</v>
      </c>
      <c r="F7" s="32">
        <v>102.87035389318196</v>
      </c>
      <c r="G7" s="32">
        <v>99.534133503340954</v>
      </c>
      <c r="H7" s="32">
        <v>101.32959144843073</v>
      </c>
      <c r="I7" s="32">
        <v>102.23889893406886</v>
      </c>
      <c r="J7" s="32">
        <v>98.452844094297816</v>
      </c>
      <c r="K7" s="32">
        <v>102.52963292960358</v>
      </c>
      <c r="L7" s="32">
        <v>109.3536846722688</v>
      </c>
      <c r="M7" s="32">
        <v>100.97228170839905</v>
      </c>
      <c r="N7" s="32">
        <v>98.133942492523587</v>
      </c>
    </row>
    <row r="8" spans="1:14" s="10" customFormat="1">
      <c r="A8" s="41">
        <v>2006</v>
      </c>
      <c r="B8" s="32">
        <v>105.44713164643048</v>
      </c>
      <c r="C8" s="32">
        <v>108.74205676217348</v>
      </c>
      <c r="D8" s="32">
        <v>110.02358897234906</v>
      </c>
      <c r="E8" s="32">
        <v>100.2456094980098</v>
      </c>
      <c r="F8" s="32">
        <v>107.81476301321044</v>
      </c>
      <c r="G8" s="32">
        <v>101.70222518313797</v>
      </c>
      <c r="H8" s="32">
        <v>102.89165948739993</v>
      </c>
      <c r="I8" s="32">
        <v>105.01332875962352</v>
      </c>
      <c r="J8" s="32">
        <v>97.729633348673815</v>
      </c>
      <c r="K8" s="32">
        <v>101.71576539103597</v>
      </c>
      <c r="L8" s="32">
        <v>118.98486761491036</v>
      </c>
      <c r="M8" s="32">
        <v>102.45315524838814</v>
      </c>
      <c r="N8" s="32">
        <v>98.670905863264011</v>
      </c>
    </row>
    <row r="9" spans="1:14" s="10" customFormat="1">
      <c r="A9" s="41">
        <v>2007</v>
      </c>
      <c r="B9" s="32">
        <v>107.84753082163591</v>
      </c>
      <c r="C9" s="32">
        <v>112.2807503337026</v>
      </c>
      <c r="D9" s="32">
        <v>115.57655399910767</v>
      </c>
      <c r="E9" s="32">
        <v>101.07987203864626</v>
      </c>
      <c r="F9" s="32">
        <v>110.31948288236514</v>
      </c>
      <c r="G9" s="32">
        <v>105.0002253317889</v>
      </c>
      <c r="H9" s="32">
        <v>105.29239850824432</v>
      </c>
      <c r="I9" s="32">
        <v>107.85788924143073</v>
      </c>
      <c r="J9" s="32">
        <v>97.181676415775641</v>
      </c>
      <c r="K9" s="32">
        <v>99.778047408333805</v>
      </c>
      <c r="L9" s="32">
        <v>125.27693318339546</v>
      </c>
      <c r="M9" s="32">
        <v>104.05184392040104</v>
      </c>
      <c r="N9" s="32">
        <v>98.730275569999208</v>
      </c>
    </row>
    <row r="10" spans="1:14" s="10" customFormat="1">
      <c r="A10" s="41">
        <v>2008</v>
      </c>
      <c r="B10" s="32">
        <v>116.90682687943901</v>
      </c>
      <c r="C10" s="32">
        <v>131.18690944659713</v>
      </c>
      <c r="D10" s="32">
        <v>137.97386621719986</v>
      </c>
      <c r="E10" s="32">
        <v>107.50349180073249</v>
      </c>
      <c r="F10" s="32">
        <v>115.30278353919449</v>
      </c>
      <c r="G10" s="32">
        <v>118.67496877775979</v>
      </c>
      <c r="H10" s="32">
        <v>108.61897377081708</v>
      </c>
      <c r="I10" s="32">
        <v>110.8521721376074</v>
      </c>
      <c r="J10" s="32">
        <v>95.61429638834899</v>
      </c>
      <c r="K10" s="32">
        <v>101.25149035898096</v>
      </c>
      <c r="L10" s="32">
        <v>131.23369845093026</v>
      </c>
      <c r="M10" s="32">
        <v>114.02753438662531</v>
      </c>
      <c r="N10" s="32">
        <v>108.01154935951679</v>
      </c>
    </row>
    <row r="11" spans="1:14" s="10" customFormat="1">
      <c r="A11" s="41">
        <v>2009</v>
      </c>
      <c r="B11" s="32">
        <v>122.93918207737981</v>
      </c>
      <c r="C11" s="32">
        <v>138.90809388336771</v>
      </c>
      <c r="D11" s="32">
        <v>155.80712627908972</v>
      </c>
      <c r="E11" s="32">
        <v>114.03509248762579</v>
      </c>
      <c r="F11" s="32">
        <v>117.79963096968935</v>
      </c>
      <c r="G11" s="32">
        <v>128.64116098160255</v>
      </c>
      <c r="H11" s="32">
        <v>112.19001963577944</v>
      </c>
      <c r="I11" s="32">
        <v>113.22832424170657</v>
      </c>
      <c r="J11" s="32">
        <v>95.940309278260429</v>
      </c>
      <c r="K11" s="32">
        <v>103.30237363891524</v>
      </c>
      <c r="L11" s="32">
        <v>136.34022873210037</v>
      </c>
      <c r="M11" s="32">
        <v>122.66711754351927</v>
      </c>
      <c r="N11" s="32">
        <v>124.74611545275413</v>
      </c>
    </row>
    <row r="12" spans="1:14" s="10" customFormat="1">
      <c r="A12" s="41">
        <v>2010</v>
      </c>
      <c r="B12" s="32">
        <v>127.30890451410153</v>
      </c>
      <c r="C12" s="32">
        <v>145.61615180123741</v>
      </c>
      <c r="D12" s="32">
        <v>165.48980481006194</v>
      </c>
      <c r="E12" s="32">
        <v>119.0261817360058</v>
      </c>
      <c r="F12" s="32">
        <v>120.77793096329218</v>
      </c>
      <c r="G12" s="32">
        <v>131.70072282669318</v>
      </c>
      <c r="H12" s="32">
        <v>116.36556834103764</v>
      </c>
      <c r="I12" s="32">
        <v>114.9043575077451</v>
      </c>
      <c r="J12" s="32">
        <v>96.111223983980963</v>
      </c>
      <c r="K12" s="32">
        <v>105.40434913326145</v>
      </c>
      <c r="L12" s="32">
        <v>141.10020406342585</v>
      </c>
      <c r="M12" s="32">
        <v>129.60173916122531</v>
      </c>
      <c r="N12" s="32">
        <v>129.59410234516562</v>
      </c>
    </row>
    <row r="13" spans="1:14" s="10" customFormat="1">
      <c r="A13" s="41">
        <v>2011</v>
      </c>
      <c r="B13" s="32">
        <v>133.00538302307203</v>
      </c>
      <c r="C13" s="32">
        <v>155.40971425299225</v>
      </c>
      <c r="D13" s="32">
        <v>172.40960603484277</v>
      </c>
      <c r="E13" s="32">
        <v>126.70894012293121</v>
      </c>
      <c r="F13" s="32">
        <v>123.38695217623636</v>
      </c>
      <c r="G13" s="32">
        <v>137.72211196728355</v>
      </c>
      <c r="H13" s="32">
        <v>120.04390859263577</v>
      </c>
      <c r="I13" s="32">
        <v>117.57100800473854</v>
      </c>
      <c r="J13" s="32">
        <v>98.082725248489893</v>
      </c>
      <c r="K13" s="32">
        <v>105.60302366992148</v>
      </c>
      <c r="L13" s="32">
        <v>147.83741500839818</v>
      </c>
      <c r="M13" s="32">
        <v>135.98397854746693</v>
      </c>
      <c r="N13" s="32">
        <v>134.92424771006532</v>
      </c>
    </row>
    <row r="14" spans="1:14" s="10" customFormat="1">
      <c r="A14" s="41">
        <v>2012</v>
      </c>
      <c r="B14" s="32">
        <v>139.79094765668515</v>
      </c>
      <c r="C14" s="32">
        <v>164.44103951802435</v>
      </c>
      <c r="D14" s="32">
        <v>211.2922201272138</v>
      </c>
      <c r="E14" s="32">
        <v>132.30093799650228</v>
      </c>
      <c r="F14" s="32">
        <v>126.5443900240205</v>
      </c>
      <c r="G14" s="32">
        <v>143.11786839362051</v>
      </c>
      <c r="H14" s="32">
        <v>125.42093280430301</v>
      </c>
      <c r="I14" s="32">
        <v>123.55701527001492</v>
      </c>
      <c r="J14" s="32">
        <v>97.525656243507754</v>
      </c>
      <c r="K14" s="32">
        <v>109.5280165195464</v>
      </c>
      <c r="L14" s="32">
        <v>157.1470708321896</v>
      </c>
      <c r="M14" s="32">
        <v>146.60412903646827</v>
      </c>
      <c r="N14" s="32">
        <v>140.99480943568244</v>
      </c>
    </row>
    <row r="15" spans="1:14" s="10" customFormat="1">
      <c r="A15" s="41">
        <v>2013</v>
      </c>
      <c r="B15" s="32">
        <v>143.59574380858808</v>
      </c>
      <c r="C15" s="32">
        <v>167.37240688087567</v>
      </c>
      <c r="D15" s="32">
        <v>235.42970807215139</v>
      </c>
      <c r="E15" s="32">
        <v>135.11548669211149</v>
      </c>
      <c r="F15" s="32">
        <v>129.31920131948911</v>
      </c>
      <c r="G15" s="32">
        <v>146.73959354392341</v>
      </c>
      <c r="H15" s="32">
        <v>130.93791351277571</v>
      </c>
      <c r="I15" s="32">
        <v>124.73274372834258</v>
      </c>
      <c r="J15" s="32">
        <v>97.553326268144687</v>
      </c>
      <c r="K15" s="32">
        <v>110.44669775830056</v>
      </c>
      <c r="L15" s="32">
        <v>166.79400398005325</v>
      </c>
      <c r="M15" s="32">
        <v>155.98095727543276</v>
      </c>
      <c r="N15" s="32">
        <v>145.86827274041158</v>
      </c>
    </row>
    <row r="16" spans="1:14" s="10" customFormat="1">
      <c r="A16" s="41">
        <v>2014</v>
      </c>
      <c r="B16" s="32">
        <v>148.74971120312486</v>
      </c>
      <c r="C16" s="32">
        <v>174.93936866985516</v>
      </c>
      <c r="D16" s="32">
        <v>250.13069873138184</v>
      </c>
      <c r="E16" s="32">
        <v>138.00247325788968</v>
      </c>
      <c r="F16" s="32">
        <v>134.11304837584331</v>
      </c>
      <c r="G16" s="32">
        <v>150.42215300767489</v>
      </c>
      <c r="H16" s="32">
        <v>135.55146225198797</v>
      </c>
      <c r="I16" s="32">
        <v>125.34715463032289</v>
      </c>
      <c r="J16" s="32">
        <v>97.180811315361879</v>
      </c>
      <c r="K16" s="32">
        <v>112.76733379921193</v>
      </c>
      <c r="L16" s="32">
        <v>176.54407656978466</v>
      </c>
      <c r="M16" s="32">
        <v>164.49258144677484</v>
      </c>
      <c r="N16" s="32">
        <v>154.00957143635748</v>
      </c>
    </row>
    <row r="17" spans="1:14" s="10" customForma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4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</row>
    <row r="19" spans="1:14">
      <c r="A19" s="48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>
      <c r="A20" s="107"/>
      <c r="B20" s="19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>
      <c r="A21" s="19" t="s">
        <v>1009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>
      <c r="A22" s="45"/>
    </row>
    <row r="24" spans="1:14">
      <c r="A24" s="45"/>
      <c r="K24" s="45"/>
      <c r="L24" s="45"/>
      <c r="M24" s="45"/>
      <c r="N24" s="45"/>
    </row>
    <row r="25" spans="1:14">
      <c r="A25" s="45"/>
      <c r="B25" s="46"/>
      <c r="D25" s="46"/>
      <c r="E25" s="45"/>
      <c r="G25" s="45"/>
      <c r="H25" s="45"/>
      <c r="I25" s="45"/>
      <c r="J25" s="45"/>
      <c r="K25" s="45"/>
      <c r="L25" s="45"/>
      <c r="M25" s="45"/>
      <c r="N25" s="45"/>
    </row>
    <row r="26" spans="1:14">
      <c r="A26" s="45"/>
      <c r="B26" s="46"/>
      <c r="E26" s="45"/>
      <c r="G26" s="45"/>
      <c r="H26" s="45"/>
      <c r="I26" s="45"/>
      <c r="J26" s="45"/>
      <c r="K26" s="45"/>
      <c r="L26" s="45"/>
      <c r="M26" s="45"/>
      <c r="N26" s="45"/>
    </row>
    <row r="27" spans="1:14">
      <c r="A27" s="45"/>
      <c r="B27" s="46"/>
      <c r="E27" s="45"/>
      <c r="G27" s="45"/>
      <c r="H27" s="45"/>
      <c r="I27" s="45"/>
      <c r="J27" s="45"/>
      <c r="K27" s="45"/>
      <c r="L27" s="45"/>
      <c r="M27" s="45"/>
      <c r="N27" s="45"/>
    </row>
    <row r="28" spans="1:14">
      <c r="A28" s="45"/>
      <c r="B28" s="46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1:14">
      <c r="A29" s="45"/>
      <c r="B29" s="46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>
      <c r="A30" s="45"/>
      <c r="B30" s="46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4">
      <c r="A31" s="45"/>
      <c r="B31" s="46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>
      <c r="A32" s="45"/>
      <c r="B32" s="46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>
      <c r="A33" s="45"/>
      <c r="B33" s="4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4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1:14">
      <c r="A57" s="45"/>
      <c r="B57" s="45"/>
      <c r="C57" s="45"/>
      <c r="D57" s="45"/>
      <c r="E57" s="45"/>
      <c r="F57" s="45"/>
      <c r="G57" s="45"/>
      <c r="H57" s="45"/>
      <c r="I57" s="45"/>
      <c r="J57" s="45"/>
    </row>
    <row r="58" spans="1:14">
      <c r="A58" s="45"/>
      <c r="B58" s="45"/>
      <c r="C58" s="45"/>
      <c r="D58" s="45"/>
      <c r="E58" s="45"/>
      <c r="F58" s="45"/>
      <c r="G58" s="45"/>
      <c r="H58" s="45"/>
      <c r="I58" s="45"/>
      <c r="J58" s="45"/>
    </row>
    <row r="59" spans="1:14">
      <c r="A59" s="45"/>
      <c r="B59" s="45"/>
      <c r="C59" s="45"/>
      <c r="D59" s="47"/>
      <c r="E59" s="45"/>
      <c r="F59" s="45"/>
      <c r="G59" s="45"/>
      <c r="H59" s="45"/>
      <c r="I59" s="45"/>
      <c r="J59" s="45"/>
    </row>
    <row r="60" spans="1:14">
      <c r="A60" s="45"/>
      <c r="B60" s="45"/>
      <c r="C60" s="45"/>
      <c r="D60" s="47"/>
      <c r="E60" s="45"/>
      <c r="F60" s="45"/>
      <c r="G60" s="45"/>
      <c r="H60" s="45"/>
      <c r="I60" s="45"/>
      <c r="J60" s="45"/>
    </row>
    <row r="61" spans="1:14">
      <c r="A61" s="45"/>
      <c r="C61" s="45"/>
      <c r="D61" s="47"/>
      <c r="E61" s="45"/>
      <c r="F61" s="45"/>
      <c r="G61" s="45"/>
      <c r="H61" s="45"/>
      <c r="I61" s="45"/>
      <c r="J61" s="45"/>
    </row>
    <row r="62" spans="1:14">
      <c r="A62" s="45"/>
      <c r="C62" s="45"/>
      <c r="D62" s="47"/>
      <c r="E62" s="45"/>
      <c r="F62" s="45"/>
      <c r="G62" s="45"/>
      <c r="H62" s="45"/>
      <c r="I62" s="45"/>
      <c r="J62" s="45"/>
    </row>
    <row r="63" spans="1:14">
      <c r="A63" s="45"/>
      <c r="C63" s="45"/>
      <c r="D63" s="47"/>
      <c r="E63" s="45"/>
      <c r="F63" s="45"/>
      <c r="G63" s="45"/>
      <c r="H63" s="45"/>
      <c r="I63" s="45"/>
      <c r="J63" s="45"/>
    </row>
    <row r="64" spans="1:14">
      <c r="A64" s="45"/>
      <c r="C64" s="45"/>
      <c r="D64" s="47"/>
      <c r="E64" s="45"/>
      <c r="F64" s="45"/>
      <c r="G64" s="45"/>
      <c r="H64" s="45"/>
      <c r="I64" s="45"/>
      <c r="J64" s="45"/>
    </row>
    <row r="65" spans="1:10">
      <c r="A65" s="45"/>
      <c r="C65" s="45"/>
      <c r="D65" s="47"/>
      <c r="E65" s="45"/>
      <c r="F65" s="45"/>
      <c r="G65" s="45"/>
      <c r="H65" s="45"/>
      <c r="I65" s="45"/>
      <c r="J65" s="45"/>
    </row>
    <row r="66" spans="1:10">
      <c r="A66" s="45"/>
      <c r="C66" s="45"/>
      <c r="D66" s="47"/>
      <c r="E66" s="45"/>
      <c r="F66" s="45"/>
      <c r="G66" s="45"/>
      <c r="H66" s="45"/>
      <c r="I66" s="45"/>
      <c r="J66" s="45"/>
    </row>
    <row r="67" spans="1:10">
      <c r="A67" s="45"/>
      <c r="C67" s="45"/>
      <c r="D67" s="47"/>
      <c r="E67" s="45"/>
      <c r="F67" s="45"/>
      <c r="G67" s="45"/>
      <c r="H67" s="45"/>
      <c r="I67" s="45"/>
      <c r="J67" s="45"/>
    </row>
    <row r="68" spans="1:10">
      <c r="A68" s="45"/>
      <c r="C68" s="45"/>
      <c r="D68" s="47"/>
      <c r="E68" s="45"/>
      <c r="F68" s="45"/>
      <c r="G68" s="45"/>
      <c r="H68" s="45"/>
      <c r="I68" s="45"/>
      <c r="J68" s="45"/>
    </row>
    <row r="69" spans="1:10">
      <c r="A69" s="45"/>
      <c r="C69" s="45"/>
      <c r="D69" s="47"/>
      <c r="E69" s="45"/>
      <c r="F69" s="45"/>
      <c r="G69" s="45"/>
      <c r="H69" s="45"/>
      <c r="I69" s="45"/>
      <c r="J69" s="45"/>
    </row>
    <row r="70" spans="1:10">
      <c r="A70" s="45"/>
      <c r="C70" s="45"/>
      <c r="D70" s="47"/>
      <c r="E70" s="45"/>
      <c r="F70" s="45"/>
      <c r="G70" s="45"/>
      <c r="H70" s="45"/>
      <c r="I70" s="45"/>
      <c r="J70" s="45"/>
    </row>
    <row r="71" spans="1:10">
      <c r="A71" s="45"/>
      <c r="C71" s="45"/>
      <c r="D71" s="47"/>
      <c r="E71" s="45"/>
      <c r="F71" s="45"/>
      <c r="G71" s="45"/>
      <c r="H71" s="45"/>
      <c r="I71" s="45"/>
      <c r="J71" s="45"/>
    </row>
    <row r="72" spans="1:10">
      <c r="A72" s="45"/>
      <c r="C72" s="45"/>
      <c r="D72" s="47"/>
      <c r="E72" s="45"/>
      <c r="F72" s="45"/>
      <c r="G72" s="45"/>
      <c r="H72" s="45"/>
      <c r="I72" s="45"/>
      <c r="J72" s="45"/>
    </row>
    <row r="73" spans="1:10">
      <c r="A73" s="45"/>
      <c r="C73" s="45"/>
      <c r="D73" s="47"/>
      <c r="E73" s="45"/>
      <c r="F73" s="45"/>
      <c r="G73" s="45"/>
      <c r="H73" s="45"/>
      <c r="I73" s="45"/>
      <c r="J73" s="45"/>
    </row>
    <row r="74" spans="1:10">
      <c r="A74" s="45"/>
      <c r="C74" s="45"/>
      <c r="D74" s="47"/>
      <c r="E74" s="45"/>
      <c r="F74" s="45"/>
      <c r="G74" s="45"/>
      <c r="H74" s="45"/>
      <c r="I74" s="45"/>
      <c r="J74" s="45"/>
    </row>
    <row r="75" spans="1:10">
      <c r="A75" s="45"/>
      <c r="D75" s="47"/>
      <c r="E75" s="45"/>
      <c r="F75" s="45"/>
      <c r="G75" s="45"/>
      <c r="H75" s="45"/>
      <c r="I75" s="45"/>
      <c r="J75" s="45"/>
    </row>
    <row r="76" spans="1:10">
      <c r="A76" s="45"/>
      <c r="D76" s="47"/>
      <c r="E76" s="45"/>
      <c r="F76" s="45"/>
      <c r="G76" s="45"/>
      <c r="H76" s="45"/>
      <c r="I76" s="45"/>
      <c r="J76" s="45"/>
    </row>
    <row r="77" spans="1:10">
      <c r="A77" s="45"/>
      <c r="D77" s="47"/>
      <c r="E77" s="45"/>
      <c r="F77" s="45"/>
      <c r="G77" s="45"/>
      <c r="H77" s="45"/>
      <c r="I77" s="45"/>
      <c r="J77" s="45"/>
    </row>
    <row r="78" spans="1:10">
      <c r="A78" s="45"/>
      <c r="D78" s="47"/>
      <c r="E78" s="45"/>
      <c r="F78" s="45"/>
      <c r="G78" s="45"/>
      <c r="H78" s="45"/>
      <c r="I78" s="45"/>
      <c r="J78" s="45"/>
    </row>
    <row r="79" spans="1:10">
      <c r="A79" s="45"/>
      <c r="D79" s="47"/>
      <c r="E79" s="45"/>
      <c r="F79" s="45"/>
      <c r="G79" s="45"/>
      <c r="H79" s="45"/>
      <c r="I79" s="45"/>
      <c r="J79" s="45"/>
    </row>
    <row r="80" spans="1:10">
      <c r="A80" s="45"/>
      <c r="D80" s="47"/>
    </row>
    <row r="81" spans="1:4">
      <c r="A81" s="45"/>
      <c r="D81" s="47"/>
    </row>
    <row r="82" spans="1:4">
      <c r="A82" s="45"/>
      <c r="D82" s="47"/>
    </row>
    <row r="83" spans="1:4">
      <c r="A83" s="45"/>
      <c r="D83" s="47"/>
    </row>
    <row r="84" spans="1:4">
      <c r="A84" s="45"/>
      <c r="D84" s="47"/>
    </row>
    <row r="85" spans="1:4">
      <c r="A85" s="45"/>
      <c r="D85" s="47"/>
    </row>
    <row r="86" spans="1:4">
      <c r="A86" s="45"/>
      <c r="D86" s="47"/>
    </row>
    <row r="87" spans="1:4">
      <c r="A87" s="45"/>
      <c r="D87" s="47"/>
    </row>
    <row r="88" spans="1:4">
      <c r="A88" s="45"/>
      <c r="D88" s="47"/>
    </row>
    <row r="89" spans="1:4">
      <c r="A89" s="45"/>
      <c r="D89" s="47"/>
    </row>
    <row r="90" spans="1:4">
      <c r="A90" s="45"/>
      <c r="D90" s="47"/>
    </row>
    <row r="91" spans="1:4">
      <c r="A91" s="45"/>
      <c r="D91" s="47"/>
    </row>
    <row r="92" spans="1:4">
      <c r="A92" s="45"/>
      <c r="D92" s="47"/>
    </row>
    <row r="93" spans="1:4">
      <c r="A93" s="45"/>
      <c r="D93" s="47"/>
    </row>
    <row r="94" spans="1:4">
      <c r="A94" s="45"/>
      <c r="D94" s="47"/>
    </row>
    <row r="95" spans="1:4">
      <c r="A95" s="45"/>
      <c r="D95" s="47"/>
    </row>
    <row r="96" spans="1:4">
      <c r="A96" s="45"/>
      <c r="D96" s="47"/>
    </row>
    <row r="97" spans="1:4">
      <c r="A97" s="45"/>
      <c r="D97" s="47"/>
    </row>
    <row r="98" spans="1:4">
      <c r="A98" s="45"/>
      <c r="D98" s="47"/>
    </row>
    <row r="99" spans="1:4">
      <c r="A99" s="45"/>
      <c r="D99" s="47"/>
    </row>
    <row r="100" spans="1:4">
      <c r="A100" s="45"/>
      <c r="D100" s="47"/>
    </row>
    <row r="101" spans="1:4">
      <c r="A101" s="45"/>
      <c r="D101" s="47"/>
    </row>
    <row r="102" spans="1:4">
      <c r="A102" s="45"/>
      <c r="D102" s="47"/>
    </row>
    <row r="103" spans="1:4">
      <c r="A103" s="45"/>
      <c r="D103" s="47"/>
    </row>
    <row r="104" spans="1:4">
      <c r="A104" s="45"/>
      <c r="D104" s="47"/>
    </row>
    <row r="105" spans="1:4">
      <c r="A105" s="45"/>
      <c r="D105" s="47"/>
    </row>
    <row r="106" spans="1:4">
      <c r="A106" s="45"/>
      <c r="D106" s="47"/>
    </row>
    <row r="107" spans="1:4">
      <c r="A107" s="45"/>
      <c r="D107" s="47"/>
    </row>
    <row r="108" spans="1:4">
      <c r="A108" s="45"/>
    </row>
    <row r="109" spans="1:4">
      <c r="A109" s="45"/>
    </row>
    <row r="110" spans="1:4">
      <c r="A110" s="45"/>
    </row>
    <row r="111" spans="1:4">
      <c r="A111" s="45"/>
    </row>
    <row r="112" spans="1:4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  <row r="122" spans="1:1">
      <c r="A122" s="45"/>
    </row>
    <row r="123" spans="1:1">
      <c r="A123" s="45"/>
    </row>
  </sheetData>
  <mergeCells count="3">
    <mergeCell ref="A1:N1"/>
    <mergeCell ref="A2:N2"/>
    <mergeCell ref="A3:N3"/>
  </mergeCells>
  <hyperlinks>
    <hyperlink ref="A21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64" orientation="landscape" verticalDpi="599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15"/>
  <sheetViews>
    <sheetView showGridLines="0" workbookViewId="0">
      <selection activeCell="D14" sqref="D14"/>
    </sheetView>
  </sheetViews>
  <sheetFormatPr baseColWidth="10" defaultColWidth="11" defaultRowHeight="12.75"/>
  <cols>
    <col min="1" max="1" width="6.5703125" style="18" customWidth="1"/>
    <col min="2" max="2" width="12.5703125" style="18" customWidth="1"/>
    <col min="3" max="8" width="15" style="18" customWidth="1"/>
    <col min="9" max="9" width="14.85546875" style="18" customWidth="1"/>
    <col min="10" max="10" width="17.5703125" style="18" bestFit="1" customWidth="1"/>
    <col min="11" max="11" width="15.140625" style="18" customWidth="1"/>
    <col min="12" max="12" width="15" style="18" customWidth="1"/>
    <col min="13" max="13" width="15.28515625" style="18" customWidth="1"/>
    <col min="14" max="14" width="15.140625" style="18" customWidth="1"/>
    <col min="15" max="16384" width="11" style="18"/>
  </cols>
  <sheetData>
    <row r="1" spans="1:14" s="26" customFormat="1">
      <c r="A1" s="291" t="s">
        <v>1511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4" s="26" customFormat="1">
      <c r="A2" s="291" t="s">
        <v>24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</row>
    <row r="3" spans="1:14" s="10" customFormat="1">
      <c r="A3" s="291" t="s">
        <v>1286</v>
      </c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</row>
    <row r="4" spans="1:14" ht="20.100000000000001" customHeight="1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50" customFormat="1" ht="75" customHeight="1">
      <c r="A5" s="49" t="s">
        <v>2</v>
      </c>
      <c r="B5" s="30" t="s">
        <v>1519</v>
      </c>
      <c r="C5" s="37" t="s">
        <v>1010</v>
      </c>
      <c r="D5" s="37" t="s">
        <v>1011</v>
      </c>
      <c r="E5" s="37" t="s">
        <v>26</v>
      </c>
      <c r="F5" s="37" t="s">
        <v>27</v>
      </c>
      <c r="G5" s="37" t="s">
        <v>28</v>
      </c>
      <c r="H5" s="38" t="s">
        <v>18</v>
      </c>
      <c r="I5" s="38" t="s">
        <v>19</v>
      </c>
      <c r="J5" s="37" t="s">
        <v>1013</v>
      </c>
      <c r="K5" s="37" t="s">
        <v>30</v>
      </c>
      <c r="L5" s="38" t="s">
        <v>21</v>
      </c>
      <c r="M5" s="37" t="s">
        <v>31</v>
      </c>
      <c r="N5" s="39" t="s">
        <v>1014</v>
      </c>
    </row>
    <row r="6" spans="1:14" s="10" customFormat="1"/>
    <row r="7" spans="1:14" s="10" customFormat="1">
      <c r="A7" s="41">
        <v>2015</v>
      </c>
      <c r="B7" s="32">
        <v>103.22038088155142</v>
      </c>
      <c r="C7" s="32">
        <v>104.13817578396483</v>
      </c>
      <c r="D7" s="32">
        <v>108.75299492748077</v>
      </c>
      <c r="E7" s="32">
        <v>97.329532379608779</v>
      </c>
      <c r="F7" s="32">
        <v>107.28025120666844</v>
      </c>
      <c r="G7" s="32">
        <v>104.13149173851117</v>
      </c>
      <c r="H7" s="32">
        <v>102.81952421493877</v>
      </c>
      <c r="I7" s="32">
        <v>104.633739230039</v>
      </c>
      <c r="J7" s="32">
        <v>95.08269566590532</v>
      </c>
      <c r="K7" s="32">
        <v>99.295409698834078</v>
      </c>
      <c r="L7" s="32">
        <v>102.16304226980526</v>
      </c>
      <c r="M7" s="32">
        <v>105.62970092592029</v>
      </c>
      <c r="N7" s="32">
        <v>104.18779255611827</v>
      </c>
    </row>
    <row r="8" spans="1:14" s="10" customFormat="1">
      <c r="A8" s="41">
        <v>2016</v>
      </c>
      <c r="B8" s="32">
        <v>105.00430221862855</v>
      </c>
      <c r="C8" s="32">
        <v>106.77875766475222</v>
      </c>
      <c r="D8" s="32">
        <v>124.87976028272472</v>
      </c>
      <c r="E8" s="32">
        <v>94.235301366827045</v>
      </c>
      <c r="F8" s="32">
        <v>110.99719412268405</v>
      </c>
      <c r="G8" s="32">
        <v>104.60875358797097</v>
      </c>
      <c r="H8" s="32">
        <v>105.70430292316517</v>
      </c>
      <c r="I8" s="32">
        <v>105.51380750023593</v>
      </c>
      <c r="J8" s="32">
        <v>94.43788829425921</v>
      </c>
      <c r="K8" s="32">
        <v>99.207773077222896</v>
      </c>
      <c r="L8" s="32">
        <v>104.53353917008546</v>
      </c>
      <c r="M8" s="32">
        <v>108.7271933606836</v>
      </c>
      <c r="N8" s="32">
        <v>107.38748430156183</v>
      </c>
    </row>
    <row r="9" spans="1:14" s="10" customForma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</row>
    <row r="11" spans="1:14">
      <c r="A11" s="48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>
      <c r="A12" s="107"/>
      <c r="B12" s="19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>
      <c r="A13" s="19" t="s">
        <v>1009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14">
      <c r="A14" s="45"/>
    </row>
    <row r="16" spans="1:14">
      <c r="A16" s="45"/>
      <c r="K16" s="45"/>
      <c r="L16" s="45"/>
      <c r="M16" s="45"/>
      <c r="N16" s="45"/>
    </row>
    <row r="17" spans="1:14">
      <c r="A17" s="45"/>
      <c r="B17" s="46"/>
      <c r="D17" s="46"/>
      <c r="E17" s="45"/>
      <c r="G17" s="45"/>
      <c r="H17" s="45"/>
      <c r="I17" s="45"/>
      <c r="J17" s="45"/>
      <c r="K17" s="45"/>
      <c r="L17" s="45"/>
      <c r="M17" s="45"/>
      <c r="N17" s="45"/>
    </row>
    <row r="18" spans="1:14">
      <c r="A18" s="45"/>
      <c r="B18" s="46"/>
      <c r="E18" s="45"/>
      <c r="G18" s="45"/>
      <c r="H18" s="45"/>
      <c r="I18" s="45"/>
      <c r="J18" s="45"/>
      <c r="K18" s="45"/>
      <c r="L18" s="45"/>
      <c r="M18" s="45"/>
      <c r="N18" s="45"/>
    </row>
    <row r="19" spans="1:14">
      <c r="A19" s="45"/>
      <c r="B19" s="46"/>
      <c r="E19" s="45"/>
      <c r="G19" s="45"/>
      <c r="H19" s="45"/>
      <c r="I19" s="45"/>
      <c r="J19" s="45"/>
      <c r="K19" s="45"/>
      <c r="L19" s="45"/>
      <c r="M19" s="45"/>
      <c r="N19" s="45"/>
    </row>
    <row r="20" spans="1:14">
      <c r="A20" s="45"/>
      <c r="B20" s="46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1:14">
      <c r="A21" s="45"/>
      <c r="B21" s="46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1:14">
      <c r="A22" s="45"/>
      <c r="B22" s="46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1:14">
      <c r="A23" s="45"/>
      <c r="B23" s="46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1:14">
      <c r="A24" s="45"/>
      <c r="B24" s="4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4">
      <c r="A25" s="45"/>
      <c r="B25" s="4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1:14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1:14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1:14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4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0">
      <c r="A49" s="45"/>
      <c r="B49" s="45"/>
      <c r="C49" s="45"/>
      <c r="D49" s="45"/>
      <c r="E49" s="45"/>
      <c r="F49" s="45"/>
      <c r="G49" s="45"/>
      <c r="H49" s="45"/>
      <c r="I49" s="45"/>
      <c r="J49" s="45"/>
    </row>
    <row r="50" spans="1:10">
      <c r="A50" s="45"/>
      <c r="B50" s="45"/>
      <c r="C50" s="45"/>
      <c r="D50" s="45"/>
      <c r="E50" s="45"/>
      <c r="F50" s="45"/>
      <c r="G50" s="45"/>
      <c r="H50" s="45"/>
      <c r="I50" s="45"/>
      <c r="J50" s="45"/>
    </row>
    <row r="51" spans="1:10">
      <c r="A51" s="45"/>
      <c r="B51" s="45"/>
      <c r="C51" s="45"/>
      <c r="D51" s="47"/>
      <c r="E51" s="45"/>
      <c r="F51" s="45"/>
      <c r="G51" s="45"/>
      <c r="H51" s="45"/>
      <c r="I51" s="45"/>
      <c r="J51" s="45"/>
    </row>
    <row r="52" spans="1:10">
      <c r="A52" s="45"/>
      <c r="B52" s="45"/>
      <c r="C52" s="45"/>
      <c r="D52" s="47"/>
      <c r="E52" s="45"/>
      <c r="F52" s="45"/>
      <c r="G52" s="45"/>
      <c r="H52" s="45"/>
      <c r="I52" s="45"/>
      <c r="J52" s="45"/>
    </row>
    <row r="53" spans="1:10">
      <c r="A53" s="45"/>
      <c r="C53" s="45"/>
      <c r="D53" s="47"/>
      <c r="E53" s="45"/>
      <c r="F53" s="45"/>
      <c r="G53" s="45"/>
      <c r="H53" s="45"/>
      <c r="I53" s="45"/>
      <c r="J53" s="45"/>
    </row>
    <row r="54" spans="1:10">
      <c r="A54" s="45"/>
      <c r="C54" s="45"/>
      <c r="D54" s="47"/>
      <c r="E54" s="45"/>
      <c r="F54" s="45"/>
      <c r="G54" s="45"/>
      <c r="H54" s="45"/>
      <c r="I54" s="45"/>
      <c r="J54" s="45"/>
    </row>
    <row r="55" spans="1:10">
      <c r="A55" s="45"/>
      <c r="C55" s="45"/>
      <c r="D55" s="47"/>
      <c r="E55" s="45"/>
      <c r="F55" s="45"/>
      <c r="G55" s="45"/>
      <c r="H55" s="45"/>
      <c r="I55" s="45"/>
      <c r="J55" s="45"/>
    </row>
    <row r="56" spans="1:10">
      <c r="A56" s="45"/>
      <c r="C56" s="45"/>
      <c r="D56" s="47"/>
      <c r="E56" s="45"/>
      <c r="F56" s="45"/>
      <c r="G56" s="45"/>
      <c r="H56" s="45"/>
      <c r="I56" s="45"/>
      <c r="J56" s="45"/>
    </row>
    <row r="57" spans="1:10">
      <c r="A57" s="45"/>
      <c r="C57" s="45"/>
      <c r="D57" s="47"/>
      <c r="E57" s="45"/>
      <c r="F57" s="45"/>
      <c r="G57" s="45"/>
      <c r="H57" s="45"/>
      <c r="I57" s="45"/>
      <c r="J57" s="45"/>
    </row>
    <row r="58" spans="1:10">
      <c r="A58" s="45"/>
      <c r="C58" s="45"/>
      <c r="D58" s="47"/>
      <c r="E58" s="45"/>
      <c r="F58" s="45"/>
      <c r="G58" s="45"/>
      <c r="H58" s="45"/>
      <c r="I58" s="45"/>
      <c r="J58" s="45"/>
    </row>
    <row r="59" spans="1:10">
      <c r="A59" s="45"/>
      <c r="C59" s="45"/>
      <c r="D59" s="47"/>
      <c r="E59" s="45"/>
      <c r="F59" s="45"/>
      <c r="G59" s="45"/>
      <c r="H59" s="45"/>
      <c r="I59" s="45"/>
      <c r="J59" s="45"/>
    </row>
    <row r="60" spans="1:10">
      <c r="A60" s="45"/>
      <c r="C60" s="45"/>
      <c r="D60" s="47"/>
      <c r="E60" s="45"/>
      <c r="F60" s="45"/>
      <c r="G60" s="45"/>
      <c r="H60" s="45"/>
      <c r="I60" s="45"/>
      <c r="J60" s="45"/>
    </row>
    <row r="61" spans="1:10">
      <c r="A61" s="45"/>
      <c r="C61" s="45"/>
      <c r="D61" s="47"/>
      <c r="E61" s="45"/>
      <c r="F61" s="45"/>
      <c r="G61" s="45"/>
      <c r="H61" s="45"/>
      <c r="I61" s="45"/>
      <c r="J61" s="45"/>
    </row>
    <row r="62" spans="1:10">
      <c r="A62" s="45"/>
      <c r="C62" s="45"/>
      <c r="D62" s="47"/>
      <c r="E62" s="45"/>
      <c r="F62" s="45"/>
      <c r="G62" s="45"/>
      <c r="H62" s="45"/>
      <c r="I62" s="45"/>
      <c r="J62" s="45"/>
    </row>
    <row r="63" spans="1:10">
      <c r="A63" s="45"/>
      <c r="C63" s="45"/>
      <c r="D63" s="47"/>
      <c r="E63" s="45"/>
      <c r="F63" s="45"/>
      <c r="G63" s="45"/>
      <c r="H63" s="45"/>
      <c r="I63" s="45"/>
      <c r="J63" s="45"/>
    </row>
    <row r="64" spans="1:10">
      <c r="A64" s="45"/>
      <c r="C64" s="45"/>
      <c r="D64" s="47"/>
      <c r="E64" s="45"/>
      <c r="F64" s="45"/>
      <c r="G64" s="45"/>
      <c r="H64" s="45"/>
      <c r="I64" s="45"/>
      <c r="J64" s="45"/>
    </row>
    <row r="65" spans="1:10">
      <c r="A65" s="45"/>
      <c r="C65" s="45"/>
      <c r="D65" s="47"/>
      <c r="E65" s="45"/>
      <c r="F65" s="45"/>
      <c r="G65" s="45"/>
      <c r="H65" s="45"/>
      <c r="I65" s="45"/>
      <c r="J65" s="45"/>
    </row>
    <row r="66" spans="1:10">
      <c r="A66" s="45"/>
      <c r="C66" s="45"/>
      <c r="D66" s="47"/>
      <c r="E66" s="45"/>
      <c r="F66" s="45"/>
      <c r="G66" s="45"/>
      <c r="H66" s="45"/>
      <c r="I66" s="45"/>
      <c r="J66" s="45"/>
    </row>
    <row r="67" spans="1:10">
      <c r="A67" s="45"/>
      <c r="D67" s="47"/>
      <c r="E67" s="45"/>
      <c r="F67" s="45"/>
      <c r="G67" s="45"/>
      <c r="H67" s="45"/>
      <c r="I67" s="45"/>
      <c r="J67" s="45"/>
    </row>
    <row r="68" spans="1:10">
      <c r="A68" s="45"/>
      <c r="D68" s="47"/>
      <c r="E68" s="45"/>
      <c r="F68" s="45"/>
      <c r="G68" s="45"/>
      <c r="H68" s="45"/>
      <c r="I68" s="45"/>
      <c r="J68" s="45"/>
    </row>
    <row r="69" spans="1:10">
      <c r="A69" s="45"/>
      <c r="D69" s="47"/>
      <c r="E69" s="45"/>
      <c r="F69" s="45"/>
      <c r="G69" s="45"/>
      <c r="H69" s="45"/>
      <c r="I69" s="45"/>
      <c r="J69" s="45"/>
    </row>
    <row r="70" spans="1:10">
      <c r="A70" s="45"/>
      <c r="D70" s="47"/>
      <c r="E70" s="45"/>
      <c r="F70" s="45"/>
      <c r="G70" s="45"/>
      <c r="H70" s="45"/>
      <c r="I70" s="45"/>
      <c r="J70" s="45"/>
    </row>
    <row r="71" spans="1:10">
      <c r="A71" s="45"/>
      <c r="D71" s="47"/>
      <c r="E71" s="45"/>
      <c r="F71" s="45"/>
      <c r="G71" s="45"/>
      <c r="H71" s="45"/>
      <c r="I71" s="45"/>
      <c r="J71" s="45"/>
    </row>
    <row r="72" spans="1:10">
      <c r="A72" s="45"/>
      <c r="D72" s="47"/>
    </row>
    <row r="73" spans="1:10">
      <c r="A73" s="45"/>
      <c r="D73" s="47"/>
    </row>
    <row r="74" spans="1:10">
      <c r="A74" s="45"/>
      <c r="D74" s="47"/>
    </row>
    <row r="75" spans="1:10">
      <c r="A75" s="45"/>
      <c r="D75" s="47"/>
    </row>
    <row r="76" spans="1:10">
      <c r="A76" s="45"/>
      <c r="D76" s="47"/>
    </row>
    <row r="77" spans="1:10">
      <c r="A77" s="45"/>
      <c r="D77" s="47"/>
    </row>
    <row r="78" spans="1:10">
      <c r="A78" s="45"/>
      <c r="D78" s="47"/>
    </row>
    <row r="79" spans="1:10">
      <c r="A79" s="45"/>
      <c r="D79" s="47"/>
    </row>
    <row r="80" spans="1:10">
      <c r="A80" s="45"/>
      <c r="D80" s="47"/>
    </row>
    <row r="81" spans="1:4">
      <c r="A81" s="45"/>
      <c r="D81" s="47"/>
    </row>
    <row r="82" spans="1:4">
      <c r="A82" s="45"/>
      <c r="D82" s="47"/>
    </row>
    <row r="83" spans="1:4">
      <c r="A83" s="45"/>
      <c r="D83" s="47"/>
    </row>
    <row r="84" spans="1:4">
      <c r="A84" s="45"/>
      <c r="D84" s="47"/>
    </row>
    <row r="85" spans="1:4">
      <c r="A85" s="45"/>
      <c r="D85" s="47"/>
    </row>
    <row r="86" spans="1:4">
      <c r="A86" s="45"/>
      <c r="D86" s="47"/>
    </row>
    <row r="87" spans="1:4">
      <c r="A87" s="45"/>
      <c r="D87" s="47"/>
    </row>
    <row r="88" spans="1:4">
      <c r="A88" s="45"/>
      <c r="D88" s="47"/>
    </row>
    <row r="89" spans="1:4">
      <c r="A89" s="45"/>
      <c r="D89" s="47"/>
    </row>
    <row r="90" spans="1:4">
      <c r="A90" s="45"/>
      <c r="D90" s="47"/>
    </row>
    <row r="91" spans="1:4">
      <c r="A91" s="45"/>
      <c r="D91" s="47"/>
    </row>
    <row r="92" spans="1:4">
      <c r="A92" s="45"/>
      <c r="D92" s="47"/>
    </row>
    <row r="93" spans="1:4">
      <c r="A93" s="45"/>
      <c r="D93" s="47"/>
    </row>
    <row r="94" spans="1:4">
      <c r="A94" s="45"/>
      <c r="D94" s="47"/>
    </row>
    <row r="95" spans="1:4">
      <c r="A95" s="45"/>
      <c r="D95" s="47"/>
    </row>
    <row r="96" spans="1:4">
      <c r="A96" s="45"/>
      <c r="D96" s="47"/>
    </row>
    <row r="97" spans="1:4">
      <c r="A97" s="45"/>
      <c r="D97" s="47"/>
    </row>
    <row r="98" spans="1:4">
      <c r="A98" s="45"/>
      <c r="D98" s="47"/>
    </row>
    <row r="99" spans="1:4">
      <c r="A99" s="45"/>
      <c r="D99" s="47"/>
    </row>
    <row r="100" spans="1:4">
      <c r="A100" s="45"/>
    </row>
    <row r="101" spans="1:4">
      <c r="A101" s="45"/>
    </row>
    <row r="102" spans="1:4">
      <c r="A102" s="45"/>
    </row>
    <row r="103" spans="1:4">
      <c r="A103" s="45"/>
    </row>
    <row r="104" spans="1:4">
      <c r="A104" s="45"/>
    </row>
    <row r="105" spans="1:4">
      <c r="A105" s="45"/>
    </row>
    <row r="106" spans="1:4">
      <c r="A106" s="45"/>
    </row>
    <row r="107" spans="1:4">
      <c r="A107" s="45"/>
    </row>
    <row r="108" spans="1:4">
      <c r="A108" s="45"/>
    </row>
    <row r="109" spans="1:4">
      <c r="A109" s="45"/>
    </row>
    <row r="110" spans="1:4">
      <c r="A110" s="45"/>
    </row>
    <row r="111" spans="1:4">
      <c r="A111" s="45"/>
    </row>
    <row r="112" spans="1:4">
      <c r="A112" s="45"/>
    </row>
    <row r="113" spans="1:1">
      <c r="A113" s="45"/>
    </row>
    <row r="114" spans="1:1">
      <c r="A114" s="45"/>
    </row>
    <row r="115" spans="1:1">
      <c r="A115" s="45"/>
    </row>
  </sheetData>
  <mergeCells count="3">
    <mergeCell ref="A1:N1"/>
    <mergeCell ref="A2:N2"/>
    <mergeCell ref="A3:N3"/>
  </mergeCells>
  <hyperlinks>
    <hyperlink ref="A13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64" orientation="landscape" verticalDpi="599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8"/>
  <sheetViews>
    <sheetView showGridLines="0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A2" sqref="A2:J2"/>
    </sheetView>
  </sheetViews>
  <sheetFormatPr baseColWidth="10" defaultRowHeight="12.75"/>
  <cols>
    <col min="1" max="1" width="11.42578125" style="10"/>
    <col min="2" max="2" width="3.7109375" style="10" customWidth="1"/>
    <col min="3" max="3" width="10.85546875" style="10" customWidth="1"/>
    <col min="4" max="4" width="9" style="10" customWidth="1"/>
    <col min="5" max="8" width="11.42578125" style="10"/>
    <col min="9" max="9" width="13.140625" style="10" customWidth="1"/>
    <col min="10" max="16384" width="11.42578125" style="10"/>
  </cols>
  <sheetData>
    <row r="1" spans="1:10">
      <c r="A1" s="291" t="s">
        <v>1513</v>
      </c>
      <c r="B1" s="305"/>
      <c r="C1" s="305"/>
      <c r="D1" s="305"/>
      <c r="E1" s="305"/>
      <c r="F1" s="305"/>
      <c r="G1" s="305"/>
      <c r="H1" s="305"/>
      <c r="I1" s="305"/>
      <c r="J1" s="305"/>
    </row>
    <row r="2" spans="1:10">
      <c r="A2" s="291" t="s">
        <v>1512</v>
      </c>
      <c r="B2" s="305"/>
      <c r="C2" s="305"/>
      <c r="D2" s="305"/>
      <c r="E2" s="305"/>
      <c r="F2" s="305"/>
      <c r="G2" s="305"/>
      <c r="H2" s="305"/>
      <c r="I2" s="305"/>
      <c r="J2" s="305"/>
    </row>
    <row r="3" spans="1:10" s="11" customFormat="1">
      <c r="A3" s="291" t="s">
        <v>0</v>
      </c>
      <c r="B3" s="305"/>
      <c r="C3" s="305"/>
      <c r="D3" s="305"/>
      <c r="E3" s="305"/>
      <c r="F3" s="305"/>
      <c r="G3" s="305"/>
      <c r="H3" s="305"/>
      <c r="I3" s="305"/>
      <c r="J3" s="305"/>
    </row>
    <row r="4" spans="1:10">
      <c r="A4" s="291" t="s">
        <v>1</v>
      </c>
      <c r="B4" s="305"/>
      <c r="C4" s="305"/>
      <c r="D4" s="305"/>
      <c r="E4" s="305"/>
      <c r="F4" s="305"/>
      <c r="G4" s="305"/>
      <c r="H4" s="305"/>
      <c r="I4" s="305"/>
      <c r="J4" s="305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300" t="s">
        <v>2</v>
      </c>
      <c r="B6" s="311"/>
      <c r="C6" s="306" t="s">
        <v>4</v>
      </c>
      <c r="D6" s="308" t="s">
        <v>3</v>
      </c>
      <c r="E6" s="309"/>
      <c r="F6" s="309"/>
      <c r="G6" s="308" t="s">
        <v>1306</v>
      </c>
      <c r="H6" s="309"/>
      <c r="I6" s="309"/>
      <c r="J6" s="310"/>
    </row>
    <row r="7" spans="1:10">
      <c r="A7" s="300"/>
      <c r="B7" s="311"/>
      <c r="C7" s="307"/>
      <c r="D7" s="51" t="s">
        <v>5</v>
      </c>
      <c r="E7" s="51" t="s">
        <v>6</v>
      </c>
      <c r="F7" s="51" t="s">
        <v>7</v>
      </c>
      <c r="G7" s="51" t="s">
        <v>8</v>
      </c>
      <c r="H7" s="51" t="s">
        <v>9</v>
      </c>
      <c r="I7" s="51" t="s">
        <v>10</v>
      </c>
      <c r="J7" s="52" t="s">
        <v>11</v>
      </c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22">
        <v>1940</v>
      </c>
      <c r="B9" s="23"/>
      <c r="C9" s="24">
        <v>3.55</v>
      </c>
      <c r="D9" s="24">
        <v>3.55</v>
      </c>
      <c r="E9" s="24"/>
      <c r="F9" s="24"/>
      <c r="G9" s="24"/>
      <c r="H9" s="24"/>
      <c r="I9" s="24"/>
      <c r="J9" s="24"/>
    </row>
    <row r="10" spans="1:10">
      <c r="A10" s="22">
        <v>1941</v>
      </c>
      <c r="B10" s="23"/>
      <c r="C10" s="24">
        <v>3.4246575342465633</v>
      </c>
      <c r="D10" s="24">
        <v>3.4246575342465633</v>
      </c>
      <c r="E10" s="24"/>
      <c r="F10" s="24"/>
      <c r="G10" s="24"/>
      <c r="H10" s="24"/>
      <c r="I10" s="24"/>
      <c r="J10" s="24"/>
    </row>
    <row r="11" spans="1:10">
      <c r="A11" s="22">
        <v>1942</v>
      </c>
      <c r="B11" s="23"/>
      <c r="C11" s="24">
        <v>28.476821192052967</v>
      </c>
      <c r="D11" s="24">
        <v>28.476821192052967</v>
      </c>
      <c r="E11" s="24"/>
      <c r="F11" s="24"/>
      <c r="G11" s="24"/>
      <c r="H11" s="24"/>
      <c r="I11" s="24"/>
      <c r="J11" s="24"/>
    </row>
    <row r="12" spans="1:10">
      <c r="A12" s="22">
        <v>1943</v>
      </c>
      <c r="B12" s="23"/>
      <c r="C12" s="24">
        <v>22.164948453608261</v>
      </c>
      <c r="D12" s="24">
        <v>22.164948453608261</v>
      </c>
      <c r="E12" s="24"/>
      <c r="F12" s="24"/>
      <c r="G12" s="24"/>
      <c r="H12" s="24"/>
      <c r="I12" s="24"/>
      <c r="J12" s="24"/>
    </row>
    <row r="13" spans="1:10">
      <c r="A13" s="22">
        <v>1944</v>
      </c>
      <c r="B13" s="23"/>
      <c r="C13" s="24">
        <v>22.784810126582286</v>
      </c>
      <c r="D13" s="24">
        <v>22.784810126582286</v>
      </c>
      <c r="E13" s="24"/>
      <c r="F13" s="24"/>
      <c r="G13" s="24"/>
      <c r="H13" s="24"/>
      <c r="I13" s="24"/>
      <c r="J13" s="24"/>
    </row>
    <row r="14" spans="1:10">
      <c r="A14" s="22">
        <v>1945</v>
      </c>
      <c r="B14" s="23"/>
      <c r="C14" s="24">
        <v>29.896907216494839</v>
      </c>
      <c r="D14" s="24">
        <v>29.896907216494839</v>
      </c>
      <c r="E14" s="24"/>
      <c r="F14" s="24"/>
      <c r="G14" s="24"/>
      <c r="H14" s="24"/>
      <c r="I14" s="24"/>
      <c r="J14" s="24"/>
    </row>
    <row r="15" spans="1:10">
      <c r="A15" s="22">
        <v>1946</v>
      </c>
      <c r="B15" s="23"/>
      <c r="C15" s="24">
        <v>14.81481481481481</v>
      </c>
      <c r="D15" s="24">
        <v>14.81481481481481</v>
      </c>
      <c r="E15" s="24"/>
      <c r="F15" s="24"/>
      <c r="G15" s="24"/>
      <c r="H15" s="24"/>
      <c r="I15" s="24"/>
      <c r="J15" s="24"/>
    </row>
    <row r="16" spans="1:10">
      <c r="A16" s="22">
        <v>1947</v>
      </c>
      <c r="B16" s="23"/>
      <c r="C16" s="24">
        <v>14.285714285714306</v>
      </c>
      <c r="D16" s="24">
        <v>14.285714285714306</v>
      </c>
      <c r="E16" s="24"/>
      <c r="F16" s="24"/>
      <c r="G16" s="24"/>
      <c r="H16" s="24"/>
      <c r="I16" s="24"/>
      <c r="J16" s="24"/>
    </row>
    <row r="17" spans="1:10">
      <c r="A17" s="22">
        <v>1948</v>
      </c>
      <c r="B17" s="23"/>
      <c r="C17" s="24">
        <v>11.895161290322577</v>
      </c>
      <c r="D17" s="24">
        <v>11.895161290322577</v>
      </c>
      <c r="E17" s="24"/>
      <c r="F17" s="24"/>
      <c r="G17" s="24"/>
      <c r="H17" s="24"/>
      <c r="I17" s="24"/>
      <c r="J17" s="24"/>
    </row>
    <row r="18" spans="1:10">
      <c r="A18" s="22">
        <v>1949</v>
      </c>
      <c r="B18" s="23"/>
      <c r="C18" s="24">
        <v>-1.8018018018018012</v>
      </c>
      <c r="D18" s="24">
        <v>-1.8018018018018154</v>
      </c>
      <c r="E18" s="24"/>
      <c r="F18" s="24"/>
      <c r="G18" s="24"/>
      <c r="H18" s="24"/>
      <c r="I18" s="24"/>
      <c r="J18" s="24"/>
    </row>
    <row r="19" spans="1:10">
      <c r="A19" s="22">
        <v>1950</v>
      </c>
      <c r="B19" s="23"/>
      <c r="C19" s="24">
        <v>-0.55045871559632076</v>
      </c>
      <c r="D19" s="24">
        <v>-1.467889908256879</v>
      </c>
      <c r="E19" s="24"/>
      <c r="F19" s="24"/>
      <c r="G19" s="24"/>
      <c r="H19" s="24"/>
      <c r="I19" s="24"/>
      <c r="J19" s="24"/>
    </row>
    <row r="20" spans="1:10">
      <c r="A20" s="22">
        <v>1951</v>
      </c>
      <c r="B20" s="23"/>
      <c r="C20" s="24">
        <v>11.808118081180808</v>
      </c>
      <c r="D20" s="24">
        <v>12.849162011173192</v>
      </c>
      <c r="E20" s="24"/>
      <c r="F20" s="24"/>
      <c r="G20" s="24"/>
      <c r="H20" s="24"/>
      <c r="I20" s="24"/>
      <c r="J20" s="24"/>
    </row>
    <row r="21" spans="1:10">
      <c r="A21" s="22">
        <v>1952</v>
      </c>
      <c r="B21" s="23"/>
      <c r="C21" s="24">
        <v>3.3003300330032914</v>
      </c>
      <c r="D21" s="24">
        <v>3.3003300330032914</v>
      </c>
      <c r="E21" s="24"/>
      <c r="F21" s="24"/>
      <c r="G21" s="24"/>
      <c r="H21" s="24"/>
      <c r="I21" s="24"/>
      <c r="J21" s="24"/>
    </row>
    <row r="22" spans="1:10">
      <c r="A22" s="22">
        <v>1953</v>
      </c>
      <c r="B22" s="23"/>
      <c r="C22" s="24">
        <v>0.47923322683705294</v>
      </c>
      <c r="D22" s="24">
        <v>0.47923322683705294</v>
      </c>
      <c r="E22" s="24"/>
      <c r="F22" s="24"/>
      <c r="G22" s="24">
        <v>-0.68493150684932402</v>
      </c>
      <c r="H22" s="24">
        <v>2.7900146842878115</v>
      </c>
      <c r="I22" s="24">
        <v>1.1006289308175923</v>
      </c>
      <c r="J22" s="24">
        <v>1.3043478260869676</v>
      </c>
    </row>
    <row r="23" spans="1:10">
      <c r="A23" s="22">
        <v>1954</v>
      </c>
      <c r="B23" s="23"/>
      <c r="C23" s="24">
        <v>3.6565977742448297</v>
      </c>
      <c r="D23" s="24">
        <v>3.6565977742448297</v>
      </c>
      <c r="E23" s="24"/>
      <c r="F23" s="24"/>
      <c r="G23" s="24">
        <v>6.3793103448275872</v>
      </c>
      <c r="H23" s="24">
        <v>-1.1428571428571388</v>
      </c>
      <c r="I23" s="24">
        <v>2.0217729393468034</v>
      </c>
      <c r="J23" s="24">
        <v>0</v>
      </c>
    </row>
    <row r="24" spans="1:10">
      <c r="A24" s="22">
        <v>1955</v>
      </c>
      <c r="B24" s="23"/>
      <c r="C24" s="24">
        <v>4.6012269938650263</v>
      </c>
      <c r="D24" s="24">
        <v>1.3803680981594937</v>
      </c>
      <c r="E24" s="24"/>
      <c r="F24" s="24"/>
      <c r="G24" s="24">
        <v>11.669367909238247</v>
      </c>
      <c r="H24" s="24">
        <v>-7.3699421965318237</v>
      </c>
      <c r="I24" s="24">
        <v>11.280487804878049</v>
      </c>
      <c r="J24" s="24">
        <v>3.5765379113018554</v>
      </c>
    </row>
    <row r="25" spans="1:10">
      <c r="A25" s="22">
        <v>1956</v>
      </c>
      <c r="B25" s="23"/>
      <c r="C25" s="24">
        <v>-2.9325513196480983</v>
      </c>
      <c r="D25" s="24">
        <v>-4.689863842662632</v>
      </c>
      <c r="E25" s="24"/>
      <c r="F25" s="24"/>
      <c r="G25" s="24">
        <v>-4.7895500725689573</v>
      </c>
      <c r="H25" s="24">
        <v>1.8720748829953209</v>
      </c>
      <c r="I25" s="24">
        <v>-6.5753424657534225</v>
      </c>
      <c r="J25" s="24">
        <v>-4.8342541436464046</v>
      </c>
    </row>
    <row r="26" spans="1:10">
      <c r="A26" s="22">
        <v>1957</v>
      </c>
      <c r="B26" s="23"/>
      <c r="C26" s="24">
        <v>1.0574018126888234</v>
      </c>
      <c r="D26" s="24">
        <v>0.63492063492063266</v>
      </c>
      <c r="E26" s="24"/>
      <c r="F26" s="24"/>
      <c r="G26" s="24">
        <v>1.6768292682926926</v>
      </c>
      <c r="H26" s="24">
        <v>1.0719754977029083</v>
      </c>
      <c r="I26" s="24">
        <v>-0.87976539589445224</v>
      </c>
      <c r="J26" s="24">
        <v>-2.7576197387518278</v>
      </c>
    </row>
    <row r="27" spans="1:10">
      <c r="A27" s="22">
        <v>1958</v>
      </c>
      <c r="B27" s="23"/>
      <c r="C27" s="24">
        <v>1.0463378176382605</v>
      </c>
      <c r="D27" s="24">
        <v>1.7350157728706677</v>
      </c>
      <c r="E27" s="24">
        <v>0.72046109510085898</v>
      </c>
      <c r="F27" s="24"/>
      <c r="G27" s="24">
        <v>0.44977511244377411</v>
      </c>
      <c r="H27" s="24">
        <v>0.75757575757575069</v>
      </c>
      <c r="I27" s="24">
        <v>0</v>
      </c>
      <c r="J27" s="24">
        <v>6.119402985074629</v>
      </c>
    </row>
    <row r="28" spans="1:10">
      <c r="A28" s="22">
        <v>1959</v>
      </c>
      <c r="B28" s="23"/>
      <c r="C28" s="24">
        <v>-0.29585798816566466</v>
      </c>
      <c r="D28" s="24">
        <v>0.15503875968991565</v>
      </c>
      <c r="E28" s="24">
        <v>-0.57224606580831505</v>
      </c>
      <c r="F28" s="24"/>
      <c r="G28" s="24">
        <v>-2.5373134328358304</v>
      </c>
      <c r="H28" s="24">
        <v>3.4586466165413441</v>
      </c>
      <c r="I28" s="24">
        <v>2.8106508875739706</v>
      </c>
      <c r="J28" s="24">
        <v>0.70323488045008276</v>
      </c>
    </row>
    <row r="29" spans="1:10">
      <c r="A29" s="22">
        <v>1960</v>
      </c>
      <c r="B29" s="23"/>
      <c r="C29" s="24">
        <v>0.59347181008901373</v>
      </c>
      <c r="D29" s="24">
        <v>1.3931888544891819</v>
      </c>
      <c r="E29" s="24">
        <v>-0.14388489208631938</v>
      </c>
      <c r="F29" s="24"/>
      <c r="G29" s="24">
        <v>-1.0719754977029083</v>
      </c>
      <c r="H29" s="24">
        <v>3.9244186046511516</v>
      </c>
      <c r="I29" s="24">
        <v>-0.14388489208633359</v>
      </c>
      <c r="J29" s="24">
        <v>1.5363128491620301</v>
      </c>
    </row>
    <row r="30" spans="1:10">
      <c r="A30" s="22">
        <v>1961</v>
      </c>
      <c r="B30" s="23"/>
      <c r="C30" s="24">
        <v>5.0147492625368955</v>
      </c>
      <c r="D30" s="24">
        <v>4.2748091603053382</v>
      </c>
      <c r="E30" s="24">
        <v>5.61959654178672</v>
      </c>
      <c r="F30" s="24"/>
      <c r="G30" s="24">
        <v>6.5015479876161066</v>
      </c>
      <c r="H30" s="24">
        <v>3.7762237762237731</v>
      </c>
      <c r="I30" s="24">
        <v>8.2132564841498379</v>
      </c>
      <c r="J30" s="24">
        <v>2.4759284731774329</v>
      </c>
    </row>
    <row r="31" spans="1:10">
      <c r="A31" s="22">
        <v>1962</v>
      </c>
      <c r="B31" s="23"/>
      <c r="C31" s="24">
        <v>1.6853932584269558</v>
      </c>
      <c r="D31" s="24">
        <v>2.7818448023426186</v>
      </c>
      <c r="E31" s="24">
        <v>0.95497953615280551</v>
      </c>
      <c r="F31" s="24"/>
      <c r="G31" s="24">
        <v>0.14534883720931191</v>
      </c>
      <c r="H31" s="24">
        <v>4.7169811320754889</v>
      </c>
      <c r="I31" s="24">
        <v>4.9267643142476771</v>
      </c>
      <c r="J31" s="24">
        <v>2.8187919463087212</v>
      </c>
    </row>
    <row r="32" spans="1:10">
      <c r="A32" s="22">
        <v>1963</v>
      </c>
      <c r="B32" s="23"/>
      <c r="C32" s="24">
        <v>3.0386740331491495</v>
      </c>
      <c r="D32" s="24">
        <v>5.9829059829059901</v>
      </c>
      <c r="E32" s="24">
        <v>0.94594594594595094</v>
      </c>
      <c r="F32" s="24"/>
      <c r="G32" s="24">
        <v>3.6284470246734486</v>
      </c>
      <c r="H32" s="24">
        <v>1.9305019305019329</v>
      </c>
      <c r="I32" s="24">
        <v>1.5228426395939039</v>
      </c>
      <c r="J32" s="24">
        <v>9.2689295039164676</v>
      </c>
    </row>
    <row r="33" spans="1:10">
      <c r="A33" s="22">
        <v>1964</v>
      </c>
      <c r="B33" s="23"/>
      <c r="C33" s="24">
        <v>1.3404825737265469</v>
      </c>
      <c r="D33" s="24">
        <v>3.3602150537634543</v>
      </c>
      <c r="E33" s="24">
        <v>3.4805890227576981</v>
      </c>
      <c r="F33" s="24"/>
      <c r="G33" s="24">
        <v>3.3613445378151141</v>
      </c>
      <c r="H33" s="24">
        <v>3.9141414141414117</v>
      </c>
      <c r="I33" s="24">
        <v>-4.2500000000000142</v>
      </c>
      <c r="J33" s="24">
        <v>-5.7347670250896101</v>
      </c>
    </row>
    <row r="34" spans="1:10">
      <c r="A34" s="22">
        <v>1965</v>
      </c>
      <c r="B34" s="23"/>
      <c r="C34" s="24">
        <v>6.3492063492063693</v>
      </c>
      <c r="D34" s="24">
        <v>3.250975292587782</v>
      </c>
      <c r="E34" s="24">
        <v>5.0452781371280793</v>
      </c>
      <c r="F34" s="24"/>
      <c r="G34" s="24">
        <v>4.742547425474271</v>
      </c>
      <c r="H34" s="24">
        <v>4.2527339003645181</v>
      </c>
      <c r="I34" s="24">
        <v>6.1357702349869498</v>
      </c>
      <c r="J34" s="24">
        <v>3.8022813688212977</v>
      </c>
    </row>
    <row r="35" spans="1:10">
      <c r="A35" s="22">
        <v>1966</v>
      </c>
      <c r="B35" s="23"/>
      <c r="C35" s="24">
        <v>3.7313432835820919</v>
      </c>
      <c r="D35" s="24">
        <v>4.0302267002518875</v>
      </c>
      <c r="E35" s="24">
        <v>3.3251231527093665</v>
      </c>
      <c r="F35" s="24"/>
      <c r="G35" s="24">
        <v>4.915912031047867</v>
      </c>
      <c r="H35" s="24">
        <v>2.7972027972028144</v>
      </c>
      <c r="I35" s="24">
        <v>4.1820418204182204</v>
      </c>
      <c r="J35" s="24">
        <v>4.39560439560438</v>
      </c>
    </row>
    <row r="36" spans="1:10">
      <c r="A36" s="22">
        <v>1967</v>
      </c>
      <c r="B36" s="23"/>
      <c r="C36" s="24">
        <v>4.7961630695443631</v>
      </c>
      <c r="D36" s="24">
        <v>3.8740920096852278</v>
      </c>
      <c r="E36" s="24">
        <v>5.6019070321811455</v>
      </c>
      <c r="F36" s="24"/>
      <c r="G36" s="24">
        <v>6.4118372379778066</v>
      </c>
      <c r="H36" s="24">
        <v>2.0408163265306172</v>
      </c>
      <c r="I36" s="24">
        <v>-0.47225501770957123</v>
      </c>
      <c r="J36" s="24">
        <v>6.1988304093567166</v>
      </c>
    </row>
    <row r="37" spans="1:10">
      <c r="A37" s="22">
        <v>1968</v>
      </c>
      <c r="B37" s="23"/>
      <c r="C37" s="24">
        <v>2.9748283752860374</v>
      </c>
      <c r="D37" s="24">
        <v>4.1958041958042145</v>
      </c>
      <c r="E37" s="24">
        <v>2.0316027088036321</v>
      </c>
      <c r="F37" s="24"/>
      <c r="G37" s="24">
        <v>3.8238702201622203</v>
      </c>
      <c r="H37" s="24">
        <v>1.8888888888888999</v>
      </c>
      <c r="I37" s="24">
        <v>1.3048635824436587</v>
      </c>
      <c r="J37" s="24">
        <v>1.8722466960352477</v>
      </c>
    </row>
    <row r="38" spans="1:10">
      <c r="A38" s="22">
        <v>1969</v>
      </c>
      <c r="B38" s="23"/>
      <c r="C38" s="24">
        <v>5.2222222222222143</v>
      </c>
      <c r="D38" s="24">
        <v>6.4876957494407037</v>
      </c>
      <c r="E38" s="24">
        <v>4.7566371681415802</v>
      </c>
      <c r="F38" s="24"/>
      <c r="G38" s="24">
        <v>7.8125</v>
      </c>
      <c r="H38" s="24">
        <v>1.7448200654307584</v>
      </c>
      <c r="I38" s="24">
        <v>6.3231850117095831</v>
      </c>
      <c r="J38" s="24">
        <v>1.7297297297297405</v>
      </c>
    </row>
    <row r="39" spans="1:10">
      <c r="A39" s="22">
        <v>1970</v>
      </c>
      <c r="B39" s="23"/>
      <c r="C39" s="24">
        <v>5.5966209081309302</v>
      </c>
      <c r="D39" s="24">
        <v>5.0420168067226996</v>
      </c>
      <c r="E39" s="24">
        <v>5.5966209081309302</v>
      </c>
      <c r="F39" s="24"/>
      <c r="G39" s="24">
        <v>3.5196687370600444</v>
      </c>
      <c r="H39" s="24">
        <v>7.1811361200428792</v>
      </c>
      <c r="I39" s="24">
        <v>10.132158590308379</v>
      </c>
      <c r="J39" s="24">
        <v>6.2699256110520878</v>
      </c>
    </row>
    <row r="40" spans="1:10">
      <c r="A40" s="22">
        <v>1971</v>
      </c>
      <c r="B40" s="23"/>
      <c r="C40" s="24">
        <v>9.5</v>
      </c>
      <c r="D40" s="24">
        <v>8.4000000000000057</v>
      </c>
      <c r="E40" s="24">
        <v>9.7999999999999829</v>
      </c>
      <c r="F40" s="24"/>
      <c r="G40" s="24">
        <v>7.8000000000000114</v>
      </c>
      <c r="H40" s="24">
        <v>11</v>
      </c>
      <c r="I40" s="24">
        <v>13</v>
      </c>
      <c r="J40" s="24">
        <v>9.7999999999999829</v>
      </c>
    </row>
    <row r="41" spans="1:10">
      <c r="A41" s="22">
        <v>1972</v>
      </c>
      <c r="B41" s="23"/>
      <c r="C41" s="24">
        <v>7.6712328767123381</v>
      </c>
      <c r="D41" s="24">
        <v>7.9335793357933539</v>
      </c>
      <c r="E41" s="24">
        <v>7.4681238615664824</v>
      </c>
      <c r="F41" s="24">
        <v>7.4204946996466248</v>
      </c>
      <c r="G41" s="24">
        <v>10.204081632653072</v>
      </c>
      <c r="H41" s="24">
        <v>6.0360360360360374</v>
      </c>
      <c r="I41" s="24">
        <v>6.7256637168141538</v>
      </c>
      <c r="J41" s="24">
        <v>3.2786885245901658</v>
      </c>
    </row>
    <row r="42" spans="1:10">
      <c r="A42" s="22">
        <v>1973</v>
      </c>
      <c r="B42" s="23"/>
      <c r="C42" s="24">
        <v>11.959287531806623</v>
      </c>
      <c r="D42" s="24">
        <v>12.90598290598291</v>
      </c>
      <c r="E42" s="24">
        <v>11.610169491525426</v>
      </c>
      <c r="F42" s="24">
        <v>10.11513157894737</v>
      </c>
      <c r="G42" s="24">
        <v>17.255892255892263</v>
      </c>
      <c r="H42" s="24">
        <v>5.6924384027187784</v>
      </c>
      <c r="I42" s="24">
        <v>10.613598673300189</v>
      </c>
      <c r="J42" s="24">
        <v>7.0546737213403929</v>
      </c>
    </row>
    <row r="43" spans="1:10">
      <c r="A43" s="22">
        <v>1974</v>
      </c>
      <c r="B43" s="23"/>
      <c r="C43" s="24">
        <v>22.727272727272734</v>
      </c>
      <c r="D43" s="24">
        <v>23.391370174110548</v>
      </c>
      <c r="E43" s="24">
        <v>22.17160212604405</v>
      </c>
      <c r="F43" s="24">
        <v>23.226288274831958</v>
      </c>
      <c r="G43" s="24">
        <v>31.155778894472348</v>
      </c>
      <c r="H43" s="24">
        <v>11.977491961414799</v>
      </c>
      <c r="I43" s="24">
        <v>21.064467766116948</v>
      </c>
      <c r="J43" s="24">
        <v>12.191103789126842</v>
      </c>
    </row>
    <row r="44" spans="1:10">
      <c r="A44" s="22">
        <v>1975</v>
      </c>
      <c r="B44" s="23"/>
      <c r="C44" s="24">
        <v>15.370370370370367</v>
      </c>
      <c r="D44" s="24">
        <v>15.337423312883431</v>
      </c>
      <c r="E44" s="24">
        <v>13.486637663144791</v>
      </c>
      <c r="F44" s="24">
        <v>15.575757575757578</v>
      </c>
      <c r="G44" s="24">
        <v>17.733990147783246</v>
      </c>
      <c r="H44" s="24">
        <v>15.649676956209603</v>
      </c>
      <c r="I44" s="24">
        <v>15.913312693498455</v>
      </c>
      <c r="J44" s="24">
        <v>6.6813509544787308</v>
      </c>
    </row>
    <row r="45" spans="1:10">
      <c r="A45" s="22">
        <v>1976</v>
      </c>
      <c r="B45" s="23"/>
      <c r="C45" s="24">
        <v>10.540395933654338</v>
      </c>
      <c r="D45" s="24">
        <v>10.691489361702125</v>
      </c>
      <c r="E45" s="24">
        <v>9.7480832420591526</v>
      </c>
      <c r="F45" s="24">
        <v>10.015731515469326</v>
      </c>
      <c r="G45" s="24">
        <v>9.9023709902371024</v>
      </c>
      <c r="H45" s="24">
        <v>12.228429546865314</v>
      </c>
      <c r="I45" s="24">
        <v>11.538461538461547</v>
      </c>
      <c r="J45" s="24">
        <v>9.8417068134893242</v>
      </c>
    </row>
    <row r="46" spans="1:10">
      <c r="A46" s="22">
        <v>1977</v>
      </c>
      <c r="B46" s="23"/>
      <c r="C46" s="24">
        <v>12.923523717328194</v>
      </c>
      <c r="D46" s="24">
        <v>13.022585295531002</v>
      </c>
      <c r="E46" s="24">
        <v>13.223552894211579</v>
      </c>
      <c r="F46" s="24">
        <v>10.581506196377504</v>
      </c>
      <c r="G46" s="24">
        <v>14.551607445008457</v>
      </c>
      <c r="H46" s="24">
        <v>13.274336283185846</v>
      </c>
      <c r="I46" s="24">
        <v>13.07471264367814</v>
      </c>
      <c r="J46" s="24">
        <v>9.0225563909774422</v>
      </c>
    </row>
    <row r="47" spans="1:10">
      <c r="A47" s="22">
        <v>1978</v>
      </c>
      <c r="B47" s="23"/>
      <c r="C47" s="24">
        <v>13.587655379339907</v>
      </c>
      <c r="D47" s="24">
        <v>12.074829931972801</v>
      </c>
      <c r="E47" s="24">
        <v>13.838695460555314</v>
      </c>
      <c r="F47" s="24">
        <v>14.870689655172413</v>
      </c>
      <c r="G47" s="24">
        <v>12.629246676514043</v>
      </c>
      <c r="H47" s="24">
        <v>14.892578125</v>
      </c>
      <c r="I47" s="24">
        <v>11.012282930961462</v>
      </c>
      <c r="J47" s="24">
        <v>16.494252873563212</v>
      </c>
    </row>
    <row r="48" spans="1:10">
      <c r="A48" s="22">
        <v>1979</v>
      </c>
      <c r="B48" s="23"/>
      <c r="C48" s="24">
        <v>10.113207547169822</v>
      </c>
      <c r="D48" s="24">
        <v>9.8634294385432355</v>
      </c>
      <c r="E48" s="24">
        <v>9.949670925280671</v>
      </c>
      <c r="F48" s="24">
        <v>11.594746716697941</v>
      </c>
      <c r="G48" s="24">
        <v>9.6393442622950687</v>
      </c>
      <c r="H48" s="24">
        <v>9.8597535061623489</v>
      </c>
      <c r="I48" s="24">
        <v>8.4318962228157091</v>
      </c>
      <c r="J48" s="24">
        <v>13.468179575727675</v>
      </c>
    </row>
    <row r="49" spans="1:10">
      <c r="A49" s="22">
        <v>1980</v>
      </c>
      <c r="B49" s="25"/>
      <c r="C49" s="24">
        <v>12.61137765592872</v>
      </c>
      <c r="D49" s="24">
        <v>13.017955801104961</v>
      </c>
      <c r="E49" s="24">
        <v>12.253521126760575</v>
      </c>
      <c r="F49" s="24">
        <v>15.131136516476133</v>
      </c>
      <c r="G49" s="24">
        <v>9.8086124401913963</v>
      </c>
      <c r="H49" s="24">
        <v>16.36363636363636</v>
      </c>
      <c r="I49" s="24">
        <v>18.121041520056295</v>
      </c>
      <c r="J49" s="24">
        <v>13.913043478260875</v>
      </c>
    </row>
    <row r="50" spans="1:10">
      <c r="A50" s="22">
        <v>1981</v>
      </c>
      <c r="B50" s="25">
        <v>-3</v>
      </c>
      <c r="C50" s="24">
        <v>14.729153986609859</v>
      </c>
      <c r="D50" s="24">
        <v>16.406966086159457</v>
      </c>
      <c r="E50" s="24">
        <v>13.111668757841912</v>
      </c>
      <c r="F50" s="24">
        <v>18.45794392523365</v>
      </c>
      <c r="G50" s="24">
        <v>13.208061002178638</v>
      </c>
      <c r="H50" s="24">
        <v>15.558510638297847</v>
      </c>
      <c r="I50" s="24">
        <v>15.90705987488829</v>
      </c>
      <c r="J50" s="24">
        <v>17.709923664122144</v>
      </c>
    </row>
    <row r="51" spans="1:10">
      <c r="A51" s="22">
        <v>1982</v>
      </c>
      <c r="B51" s="25"/>
      <c r="C51" s="24">
        <v>16.335540838852097</v>
      </c>
      <c r="D51" s="24">
        <v>12.633832976445419</v>
      </c>
      <c r="E51" s="24">
        <v>14.877868245743912</v>
      </c>
      <c r="F51" s="24">
        <v>23.30827067669172</v>
      </c>
      <c r="G51" s="24">
        <v>17.136659436008657</v>
      </c>
      <c r="H51" s="24">
        <v>15.209125475285163</v>
      </c>
      <c r="I51" s="24">
        <v>15.866084425036391</v>
      </c>
      <c r="J51" s="24">
        <v>16.6666666666667</v>
      </c>
    </row>
    <row r="52" spans="1:10">
      <c r="A52" s="22">
        <v>1983</v>
      </c>
      <c r="B52" s="25"/>
      <c r="C52" s="24">
        <v>48.387096774193537</v>
      </c>
      <c r="D52" s="24">
        <v>45.18377693282639</v>
      </c>
      <c r="E52" s="24">
        <v>50.322164948453633</v>
      </c>
      <c r="F52" s="24">
        <v>48.66962305986695</v>
      </c>
      <c r="G52" s="24">
        <v>77.901234567901241</v>
      </c>
      <c r="H52" s="24">
        <v>20.132013201320149</v>
      </c>
      <c r="I52" s="24">
        <v>30.213567839196031</v>
      </c>
      <c r="J52" s="24">
        <v>35.431088735053464</v>
      </c>
    </row>
    <row r="53" spans="1:10">
      <c r="A53" s="22">
        <v>1984</v>
      </c>
      <c r="B53" s="25"/>
      <c r="C53" s="24">
        <v>31.202046035805637</v>
      </c>
      <c r="D53" s="24">
        <v>29.201222173723238</v>
      </c>
      <c r="E53" s="24">
        <v>30.604372053150456</v>
      </c>
      <c r="F53" s="24">
        <v>34.936614466815797</v>
      </c>
      <c r="G53" s="24">
        <v>36.988202637057611</v>
      </c>
      <c r="H53" s="24">
        <v>22.747252747252759</v>
      </c>
      <c r="I53" s="24">
        <v>28.895320791123964</v>
      </c>
      <c r="J53" s="24">
        <v>26.858736059479568</v>
      </c>
    </row>
    <row r="54" spans="1:10">
      <c r="A54" s="22">
        <v>1985</v>
      </c>
      <c r="B54" s="25"/>
      <c r="C54" s="24">
        <v>28.005198180636768</v>
      </c>
      <c r="D54" s="24">
        <v>28.783783783783804</v>
      </c>
      <c r="E54" s="24">
        <v>27.404003938299979</v>
      </c>
      <c r="F54" s="24">
        <v>28.212213318596298</v>
      </c>
      <c r="G54" s="24">
        <v>30.699088145896667</v>
      </c>
      <c r="H54" s="24">
        <v>15.085049239033154</v>
      </c>
      <c r="I54" s="24">
        <v>26.459580838323362</v>
      </c>
      <c r="J54" s="24">
        <v>33.040293040292994</v>
      </c>
    </row>
    <row r="55" spans="1:10">
      <c r="A55" s="22">
        <v>1986</v>
      </c>
      <c r="B55" s="25"/>
      <c r="C55" s="24">
        <v>23.020304568527905</v>
      </c>
      <c r="D55" s="24">
        <v>22.455403987408189</v>
      </c>
      <c r="E55" s="24">
        <v>23.338485316847013</v>
      </c>
      <c r="F55" s="24">
        <v>23.987068965517238</v>
      </c>
      <c r="G55" s="24">
        <v>23.197674418604649</v>
      </c>
      <c r="H55" s="24">
        <v>17.269544924154005</v>
      </c>
      <c r="I55" s="24">
        <v>28.973068955312243</v>
      </c>
      <c r="J55" s="24">
        <v>24.724669603524219</v>
      </c>
    </row>
    <row r="56" spans="1:10">
      <c r="A56" s="22">
        <v>1987</v>
      </c>
      <c r="B56" s="25"/>
      <c r="C56" s="24">
        <v>29.502785227976062</v>
      </c>
      <c r="D56" s="24">
        <v>28.170522707797772</v>
      </c>
      <c r="E56" s="24">
        <v>32.268170426065126</v>
      </c>
      <c r="F56" s="24">
        <v>28.228750217277963</v>
      </c>
      <c r="G56" s="24">
        <v>28.739971684756938</v>
      </c>
      <c r="H56" s="24">
        <v>25.552238805970148</v>
      </c>
      <c r="I56" s="24">
        <v>26.824231298760907</v>
      </c>
      <c r="J56" s="24">
        <v>34.635761589403984</v>
      </c>
    </row>
    <row r="57" spans="1:10">
      <c r="A57" s="22">
        <v>1988</v>
      </c>
      <c r="B57" s="25"/>
      <c r="C57" s="24">
        <v>58.228453082682819</v>
      </c>
      <c r="D57" s="24">
        <v>55.941835199732566</v>
      </c>
      <c r="E57" s="24">
        <v>59.766303489657332</v>
      </c>
      <c r="F57" s="24">
        <v>53.693913514978959</v>
      </c>
      <c r="G57" s="24">
        <v>64.332844574780069</v>
      </c>
      <c r="H57" s="24">
        <v>38.82284567020659</v>
      </c>
      <c r="I57" s="24">
        <v>54.966527953681918</v>
      </c>
      <c r="J57" s="24">
        <v>58.583374323659626</v>
      </c>
    </row>
    <row r="58" spans="1:10">
      <c r="A58" s="22">
        <v>1989</v>
      </c>
      <c r="B58" s="25"/>
      <c r="C58" s="24">
        <v>75.634313330648382</v>
      </c>
      <c r="D58" s="24">
        <v>72.979635584137185</v>
      </c>
      <c r="E58" s="24">
        <v>76.092113065823327</v>
      </c>
      <c r="F58" s="24">
        <v>80.349267948491786</v>
      </c>
      <c r="G58" s="24">
        <v>87.961930255037544</v>
      </c>
      <c r="H58" s="24">
        <v>48.867745004757381</v>
      </c>
      <c r="I58" s="24">
        <v>66.876824284880342</v>
      </c>
      <c r="J58" s="24">
        <v>66.211745244003282</v>
      </c>
    </row>
    <row r="59" spans="1:10">
      <c r="A59" s="22">
        <v>1990</v>
      </c>
      <c r="B59" s="25"/>
      <c r="C59" s="24">
        <v>48.520981426278354</v>
      </c>
      <c r="D59" s="24">
        <v>44.773529958485653</v>
      </c>
      <c r="E59" s="24">
        <v>50.339563338384664</v>
      </c>
      <c r="F59" s="24">
        <v>46.552230046948353</v>
      </c>
      <c r="G59" s="24">
        <v>47.521658293445114</v>
      </c>
      <c r="H59" s="24">
        <v>46.567812859516778</v>
      </c>
      <c r="I59" s="24">
        <v>47.092982578884772</v>
      </c>
      <c r="J59" s="24">
        <v>52.500622045284899</v>
      </c>
    </row>
    <row r="60" spans="1:10">
      <c r="A60" s="22">
        <v>1991</v>
      </c>
      <c r="B60" s="25"/>
      <c r="C60" s="24">
        <v>48.722402346765449</v>
      </c>
      <c r="D60" s="24">
        <v>45.927669591268966</v>
      </c>
      <c r="E60" s="24">
        <v>49.85440155305011</v>
      </c>
      <c r="F60" s="24">
        <v>48.226382353922617</v>
      </c>
      <c r="G60" s="24">
        <v>48.608280596374556</v>
      </c>
      <c r="H60" s="24">
        <v>45.002616431187874</v>
      </c>
      <c r="I60" s="24">
        <v>50.913242009132404</v>
      </c>
      <c r="J60" s="24">
        <v>49.351443954968204</v>
      </c>
    </row>
    <row r="61" spans="1:10">
      <c r="A61" s="22">
        <v>1992</v>
      </c>
      <c r="B61" s="25"/>
      <c r="C61" s="24">
        <v>54.605815231026128</v>
      </c>
      <c r="D61" s="24">
        <v>56.892304082590329</v>
      </c>
      <c r="E61" s="24">
        <v>53.943697060288997</v>
      </c>
      <c r="F61" s="24">
        <v>50.49640919426372</v>
      </c>
      <c r="G61" s="24">
        <v>54.030206246955061</v>
      </c>
      <c r="H61" s="24">
        <v>47.137014314928422</v>
      </c>
      <c r="I61" s="24">
        <v>47.462808875441226</v>
      </c>
      <c r="J61" s="24">
        <v>61.264509080977717</v>
      </c>
    </row>
    <row r="62" spans="1:10">
      <c r="A62" s="22">
        <v>1993</v>
      </c>
      <c r="B62" s="25"/>
      <c r="C62" s="24">
        <v>44.955053759229116</v>
      </c>
      <c r="D62" s="24">
        <v>48.386734960930227</v>
      </c>
      <c r="E62" s="24">
        <v>43.032382308675778</v>
      </c>
      <c r="F62" s="24">
        <v>45.815195440470347</v>
      </c>
      <c r="G62" s="24">
        <v>41.832431292612654</v>
      </c>
      <c r="H62" s="24">
        <v>45.930589052855339</v>
      </c>
      <c r="I62" s="24">
        <v>38.745805458781291</v>
      </c>
      <c r="J62" s="24">
        <v>54.238149270919763</v>
      </c>
    </row>
    <row r="63" spans="1:10">
      <c r="A63" s="22">
        <v>1994</v>
      </c>
      <c r="B63" s="25"/>
      <c r="C63" s="24">
        <v>27.3108817940644</v>
      </c>
      <c r="D63" s="24">
        <v>29.617778225704825</v>
      </c>
      <c r="E63" s="24">
        <v>27.072773352643026</v>
      </c>
      <c r="F63" s="24">
        <v>26.246460667241166</v>
      </c>
      <c r="G63" s="24">
        <v>24.811267768499462</v>
      </c>
      <c r="H63" s="24">
        <v>29.492422756939959</v>
      </c>
      <c r="I63" s="24">
        <v>19.038101106575269</v>
      </c>
      <c r="J63" s="24">
        <v>33.914826567698469</v>
      </c>
    </row>
    <row r="64" spans="1:10">
      <c r="A64" s="22">
        <v>1995</v>
      </c>
      <c r="B64" s="25"/>
      <c r="C64" s="24">
        <v>22.933831204418993</v>
      </c>
      <c r="D64" s="24">
        <v>24.645245315294332</v>
      </c>
      <c r="E64" s="24">
        <v>22.466877982762284</v>
      </c>
      <c r="F64" s="24">
        <v>22.590606208353648</v>
      </c>
      <c r="G64" s="24">
        <v>21.030174988129531</v>
      </c>
      <c r="H64" s="24">
        <v>25.044616299821527</v>
      </c>
      <c r="I64" s="24">
        <v>19.016093253084534</v>
      </c>
      <c r="J64" s="24">
        <v>26.568287618301838</v>
      </c>
    </row>
    <row r="65" spans="1:10" s="11" customFormat="1">
      <c r="A65" s="22">
        <v>1996</v>
      </c>
      <c r="B65" s="25">
        <v>-4</v>
      </c>
      <c r="C65" s="24">
        <v>24.389100550036531</v>
      </c>
      <c r="D65" s="24">
        <v>26.424354590996884</v>
      </c>
      <c r="E65" s="24">
        <v>23.650806204791735</v>
      </c>
      <c r="F65" s="24">
        <v>28.315965052107572</v>
      </c>
      <c r="G65" s="24">
        <v>23.735914151784883</v>
      </c>
      <c r="H65" s="24">
        <v>24.662194323279024</v>
      </c>
      <c r="I65" s="24">
        <v>19.694131928355873</v>
      </c>
      <c r="J65" s="24">
        <v>26.592481706642701</v>
      </c>
    </row>
    <row r="66" spans="1:10">
      <c r="A66" s="22">
        <v>1997</v>
      </c>
      <c r="B66" s="25"/>
      <c r="C66" s="24">
        <v>30.689795200302882</v>
      </c>
      <c r="D66" s="24">
        <v>28.465591819075712</v>
      </c>
      <c r="E66" s="24">
        <v>32.858484255385349</v>
      </c>
      <c r="F66" s="24">
        <v>30.278238570820776</v>
      </c>
      <c r="G66" s="24">
        <v>33.489712285358337</v>
      </c>
      <c r="H66" s="24">
        <v>27.985492266286641</v>
      </c>
      <c r="I66" s="24">
        <v>24.856420188686101</v>
      </c>
      <c r="J66" s="24">
        <v>30.980063306208365</v>
      </c>
    </row>
    <row r="67" spans="1:10">
      <c r="A67" s="22">
        <v>1998</v>
      </c>
      <c r="B67" s="25"/>
      <c r="C67" s="24">
        <v>24.275190643020906</v>
      </c>
      <c r="D67" s="24">
        <v>20.876307657003551</v>
      </c>
      <c r="E67" s="24">
        <v>21.860657912002779</v>
      </c>
      <c r="F67" s="24">
        <v>29.221110475846615</v>
      </c>
      <c r="G67" s="24">
        <v>30.152967728551346</v>
      </c>
      <c r="H67" s="24">
        <v>9.7755816299362834</v>
      </c>
      <c r="I67" s="24">
        <v>27.750722693362718</v>
      </c>
      <c r="J67" s="24">
        <v>22.85413234182603</v>
      </c>
    </row>
    <row r="68" spans="1:10">
      <c r="A68" s="22">
        <v>1999</v>
      </c>
      <c r="B68" s="25"/>
      <c r="C68" s="24">
        <v>66.731281929433635</v>
      </c>
      <c r="D68" s="24">
        <v>67.154641843254012</v>
      </c>
      <c r="E68" s="24">
        <v>66.648701698403215</v>
      </c>
      <c r="F68" s="24">
        <v>67.194748385807515</v>
      </c>
      <c r="G68" s="24">
        <v>48.446135067096378</v>
      </c>
      <c r="H68" s="24">
        <v>108.47186964249681</v>
      </c>
      <c r="I68" s="24">
        <v>52.587839432476358</v>
      </c>
      <c r="J68" s="24">
        <v>80.095393265470449</v>
      </c>
    </row>
    <row r="69" spans="1:10">
      <c r="A69" s="22">
        <v>2000</v>
      </c>
      <c r="B69" s="25"/>
      <c r="C69" s="24">
        <v>95.907318012623847</v>
      </c>
      <c r="D69" s="24">
        <v>96.939708451270917</v>
      </c>
      <c r="E69" s="24">
        <v>94.003559805952023</v>
      </c>
      <c r="F69" s="24">
        <v>108.44929555785745</v>
      </c>
      <c r="G69" s="24">
        <v>109.68059894909351</v>
      </c>
      <c r="H69" s="24">
        <v>60.759848936641447</v>
      </c>
      <c r="I69" s="24">
        <v>117.9625721658081</v>
      </c>
      <c r="J69" s="24">
        <v>92.198668955756403</v>
      </c>
    </row>
    <row r="70" spans="1:10">
      <c r="A70" s="22">
        <v>2001</v>
      </c>
      <c r="B70" s="25"/>
      <c r="C70" s="24">
        <v>37.672438104697619</v>
      </c>
      <c r="D70" s="24">
        <v>36.526220488333195</v>
      </c>
      <c r="E70" s="24">
        <v>37.38344884537554</v>
      </c>
      <c r="F70" s="24">
        <v>45.940845416774067</v>
      </c>
      <c r="G70" s="24">
        <v>34.460241690215696</v>
      </c>
      <c r="H70" s="24">
        <v>37.75048012906376</v>
      </c>
      <c r="I70" s="24">
        <v>32.754898604514352</v>
      </c>
      <c r="J70" s="24">
        <v>44.948465243938216</v>
      </c>
    </row>
    <row r="71" spans="1:10">
      <c r="A71" s="22">
        <v>2002</v>
      </c>
      <c r="B71" s="25"/>
      <c r="C71" s="24">
        <v>12.540298433195304</v>
      </c>
      <c r="D71" s="24">
        <v>12.32973843891692</v>
      </c>
      <c r="E71" s="24">
        <v>9.0796290534263591</v>
      </c>
      <c r="F71" s="24">
        <v>18.705700869751169</v>
      </c>
      <c r="G71" s="24">
        <v>9.3192144769827792</v>
      </c>
      <c r="H71" s="24">
        <v>32.360834494645474</v>
      </c>
      <c r="I71" s="24">
        <v>4.4865734068104928</v>
      </c>
      <c r="J71" s="24">
        <v>9.3212495743174202</v>
      </c>
    </row>
    <row r="72" spans="1:10">
      <c r="A72" s="22">
        <v>2003</v>
      </c>
      <c r="B72" s="25"/>
      <c r="C72" s="24">
        <v>7.9690059294210727</v>
      </c>
      <c r="D72" s="24">
        <v>7.8571801474867584</v>
      </c>
      <c r="E72" s="24">
        <v>6.5021248035713057</v>
      </c>
      <c r="F72" s="24">
        <v>5.7519530114905422</v>
      </c>
      <c r="G72" s="24">
        <v>3.8157109757950707</v>
      </c>
      <c r="H72" s="24">
        <v>19.998485496991194</v>
      </c>
      <c r="I72" s="24">
        <v>-3.4398778479899903</v>
      </c>
      <c r="J72" s="24">
        <v>10.273435185322228</v>
      </c>
    </row>
    <row r="73" spans="1:10">
      <c r="A73" s="22">
        <v>2004</v>
      </c>
      <c r="B73" s="25"/>
      <c r="C73" s="24">
        <v>2.6425277601024959</v>
      </c>
      <c r="D73" s="24">
        <v>2.7794862496640889</v>
      </c>
      <c r="E73" s="24">
        <v>1.4135608210632284</v>
      </c>
      <c r="F73" s="24">
        <v>1.9578396753556717</v>
      </c>
      <c r="G73" s="24">
        <v>1.1693325692234708</v>
      </c>
      <c r="H73" s="24">
        <v>8.9396852203608148</v>
      </c>
      <c r="I73" s="24">
        <v>-5.1057223805587313</v>
      </c>
      <c r="J73" s="24">
        <v>2.6061680825135483</v>
      </c>
    </row>
    <row r="74" spans="1:10">
      <c r="A74" s="22">
        <v>2005</v>
      </c>
      <c r="B74" s="25">
        <v>-5</v>
      </c>
      <c r="C74" s="24">
        <v>2.08</v>
      </c>
      <c r="D74" s="24">
        <v>2.2631684358101438</v>
      </c>
      <c r="E74" s="24">
        <v>1.1510359323391128</v>
      </c>
      <c r="F74" s="24">
        <v>2.7694160144491349</v>
      </c>
      <c r="G74" s="24">
        <v>2.2970138819534753</v>
      </c>
      <c r="H74" s="24">
        <v>2.0691040578545596</v>
      </c>
      <c r="I74" s="24">
        <v>-0.52925903734771396</v>
      </c>
      <c r="J74" s="24">
        <v>2.469012395041986</v>
      </c>
    </row>
    <row r="75" spans="1:10">
      <c r="A75" s="22">
        <v>2006</v>
      </c>
      <c r="B75" s="25"/>
      <c r="C75" s="24">
        <v>3.3013322884012553</v>
      </c>
      <c r="D75" s="24">
        <v>3.3490011750881337</v>
      </c>
      <c r="E75" s="24">
        <v>2.4045121709875161</v>
      </c>
      <c r="F75" s="24">
        <v>2.7436047646943962</v>
      </c>
      <c r="G75" s="24">
        <v>4.7015608024355799</v>
      </c>
      <c r="H75" s="24">
        <v>3.8427510783625678</v>
      </c>
      <c r="I75" s="24">
        <v>0.63708542361619891</v>
      </c>
      <c r="J75" s="24">
        <v>2.5751225163921561</v>
      </c>
    </row>
    <row r="76" spans="1:10">
      <c r="A76" s="22">
        <v>2007</v>
      </c>
      <c r="B76" s="25"/>
      <c r="C76" s="24">
        <v>2.2736037191042158</v>
      </c>
      <c r="D76" s="24">
        <v>2.1614153004163086</v>
      </c>
      <c r="E76" s="24">
        <v>1.7056537861249552</v>
      </c>
      <c r="F76" s="24">
        <v>2.3177705931512378</v>
      </c>
      <c r="G76" s="24">
        <v>2.9529691243419478</v>
      </c>
      <c r="H76" s="24">
        <v>2.6549569909466015</v>
      </c>
      <c r="I76" s="24">
        <v>0.83223191758537496</v>
      </c>
      <c r="J76" s="24">
        <v>1.8977751178909159</v>
      </c>
    </row>
    <row r="77" spans="1:10">
      <c r="A77" s="22">
        <v>2008</v>
      </c>
      <c r="B77" s="25"/>
      <c r="C77" s="24">
        <v>8.400111720156616</v>
      </c>
      <c r="D77" s="24">
        <v>7.9821913092237793</v>
      </c>
      <c r="E77" s="24">
        <v>7.5156656827632986</v>
      </c>
      <c r="F77" s="24">
        <v>7.8476146231945165</v>
      </c>
      <c r="G77" s="24">
        <v>15.407013803226775</v>
      </c>
      <c r="H77" s="24">
        <v>7.6038660488877667</v>
      </c>
      <c r="I77" s="24">
        <v>6.3549939592625293</v>
      </c>
      <c r="J77" s="24">
        <v>3.6376771398904282</v>
      </c>
    </row>
    <row r="78" spans="1:10">
      <c r="A78" s="22">
        <v>2009</v>
      </c>
      <c r="B78" s="25"/>
      <c r="C78" s="24">
        <v>5.1599682918104719</v>
      </c>
      <c r="D78" s="24">
        <v>4.9572057240826979</v>
      </c>
      <c r="E78" s="24">
        <v>4.2083569026835477</v>
      </c>
      <c r="F78" s="24">
        <v>5.2148613525136795</v>
      </c>
      <c r="G78" s="24">
        <v>6.3819034143618012</v>
      </c>
      <c r="H78" s="24">
        <v>4.5409363599007975</v>
      </c>
      <c r="I78" s="24">
        <v>6.0757102653002875</v>
      </c>
      <c r="J78" s="24">
        <v>4.157608113841377</v>
      </c>
    </row>
    <row r="79" spans="1:10">
      <c r="A79" s="22">
        <v>2010</v>
      </c>
      <c r="B79" s="25"/>
      <c r="C79" s="24">
        <v>3.554377345679228</v>
      </c>
      <c r="D79" s="24">
        <v>3.554447409299442</v>
      </c>
      <c r="E79" s="24">
        <v>3.088831833628177</v>
      </c>
      <c r="F79" s="24">
        <v>2.8139217336273816</v>
      </c>
      <c r="G79" s="24">
        <v>4.9704495159896567</v>
      </c>
      <c r="H79" s="24">
        <v>2.469031636301807</v>
      </c>
      <c r="I79" s="24">
        <v>4.3768011578730039</v>
      </c>
      <c r="J79" s="24">
        <v>2.561358283720665</v>
      </c>
    </row>
    <row r="80" spans="1:10">
      <c r="A80" s="22">
        <v>2011</v>
      </c>
      <c r="B80" s="25"/>
      <c r="C80" s="24">
        <v>4.4745326579567859</v>
      </c>
      <c r="D80" s="24">
        <v>3.7489308561786459</v>
      </c>
      <c r="E80" s="24">
        <v>4.7514495592529755</v>
      </c>
      <c r="F80" s="24">
        <v>4.4220728268291367</v>
      </c>
      <c r="G80" s="24">
        <v>6.3175581268237693</v>
      </c>
      <c r="H80" s="24">
        <v>3.112519119852081</v>
      </c>
      <c r="I80" s="24">
        <v>6.4546793611890791</v>
      </c>
      <c r="J80" s="24">
        <v>2.9262058174674479</v>
      </c>
    </row>
    <row r="81" spans="1:10">
      <c r="A81" s="22">
        <v>2012</v>
      </c>
      <c r="B81" s="25"/>
      <c r="C81" s="24">
        <v>5.1017218095872607</v>
      </c>
      <c r="D81" s="24">
        <v>5.5084161592431116</v>
      </c>
      <c r="E81" s="24">
        <v>4.2924938296032167</v>
      </c>
      <c r="F81" s="24">
        <v>4.2616908421828015</v>
      </c>
      <c r="G81" s="24">
        <v>6.4911469630060594</v>
      </c>
      <c r="H81" s="24">
        <v>3.1031354923952676</v>
      </c>
      <c r="I81" s="24">
        <v>4.4132622908421553</v>
      </c>
      <c r="J81" s="24">
        <v>4.752045629360822</v>
      </c>
    </row>
    <row r="82" spans="1:10">
      <c r="A82" s="22">
        <v>2013</v>
      </c>
      <c r="B82" s="25"/>
      <c r="C82" s="24">
        <v>2.721775777103403</v>
      </c>
      <c r="D82" s="24">
        <v>2.8540060698364726</v>
      </c>
      <c r="E82" s="24">
        <v>2.5188186253179481</v>
      </c>
      <c r="F82" s="24">
        <v>3.3212616188166066</v>
      </c>
      <c r="G82" s="24">
        <v>2.8931549337773248</v>
      </c>
      <c r="H82" s="24">
        <v>2.3291104202169493</v>
      </c>
      <c r="I82" s="24">
        <v>2.1273837799121509</v>
      </c>
      <c r="J82" s="24">
        <v>2.8435287270980609</v>
      </c>
    </row>
    <row r="83" spans="1:10">
      <c r="A83" s="22">
        <v>2014</v>
      </c>
      <c r="B83" s="25"/>
      <c r="C83" s="24">
        <v>3.5892201661680048</v>
      </c>
      <c r="D83" s="24">
        <v>3.822443548798077</v>
      </c>
      <c r="E83" s="24">
        <v>3.7114026128901827</v>
      </c>
      <c r="F83" s="24">
        <v>3.7181437447789705</v>
      </c>
      <c r="G83" s="24">
        <v>4.7189459653063324</v>
      </c>
      <c r="H83" s="24">
        <v>3.2227507437882394</v>
      </c>
      <c r="I83" s="24">
        <v>2.1366807288025598</v>
      </c>
      <c r="J83" s="24">
        <v>2.9687308451542833</v>
      </c>
    </row>
    <row r="84" spans="1:10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7" spans="1:10">
      <c r="A87" s="107"/>
      <c r="B87" s="19"/>
    </row>
    <row r="88" spans="1:10">
      <c r="A88" s="19" t="s">
        <v>1009</v>
      </c>
    </row>
  </sheetData>
  <mergeCells count="8">
    <mergeCell ref="C6:C7"/>
    <mergeCell ref="A1:J1"/>
    <mergeCell ref="A2:J2"/>
    <mergeCell ref="A3:J3"/>
    <mergeCell ref="A4:J4"/>
    <mergeCell ref="D6:F6"/>
    <mergeCell ref="G6:J6"/>
    <mergeCell ref="A6:B7"/>
  </mergeCells>
  <hyperlinks>
    <hyperlink ref="A88" location="'indice cap.4'!A1" display="regresar al índice"/>
  </hyperlinks>
  <pageMargins left="0.11811023622047245" right="0.11811023622047245" top="0.15748031496062992" bottom="0.15748031496062992" header="0.31496062992125984" footer="0.31496062992125984"/>
  <pageSetup paperSize="9" scale="95" orientation="portrait" verticalDpi="599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5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3" sqref="A3:J3"/>
    </sheetView>
  </sheetViews>
  <sheetFormatPr baseColWidth="10" defaultRowHeight="12.75"/>
  <cols>
    <col min="1" max="1" width="11.42578125" style="10"/>
    <col min="2" max="2" width="3.7109375" style="10" customWidth="1"/>
    <col min="3" max="3" width="10.85546875" style="10" customWidth="1"/>
    <col min="4" max="4" width="9" style="10" customWidth="1"/>
    <col min="5" max="8" width="11.42578125" style="10"/>
    <col min="9" max="9" width="13.140625" style="10" customWidth="1"/>
    <col min="10" max="16384" width="11.42578125" style="10"/>
  </cols>
  <sheetData>
    <row r="1" spans="1:10">
      <c r="A1" s="291" t="s">
        <v>1514</v>
      </c>
      <c r="B1" s="305"/>
      <c r="C1" s="305"/>
      <c r="D1" s="305"/>
      <c r="E1" s="305"/>
      <c r="F1" s="305"/>
      <c r="G1" s="305"/>
      <c r="H1" s="305"/>
      <c r="I1" s="305"/>
      <c r="J1" s="305"/>
    </row>
    <row r="2" spans="1:10">
      <c r="A2" s="291" t="s">
        <v>1515</v>
      </c>
      <c r="B2" s="305"/>
      <c r="C2" s="305"/>
      <c r="D2" s="305"/>
      <c r="E2" s="305"/>
      <c r="F2" s="305"/>
      <c r="G2" s="305"/>
      <c r="H2" s="305"/>
      <c r="I2" s="305"/>
      <c r="J2" s="305"/>
    </row>
    <row r="3" spans="1:10" s="11" customFormat="1">
      <c r="A3" s="291" t="s">
        <v>0</v>
      </c>
      <c r="B3" s="305"/>
      <c r="C3" s="305"/>
      <c r="D3" s="305"/>
      <c r="E3" s="305"/>
      <c r="F3" s="305"/>
      <c r="G3" s="305"/>
      <c r="H3" s="305"/>
      <c r="I3" s="305"/>
      <c r="J3" s="305"/>
    </row>
    <row r="4" spans="1:10">
      <c r="A4" s="291" t="s">
        <v>1287</v>
      </c>
      <c r="B4" s="305"/>
      <c r="C4" s="305"/>
      <c r="D4" s="305"/>
      <c r="E4" s="305"/>
      <c r="F4" s="305"/>
      <c r="G4" s="305"/>
      <c r="H4" s="305"/>
      <c r="I4" s="305"/>
      <c r="J4" s="305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300" t="s">
        <v>2</v>
      </c>
      <c r="B6" s="311"/>
      <c r="C6" s="306" t="s">
        <v>4</v>
      </c>
      <c r="D6" s="308" t="s">
        <v>3</v>
      </c>
      <c r="E6" s="309"/>
      <c r="F6" s="309"/>
      <c r="G6" s="308" t="s">
        <v>1306</v>
      </c>
      <c r="H6" s="309"/>
      <c r="I6" s="309"/>
      <c r="J6" s="310"/>
    </row>
    <row r="7" spans="1:10">
      <c r="A7" s="300"/>
      <c r="B7" s="311"/>
      <c r="C7" s="307"/>
      <c r="D7" s="51" t="s">
        <v>5</v>
      </c>
      <c r="E7" s="51" t="s">
        <v>6</v>
      </c>
      <c r="F7" s="51" t="s">
        <v>7</v>
      </c>
      <c r="G7" s="51" t="s">
        <v>8</v>
      </c>
      <c r="H7" s="51" t="s">
        <v>9</v>
      </c>
      <c r="I7" s="51" t="s">
        <v>10</v>
      </c>
      <c r="J7" s="52" t="s">
        <v>11</v>
      </c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22">
        <v>2015</v>
      </c>
      <c r="B9" s="25"/>
      <c r="C9" s="160">
        <v>3.9666462325535008</v>
      </c>
      <c r="D9" s="60" t="s">
        <v>46</v>
      </c>
      <c r="E9" s="60" t="s">
        <v>46</v>
      </c>
      <c r="F9" s="60" t="s">
        <v>46</v>
      </c>
      <c r="G9" s="60" t="s">
        <v>46</v>
      </c>
      <c r="H9" s="60" t="s">
        <v>46</v>
      </c>
      <c r="I9" s="60" t="s">
        <v>46</v>
      </c>
      <c r="J9" s="60" t="s">
        <v>46</v>
      </c>
    </row>
    <row r="10" spans="1:10">
      <c r="A10" s="22">
        <v>2016</v>
      </c>
      <c r="B10" s="25"/>
      <c r="C10" s="160">
        <v>1.7282646332454732</v>
      </c>
      <c r="D10" s="160">
        <v>1.9617115770297744</v>
      </c>
      <c r="E10" s="160">
        <v>1.714661292324422</v>
      </c>
      <c r="F10" s="160">
        <v>2.1700240502659369</v>
      </c>
      <c r="G10" s="160">
        <v>2.8417487802898904</v>
      </c>
      <c r="H10" s="160">
        <v>3.1403816866625931</v>
      </c>
      <c r="I10" s="160">
        <v>-0.46779092797419253</v>
      </c>
      <c r="J10" s="160">
        <v>1.9738383479451045</v>
      </c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4" spans="1:10">
      <c r="A14" s="107"/>
      <c r="B14" s="19"/>
    </row>
    <row r="15" spans="1:10">
      <c r="A15" s="19" t="s">
        <v>1009</v>
      </c>
    </row>
  </sheetData>
  <mergeCells count="8">
    <mergeCell ref="A1:J1"/>
    <mergeCell ref="A2:J2"/>
    <mergeCell ref="A3:J3"/>
    <mergeCell ref="A4:J4"/>
    <mergeCell ref="A6:B7"/>
    <mergeCell ref="C6:C7"/>
    <mergeCell ref="D6:F6"/>
    <mergeCell ref="G6:J6"/>
  </mergeCells>
  <hyperlinks>
    <hyperlink ref="A15" location="'indice cap.4'!A1" display="regresar al índice"/>
  </hyperlinks>
  <pageMargins left="0.11811023622047245" right="0.11811023622047245" top="0.94488188976377963" bottom="0.94488188976377963" header="0.31496062992125984" footer="0.31496062992125984"/>
  <pageSetup paperSize="9" scale="95" orientation="portrait" verticalDpi="599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"/>
  <sheetViews>
    <sheetView showGridLines="0" workbookViewId="0">
      <selection activeCell="F19" sqref="F19"/>
    </sheetView>
  </sheetViews>
  <sheetFormatPr baseColWidth="10" defaultRowHeight="12.75"/>
  <cols>
    <col min="1" max="1" width="9.28515625" style="10" customWidth="1"/>
    <col min="2" max="2" width="19.42578125" style="10" bestFit="1" customWidth="1"/>
    <col min="3" max="3" width="19.42578125" style="10" customWidth="1"/>
    <col min="4" max="10" width="19.140625" style="10" bestFit="1" customWidth="1"/>
    <col min="11" max="12" width="19" style="10" bestFit="1" customWidth="1"/>
    <col min="13" max="13" width="0" style="10" hidden="1" customWidth="1"/>
    <col min="14" max="16384" width="11.42578125" style="10"/>
  </cols>
  <sheetData>
    <row r="1" spans="1:13" ht="15.6" customHeight="1">
      <c r="A1" s="292" t="s">
        <v>1516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3" ht="13.15" customHeight="1">
      <c r="A2" s="292" t="s">
        <v>32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</row>
    <row r="3" spans="1:13" ht="13.15" customHeight="1">
      <c r="A3" s="293" t="s">
        <v>33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</row>
    <row r="4" spans="1:13" ht="13.1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s="27" customFormat="1" ht="51">
      <c r="A5" s="29" t="s">
        <v>2</v>
      </c>
      <c r="B5" s="30" t="s">
        <v>34</v>
      </c>
      <c r="C5" s="30" t="s">
        <v>35</v>
      </c>
      <c r="D5" s="30" t="s">
        <v>36</v>
      </c>
      <c r="E5" s="30" t="s">
        <v>37</v>
      </c>
      <c r="F5" s="30" t="s">
        <v>38</v>
      </c>
      <c r="G5" s="58" t="s">
        <v>39</v>
      </c>
      <c r="H5" s="30" t="s">
        <v>40</v>
      </c>
      <c r="I5" s="30" t="s">
        <v>41</v>
      </c>
      <c r="J5" s="30" t="s">
        <v>42</v>
      </c>
      <c r="K5" s="30" t="s">
        <v>43</v>
      </c>
      <c r="L5" s="31" t="s">
        <v>44</v>
      </c>
      <c r="M5" s="28" t="s">
        <v>45</v>
      </c>
    </row>
    <row r="6" spans="1:13" s="27" customFormat="1" ht="15.7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s="27" customFormat="1">
      <c r="A7" s="59">
        <v>1997</v>
      </c>
      <c r="B7" s="60">
        <v>30.6</v>
      </c>
      <c r="C7" s="60" t="s">
        <v>46</v>
      </c>
      <c r="D7" s="60" t="s">
        <v>46</v>
      </c>
      <c r="E7" s="60" t="s">
        <v>46</v>
      </c>
      <c r="F7" s="60" t="s">
        <v>46</v>
      </c>
      <c r="G7" s="60" t="s">
        <v>46</v>
      </c>
      <c r="H7" s="60" t="s">
        <v>46</v>
      </c>
      <c r="I7" s="60" t="s">
        <v>46</v>
      </c>
      <c r="J7" s="60" t="s">
        <v>46</v>
      </c>
      <c r="K7" s="60" t="s">
        <v>46</v>
      </c>
      <c r="L7" s="60" t="s">
        <v>46</v>
      </c>
      <c r="M7" s="55"/>
    </row>
    <row r="8" spans="1:13" s="27" customFormat="1">
      <c r="A8" s="59">
        <v>1998</v>
      </c>
      <c r="B8" s="60">
        <v>36.096211394048879</v>
      </c>
      <c r="C8" s="60">
        <v>39.63024282560707</v>
      </c>
      <c r="D8" s="60">
        <v>22.647258292940762</v>
      </c>
      <c r="E8" s="60">
        <v>54.188229325215616</v>
      </c>
      <c r="F8" s="60">
        <v>28.476549518112336</v>
      </c>
      <c r="G8" s="60">
        <v>32.551822870702665</v>
      </c>
      <c r="H8" s="60">
        <v>41.516982666223157</v>
      </c>
      <c r="I8" s="60">
        <v>30.041159224176795</v>
      </c>
      <c r="J8" s="60">
        <v>27.748669998387882</v>
      </c>
      <c r="K8" s="60">
        <v>35.58484272510438</v>
      </c>
      <c r="L8" s="60">
        <v>23.124882511435558</v>
      </c>
      <c r="M8" s="55"/>
    </row>
    <row r="9" spans="1:13" s="27" customFormat="1">
      <c r="A9" s="59">
        <v>1999</v>
      </c>
      <c r="B9" s="60">
        <v>52.240292067706605</v>
      </c>
      <c r="C9" s="60">
        <v>39.037982688431271</v>
      </c>
      <c r="D9" s="60">
        <v>57.791312762505754</v>
      </c>
      <c r="E9" s="60">
        <v>58.289597078034262</v>
      </c>
      <c r="F9" s="60">
        <v>69.159509326435341</v>
      </c>
      <c r="G9" s="60">
        <v>61.43076957219688</v>
      </c>
      <c r="H9" s="60">
        <v>71.879590757438251</v>
      </c>
      <c r="I9" s="60">
        <v>88.210248828265634</v>
      </c>
      <c r="J9" s="60">
        <v>36.731832315010507</v>
      </c>
      <c r="K9" s="60">
        <v>41.633996584673611</v>
      </c>
      <c r="L9" s="60">
        <v>72.383521209191059</v>
      </c>
      <c r="M9" s="55"/>
    </row>
    <row r="10" spans="1:13" s="27" customFormat="1">
      <c r="A10" s="59">
        <v>2000</v>
      </c>
      <c r="B10" s="60">
        <v>96.100392413342064</v>
      </c>
      <c r="C10" s="60">
        <v>120.81130251861961</v>
      </c>
      <c r="D10" s="60">
        <v>119.28427681707268</v>
      </c>
      <c r="E10" s="60">
        <v>31.436267886221117</v>
      </c>
      <c r="F10" s="60">
        <v>114.58810205339688</v>
      </c>
      <c r="G10" s="60">
        <v>112.89315165165505</v>
      </c>
      <c r="H10" s="60">
        <v>86.130805975251917</v>
      </c>
      <c r="I10" s="60">
        <v>114.51358013315209</v>
      </c>
      <c r="J10" s="60">
        <v>60.08296180834185</v>
      </c>
      <c r="K10" s="60">
        <v>82.367610919597382</v>
      </c>
      <c r="L10" s="60">
        <v>122.17310010578885</v>
      </c>
      <c r="M10" s="55"/>
    </row>
    <row r="11" spans="1:13" s="27" customFormat="1">
      <c r="A11" s="59">
        <v>2001</v>
      </c>
      <c r="B11" s="60">
        <v>37.675963369047139</v>
      </c>
      <c r="C11" s="60">
        <v>31.704365513601175</v>
      </c>
      <c r="D11" s="60">
        <v>30.612628597951812</v>
      </c>
      <c r="E11" s="60">
        <v>51.292622266975457</v>
      </c>
      <c r="F11" s="60">
        <v>29.829630545135501</v>
      </c>
      <c r="G11" s="60">
        <v>37.116599741915479</v>
      </c>
      <c r="H11" s="60">
        <v>48.376918901047759</v>
      </c>
      <c r="I11" s="60">
        <v>22.780616463806226</v>
      </c>
      <c r="J11" s="60">
        <v>70.448641775221091</v>
      </c>
      <c r="K11" s="60">
        <v>44.901249496170891</v>
      </c>
      <c r="L11" s="60">
        <v>31.167344172691486</v>
      </c>
      <c r="M11" s="55"/>
    </row>
    <row r="12" spans="1:13" s="27" customFormat="1">
      <c r="A12" s="59">
        <v>2002</v>
      </c>
      <c r="B12" s="60">
        <v>12.484733479353622</v>
      </c>
      <c r="C12" s="60">
        <v>8.1942055051610794</v>
      </c>
      <c r="D12" s="60">
        <v>1.426874910033078</v>
      </c>
      <c r="E12" s="60">
        <v>46.766140982541117</v>
      </c>
      <c r="F12" s="60">
        <v>5.7853755845795263</v>
      </c>
      <c r="G12" s="60">
        <v>12.56013431468665</v>
      </c>
      <c r="H12" s="60">
        <v>1.7773486392733275</v>
      </c>
      <c r="I12" s="60">
        <v>1.2213649654380703</v>
      </c>
      <c r="J12" s="60">
        <v>39.50054119468723</v>
      </c>
      <c r="K12" s="60">
        <v>13.407326824476613</v>
      </c>
      <c r="L12" s="60">
        <v>2.2438454440541307</v>
      </c>
      <c r="M12" s="55"/>
    </row>
    <row r="13" spans="1:13" s="27" customFormat="1">
      <c r="A13" s="59">
        <v>2003</v>
      </c>
      <c r="B13" s="60">
        <v>7.9287880691301069</v>
      </c>
      <c r="C13" s="60">
        <v>2.4311798133475548</v>
      </c>
      <c r="D13" s="60">
        <v>-5.9157515655768265</v>
      </c>
      <c r="E13" s="60">
        <v>28.661981445098064</v>
      </c>
      <c r="F13" s="60">
        <v>-1.443897566777224</v>
      </c>
      <c r="G13" s="60">
        <v>5.2330405943479974</v>
      </c>
      <c r="H13" s="60">
        <v>15.656251689280481</v>
      </c>
      <c r="I13" s="60">
        <v>-2.2985029487373509</v>
      </c>
      <c r="J13" s="60">
        <v>24.012322853923422</v>
      </c>
      <c r="K13" s="60">
        <v>8.2001636810922491</v>
      </c>
      <c r="L13" s="60">
        <v>-5.7103082466633879</v>
      </c>
      <c r="M13" s="55"/>
    </row>
    <row r="14" spans="1:13" s="27" customFormat="1">
      <c r="A14" s="59">
        <v>2004</v>
      </c>
      <c r="B14" s="60">
        <v>2.7421162058591761</v>
      </c>
      <c r="C14" s="60">
        <v>1.2010013306520619</v>
      </c>
      <c r="D14" s="60">
        <v>-7.0089606125086732</v>
      </c>
      <c r="E14" s="60">
        <v>11.917668099475591</v>
      </c>
      <c r="F14" s="60">
        <v>-1.4647245486185625</v>
      </c>
      <c r="G14" s="60">
        <v>1.868568887459034</v>
      </c>
      <c r="H14" s="60">
        <v>0.72076008413081638</v>
      </c>
      <c r="I14" s="60">
        <v>-6.4785891647025124</v>
      </c>
      <c r="J14" s="60">
        <v>16.513150211841278</v>
      </c>
      <c r="K14" s="60">
        <v>1.1792385452796168</v>
      </c>
      <c r="L14" s="60">
        <v>-8.6651802627085175</v>
      </c>
      <c r="M14" s="55"/>
    </row>
    <row r="15" spans="1:13" s="27" customFormat="1">
      <c r="A15" s="114"/>
      <c r="B15" s="115"/>
      <c r="C15" s="115"/>
      <c r="D15" s="115"/>
      <c r="E15" s="115"/>
      <c r="F15" s="115"/>
      <c r="G15" s="116"/>
      <c r="H15" s="116"/>
      <c r="I15" s="116"/>
      <c r="J15" s="116"/>
      <c r="K15" s="116"/>
      <c r="L15" s="116"/>
      <c r="M15" s="55"/>
    </row>
    <row r="16" spans="1:13" s="27" customFormat="1">
      <c r="A16" s="55"/>
      <c r="B16" s="54"/>
      <c r="C16" s="54"/>
      <c r="D16" s="54"/>
      <c r="E16" s="54"/>
      <c r="F16" s="54"/>
      <c r="G16" s="55"/>
      <c r="H16" s="55"/>
      <c r="I16" s="55"/>
      <c r="J16" s="55"/>
      <c r="K16" s="55"/>
      <c r="L16" s="55"/>
      <c r="M16" s="55"/>
    </row>
    <row r="17" spans="1:13" s="27" customFormat="1">
      <c r="A17" s="62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7"/>
    </row>
    <row r="18" spans="1:13">
      <c r="A18" s="107"/>
    </row>
    <row r="19" spans="1:13">
      <c r="A19" s="19" t="s">
        <v>1009</v>
      </c>
    </row>
  </sheetData>
  <mergeCells count="3">
    <mergeCell ref="A1:L1"/>
    <mergeCell ref="A2:L2"/>
    <mergeCell ref="A3:L3"/>
  </mergeCells>
  <hyperlinks>
    <hyperlink ref="A19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59" orientation="landscape" verticalDpi="599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1"/>
  <sheetViews>
    <sheetView showGridLines="0" workbookViewId="0">
      <selection activeCell="A2" sqref="A2:N2"/>
    </sheetView>
  </sheetViews>
  <sheetFormatPr baseColWidth="10" defaultColWidth="11" defaultRowHeight="12.75"/>
  <cols>
    <col min="1" max="1" width="6.5703125" style="18" customWidth="1"/>
    <col min="2" max="14" width="13.7109375" style="18" customWidth="1"/>
    <col min="15" max="16384" width="11" style="18"/>
  </cols>
  <sheetData>
    <row r="1" spans="1:14" s="10" customFormat="1" ht="15.6" customHeight="1">
      <c r="A1" s="291" t="s">
        <v>1517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312"/>
      <c r="N1" s="312"/>
    </row>
    <row r="2" spans="1:14" s="10" customFormat="1" ht="13.15" customHeight="1">
      <c r="A2" s="291" t="s">
        <v>47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312"/>
      <c r="N2" s="312"/>
    </row>
    <row r="3" spans="1:14" s="10" customFormat="1" ht="13.15" customHeight="1">
      <c r="A3" s="295" t="s">
        <v>25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312"/>
      <c r="N3" s="312"/>
    </row>
    <row r="4" spans="1:14" ht="20.100000000000001" customHeight="1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40" customFormat="1" ht="63.75">
      <c r="A5" s="29" t="s">
        <v>2</v>
      </c>
      <c r="B5" s="30" t="s">
        <v>34</v>
      </c>
      <c r="C5" s="63" t="s">
        <v>1010</v>
      </c>
      <c r="D5" s="63" t="s">
        <v>1011</v>
      </c>
      <c r="E5" s="63" t="s">
        <v>26</v>
      </c>
      <c r="F5" s="63" t="s">
        <v>27</v>
      </c>
      <c r="G5" s="64" t="s">
        <v>48</v>
      </c>
      <c r="H5" s="65" t="s">
        <v>18</v>
      </c>
      <c r="I5" s="65" t="s">
        <v>19</v>
      </c>
      <c r="J5" s="63" t="s">
        <v>1013</v>
      </c>
      <c r="K5" s="63" t="s">
        <v>30</v>
      </c>
      <c r="L5" s="65" t="s">
        <v>21</v>
      </c>
      <c r="M5" s="63" t="s">
        <v>31</v>
      </c>
      <c r="N5" s="66" t="s">
        <v>1012</v>
      </c>
    </row>
    <row r="6" spans="1:14" ht="14.25" customHeight="1">
      <c r="A6" s="34"/>
      <c r="B6" s="35"/>
      <c r="C6" s="36"/>
      <c r="D6" s="36"/>
      <c r="E6" s="36"/>
      <c r="F6" s="36"/>
      <c r="G6" s="36"/>
      <c r="H6" s="36"/>
      <c r="I6" s="35"/>
      <c r="J6" s="36"/>
      <c r="K6" s="36"/>
      <c r="L6" s="36"/>
      <c r="M6" s="36"/>
      <c r="N6" s="36"/>
    </row>
    <row r="7" spans="1:14" s="27" customFormat="1" ht="12.75" customHeight="1">
      <c r="A7" s="59">
        <v>2005</v>
      </c>
      <c r="B7" s="60">
        <v>2.1230810559108364</v>
      </c>
      <c r="C7" s="60">
        <v>2.732028465639067</v>
      </c>
      <c r="D7" s="60">
        <v>6.5915599708086932</v>
      </c>
      <c r="E7" s="60">
        <v>-0.25049528274102784</v>
      </c>
      <c r="F7" s="60">
        <v>3.3723294261654231</v>
      </c>
      <c r="G7" s="61">
        <v>-0.10875910234724984</v>
      </c>
      <c r="H7" s="61">
        <v>0.9658908522575137</v>
      </c>
      <c r="I7" s="61">
        <v>2.2797224703671097</v>
      </c>
      <c r="J7" s="61">
        <v>-1.8119740813531742</v>
      </c>
      <c r="K7" s="61">
        <v>2.6567138716829568</v>
      </c>
      <c r="L7" s="61">
        <v>9.8560489094775292</v>
      </c>
      <c r="M7" s="61">
        <v>0.80449923173204618</v>
      </c>
      <c r="N7" s="67">
        <v>-2.1183105186905884</v>
      </c>
    </row>
    <row r="8" spans="1:14" s="27" customFormat="1">
      <c r="A8" s="59">
        <v>2006</v>
      </c>
      <c r="B8" s="60">
        <v>3.2985304491488563</v>
      </c>
      <c r="C8" s="60">
        <v>5.6795897534020412</v>
      </c>
      <c r="D8" s="60">
        <v>3.6567762202083003</v>
      </c>
      <c r="E8" s="60">
        <v>0.63709878242366358</v>
      </c>
      <c r="F8" s="60">
        <v>4.8064470791678673</v>
      </c>
      <c r="G8" s="61">
        <v>2.1782393672259701</v>
      </c>
      <c r="H8" s="61">
        <v>1.541571436971779</v>
      </c>
      <c r="I8" s="61">
        <v>2.7136734202740485</v>
      </c>
      <c r="J8" s="61">
        <v>-0.73457577815761965</v>
      </c>
      <c r="K8" s="61">
        <v>-0.79378762540426351</v>
      </c>
      <c r="L8" s="61">
        <v>8.8073693826651152</v>
      </c>
      <c r="M8" s="61">
        <v>1.4666139211013842</v>
      </c>
      <c r="N8" s="67">
        <v>0.54717395133832269</v>
      </c>
    </row>
    <row r="9" spans="1:14" s="27" customFormat="1">
      <c r="A9" s="59">
        <v>2007</v>
      </c>
      <c r="B9" s="60">
        <v>2.2764006357746069</v>
      </c>
      <c r="C9" s="60">
        <v>3.2542087917911005</v>
      </c>
      <c r="D9" s="60">
        <v>5.0470677048666062</v>
      </c>
      <c r="E9" s="60">
        <v>0.83221853287551539</v>
      </c>
      <c r="F9" s="60">
        <v>2.3231696654082441</v>
      </c>
      <c r="G9" s="61">
        <v>3.2428003838776789</v>
      </c>
      <c r="H9" s="61">
        <v>2.3332688313170564</v>
      </c>
      <c r="I9" s="61">
        <v>2.7087613690624153</v>
      </c>
      <c r="J9" s="61">
        <v>-0.56068657389025134</v>
      </c>
      <c r="K9" s="61">
        <v>-1.9050321012212805</v>
      </c>
      <c r="L9" s="61">
        <v>5.2881225105440421</v>
      </c>
      <c r="M9" s="61">
        <v>1.5604094067547436</v>
      </c>
      <c r="N9" s="67">
        <v>6.0169414900741458E-2</v>
      </c>
    </row>
    <row r="10" spans="1:14" s="27" customFormat="1">
      <c r="A10" s="59">
        <v>2008</v>
      </c>
      <c r="B10" s="60">
        <v>8.400095939874447</v>
      </c>
      <c r="C10" s="60">
        <v>16.83829067467461</v>
      </c>
      <c r="D10" s="60">
        <v>19.378767962112022</v>
      </c>
      <c r="E10" s="60">
        <v>6.3549939592624867</v>
      </c>
      <c r="F10" s="60">
        <v>4.5171537489376163</v>
      </c>
      <c r="G10" s="61">
        <v>13.02353723790614</v>
      </c>
      <c r="H10" s="61">
        <v>3.1593688715451833</v>
      </c>
      <c r="I10" s="61">
        <v>2.7761371163811788</v>
      </c>
      <c r="J10" s="61">
        <v>-1.6128349347678324</v>
      </c>
      <c r="K10" s="61">
        <v>1.4767205702244297</v>
      </c>
      <c r="L10" s="61">
        <v>4.7548779461375972</v>
      </c>
      <c r="M10" s="61">
        <v>9.587230836443041</v>
      </c>
      <c r="N10" s="67">
        <v>9.4006359608884225</v>
      </c>
    </row>
    <row r="11" spans="1:14" s="27" customFormat="1">
      <c r="A11" s="59">
        <v>2009</v>
      </c>
      <c r="B11" s="60">
        <v>5.1599682918104719</v>
      </c>
      <c r="C11" s="60">
        <v>5.8856363560525011</v>
      </c>
      <c r="D11" s="60">
        <v>12.925099912628781</v>
      </c>
      <c r="E11" s="60">
        <v>6.0757102653002306</v>
      </c>
      <c r="F11" s="60">
        <v>2.1654702114334441</v>
      </c>
      <c r="G11" s="61">
        <v>8.3978890464308904</v>
      </c>
      <c r="H11" s="61">
        <v>3.2876814620778561</v>
      </c>
      <c r="I11" s="61">
        <v>2.1435322901472063</v>
      </c>
      <c r="J11" s="61">
        <v>0.34096667781489032</v>
      </c>
      <c r="K11" s="61">
        <v>2.0255339182297547</v>
      </c>
      <c r="L11" s="61">
        <v>3.8911730305913039</v>
      </c>
      <c r="M11" s="61">
        <v>7.5767517059522902</v>
      </c>
      <c r="N11" s="67">
        <v>15.493311773110733</v>
      </c>
    </row>
    <row r="12" spans="1:14" s="27" customFormat="1">
      <c r="A12" s="59">
        <v>2010</v>
      </c>
      <c r="B12" s="60">
        <v>3.554377345679228</v>
      </c>
      <c r="C12" s="60">
        <v>4.8291339477323874</v>
      </c>
      <c r="D12" s="60">
        <v>6.2145286690084447</v>
      </c>
      <c r="E12" s="60">
        <v>4.3768011578730466</v>
      </c>
      <c r="F12" s="60">
        <v>2.5282761661359956</v>
      </c>
      <c r="G12" s="61">
        <v>2.3783692729018497</v>
      </c>
      <c r="H12" s="61">
        <v>3.7218539749025439</v>
      </c>
      <c r="I12" s="61">
        <v>1.4802243848992589</v>
      </c>
      <c r="J12" s="61">
        <v>0.17814691969026342</v>
      </c>
      <c r="K12" s="61">
        <v>2.034779473406374</v>
      </c>
      <c r="L12" s="61">
        <v>3.4912478698260827</v>
      </c>
      <c r="M12" s="61">
        <v>5.6532033658048562</v>
      </c>
      <c r="N12" s="67">
        <v>3.8862828512264258</v>
      </c>
    </row>
    <row r="13" spans="1:14" s="27" customFormat="1">
      <c r="A13" s="59">
        <v>2011</v>
      </c>
      <c r="B13" s="60">
        <v>4.4745326579567859</v>
      </c>
      <c r="C13" s="60">
        <v>6.7256017485771906</v>
      </c>
      <c r="D13" s="60">
        <v>4.1814063607863403</v>
      </c>
      <c r="E13" s="60">
        <v>6.4546793611891076</v>
      </c>
      <c r="F13" s="60">
        <v>2.160180417179987</v>
      </c>
      <c r="G13" s="61">
        <v>4.5720243680924995</v>
      </c>
      <c r="H13" s="61">
        <v>3.1610211715013889</v>
      </c>
      <c r="I13" s="61">
        <v>2.3207566317175576</v>
      </c>
      <c r="J13" s="61">
        <v>2.051270582962843</v>
      </c>
      <c r="K13" s="61">
        <v>0.18848798772890518</v>
      </c>
      <c r="L13" s="61">
        <v>4.7747705183643063</v>
      </c>
      <c r="M13" s="61">
        <v>4.9245013435368179</v>
      </c>
      <c r="N13" s="67">
        <v>4.1129536517820782</v>
      </c>
    </row>
    <row r="14" spans="1:14" s="154" customFormat="1">
      <c r="A14" s="59">
        <v>2012</v>
      </c>
      <c r="B14" s="60">
        <v>5.1017218095872607</v>
      </c>
      <c r="C14" s="60">
        <v>5.8113003478855774</v>
      </c>
      <c r="D14" s="60">
        <v>22.552463860112965</v>
      </c>
      <c r="E14" s="60">
        <v>4.4132622908421411</v>
      </c>
      <c r="F14" s="60">
        <v>2.5589722349850206</v>
      </c>
      <c r="G14" s="61">
        <v>3.9178577421312895</v>
      </c>
      <c r="H14" s="61">
        <v>4.479214543000225</v>
      </c>
      <c r="I14" s="61">
        <v>5.0913974174952301</v>
      </c>
      <c r="J14" s="61">
        <v>-0.56795832657668655</v>
      </c>
      <c r="K14" s="61">
        <v>3.7167428670348244</v>
      </c>
      <c r="L14" s="61">
        <v>6.2972257890619829</v>
      </c>
      <c r="M14" s="61">
        <v>7.8098542213884627</v>
      </c>
      <c r="N14" s="67">
        <v>4.4992370375575206</v>
      </c>
    </row>
    <row r="15" spans="1:14" s="154" customFormat="1">
      <c r="A15" s="59">
        <v>2013</v>
      </c>
      <c r="B15" s="60">
        <v>2.721775777103403</v>
      </c>
      <c r="C15" s="60">
        <v>1.7826251715770809</v>
      </c>
      <c r="D15" s="60">
        <v>11.423746662515555</v>
      </c>
      <c r="E15" s="60">
        <v>2.1273837799121225</v>
      </c>
      <c r="F15" s="60">
        <v>2.192757256913481</v>
      </c>
      <c r="G15" s="61">
        <v>2.530589080842077</v>
      </c>
      <c r="H15" s="61">
        <v>4.3987718677558973</v>
      </c>
      <c r="I15" s="61">
        <v>0.95156754617153183</v>
      </c>
      <c r="J15" s="61">
        <v>2.8372046600580347E-2</v>
      </c>
      <c r="K15" s="61">
        <v>0.838763695305488</v>
      </c>
      <c r="L15" s="61">
        <v>6.138792849766304</v>
      </c>
      <c r="M15" s="61">
        <v>6.3960191984988199</v>
      </c>
      <c r="N15" s="67">
        <v>3.4564841955776302</v>
      </c>
    </row>
    <row r="16" spans="1:14" s="154" customFormat="1">
      <c r="A16" s="59">
        <v>2014</v>
      </c>
      <c r="B16" s="60">
        <v>3.5892201661680048</v>
      </c>
      <c r="C16" s="60">
        <v>4.5210330244967594</v>
      </c>
      <c r="D16" s="60">
        <v>6.2443226811142836</v>
      </c>
      <c r="E16" s="60">
        <v>2.1366807288026024</v>
      </c>
      <c r="F16" s="60">
        <v>3.7069878312276074</v>
      </c>
      <c r="G16" s="61">
        <v>2.5095881587331661</v>
      </c>
      <c r="H16" s="61">
        <v>3.5234628500187029</v>
      </c>
      <c r="I16" s="61">
        <v>0.49258188637175238</v>
      </c>
      <c r="J16" s="61">
        <v>-0.38185776644752423</v>
      </c>
      <c r="K16" s="61">
        <v>2.1011366460134582</v>
      </c>
      <c r="L16" s="61">
        <v>5.8455773931162582</v>
      </c>
      <c r="M16" s="61">
        <v>5.4568354496710612</v>
      </c>
      <c r="N16" s="67">
        <v>5.5812676348298282</v>
      </c>
    </row>
    <row r="17" spans="1:14">
      <c r="A17" s="113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</row>
    <row r="18" spans="1:14">
      <c r="A18" s="40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>
      <c r="A19" s="19"/>
      <c r="B19" s="19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>
      <c r="A20" s="107"/>
    </row>
    <row r="21" spans="1:14">
      <c r="A21" s="19" t="s">
        <v>1009</v>
      </c>
      <c r="M21" s="45"/>
      <c r="N21" s="45"/>
    </row>
    <row r="22" spans="1:14">
      <c r="A22" s="45"/>
      <c r="L22" s="45"/>
      <c r="M22" s="45"/>
      <c r="N22" s="45"/>
    </row>
    <row r="23" spans="1:14">
      <c r="A23" s="45"/>
      <c r="B23" s="45"/>
      <c r="C23" s="46"/>
      <c r="D23" s="46"/>
      <c r="F23" s="45"/>
      <c r="H23" s="45"/>
      <c r="I23" s="45"/>
      <c r="J23" s="45"/>
      <c r="K23" s="45"/>
      <c r="L23" s="45"/>
      <c r="M23" s="45"/>
      <c r="N23" s="45"/>
    </row>
    <row r="24" spans="1:14">
      <c r="A24" s="45"/>
      <c r="B24" s="45"/>
      <c r="C24" s="46"/>
      <c r="D24" s="46"/>
      <c r="F24" s="45"/>
      <c r="G24" s="45"/>
      <c r="H24" s="45"/>
      <c r="I24" s="45"/>
      <c r="J24" s="45"/>
      <c r="K24" s="45"/>
      <c r="L24" s="45"/>
      <c r="M24" s="45"/>
      <c r="N24" s="45"/>
    </row>
    <row r="25" spans="1:14">
      <c r="A25" s="45"/>
      <c r="B25" s="45"/>
      <c r="C25" s="46"/>
      <c r="D25" s="46"/>
      <c r="F25" s="45"/>
      <c r="G25" s="45"/>
      <c r="H25" s="45"/>
      <c r="I25" s="45"/>
      <c r="J25" s="45"/>
      <c r="K25" s="45"/>
      <c r="L25" s="45"/>
      <c r="M25" s="45"/>
      <c r="N25" s="45"/>
    </row>
    <row r="26" spans="1:14">
      <c r="A26" s="45"/>
      <c r="B26" s="45"/>
      <c r="C26" s="46"/>
      <c r="D26" s="46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1:14">
      <c r="A27" s="45"/>
      <c r="B27" s="45"/>
      <c r="C27" s="46"/>
      <c r="D27" s="46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1:14">
      <c r="A28" s="45"/>
      <c r="B28" s="45"/>
      <c r="C28" s="46"/>
      <c r="D28" s="46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1:14">
      <c r="A29" s="45"/>
      <c r="B29" s="45"/>
      <c r="C29" s="46"/>
      <c r="D29" s="46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>
      <c r="A30" s="45"/>
      <c r="B30" s="45"/>
      <c r="C30" s="46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4">
      <c r="A31" s="45"/>
      <c r="B31" s="45"/>
      <c r="C31" s="46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spans="1:14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spans="1:14">
      <c r="A57" s="45"/>
      <c r="B57" s="45"/>
      <c r="C57" s="45"/>
      <c r="D57" s="47"/>
      <c r="E57" s="45"/>
      <c r="F57" s="45"/>
      <c r="G57" s="45"/>
      <c r="H57" s="45"/>
      <c r="I57" s="45"/>
      <c r="J57" s="45"/>
      <c r="K57" s="45"/>
    </row>
    <row r="58" spans="1:14">
      <c r="A58" s="45"/>
      <c r="B58" s="45"/>
      <c r="C58" s="45"/>
      <c r="D58" s="47"/>
      <c r="E58" s="45"/>
      <c r="F58" s="45"/>
      <c r="G58" s="45"/>
      <c r="H58" s="45"/>
      <c r="I58" s="45"/>
      <c r="J58" s="45"/>
      <c r="K58" s="45"/>
    </row>
    <row r="59" spans="1:14">
      <c r="A59" s="45"/>
      <c r="B59" s="45"/>
      <c r="C59" s="45"/>
      <c r="D59" s="47"/>
      <c r="E59" s="45"/>
      <c r="F59" s="45"/>
      <c r="G59" s="45"/>
      <c r="H59" s="45"/>
      <c r="I59" s="45"/>
      <c r="J59" s="45"/>
      <c r="K59" s="45"/>
    </row>
    <row r="60" spans="1:14">
      <c r="A60" s="45"/>
      <c r="B60" s="45"/>
      <c r="C60" s="45"/>
      <c r="D60" s="47"/>
      <c r="E60" s="45"/>
      <c r="F60" s="45"/>
      <c r="G60" s="45"/>
      <c r="H60" s="45"/>
      <c r="I60" s="45"/>
      <c r="J60" s="45"/>
      <c r="K60" s="45"/>
    </row>
    <row r="61" spans="1:14">
      <c r="A61" s="45"/>
      <c r="B61" s="45"/>
      <c r="C61" s="45"/>
      <c r="D61" s="47"/>
      <c r="E61" s="45"/>
      <c r="F61" s="45"/>
      <c r="G61" s="45"/>
      <c r="H61" s="45"/>
      <c r="I61" s="45"/>
      <c r="J61" s="45"/>
      <c r="K61" s="45"/>
    </row>
    <row r="62" spans="1:14">
      <c r="A62" s="45"/>
      <c r="B62" s="45"/>
      <c r="C62" s="45"/>
      <c r="D62" s="47"/>
      <c r="E62" s="45"/>
      <c r="F62" s="45"/>
      <c r="G62" s="45"/>
      <c r="H62" s="45"/>
      <c r="I62" s="45"/>
      <c r="J62" s="45"/>
      <c r="K62" s="45"/>
    </row>
    <row r="63" spans="1:14">
      <c r="A63" s="45"/>
      <c r="B63" s="45"/>
      <c r="C63" s="45"/>
      <c r="D63" s="47"/>
      <c r="E63" s="45"/>
      <c r="F63" s="45"/>
      <c r="G63" s="45"/>
      <c r="H63" s="45"/>
      <c r="I63" s="45"/>
      <c r="J63" s="45"/>
      <c r="K63" s="45"/>
    </row>
    <row r="64" spans="1:14">
      <c r="A64" s="45"/>
      <c r="B64" s="45"/>
      <c r="C64" s="45"/>
      <c r="D64" s="47"/>
      <c r="E64" s="45"/>
      <c r="F64" s="45"/>
      <c r="G64" s="45"/>
      <c r="H64" s="45"/>
      <c r="I64" s="45"/>
      <c r="J64" s="45"/>
      <c r="K64" s="45"/>
    </row>
    <row r="65" spans="1:11">
      <c r="A65" s="45"/>
      <c r="B65" s="45"/>
      <c r="C65" s="45"/>
      <c r="D65" s="47"/>
      <c r="E65" s="45"/>
      <c r="F65" s="45"/>
      <c r="G65" s="45"/>
      <c r="H65" s="45"/>
      <c r="I65" s="45"/>
      <c r="J65" s="45"/>
      <c r="K65" s="45"/>
    </row>
    <row r="66" spans="1:11">
      <c r="A66" s="45"/>
      <c r="B66" s="45"/>
      <c r="C66" s="45"/>
      <c r="D66" s="47"/>
      <c r="E66" s="45"/>
      <c r="F66" s="45"/>
      <c r="G66" s="45"/>
      <c r="H66" s="45"/>
      <c r="I66" s="45"/>
      <c r="J66" s="45"/>
      <c r="K66" s="45"/>
    </row>
    <row r="67" spans="1:11">
      <c r="A67" s="45"/>
      <c r="B67" s="45"/>
      <c r="C67" s="45"/>
      <c r="D67" s="47"/>
      <c r="E67" s="45"/>
      <c r="F67" s="45"/>
      <c r="G67" s="45"/>
      <c r="H67" s="45"/>
      <c r="I67" s="45"/>
      <c r="J67" s="45"/>
      <c r="K67" s="45"/>
    </row>
    <row r="68" spans="1:11">
      <c r="A68" s="45"/>
      <c r="B68" s="45"/>
      <c r="C68" s="45"/>
      <c r="D68" s="47"/>
      <c r="E68" s="45"/>
      <c r="F68" s="45"/>
      <c r="G68" s="45"/>
      <c r="H68" s="45"/>
      <c r="I68" s="45"/>
      <c r="J68" s="45"/>
      <c r="K68" s="45"/>
    </row>
    <row r="69" spans="1:11">
      <c r="A69" s="45"/>
      <c r="B69" s="45"/>
      <c r="C69" s="45"/>
      <c r="D69" s="47"/>
      <c r="E69" s="45"/>
      <c r="F69" s="45"/>
      <c r="G69" s="45"/>
      <c r="H69" s="45"/>
      <c r="I69" s="45"/>
      <c r="J69" s="45"/>
      <c r="K69" s="45"/>
    </row>
    <row r="70" spans="1:11">
      <c r="A70" s="45"/>
      <c r="B70" s="45"/>
      <c r="C70" s="45"/>
      <c r="D70" s="47"/>
      <c r="E70" s="45"/>
      <c r="F70" s="45"/>
      <c r="G70" s="45"/>
      <c r="H70" s="45"/>
      <c r="I70" s="45"/>
      <c r="J70" s="45"/>
      <c r="K70" s="45"/>
    </row>
    <row r="71" spans="1:11">
      <c r="A71" s="45"/>
      <c r="B71" s="45"/>
      <c r="C71" s="45"/>
      <c r="D71" s="47"/>
      <c r="E71" s="45"/>
      <c r="F71" s="45"/>
      <c r="G71" s="45"/>
      <c r="H71" s="45"/>
      <c r="I71" s="45"/>
      <c r="J71" s="45"/>
      <c r="K71" s="45"/>
    </row>
    <row r="72" spans="1:11">
      <c r="A72" s="45"/>
      <c r="B72" s="45"/>
      <c r="C72" s="45"/>
      <c r="D72" s="47"/>
      <c r="E72" s="45"/>
      <c r="F72" s="45"/>
      <c r="G72" s="45"/>
      <c r="H72" s="45"/>
      <c r="I72" s="45"/>
      <c r="J72" s="45"/>
      <c r="K72" s="45"/>
    </row>
    <row r="73" spans="1:11">
      <c r="A73" s="45"/>
      <c r="C73" s="45"/>
      <c r="D73" s="47"/>
      <c r="E73" s="45"/>
      <c r="F73" s="45"/>
      <c r="G73" s="45"/>
      <c r="H73" s="45"/>
      <c r="I73" s="45"/>
      <c r="J73" s="45"/>
      <c r="K73" s="45"/>
    </row>
    <row r="74" spans="1:11">
      <c r="A74" s="45"/>
      <c r="C74" s="45"/>
      <c r="D74" s="47"/>
      <c r="E74" s="45"/>
      <c r="F74" s="45"/>
      <c r="G74" s="45"/>
      <c r="H74" s="45"/>
      <c r="I74" s="45"/>
      <c r="J74" s="45"/>
      <c r="K74" s="45"/>
    </row>
    <row r="75" spans="1:11">
      <c r="A75" s="45"/>
      <c r="C75" s="45"/>
      <c r="D75" s="47"/>
      <c r="E75" s="45"/>
      <c r="F75" s="45"/>
      <c r="G75" s="45"/>
      <c r="H75" s="45"/>
      <c r="I75" s="45"/>
      <c r="J75" s="45"/>
      <c r="K75" s="45"/>
    </row>
    <row r="76" spans="1:11">
      <c r="A76" s="45"/>
      <c r="C76" s="45"/>
      <c r="D76" s="47"/>
      <c r="E76" s="45"/>
      <c r="F76" s="45"/>
      <c r="G76" s="45"/>
      <c r="H76" s="45"/>
      <c r="I76" s="45"/>
      <c r="J76" s="45"/>
      <c r="K76" s="45"/>
    </row>
    <row r="77" spans="1:11">
      <c r="A77" s="45"/>
      <c r="C77" s="45"/>
      <c r="D77" s="47"/>
      <c r="E77" s="45"/>
      <c r="F77" s="45"/>
      <c r="G77" s="45"/>
      <c r="H77" s="45"/>
      <c r="I77" s="45"/>
      <c r="J77" s="45"/>
      <c r="K77" s="45"/>
    </row>
    <row r="78" spans="1:11">
      <c r="A78" s="45"/>
      <c r="D78" s="47"/>
    </row>
    <row r="79" spans="1:11">
      <c r="A79" s="45"/>
      <c r="D79" s="47"/>
    </row>
    <row r="80" spans="1:11">
      <c r="A80" s="45"/>
      <c r="D80" s="47"/>
    </row>
    <row r="81" spans="1:4">
      <c r="A81" s="45"/>
      <c r="D81" s="47"/>
    </row>
    <row r="82" spans="1:4">
      <c r="A82" s="45"/>
      <c r="D82" s="47"/>
    </row>
    <row r="83" spans="1:4">
      <c r="A83" s="45"/>
      <c r="D83" s="47"/>
    </row>
    <row r="84" spans="1:4">
      <c r="A84" s="45"/>
      <c r="D84" s="47"/>
    </row>
    <row r="85" spans="1:4">
      <c r="A85" s="45"/>
      <c r="D85" s="47"/>
    </row>
    <row r="86" spans="1:4">
      <c r="A86" s="45"/>
      <c r="D86" s="47"/>
    </row>
    <row r="87" spans="1:4">
      <c r="A87" s="45"/>
      <c r="D87" s="47"/>
    </row>
    <row r="88" spans="1:4">
      <c r="A88" s="45"/>
      <c r="D88" s="47"/>
    </row>
    <row r="89" spans="1:4">
      <c r="A89" s="45"/>
      <c r="D89" s="47"/>
    </row>
    <row r="90" spans="1:4">
      <c r="A90" s="45"/>
      <c r="D90" s="47"/>
    </row>
    <row r="91" spans="1:4">
      <c r="A91" s="45"/>
      <c r="D91" s="47"/>
    </row>
    <row r="92" spans="1:4">
      <c r="A92" s="45"/>
      <c r="D92" s="47"/>
    </row>
    <row r="93" spans="1:4">
      <c r="A93" s="45"/>
      <c r="D93" s="47"/>
    </row>
    <row r="94" spans="1:4">
      <c r="A94" s="45"/>
      <c r="D94" s="47"/>
    </row>
    <row r="95" spans="1:4">
      <c r="A95" s="45"/>
      <c r="D95" s="47"/>
    </row>
    <row r="96" spans="1:4">
      <c r="A96" s="45"/>
      <c r="D96" s="47"/>
    </row>
    <row r="97" spans="1:4">
      <c r="A97" s="45"/>
      <c r="D97" s="47"/>
    </row>
    <row r="98" spans="1:4">
      <c r="A98" s="45"/>
      <c r="D98" s="47"/>
    </row>
    <row r="99" spans="1:4">
      <c r="A99" s="45"/>
      <c r="D99" s="47"/>
    </row>
    <row r="100" spans="1:4">
      <c r="A100" s="45"/>
      <c r="D100" s="47"/>
    </row>
    <row r="101" spans="1:4">
      <c r="A101" s="45"/>
      <c r="D101" s="47"/>
    </row>
    <row r="102" spans="1:4">
      <c r="A102" s="45"/>
      <c r="D102" s="47"/>
    </row>
    <row r="103" spans="1:4">
      <c r="A103" s="45"/>
      <c r="D103" s="47"/>
    </row>
    <row r="104" spans="1:4">
      <c r="A104" s="45"/>
      <c r="D104" s="47"/>
    </row>
    <row r="105" spans="1:4">
      <c r="A105" s="45"/>
      <c r="D105" s="47"/>
    </row>
    <row r="106" spans="1:4">
      <c r="A106" s="45"/>
    </row>
    <row r="107" spans="1:4">
      <c r="A107" s="45"/>
    </row>
    <row r="108" spans="1:4">
      <c r="A108" s="45"/>
    </row>
    <row r="109" spans="1:4">
      <c r="A109" s="45"/>
    </row>
    <row r="110" spans="1:4">
      <c r="A110" s="45"/>
    </row>
    <row r="111" spans="1:4">
      <c r="A111" s="45"/>
    </row>
    <row r="112" spans="1:4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</sheetData>
  <mergeCells count="3">
    <mergeCell ref="A1:N1"/>
    <mergeCell ref="A2:N2"/>
    <mergeCell ref="A3:N3"/>
  </mergeCells>
  <hyperlinks>
    <hyperlink ref="A21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599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13"/>
  <sheetViews>
    <sheetView showGridLines="0" workbookViewId="0">
      <selection activeCell="G10" sqref="G10"/>
    </sheetView>
  </sheetViews>
  <sheetFormatPr baseColWidth="10" defaultColWidth="11" defaultRowHeight="12.75"/>
  <cols>
    <col min="1" max="1" width="6.5703125" style="18" customWidth="1"/>
    <col min="2" max="14" width="13.7109375" style="18" customWidth="1"/>
    <col min="15" max="16384" width="11" style="18"/>
  </cols>
  <sheetData>
    <row r="1" spans="1:14" s="10" customFormat="1" ht="15.6" customHeight="1">
      <c r="A1" s="291" t="s">
        <v>1518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312"/>
      <c r="N1" s="312"/>
    </row>
    <row r="2" spans="1:14" s="10" customFormat="1" ht="13.15" customHeight="1">
      <c r="A2" s="291" t="s">
        <v>47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312"/>
      <c r="N2" s="312"/>
    </row>
    <row r="3" spans="1:14" s="10" customFormat="1" ht="13.15" customHeight="1">
      <c r="A3" s="295" t="s">
        <v>1286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312"/>
      <c r="N3" s="312"/>
    </row>
    <row r="4" spans="1:14" ht="20.100000000000001" customHeight="1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s="40" customFormat="1" ht="63.75">
      <c r="A5" s="29" t="s">
        <v>2</v>
      </c>
      <c r="B5" s="30" t="s">
        <v>34</v>
      </c>
      <c r="C5" s="63" t="s">
        <v>1010</v>
      </c>
      <c r="D5" s="63" t="s">
        <v>1011</v>
      </c>
      <c r="E5" s="63" t="s">
        <v>26</v>
      </c>
      <c r="F5" s="63" t="s">
        <v>27</v>
      </c>
      <c r="G5" s="64" t="s">
        <v>48</v>
      </c>
      <c r="H5" s="65" t="s">
        <v>18</v>
      </c>
      <c r="I5" s="65" t="s">
        <v>19</v>
      </c>
      <c r="J5" s="63" t="s">
        <v>1013</v>
      </c>
      <c r="K5" s="63" t="s">
        <v>30</v>
      </c>
      <c r="L5" s="65" t="s">
        <v>21</v>
      </c>
      <c r="M5" s="63" t="s">
        <v>31</v>
      </c>
      <c r="N5" s="66" t="s">
        <v>1012</v>
      </c>
    </row>
    <row r="6" spans="1:14" ht="14.25" customHeight="1">
      <c r="A6" s="34"/>
      <c r="B6" s="35"/>
      <c r="C6" s="36"/>
      <c r="D6" s="36"/>
      <c r="E6" s="36"/>
      <c r="F6" s="36"/>
      <c r="G6" s="36"/>
      <c r="H6" s="36"/>
      <c r="I6" s="35"/>
      <c r="J6" s="36"/>
      <c r="K6" s="36"/>
      <c r="L6" s="36"/>
      <c r="M6" s="36"/>
      <c r="N6" s="36"/>
    </row>
    <row r="7" spans="1:14" s="27" customFormat="1">
      <c r="A7" s="59">
        <v>2015</v>
      </c>
      <c r="B7" s="60">
        <v>3.9666462325535008</v>
      </c>
      <c r="C7" s="60" t="s">
        <v>46</v>
      </c>
      <c r="D7" s="60" t="s">
        <v>46</v>
      </c>
      <c r="E7" s="60" t="s">
        <v>46</v>
      </c>
      <c r="F7" s="60" t="s">
        <v>46</v>
      </c>
      <c r="G7" s="60" t="s">
        <v>46</v>
      </c>
      <c r="H7" s="60" t="s">
        <v>46</v>
      </c>
      <c r="I7" s="60" t="s">
        <v>46</v>
      </c>
      <c r="J7" s="60" t="s">
        <v>46</v>
      </c>
      <c r="K7" s="60" t="s">
        <v>46</v>
      </c>
      <c r="L7" s="60" t="s">
        <v>46</v>
      </c>
      <c r="M7" s="60" t="s">
        <v>46</v>
      </c>
      <c r="N7" s="60" t="s">
        <v>46</v>
      </c>
    </row>
    <row r="8" spans="1:14" s="27" customFormat="1">
      <c r="A8" s="59">
        <v>2016</v>
      </c>
      <c r="B8" s="60">
        <f>+'4.8.b'!B8/'4.8.b'!B7*100-100</f>
        <v>1.7282646332454732</v>
      </c>
      <c r="C8" s="60">
        <f>+'4.8.b'!C8/'4.8.b'!C7*100-100</f>
        <v>2.5356521380452364</v>
      </c>
      <c r="D8" s="60">
        <f>+'4.8.b'!D8/'4.8.b'!D7*100-100</f>
        <v>14.82880114335947</v>
      </c>
      <c r="E8" s="60">
        <f>+'4.8.b'!E8/'4.8.b'!E7*100-100</f>
        <v>-3.1791286130025611</v>
      </c>
      <c r="F8" s="60">
        <f>+'4.8.b'!F8/'4.8.b'!F7*100-100</f>
        <v>3.4647037774502962</v>
      </c>
      <c r="G8" s="60">
        <f>+'4.8.b'!G8/'4.8.b'!G7*100-100</f>
        <v>0.45832614273717809</v>
      </c>
      <c r="H8" s="60">
        <f>+'4.8.b'!H8/'4.8.b'!H7*100-100</f>
        <v>2.805672103866101</v>
      </c>
      <c r="I8" s="60">
        <f>+'4.8.b'!I8/'4.8.b'!I7*100-100</f>
        <v>0.84109416013708937</v>
      </c>
      <c r="J8" s="60">
        <f>+'4.8.b'!J8/'4.8.b'!J7*100-100</f>
        <v>-0.67815428152330526</v>
      </c>
      <c r="K8" s="60">
        <f>+'4.8.b'!K8/'4.8.b'!K7*100-100</f>
        <v>-8.8258482317542075E-2</v>
      </c>
      <c r="L8" s="60">
        <f>+'4.8.b'!L8/'4.8.b'!L7*100-100</f>
        <v>2.3203076647031509</v>
      </c>
      <c r="M8" s="60">
        <f>+'4.8.b'!M8/'4.8.b'!M7*100-100</f>
        <v>2.9324067072154634</v>
      </c>
      <c r="N8" s="60">
        <f>+'4.8.b'!N8/'4.8.b'!N7*100-100</f>
        <v>3.0710812341283855</v>
      </c>
    </row>
    <row r="9" spans="1:14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1:14">
      <c r="A10" s="4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>
      <c r="A11" s="19"/>
      <c r="B11" s="19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>
      <c r="A12" s="107"/>
    </row>
    <row r="13" spans="1:14">
      <c r="A13" s="19" t="s">
        <v>1009</v>
      </c>
      <c r="M13" s="45"/>
      <c r="N13" s="45"/>
    </row>
    <row r="14" spans="1:14">
      <c r="A14" s="45"/>
      <c r="L14" s="45"/>
      <c r="M14" s="45"/>
      <c r="N14" s="45"/>
    </row>
    <row r="15" spans="1:14">
      <c r="A15" s="45"/>
      <c r="B15" s="45"/>
      <c r="C15" s="46"/>
      <c r="D15" s="46"/>
      <c r="F15" s="45"/>
      <c r="H15" s="45"/>
      <c r="I15" s="45"/>
      <c r="J15" s="45"/>
      <c r="K15" s="45"/>
      <c r="L15" s="45"/>
      <c r="M15" s="45"/>
      <c r="N15" s="45"/>
    </row>
    <row r="16" spans="1:14">
      <c r="A16" s="45"/>
      <c r="B16" s="45"/>
      <c r="C16" s="46"/>
      <c r="D16" s="46"/>
      <c r="F16" s="45"/>
      <c r="G16" s="45"/>
      <c r="H16" s="45"/>
      <c r="I16" s="45"/>
      <c r="J16" s="45"/>
      <c r="K16" s="45"/>
      <c r="L16" s="45"/>
      <c r="M16" s="45"/>
      <c r="N16" s="45"/>
    </row>
    <row r="17" spans="1:14">
      <c r="A17" s="45"/>
      <c r="B17" s="45"/>
      <c r="C17" s="46"/>
      <c r="D17" s="46"/>
      <c r="F17" s="45"/>
      <c r="G17" s="45"/>
      <c r="H17" s="45"/>
      <c r="I17" s="45"/>
      <c r="J17" s="45"/>
      <c r="K17" s="45"/>
      <c r="L17" s="45"/>
      <c r="M17" s="45"/>
      <c r="N17" s="45"/>
    </row>
    <row r="18" spans="1:14">
      <c r="A18" s="45"/>
      <c r="B18" s="45"/>
      <c r="C18" s="46"/>
      <c r="D18" s="46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1:14">
      <c r="A19" s="45"/>
      <c r="B19" s="45"/>
      <c r="C19" s="46"/>
      <c r="D19" s="46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1:14">
      <c r="A20" s="45"/>
      <c r="B20" s="45"/>
      <c r="C20" s="46"/>
      <c r="D20" s="46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1:14">
      <c r="A21" s="45"/>
      <c r="B21" s="45"/>
      <c r="C21" s="46"/>
      <c r="D21" s="46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1:14">
      <c r="A22" s="45"/>
      <c r="B22" s="45"/>
      <c r="C22" s="46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1:14">
      <c r="A23" s="45"/>
      <c r="B23" s="45"/>
      <c r="C23" s="46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1:1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4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1:14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1:14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1:14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14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14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spans="1:14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spans="1:11">
      <c r="A49" s="45"/>
      <c r="B49" s="45"/>
      <c r="C49" s="45"/>
      <c r="D49" s="47"/>
      <c r="E49" s="45"/>
      <c r="F49" s="45"/>
      <c r="G49" s="45"/>
      <c r="H49" s="45"/>
      <c r="I49" s="45"/>
      <c r="J49" s="45"/>
      <c r="K49" s="45"/>
    </row>
    <row r="50" spans="1:11">
      <c r="A50" s="45"/>
      <c r="B50" s="45"/>
      <c r="C50" s="45"/>
      <c r="D50" s="47"/>
      <c r="E50" s="45"/>
      <c r="F50" s="45"/>
      <c r="G50" s="45"/>
      <c r="H50" s="45"/>
      <c r="I50" s="45"/>
      <c r="J50" s="45"/>
      <c r="K50" s="45"/>
    </row>
    <row r="51" spans="1:11">
      <c r="A51" s="45"/>
      <c r="B51" s="45"/>
      <c r="C51" s="45"/>
      <c r="D51" s="47"/>
      <c r="E51" s="45"/>
      <c r="F51" s="45"/>
      <c r="G51" s="45"/>
      <c r="H51" s="45"/>
      <c r="I51" s="45"/>
      <c r="J51" s="45"/>
      <c r="K51" s="45"/>
    </row>
    <row r="52" spans="1:11">
      <c r="A52" s="45"/>
      <c r="B52" s="45"/>
      <c r="C52" s="45"/>
      <c r="D52" s="47"/>
      <c r="E52" s="45"/>
      <c r="F52" s="45"/>
      <c r="G52" s="45"/>
      <c r="H52" s="45"/>
      <c r="I52" s="45"/>
      <c r="J52" s="45"/>
      <c r="K52" s="45"/>
    </row>
    <row r="53" spans="1:11">
      <c r="A53" s="45"/>
      <c r="B53" s="45"/>
      <c r="C53" s="45"/>
      <c r="D53" s="47"/>
      <c r="E53" s="45"/>
      <c r="F53" s="45"/>
      <c r="G53" s="45"/>
      <c r="H53" s="45"/>
      <c r="I53" s="45"/>
      <c r="J53" s="45"/>
      <c r="K53" s="45"/>
    </row>
    <row r="54" spans="1:11">
      <c r="A54" s="45"/>
      <c r="B54" s="45"/>
      <c r="C54" s="45"/>
      <c r="D54" s="47"/>
      <c r="E54" s="45"/>
      <c r="F54" s="45"/>
      <c r="G54" s="45"/>
      <c r="H54" s="45"/>
      <c r="I54" s="45"/>
      <c r="J54" s="45"/>
      <c r="K54" s="45"/>
    </row>
    <row r="55" spans="1:11">
      <c r="A55" s="45"/>
      <c r="B55" s="45"/>
      <c r="C55" s="45"/>
      <c r="D55" s="47"/>
      <c r="E55" s="45"/>
      <c r="F55" s="45"/>
      <c r="G55" s="45"/>
      <c r="H55" s="45"/>
      <c r="I55" s="45"/>
      <c r="J55" s="45"/>
      <c r="K55" s="45"/>
    </row>
    <row r="56" spans="1:11">
      <c r="A56" s="45"/>
      <c r="B56" s="45"/>
      <c r="C56" s="45"/>
      <c r="D56" s="47"/>
      <c r="E56" s="45"/>
      <c r="F56" s="45"/>
      <c r="G56" s="45"/>
      <c r="H56" s="45"/>
      <c r="I56" s="45"/>
      <c r="J56" s="45"/>
      <c r="K56" s="45"/>
    </row>
    <row r="57" spans="1:11">
      <c r="A57" s="45"/>
      <c r="B57" s="45"/>
      <c r="C57" s="45"/>
      <c r="D57" s="47"/>
      <c r="E57" s="45"/>
      <c r="F57" s="45"/>
      <c r="G57" s="45"/>
      <c r="H57" s="45"/>
      <c r="I57" s="45"/>
      <c r="J57" s="45"/>
      <c r="K57" s="45"/>
    </row>
    <row r="58" spans="1:11">
      <c r="A58" s="45"/>
      <c r="B58" s="45"/>
      <c r="C58" s="45"/>
      <c r="D58" s="47"/>
      <c r="E58" s="45"/>
      <c r="F58" s="45"/>
      <c r="G58" s="45"/>
      <c r="H58" s="45"/>
      <c r="I58" s="45"/>
      <c r="J58" s="45"/>
      <c r="K58" s="45"/>
    </row>
    <row r="59" spans="1:11">
      <c r="A59" s="45"/>
      <c r="B59" s="45"/>
      <c r="C59" s="45"/>
      <c r="D59" s="47"/>
      <c r="E59" s="45"/>
      <c r="F59" s="45"/>
      <c r="G59" s="45"/>
      <c r="H59" s="45"/>
      <c r="I59" s="45"/>
      <c r="J59" s="45"/>
      <c r="K59" s="45"/>
    </row>
    <row r="60" spans="1:11">
      <c r="A60" s="45"/>
      <c r="B60" s="45"/>
      <c r="C60" s="45"/>
      <c r="D60" s="47"/>
      <c r="E60" s="45"/>
      <c r="F60" s="45"/>
      <c r="G60" s="45"/>
      <c r="H60" s="45"/>
      <c r="I60" s="45"/>
      <c r="J60" s="45"/>
      <c r="K60" s="45"/>
    </row>
    <row r="61" spans="1:11">
      <c r="A61" s="45"/>
      <c r="B61" s="45"/>
      <c r="C61" s="45"/>
      <c r="D61" s="47"/>
      <c r="E61" s="45"/>
      <c r="F61" s="45"/>
      <c r="G61" s="45"/>
      <c r="H61" s="45"/>
      <c r="I61" s="45"/>
      <c r="J61" s="45"/>
      <c r="K61" s="45"/>
    </row>
    <row r="62" spans="1:11">
      <c r="A62" s="45"/>
      <c r="B62" s="45"/>
      <c r="C62" s="45"/>
      <c r="D62" s="47"/>
      <c r="E62" s="45"/>
      <c r="F62" s="45"/>
      <c r="G62" s="45"/>
      <c r="H62" s="45"/>
      <c r="I62" s="45"/>
      <c r="J62" s="45"/>
      <c r="K62" s="45"/>
    </row>
    <row r="63" spans="1:11">
      <c r="A63" s="45"/>
      <c r="B63" s="45"/>
      <c r="C63" s="45"/>
      <c r="D63" s="47"/>
      <c r="E63" s="45"/>
      <c r="F63" s="45"/>
      <c r="G63" s="45"/>
      <c r="H63" s="45"/>
      <c r="I63" s="45"/>
      <c r="J63" s="45"/>
      <c r="K63" s="45"/>
    </row>
    <row r="64" spans="1:11">
      <c r="A64" s="45"/>
      <c r="B64" s="45"/>
      <c r="C64" s="45"/>
      <c r="D64" s="47"/>
      <c r="E64" s="45"/>
      <c r="F64" s="45"/>
      <c r="G64" s="45"/>
      <c r="H64" s="45"/>
      <c r="I64" s="45"/>
      <c r="J64" s="45"/>
      <c r="K64" s="45"/>
    </row>
    <row r="65" spans="1:11">
      <c r="A65" s="45"/>
      <c r="C65" s="45"/>
      <c r="D65" s="47"/>
      <c r="E65" s="45"/>
      <c r="F65" s="45"/>
      <c r="G65" s="45"/>
      <c r="H65" s="45"/>
      <c r="I65" s="45"/>
      <c r="J65" s="45"/>
      <c r="K65" s="45"/>
    </row>
    <row r="66" spans="1:11">
      <c r="A66" s="45"/>
      <c r="C66" s="45"/>
      <c r="D66" s="47"/>
      <c r="E66" s="45"/>
      <c r="F66" s="45"/>
      <c r="G66" s="45"/>
      <c r="H66" s="45"/>
      <c r="I66" s="45"/>
      <c r="J66" s="45"/>
      <c r="K66" s="45"/>
    </row>
    <row r="67" spans="1:11">
      <c r="A67" s="45"/>
      <c r="C67" s="45"/>
      <c r="D67" s="47"/>
      <c r="E67" s="45"/>
      <c r="F67" s="45"/>
      <c r="G67" s="45"/>
      <c r="H67" s="45"/>
      <c r="I67" s="45"/>
      <c r="J67" s="45"/>
      <c r="K67" s="45"/>
    </row>
    <row r="68" spans="1:11">
      <c r="A68" s="45"/>
      <c r="C68" s="45"/>
      <c r="D68" s="47"/>
      <c r="E68" s="45"/>
      <c r="F68" s="45"/>
      <c r="G68" s="45"/>
      <c r="H68" s="45"/>
      <c r="I68" s="45"/>
      <c r="J68" s="45"/>
      <c r="K68" s="45"/>
    </row>
    <row r="69" spans="1:11">
      <c r="A69" s="45"/>
      <c r="C69" s="45"/>
      <c r="D69" s="47"/>
      <c r="E69" s="45"/>
      <c r="F69" s="45"/>
      <c r="G69" s="45"/>
      <c r="H69" s="45"/>
      <c r="I69" s="45"/>
      <c r="J69" s="45"/>
      <c r="K69" s="45"/>
    </row>
    <row r="70" spans="1:11">
      <c r="A70" s="45"/>
      <c r="D70" s="47"/>
    </row>
    <row r="71" spans="1:11">
      <c r="A71" s="45"/>
      <c r="D71" s="47"/>
    </row>
    <row r="72" spans="1:11">
      <c r="A72" s="45"/>
      <c r="D72" s="47"/>
    </row>
    <row r="73" spans="1:11">
      <c r="A73" s="45"/>
      <c r="D73" s="47"/>
    </row>
    <row r="74" spans="1:11">
      <c r="A74" s="45"/>
      <c r="D74" s="47"/>
    </row>
    <row r="75" spans="1:11">
      <c r="A75" s="45"/>
      <c r="D75" s="47"/>
    </row>
    <row r="76" spans="1:11">
      <c r="A76" s="45"/>
      <c r="D76" s="47"/>
    </row>
    <row r="77" spans="1:11">
      <c r="A77" s="45"/>
      <c r="D77" s="47"/>
    </row>
    <row r="78" spans="1:11">
      <c r="A78" s="45"/>
      <c r="D78" s="47"/>
    </row>
    <row r="79" spans="1:11">
      <c r="A79" s="45"/>
      <c r="D79" s="47"/>
    </row>
    <row r="80" spans="1:11">
      <c r="A80" s="45"/>
      <c r="D80" s="47"/>
    </row>
    <row r="81" spans="1:4">
      <c r="A81" s="45"/>
      <c r="D81" s="47"/>
    </row>
    <row r="82" spans="1:4">
      <c r="A82" s="45"/>
      <c r="D82" s="47"/>
    </row>
    <row r="83" spans="1:4">
      <c r="A83" s="45"/>
      <c r="D83" s="47"/>
    </row>
    <row r="84" spans="1:4">
      <c r="A84" s="45"/>
      <c r="D84" s="47"/>
    </row>
    <row r="85" spans="1:4">
      <c r="A85" s="45"/>
      <c r="D85" s="47"/>
    </row>
    <row r="86" spans="1:4">
      <c r="A86" s="45"/>
      <c r="D86" s="47"/>
    </row>
    <row r="87" spans="1:4">
      <c r="A87" s="45"/>
      <c r="D87" s="47"/>
    </row>
    <row r="88" spans="1:4">
      <c r="A88" s="45"/>
      <c r="D88" s="47"/>
    </row>
    <row r="89" spans="1:4">
      <c r="A89" s="45"/>
      <c r="D89" s="47"/>
    </row>
    <row r="90" spans="1:4">
      <c r="A90" s="45"/>
      <c r="D90" s="47"/>
    </row>
    <row r="91" spans="1:4">
      <c r="A91" s="45"/>
      <c r="D91" s="47"/>
    </row>
    <row r="92" spans="1:4">
      <c r="A92" s="45"/>
      <c r="D92" s="47"/>
    </row>
    <row r="93" spans="1:4">
      <c r="A93" s="45"/>
      <c r="D93" s="47"/>
    </row>
    <row r="94" spans="1:4">
      <c r="A94" s="45"/>
      <c r="D94" s="47"/>
    </row>
    <row r="95" spans="1:4">
      <c r="A95" s="45"/>
      <c r="D95" s="47"/>
    </row>
    <row r="96" spans="1:4">
      <c r="A96" s="45"/>
      <c r="D96" s="47"/>
    </row>
    <row r="97" spans="1:4">
      <c r="A97" s="45"/>
      <c r="D97" s="47"/>
    </row>
    <row r="98" spans="1:4">
      <c r="A98" s="45"/>
    </row>
    <row r="99" spans="1:4">
      <c r="A99" s="45"/>
    </row>
    <row r="100" spans="1:4">
      <c r="A100" s="45"/>
    </row>
    <row r="101" spans="1:4">
      <c r="A101" s="45"/>
    </row>
    <row r="102" spans="1:4">
      <c r="A102" s="45"/>
    </row>
    <row r="103" spans="1:4">
      <c r="A103" s="45"/>
    </row>
    <row r="104" spans="1:4">
      <c r="A104" s="45"/>
    </row>
    <row r="105" spans="1:4">
      <c r="A105" s="45"/>
    </row>
    <row r="106" spans="1:4">
      <c r="A106" s="45"/>
    </row>
    <row r="107" spans="1:4">
      <c r="A107" s="45"/>
    </row>
    <row r="108" spans="1:4">
      <c r="A108" s="45"/>
    </row>
    <row r="109" spans="1:4">
      <c r="A109" s="45"/>
    </row>
    <row r="110" spans="1:4">
      <c r="A110" s="45"/>
    </row>
    <row r="111" spans="1:4">
      <c r="A111" s="45"/>
    </row>
    <row r="112" spans="1:4">
      <c r="A112" s="45"/>
    </row>
    <row r="113" spans="1:1">
      <c r="A113" s="45"/>
    </row>
  </sheetData>
  <mergeCells count="3">
    <mergeCell ref="A1:N1"/>
    <mergeCell ref="A2:N2"/>
    <mergeCell ref="A3:N3"/>
  </mergeCells>
  <hyperlinks>
    <hyperlink ref="A13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599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65"/>
  <sheetViews>
    <sheetView showGridLines="0" workbookViewId="0">
      <selection sqref="A1:G52"/>
    </sheetView>
  </sheetViews>
  <sheetFormatPr baseColWidth="10" defaultRowHeight="12.75"/>
  <cols>
    <col min="1" max="2" width="11.42578125" style="10"/>
    <col min="3" max="3" width="17" style="10" customWidth="1"/>
    <col min="4" max="4" width="11.42578125" style="10"/>
    <col min="5" max="5" width="10.28515625" style="10" bestFit="1" customWidth="1"/>
    <col min="6" max="6" width="11.42578125" style="10"/>
    <col min="7" max="7" width="11.85546875" style="10" customWidth="1"/>
    <col min="8" max="16384" width="11.42578125" style="10"/>
  </cols>
  <sheetData>
    <row r="1" spans="1:7">
      <c r="A1" s="291" t="s">
        <v>1026</v>
      </c>
      <c r="B1" s="305"/>
      <c r="C1" s="305"/>
      <c r="D1" s="305"/>
      <c r="E1" s="305"/>
      <c r="F1" s="305"/>
      <c r="G1" s="305"/>
    </row>
    <row r="2" spans="1:7">
      <c r="A2" s="68"/>
      <c r="B2" s="68"/>
      <c r="C2" s="68"/>
      <c r="D2" s="68"/>
      <c r="E2" s="68"/>
      <c r="F2" s="68"/>
      <c r="G2" s="68"/>
    </row>
    <row r="3" spans="1:7" ht="13.5" thickBot="1">
      <c r="A3" s="316" t="s">
        <v>2</v>
      </c>
      <c r="B3" s="313" t="s">
        <v>1022</v>
      </c>
      <c r="C3" s="313" t="s">
        <v>1023</v>
      </c>
      <c r="D3" s="313" t="s">
        <v>49</v>
      </c>
      <c r="E3" s="313" t="s">
        <v>50</v>
      </c>
      <c r="F3" s="319"/>
      <c r="G3" s="320"/>
    </row>
    <row r="4" spans="1:7" ht="13.5" thickBot="1">
      <c r="A4" s="317"/>
      <c r="B4" s="314"/>
      <c r="C4" s="314"/>
      <c r="D4" s="314"/>
      <c r="E4" s="323"/>
      <c r="F4" s="321" t="s">
        <v>51</v>
      </c>
      <c r="G4" s="322"/>
    </row>
    <row r="5" spans="1:7">
      <c r="A5" s="318"/>
      <c r="B5" s="315"/>
      <c r="C5" s="315"/>
      <c r="D5" s="315"/>
      <c r="E5" s="324"/>
      <c r="F5" s="69" t="s">
        <v>52</v>
      </c>
      <c r="G5" s="70" t="s">
        <v>53</v>
      </c>
    </row>
    <row r="6" spans="1:7">
      <c r="A6" s="13"/>
      <c r="B6" s="13"/>
      <c r="C6" s="13"/>
      <c r="D6" s="13"/>
      <c r="E6" s="13"/>
      <c r="F6" s="13"/>
      <c r="G6" s="13"/>
    </row>
    <row r="7" spans="1:7">
      <c r="A7" s="71">
        <v>1936</v>
      </c>
      <c r="B7" s="71" t="s">
        <v>54</v>
      </c>
      <c r="C7" s="71" t="s">
        <v>55</v>
      </c>
      <c r="D7" s="71" t="s">
        <v>56</v>
      </c>
      <c r="E7" s="71"/>
      <c r="F7" s="71"/>
      <c r="G7" s="71" t="s">
        <v>57</v>
      </c>
    </row>
    <row r="8" spans="1:7">
      <c r="A8" s="71"/>
      <c r="B8" s="71"/>
      <c r="C8" s="71"/>
      <c r="D8" s="71" t="s">
        <v>58</v>
      </c>
      <c r="E8" s="71"/>
      <c r="F8" s="71"/>
      <c r="G8" s="71" t="s">
        <v>59</v>
      </c>
    </row>
    <row r="9" spans="1:7">
      <c r="A9" s="71"/>
      <c r="B9" s="71"/>
      <c r="C9" s="71"/>
      <c r="D9" s="71" t="s">
        <v>5</v>
      </c>
      <c r="E9" s="71"/>
      <c r="F9" s="71"/>
      <c r="G9" s="71" t="s">
        <v>60</v>
      </c>
    </row>
    <row r="10" spans="1:7">
      <c r="A10" s="71"/>
      <c r="B10" s="71"/>
      <c r="C10" s="71"/>
      <c r="D10" s="71"/>
      <c r="E10" s="71"/>
      <c r="F10" s="71"/>
      <c r="G10" s="71"/>
    </row>
    <row r="11" spans="1:7">
      <c r="A11" s="71"/>
      <c r="B11" s="71"/>
      <c r="C11" s="71" t="s">
        <v>61</v>
      </c>
      <c r="D11" s="71" t="s">
        <v>56</v>
      </c>
      <c r="E11" s="71"/>
      <c r="F11" s="71"/>
      <c r="G11" s="71" t="s">
        <v>62</v>
      </c>
    </row>
    <row r="12" spans="1:7">
      <c r="A12" s="71"/>
      <c r="B12" s="71"/>
      <c r="C12" s="71"/>
      <c r="D12" s="71" t="s">
        <v>58</v>
      </c>
      <c r="E12" s="71"/>
      <c r="F12" s="71"/>
      <c r="G12" s="71" t="s">
        <v>63</v>
      </c>
    </row>
    <row r="13" spans="1:7">
      <c r="A13" s="71"/>
      <c r="B13" s="71"/>
      <c r="C13" s="71"/>
      <c r="D13" s="71"/>
      <c r="E13" s="71"/>
      <c r="F13" s="71"/>
      <c r="G13" s="71"/>
    </row>
    <row r="14" spans="1:7">
      <c r="A14" s="71">
        <v>1942</v>
      </c>
      <c r="B14" s="71" t="s">
        <v>64</v>
      </c>
      <c r="C14" s="71" t="s">
        <v>65</v>
      </c>
      <c r="D14" s="71"/>
      <c r="E14" s="71" t="s">
        <v>66</v>
      </c>
      <c r="F14" s="71"/>
      <c r="G14" s="71"/>
    </row>
    <row r="15" spans="1:7">
      <c r="A15" s="71"/>
      <c r="B15" s="71"/>
      <c r="C15" s="71" t="s">
        <v>67</v>
      </c>
      <c r="D15" s="71"/>
      <c r="E15" s="71" t="s">
        <v>68</v>
      </c>
      <c r="F15" s="71" t="s">
        <v>69</v>
      </c>
      <c r="G15" s="71" t="s">
        <v>70</v>
      </c>
    </row>
    <row r="16" spans="1:7">
      <c r="A16" s="71"/>
      <c r="B16" s="71"/>
      <c r="C16" s="71"/>
      <c r="D16" s="71"/>
      <c r="E16" s="71" t="s">
        <v>66</v>
      </c>
      <c r="F16" s="71"/>
      <c r="G16" s="71"/>
    </row>
    <row r="17" spans="1:7">
      <c r="A17" s="71"/>
      <c r="B17" s="71"/>
      <c r="C17" s="71"/>
      <c r="D17" s="71"/>
      <c r="E17" s="71" t="s">
        <v>71</v>
      </c>
      <c r="F17" s="71" t="s">
        <v>72</v>
      </c>
      <c r="G17" s="71" t="s">
        <v>73</v>
      </c>
    </row>
    <row r="18" spans="1:7">
      <c r="A18" s="71"/>
      <c r="B18" s="71"/>
      <c r="C18" s="71"/>
      <c r="D18" s="71"/>
      <c r="E18" s="71" t="s">
        <v>66</v>
      </c>
      <c r="F18" s="71"/>
      <c r="G18" s="71"/>
    </row>
    <row r="19" spans="1:7">
      <c r="A19" s="71"/>
      <c r="B19" s="71"/>
      <c r="C19" s="71"/>
      <c r="D19" s="71"/>
      <c r="E19" s="71" t="s">
        <v>74</v>
      </c>
      <c r="F19" s="71" t="s">
        <v>75</v>
      </c>
      <c r="G19" s="71" t="s">
        <v>76</v>
      </c>
    </row>
    <row r="20" spans="1:7">
      <c r="A20" s="71"/>
      <c r="B20" s="71"/>
      <c r="C20" s="71"/>
      <c r="D20" s="71"/>
      <c r="E20" s="71" t="s">
        <v>66</v>
      </c>
      <c r="F20" s="71"/>
      <c r="G20" s="71"/>
    </row>
    <row r="21" spans="1:7">
      <c r="A21" s="71"/>
      <c r="B21" s="71"/>
      <c r="C21" s="71"/>
      <c r="D21" s="71"/>
      <c r="E21" s="71" t="s">
        <v>77</v>
      </c>
      <c r="F21" s="71" t="s">
        <v>78</v>
      </c>
      <c r="G21" s="71" t="s">
        <v>79</v>
      </c>
    </row>
    <row r="22" spans="1:7">
      <c r="A22" s="71"/>
      <c r="B22" s="71"/>
      <c r="C22" s="71" t="s">
        <v>61</v>
      </c>
      <c r="D22" s="71" t="s">
        <v>56</v>
      </c>
      <c r="E22" s="71"/>
      <c r="F22" s="71" t="s">
        <v>80</v>
      </c>
      <c r="G22" s="71"/>
    </row>
    <row r="23" spans="1:7">
      <c r="A23" s="71"/>
      <c r="B23" s="71"/>
      <c r="C23" s="71"/>
      <c r="D23" s="71"/>
      <c r="E23" s="71"/>
      <c r="F23" s="71" t="s">
        <v>81</v>
      </c>
      <c r="G23" s="71"/>
    </row>
    <row r="24" spans="1:7">
      <c r="A24" s="71"/>
      <c r="B24" s="71"/>
      <c r="C24" s="71"/>
      <c r="D24" s="71"/>
      <c r="E24" s="71"/>
      <c r="F24" s="71"/>
      <c r="G24" s="71"/>
    </row>
    <row r="25" spans="1:7">
      <c r="A25" s="71">
        <v>1953</v>
      </c>
      <c r="B25" s="71" t="s">
        <v>82</v>
      </c>
      <c r="C25" s="71" t="s">
        <v>65</v>
      </c>
      <c r="D25" s="71"/>
      <c r="E25" s="71"/>
      <c r="F25" s="71"/>
      <c r="G25" s="71"/>
    </row>
    <row r="26" spans="1:7">
      <c r="A26" s="71"/>
      <c r="B26" s="71"/>
      <c r="C26" s="71" t="s">
        <v>67</v>
      </c>
      <c r="D26" s="71" t="s">
        <v>58</v>
      </c>
      <c r="E26" s="71" t="s">
        <v>66</v>
      </c>
      <c r="F26" s="71"/>
      <c r="G26" s="71"/>
    </row>
    <row r="27" spans="1:7">
      <c r="A27" s="71"/>
      <c r="B27" s="71"/>
      <c r="C27" s="71"/>
      <c r="D27" s="71"/>
      <c r="E27" s="71" t="s">
        <v>83</v>
      </c>
      <c r="F27" s="71" t="s">
        <v>84</v>
      </c>
      <c r="G27" s="71" t="s">
        <v>85</v>
      </c>
    </row>
    <row r="28" spans="1:7">
      <c r="A28" s="71"/>
      <c r="B28" s="71"/>
      <c r="C28" s="71"/>
      <c r="D28" s="71"/>
      <c r="E28" s="71" t="s">
        <v>66</v>
      </c>
      <c r="F28" s="71"/>
      <c r="G28" s="71"/>
    </row>
    <row r="29" spans="1:7">
      <c r="A29" s="71"/>
      <c r="B29" s="71"/>
      <c r="C29" s="71"/>
      <c r="D29" s="71"/>
      <c r="E29" s="71" t="s">
        <v>86</v>
      </c>
      <c r="F29" s="71" t="s">
        <v>75</v>
      </c>
      <c r="G29" s="71" t="s">
        <v>87</v>
      </c>
    </row>
    <row r="30" spans="1:7">
      <c r="A30" s="71"/>
      <c r="B30" s="71"/>
      <c r="C30" s="71"/>
      <c r="D30" s="71"/>
      <c r="E30" s="71" t="s">
        <v>66</v>
      </c>
      <c r="F30" s="71"/>
      <c r="G30" s="71"/>
    </row>
    <row r="31" spans="1:7">
      <c r="A31" s="71"/>
      <c r="B31" s="71"/>
      <c r="C31" s="71"/>
      <c r="D31" s="71"/>
      <c r="E31" s="71" t="s">
        <v>68</v>
      </c>
      <c r="F31" s="71" t="s">
        <v>88</v>
      </c>
      <c r="G31" s="71" t="s">
        <v>89</v>
      </c>
    </row>
    <row r="32" spans="1:7">
      <c r="A32" s="71"/>
      <c r="B32" s="71"/>
      <c r="C32" s="71"/>
      <c r="D32" s="71"/>
      <c r="E32" s="71" t="s">
        <v>66</v>
      </c>
      <c r="F32" s="71"/>
      <c r="G32" s="71"/>
    </row>
    <row r="33" spans="1:7">
      <c r="A33" s="71"/>
      <c r="B33" s="71"/>
      <c r="C33" s="71"/>
      <c r="D33" s="71"/>
      <c r="E33" s="71" t="s">
        <v>74</v>
      </c>
      <c r="F33" s="71" t="s">
        <v>90</v>
      </c>
      <c r="G33" s="71" t="s">
        <v>91</v>
      </c>
    </row>
    <row r="34" spans="1:7">
      <c r="A34" s="71"/>
      <c r="B34" s="71"/>
      <c r="C34" s="71"/>
      <c r="D34" s="71" t="s">
        <v>56</v>
      </c>
      <c r="E34" s="71" t="s">
        <v>66</v>
      </c>
      <c r="F34" s="71"/>
      <c r="G34" s="71"/>
    </row>
    <row r="35" spans="1:7">
      <c r="A35" s="71"/>
      <c r="B35" s="71"/>
      <c r="C35" s="71"/>
      <c r="D35" s="71"/>
      <c r="E35" s="71" t="s">
        <v>86</v>
      </c>
      <c r="F35" s="71" t="s">
        <v>84</v>
      </c>
      <c r="G35" s="71" t="s">
        <v>85</v>
      </c>
    </row>
    <row r="36" spans="1:7">
      <c r="A36" s="71"/>
      <c r="B36" s="71"/>
      <c r="C36" s="71"/>
      <c r="D36" s="71"/>
      <c r="E36" s="71" t="s">
        <v>66</v>
      </c>
      <c r="F36" s="71"/>
      <c r="G36" s="71"/>
    </row>
    <row r="37" spans="1:7">
      <c r="A37" s="71"/>
      <c r="B37" s="71"/>
      <c r="C37" s="71"/>
      <c r="D37" s="71"/>
      <c r="E37" s="71" t="s">
        <v>71</v>
      </c>
      <c r="F37" s="71" t="s">
        <v>75</v>
      </c>
      <c r="G37" s="71" t="s">
        <v>87</v>
      </c>
    </row>
    <row r="38" spans="1:7">
      <c r="A38" s="71"/>
      <c r="B38" s="71"/>
      <c r="C38" s="71"/>
      <c r="D38" s="71"/>
      <c r="E38" s="71" t="s">
        <v>66</v>
      </c>
      <c r="F38" s="71"/>
      <c r="G38" s="71"/>
    </row>
    <row r="39" spans="1:7">
      <c r="A39" s="71"/>
      <c r="B39" s="71"/>
      <c r="C39" s="71"/>
      <c r="D39" s="71"/>
      <c r="E39" s="71" t="s">
        <v>74</v>
      </c>
      <c r="F39" s="71" t="s">
        <v>88</v>
      </c>
      <c r="G39" s="71" t="s">
        <v>89</v>
      </c>
    </row>
    <row r="40" spans="1:7">
      <c r="A40" s="71"/>
      <c r="B40" s="71"/>
      <c r="C40" s="71"/>
      <c r="D40" s="71"/>
      <c r="E40" s="71" t="s">
        <v>66</v>
      </c>
      <c r="F40" s="71"/>
      <c r="G40" s="71"/>
    </row>
    <row r="41" spans="1:7">
      <c r="A41" s="71"/>
      <c r="B41" s="71"/>
      <c r="C41" s="71"/>
      <c r="D41" s="71"/>
      <c r="E41" s="71" t="s">
        <v>77</v>
      </c>
      <c r="F41" s="71" t="s">
        <v>90</v>
      </c>
      <c r="G41" s="71" t="s">
        <v>91</v>
      </c>
    </row>
    <row r="42" spans="1:7">
      <c r="A42" s="71"/>
      <c r="B42" s="71"/>
      <c r="C42" s="71"/>
      <c r="D42" s="71"/>
      <c r="E42" s="71"/>
      <c r="F42" s="71"/>
      <c r="G42" s="71"/>
    </row>
    <row r="43" spans="1:7">
      <c r="A43" s="71">
        <v>1960</v>
      </c>
      <c r="B43" s="71" t="s">
        <v>92</v>
      </c>
      <c r="C43" s="71" t="s">
        <v>93</v>
      </c>
      <c r="D43" s="71" t="s">
        <v>56</v>
      </c>
      <c r="E43" s="71"/>
      <c r="F43" s="71"/>
      <c r="G43" s="71"/>
    </row>
    <row r="44" spans="1:7">
      <c r="A44" s="71"/>
      <c r="B44" s="71"/>
      <c r="C44" s="71" t="s">
        <v>94</v>
      </c>
      <c r="D44" s="71"/>
      <c r="E44" s="71"/>
      <c r="F44" s="71"/>
      <c r="G44" s="71" t="s">
        <v>95</v>
      </c>
    </row>
    <row r="45" spans="1:7">
      <c r="A45" s="71"/>
      <c r="B45" s="71"/>
      <c r="C45" s="71" t="s">
        <v>96</v>
      </c>
      <c r="D45" s="71"/>
      <c r="E45" s="71"/>
      <c r="F45" s="71"/>
      <c r="G45" s="71" t="s">
        <v>97</v>
      </c>
    </row>
    <row r="46" spans="1:7">
      <c r="A46" s="71"/>
      <c r="B46" s="71"/>
      <c r="C46" s="71"/>
      <c r="D46" s="71"/>
      <c r="E46" s="71"/>
      <c r="F46" s="71"/>
      <c r="G46" s="71"/>
    </row>
    <row r="47" spans="1:7">
      <c r="A47" s="71">
        <v>1965</v>
      </c>
      <c r="B47" s="71" t="s">
        <v>98</v>
      </c>
      <c r="C47" s="71" t="s">
        <v>93</v>
      </c>
      <c r="D47" s="71" t="s">
        <v>56</v>
      </c>
      <c r="E47" s="71"/>
      <c r="F47" s="71"/>
      <c r="G47" s="71"/>
    </row>
    <row r="48" spans="1:7">
      <c r="A48" s="71"/>
      <c r="B48" s="71"/>
      <c r="C48" s="71" t="s">
        <v>94</v>
      </c>
      <c r="D48" s="71"/>
      <c r="E48" s="71"/>
      <c r="F48" s="71"/>
      <c r="G48" s="71" t="s">
        <v>95</v>
      </c>
    </row>
    <row r="49" spans="1:7">
      <c r="A49" s="71"/>
      <c r="B49" s="71"/>
      <c r="C49" s="71" t="s">
        <v>96</v>
      </c>
      <c r="D49" s="71"/>
      <c r="E49" s="71"/>
      <c r="F49" s="71"/>
      <c r="G49" s="71" t="s">
        <v>95</v>
      </c>
    </row>
    <row r="50" spans="1:7">
      <c r="A50" s="71"/>
      <c r="B50" s="71"/>
      <c r="C50" s="71"/>
      <c r="D50" s="71"/>
      <c r="E50" s="71"/>
      <c r="F50" s="71"/>
      <c r="G50" s="71"/>
    </row>
    <row r="51" spans="1:7">
      <c r="A51" s="71">
        <v>1968</v>
      </c>
      <c r="B51" s="71" t="s">
        <v>99</v>
      </c>
      <c r="C51" s="71" t="s">
        <v>65</v>
      </c>
      <c r="D51" s="71" t="s">
        <v>4</v>
      </c>
      <c r="E51" s="71"/>
      <c r="F51" s="71" t="s">
        <v>100</v>
      </c>
      <c r="G51" s="71"/>
    </row>
    <row r="52" spans="1:7">
      <c r="A52" s="71"/>
      <c r="B52" s="71"/>
      <c r="C52" s="71" t="s">
        <v>101</v>
      </c>
      <c r="D52" s="71"/>
      <c r="E52" s="71"/>
      <c r="F52" s="71"/>
      <c r="G52" s="71"/>
    </row>
    <row r="53" spans="1:7">
      <c r="B53" s="13"/>
      <c r="C53" s="13"/>
      <c r="D53" s="13"/>
      <c r="E53" s="13"/>
      <c r="F53" s="13"/>
      <c r="G53" s="13"/>
    </row>
    <row r="54" spans="1:7">
      <c r="A54" s="111"/>
      <c r="B54" s="112"/>
      <c r="C54" s="112"/>
      <c r="D54" s="112"/>
      <c r="E54" s="112"/>
      <c r="F54" s="112"/>
      <c r="G54" s="112"/>
    </row>
    <row r="55" spans="1:7">
      <c r="B55" s="13"/>
    </row>
    <row r="56" spans="1:7">
      <c r="A56" s="107"/>
      <c r="B56" s="13"/>
    </row>
    <row r="57" spans="1:7">
      <c r="A57" s="19" t="s">
        <v>1009</v>
      </c>
      <c r="B57" s="13"/>
    </row>
    <row r="58" spans="1:7">
      <c r="B58" s="13"/>
    </row>
    <row r="59" spans="1:7">
      <c r="B59" s="13"/>
    </row>
    <row r="60" spans="1:7">
      <c r="B60" s="13"/>
    </row>
    <row r="61" spans="1:7">
      <c r="B61" s="13"/>
    </row>
    <row r="62" spans="1:7">
      <c r="B62" s="13"/>
    </row>
    <row r="63" spans="1:7">
      <c r="B63" s="13"/>
    </row>
    <row r="64" spans="1:7">
      <c r="B64" s="13"/>
    </row>
    <row r="65" spans="2:2">
      <c r="B65" s="13"/>
    </row>
  </sheetData>
  <mergeCells count="8">
    <mergeCell ref="A1:G1"/>
    <mergeCell ref="B3:B5"/>
    <mergeCell ref="C3:C5"/>
    <mergeCell ref="D3:D5"/>
    <mergeCell ref="A3:A5"/>
    <mergeCell ref="E3:G3"/>
    <mergeCell ref="F4:G4"/>
    <mergeCell ref="E4:E5"/>
  </mergeCells>
  <hyperlinks>
    <hyperlink ref="A57" location="'indice cap.4'!A1" display="regresar al índice"/>
  </hyperlinks>
  <pageMargins left="0.7" right="0.7" top="0.75" bottom="0.75" header="0.3" footer="0.3"/>
  <pageSetup paperSize="9" orientation="portrait" verticalDpi="599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6"/>
  <sheetViews>
    <sheetView showGridLines="0" workbookViewId="0">
      <selection sqref="A1:C71"/>
    </sheetView>
  </sheetViews>
  <sheetFormatPr baseColWidth="10" defaultRowHeight="12.75"/>
  <cols>
    <col min="1" max="1" width="11.42578125" style="27"/>
    <col min="2" max="3" width="21.42578125" style="27" customWidth="1"/>
    <col min="4" max="5" width="14.28515625" style="27" customWidth="1"/>
    <col min="6" max="6" width="11.42578125" style="27"/>
    <col min="7" max="7" width="12.85546875" style="27" customWidth="1"/>
    <col min="8" max="16384" width="11.42578125" style="27"/>
  </cols>
  <sheetData>
    <row r="1" spans="1:3" ht="15">
      <c r="A1" s="295" t="s">
        <v>1027</v>
      </c>
      <c r="B1" s="329"/>
      <c r="C1" s="329"/>
    </row>
    <row r="2" spans="1:3" ht="15">
      <c r="A2" s="330" t="s">
        <v>1300</v>
      </c>
      <c r="B2" s="329"/>
      <c r="C2" s="329"/>
    </row>
    <row r="3" spans="1:3">
      <c r="A3" s="72"/>
    </row>
    <row r="4" spans="1:3">
      <c r="A4" s="325" t="s">
        <v>2</v>
      </c>
      <c r="B4" s="302" t="s">
        <v>102</v>
      </c>
      <c r="C4" s="327" t="s">
        <v>103</v>
      </c>
    </row>
    <row r="5" spans="1:3">
      <c r="A5" s="326"/>
      <c r="B5" s="302"/>
      <c r="C5" s="328"/>
    </row>
    <row r="6" spans="1:3">
      <c r="A6" s="73"/>
      <c r="B6" s="73"/>
    </row>
    <row r="7" spans="1:3">
      <c r="A7" s="75" t="s">
        <v>104</v>
      </c>
      <c r="B7" s="76">
        <v>600</v>
      </c>
      <c r="C7" s="77">
        <v>27</v>
      </c>
    </row>
    <row r="8" spans="1:3">
      <c r="A8" s="75">
        <v>1969</v>
      </c>
      <c r="B8" s="76">
        <v>600</v>
      </c>
      <c r="C8" s="77">
        <v>27</v>
      </c>
    </row>
    <row r="9" spans="1:3">
      <c r="A9" s="75">
        <v>1970</v>
      </c>
      <c r="B9" s="76">
        <v>600</v>
      </c>
      <c r="C9" s="77">
        <v>26</v>
      </c>
    </row>
    <row r="10" spans="1:3">
      <c r="A10" s="75">
        <v>1971</v>
      </c>
      <c r="B10" s="76">
        <v>750</v>
      </c>
      <c r="C10" s="77">
        <v>29</v>
      </c>
    </row>
    <row r="11" spans="1:3">
      <c r="A11" s="75">
        <v>1972</v>
      </c>
      <c r="B11" s="76">
        <v>750</v>
      </c>
      <c r="C11" s="77">
        <v>29</v>
      </c>
    </row>
    <row r="12" spans="1:3">
      <c r="A12" s="75">
        <v>1973</v>
      </c>
      <c r="B12" s="76">
        <v>750</v>
      </c>
      <c r="C12" s="77">
        <v>30</v>
      </c>
    </row>
    <row r="13" spans="1:3">
      <c r="A13" s="75">
        <v>1974</v>
      </c>
      <c r="B13" s="76">
        <v>1000</v>
      </c>
      <c r="C13" s="77">
        <v>40</v>
      </c>
    </row>
    <row r="14" spans="1:3">
      <c r="A14" s="75" t="s">
        <v>105</v>
      </c>
      <c r="B14" s="76">
        <v>1000</v>
      </c>
      <c r="C14" s="77">
        <v>40</v>
      </c>
    </row>
    <row r="15" spans="1:3">
      <c r="A15" s="75" t="s">
        <v>106</v>
      </c>
      <c r="B15" s="76">
        <v>1250</v>
      </c>
      <c r="C15" s="77">
        <v>50</v>
      </c>
    </row>
    <row r="16" spans="1:3">
      <c r="A16" s="75">
        <v>1976</v>
      </c>
      <c r="B16" s="76">
        <v>1500</v>
      </c>
      <c r="C16" s="77">
        <v>56</v>
      </c>
    </row>
    <row r="17" spans="1:3">
      <c r="A17" s="75">
        <v>1977</v>
      </c>
      <c r="B17" s="76">
        <v>1500</v>
      </c>
      <c r="C17" s="77">
        <v>55</v>
      </c>
    </row>
    <row r="18" spans="1:3">
      <c r="A18" s="75">
        <v>1978</v>
      </c>
      <c r="B18" s="76">
        <v>1500</v>
      </c>
      <c r="C18" s="77">
        <v>56</v>
      </c>
    </row>
    <row r="19" spans="1:3">
      <c r="A19" s="75">
        <v>1979</v>
      </c>
      <c r="B19" s="76">
        <v>2000</v>
      </c>
      <c r="C19" s="77">
        <v>72</v>
      </c>
    </row>
    <row r="20" spans="1:3">
      <c r="A20" s="75">
        <v>1980</v>
      </c>
      <c r="B20" s="76">
        <v>4000</v>
      </c>
      <c r="C20" s="77">
        <v>144</v>
      </c>
    </row>
    <row r="21" spans="1:3">
      <c r="A21" s="78">
        <v>1981</v>
      </c>
      <c r="B21" s="76">
        <v>4000</v>
      </c>
      <c r="C21" s="77">
        <v>128</v>
      </c>
    </row>
    <row r="22" spans="1:3">
      <c r="A22" s="78" t="s">
        <v>107</v>
      </c>
      <c r="B22" s="76">
        <v>4000</v>
      </c>
      <c r="C22" s="77">
        <v>115</v>
      </c>
    </row>
    <row r="23" spans="1:3">
      <c r="A23" s="78" t="s">
        <v>108</v>
      </c>
      <c r="B23" s="76">
        <v>4600</v>
      </c>
      <c r="C23" s="77">
        <v>78</v>
      </c>
    </row>
    <row r="24" spans="1:3">
      <c r="A24" s="78" t="s">
        <v>109</v>
      </c>
      <c r="B24" s="76">
        <v>4600</v>
      </c>
      <c r="C24" s="77">
        <v>69</v>
      </c>
    </row>
    <row r="25" spans="1:3">
      <c r="A25" s="78" t="s">
        <v>110</v>
      </c>
      <c r="B25" s="76">
        <v>5600</v>
      </c>
      <c r="C25" s="77">
        <v>57</v>
      </c>
    </row>
    <row r="26" spans="1:3">
      <c r="A26" s="78">
        <v>1984</v>
      </c>
      <c r="B26" s="76">
        <v>6600</v>
      </c>
      <c r="C26" s="77">
        <v>67</v>
      </c>
    </row>
    <row r="27" spans="1:3">
      <c r="A27" s="78" t="s">
        <v>111</v>
      </c>
      <c r="B27" s="79">
        <v>6600</v>
      </c>
      <c r="C27" s="77">
        <v>54</v>
      </c>
    </row>
    <row r="28" spans="1:3">
      <c r="A28" s="78" t="s">
        <v>112</v>
      </c>
      <c r="B28" s="79">
        <v>8500</v>
      </c>
      <c r="C28" s="77">
        <v>70</v>
      </c>
    </row>
    <row r="29" spans="1:3">
      <c r="A29" s="78" t="s">
        <v>113</v>
      </c>
      <c r="B29" s="79">
        <v>10000</v>
      </c>
      <c r="C29" s="77">
        <v>76</v>
      </c>
    </row>
    <row r="30" spans="1:3">
      <c r="A30" s="78" t="s">
        <v>114</v>
      </c>
      <c r="B30" s="79">
        <v>12000</v>
      </c>
      <c r="C30" s="77">
        <v>71</v>
      </c>
    </row>
    <row r="31" spans="1:3">
      <c r="A31" s="78" t="s">
        <v>115</v>
      </c>
      <c r="B31" s="79">
        <v>12000</v>
      </c>
      <c r="C31" s="77">
        <v>82</v>
      </c>
    </row>
    <row r="32" spans="1:3">
      <c r="A32" s="78" t="s">
        <v>116</v>
      </c>
      <c r="B32" s="79">
        <v>14500</v>
      </c>
      <c r="C32" s="77">
        <v>74</v>
      </c>
    </row>
    <row r="33" spans="1:3">
      <c r="A33" s="78" t="s">
        <v>117</v>
      </c>
      <c r="B33" s="79">
        <v>14500</v>
      </c>
      <c r="C33" s="77">
        <v>54</v>
      </c>
    </row>
    <row r="34" spans="1:3">
      <c r="A34" s="78" t="s">
        <v>118</v>
      </c>
      <c r="B34" s="79">
        <v>19000</v>
      </c>
      <c r="C34" s="77">
        <v>38</v>
      </c>
    </row>
    <row r="35" spans="1:3">
      <c r="A35" s="78" t="s">
        <v>119</v>
      </c>
      <c r="B35" s="79">
        <v>22000</v>
      </c>
      <c r="C35" s="77">
        <v>42</v>
      </c>
    </row>
    <row r="36" spans="1:3">
      <c r="A36" s="78" t="s">
        <v>120</v>
      </c>
      <c r="B36" s="79">
        <v>22000</v>
      </c>
      <c r="C36" s="77">
        <v>41</v>
      </c>
    </row>
    <row r="37" spans="1:3">
      <c r="A37" s="78" t="s">
        <v>121</v>
      </c>
      <c r="B37" s="79">
        <v>27000</v>
      </c>
      <c r="C37" s="77">
        <v>50</v>
      </c>
    </row>
    <row r="38" spans="1:3">
      <c r="A38" s="78">
        <v>1990</v>
      </c>
      <c r="B38" s="76">
        <v>32000</v>
      </c>
      <c r="C38" s="77">
        <v>39</v>
      </c>
    </row>
    <row r="39" spans="1:3">
      <c r="A39" s="78">
        <v>1991</v>
      </c>
      <c r="B39" s="76">
        <v>40000</v>
      </c>
      <c r="C39" s="77">
        <v>36</v>
      </c>
    </row>
    <row r="40" spans="1:3">
      <c r="A40" s="78" t="s">
        <v>122</v>
      </c>
      <c r="B40" s="76">
        <v>40000</v>
      </c>
      <c r="C40" s="77">
        <v>30</v>
      </c>
    </row>
    <row r="41" spans="1:3">
      <c r="A41" s="78" t="s">
        <v>123</v>
      </c>
      <c r="B41" s="76">
        <v>60000</v>
      </c>
      <c r="C41" s="77">
        <v>40</v>
      </c>
    </row>
    <row r="42" spans="1:3">
      <c r="A42" s="78" t="s">
        <v>124</v>
      </c>
      <c r="B42" s="76">
        <v>60000</v>
      </c>
      <c r="C42" s="77">
        <v>32</v>
      </c>
    </row>
    <row r="43" spans="1:3">
      <c r="A43" s="78" t="s">
        <v>125</v>
      </c>
      <c r="B43" s="76">
        <v>66000</v>
      </c>
      <c r="C43" s="77">
        <v>34</v>
      </c>
    </row>
    <row r="44" spans="1:3">
      <c r="A44" s="78" t="s">
        <v>126</v>
      </c>
      <c r="B44" s="76">
        <v>66000</v>
      </c>
      <c r="C44" s="77">
        <v>32</v>
      </c>
    </row>
    <row r="45" spans="1:3">
      <c r="A45" s="78" t="s">
        <v>127</v>
      </c>
      <c r="B45" s="76">
        <v>70000</v>
      </c>
      <c r="C45" s="77">
        <v>32</v>
      </c>
    </row>
    <row r="46" spans="1:3">
      <c r="A46" s="78" t="s">
        <v>128</v>
      </c>
      <c r="B46" s="76">
        <v>75000</v>
      </c>
      <c r="C46" s="77">
        <v>32</v>
      </c>
    </row>
    <row r="47" spans="1:3">
      <c r="A47" s="78" t="s">
        <v>129</v>
      </c>
      <c r="B47" s="76">
        <v>85000</v>
      </c>
      <c r="C47" s="77">
        <v>33</v>
      </c>
    </row>
    <row r="48" spans="1:3">
      <c r="A48" s="78">
        <v>1996</v>
      </c>
      <c r="B48" s="76">
        <v>95000</v>
      </c>
      <c r="C48" s="77">
        <v>30</v>
      </c>
    </row>
    <row r="49" spans="1:4">
      <c r="A49" s="76" t="s">
        <v>130</v>
      </c>
      <c r="B49" s="76">
        <v>95000</v>
      </c>
      <c r="C49" s="80">
        <v>23.757127138141442</v>
      </c>
    </row>
    <row r="50" spans="1:4">
      <c r="A50" s="76" t="s">
        <v>131</v>
      </c>
      <c r="B50" s="76">
        <v>100000</v>
      </c>
      <c r="C50" s="80">
        <v>25.007502250675202</v>
      </c>
    </row>
    <row r="51" spans="1:4">
      <c r="A51" s="78">
        <v>1998</v>
      </c>
      <c r="B51" s="76">
        <v>100000</v>
      </c>
      <c r="C51" s="80">
        <v>18.36075205640423</v>
      </c>
    </row>
    <row r="52" spans="1:4">
      <c r="A52" s="78">
        <v>1999</v>
      </c>
      <c r="B52" s="76">
        <v>100000</v>
      </c>
      <c r="C52" s="80">
        <v>8.4070350068937696</v>
      </c>
      <c r="D52" s="74"/>
    </row>
    <row r="53" spans="1:4">
      <c r="A53" s="78" t="s">
        <v>132</v>
      </c>
      <c r="B53" s="76">
        <v>100000</v>
      </c>
      <c r="C53" s="80">
        <v>4</v>
      </c>
    </row>
    <row r="54" spans="1:4">
      <c r="A54" s="78" t="s">
        <v>133</v>
      </c>
      <c r="B54" s="81" t="s">
        <v>46</v>
      </c>
      <c r="C54" s="77">
        <v>56.7</v>
      </c>
    </row>
    <row r="55" spans="1:4">
      <c r="A55" s="77"/>
      <c r="B55" s="81" t="s">
        <v>46</v>
      </c>
      <c r="C55" s="77">
        <v>85.7</v>
      </c>
    </row>
    <row r="56" spans="1:4">
      <c r="A56" s="78" t="s">
        <v>1307</v>
      </c>
      <c r="B56" s="81" t="s">
        <v>46</v>
      </c>
      <c r="C56" s="82">
        <v>121.32708333333335</v>
      </c>
    </row>
    <row r="57" spans="1:4">
      <c r="A57" s="78">
        <v>2002</v>
      </c>
      <c r="B57" s="81" t="s">
        <v>46</v>
      </c>
      <c r="C57" s="82">
        <v>138.15312499999999</v>
      </c>
    </row>
    <row r="58" spans="1:4">
      <c r="A58" s="78">
        <v>2003</v>
      </c>
      <c r="B58" s="81" t="s">
        <v>46</v>
      </c>
      <c r="C58" s="82">
        <v>158.11006944444443</v>
      </c>
    </row>
    <row r="59" spans="1:4">
      <c r="A59" s="78">
        <v>2004</v>
      </c>
      <c r="B59" s="81" t="s">
        <v>46</v>
      </c>
      <c r="C59" s="82">
        <v>166.13972222222222</v>
      </c>
    </row>
    <row r="60" spans="1:4">
      <c r="A60" s="78">
        <v>2005</v>
      </c>
      <c r="B60" s="81" t="s">
        <v>46</v>
      </c>
      <c r="C60" s="82">
        <v>174.90020833333332</v>
      </c>
    </row>
    <row r="61" spans="1:4">
      <c r="A61" s="78">
        <v>2006</v>
      </c>
      <c r="B61" s="81" t="s">
        <v>46</v>
      </c>
      <c r="C61" s="82">
        <v>186.59722222222223</v>
      </c>
    </row>
    <row r="62" spans="1:4">
      <c r="A62" s="78">
        <v>2007</v>
      </c>
      <c r="B62" s="81" t="s">
        <v>46</v>
      </c>
      <c r="C62" s="82">
        <v>198.26388888888889</v>
      </c>
    </row>
    <row r="63" spans="1:4">
      <c r="A63" s="78">
        <v>2008</v>
      </c>
      <c r="B63" s="81" t="s">
        <v>46</v>
      </c>
      <c r="C63" s="82">
        <v>233.125</v>
      </c>
    </row>
    <row r="64" spans="1:4">
      <c r="A64" s="78">
        <v>2009</v>
      </c>
      <c r="B64" s="81" t="s">
        <v>46</v>
      </c>
      <c r="C64" s="82">
        <v>254.20833333333331</v>
      </c>
    </row>
    <row r="65" spans="1:3">
      <c r="A65" s="78">
        <v>2010</v>
      </c>
      <c r="B65" s="81" t="s">
        <v>46</v>
      </c>
      <c r="C65" s="82">
        <v>279.84722222222223</v>
      </c>
    </row>
    <row r="66" spans="1:3">
      <c r="A66" s="78">
        <v>2011</v>
      </c>
      <c r="B66" s="81" t="s">
        <v>46</v>
      </c>
      <c r="C66" s="82">
        <v>307.83333333333331</v>
      </c>
    </row>
    <row r="67" spans="1:3">
      <c r="A67" s="78">
        <v>2012</v>
      </c>
      <c r="B67" s="81" t="s">
        <v>46</v>
      </c>
      <c r="C67" s="82">
        <v>340.47222222222223</v>
      </c>
    </row>
    <row r="68" spans="1:3">
      <c r="A68" s="78">
        <v>2013</v>
      </c>
      <c r="B68" s="81" t="s">
        <v>46</v>
      </c>
      <c r="C68" s="82">
        <v>370.81944444444446</v>
      </c>
    </row>
    <row r="69" spans="1:3">
      <c r="A69" s="78">
        <v>2014</v>
      </c>
      <c r="B69" s="81" t="s">
        <v>46</v>
      </c>
      <c r="C69" s="82">
        <v>396.51388888888886</v>
      </c>
    </row>
    <row r="70" spans="1:3">
      <c r="A70" s="78">
        <v>2015</v>
      </c>
      <c r="B70" s="81" t="s">
        <v>46</v>
      </c>
      <c r="C70" s="82">
        <v>412.90277777777777</v>
      </c>
    </row>
    <row r="71" spans="1:3">
      <c r="A71" s="78">
        <v>2016</v>
      </c>
      <c r="B71" s="81" t="s">
        <v>46</v>
      </c>
      <c r="C71" s="82">
        <v>426.91660000000002</v>
      </c>
    </row>
    <row r="72" spans="1:3">
      <c r="A72" s="17"/>
      <c r="B72" s="17"/>
      <c r="C72" s="17"/>
    </row>
    <row r="74" spans="1:3">
      <c r="A74" s="83"/>
    </row>
    <row r="75" spans="1:3">
      <c r="A75" s="107"/>
    </row>
    <row r="76" spans="1:3">
      <c r="A76" s="19" t="s">
        <v>1009</v>
      </c>
    </row>
  </sheetData>
  <mergeCells count="5">
    <mergeCell ref="A4:A5"/>
    <mergeCell ref="B4:B5"/>
    <mergeCell ref="C4:C5"/>
    <mergeCell ref="A1:C1"/>
    <mergeCell ref="A2:C2"/>
  </mergeCells>
  <hyperlinks>
    <hyperlink ref="A76" location="'indice cap.4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verticalDpi="599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368"/>
  <sheetViews>
    <sheetView showGridLines="0" workbookViewId="0">
      <selection sqref="A1:B97"/>
    </sheetView>
  </sheetViews>
  <sheetFormatPr baseColWidth="10" defaultRowHeight="12.75"/>
  <cols>
    <col min="1" max="1" width="11.42578125" style="219"/>
    <col min="2" max="2" width="34.5703125" style="219" customWidth="1"/>
    <col min="3" max="16384" width="11.42578125" style="219"/>
  </cols>
  <sheetData>
    <row r="1" spans="1:2">
      <c r="A1" s="331" t="s">
        <v>1380</v>
      </c>
      <c r="B1" s="331"/>
    </row>
    <row r="2" spans="1:2">
      <c r="A2" s="220"/>
      <c r="B2" s="220"/>
    </row>
    <row r="3" spans="1:2">
      <c r="A3" s="332" t="s">
        <v>2</v>
      </c>
      <c r="B3" s="333" t="s">
        <v>1381</v>
      </c>
    </row>
    <row r="4" spans="1:2">
      <c r="A4" s="332"/>
      <c r="B4" s="334"/>
    </row>
    <row r="5" spans="1:2">
      <c r="A5" s="221"/>
      <c r="B5" s="222"/>
    </row>
    <row r="6" spans="1:2">
      <c r="A6" s="223">
        <v>1927</v>
      </c>
      <c r="B6" s="224">
        <v>2257357.4854177418</v>
      </c>
    </row>
    <row r="7" spans="1:2">
      <c r="A7" s="223">
        <v>1928</v>
      </c>
      <c r="B7" s="224">
        <v>2297561.0222330322</v>
      </c>
    </row>
    <row r="8" spans="1:2">
      <c r="A8" s="223">
        <v>1929</v>
      </c>
      <c r="B8" s="224">
        <v>2338480.5840390027</v>
      </c>
    </row>
    <row r="9" spans="1:2">
      <c r="A9" s="223">
        <v>1930</v>
      </c>
      <c r="B9" s="224">
        <v>2380128.9232407375</v>
      </c>
    </row>
    <row r="10" spans="1:2">
      <c r="A10" s="223">
        <v>1931</v>
      </c>
      <c r="B10" s="224">
        <v>2422519.0193636552</v>
      </c>
    </row>
    <row r="11" spans="1:2">
      <c r="A11" s="223">
        <v>1932</v>
      </c>
      <c r="B11" s="224">
        <v>2465664.0830985224</v>
      </c>
    </row>
    <row r="12" spans="1:2">
      <c r="A12" s="223">
        <v>1933</v>
      </c>
      <c r="B12" s="224">
        <v>2509577.5604185075</v>
      </c>
    </row>
    <row r="13" spans="1:2">
      <c r="A13" s="223">
        <v>1934</v>
      </c>
      <c r="B13" s="224">
        <v>2554273.1367695616</v>
      </c>
    </row>
    <row r="14" spans="1:2">
      <c r="A14" s="223">
        <v>1935</v>
      </c>
      <c r="B14" s="224">
        <v>2599764.7413354279</v>
      </c>
    </row>
    <row r="15" spans="1:2">
      <c r="A15" s="223">
        <v>1936</v>
      </c>
      <c r="B15" s="224">
        <v>2646066.5513786119</v>
      </c>
    </row>
    <row r="16" spans="1:2">
      <c r="A16" s="223">
        <v>1937</v>
      </c>
      <c r="B16" s="224">
        <v>2693192.9966586651</v>
      </c>
    </row>
    <row r="17" spans="1:2">
      <c r="A17" s="223">
        <v>1938</v>
      </c>
      <c r="B17" s="224">
        <v>2741158.7639291561</v>
      </c>
    </row>
    <row r="18" spans="1:2">
      <c r="A18" s="223">
        <v>1939</v>
      </c>
      <c r="B18" s="224">
        <v>2789978.8015147345</v>
      </c>
    </row>
    <row r="19" spans="1:2">
      <c r="A19" s="223">
        <v>1940</v>
      </c>
      <c r="B19" s="224">
        <v>2839668.323969712</v>
      </c>
    </row>
    <row r="20" spans="1:2">
      <c r="A20" s="223">
        <v>1941</v>
      </c>
      <c r="B20" s="224">
        <v>2890242.8168196129</v>
      </c>
    </row>
    <row r="21" spans="1:2">
      <c r="A21" s="223">
        <v>1942</v>
      </c>
      <c r="B21" s="224">
        <v>2941718.0413871706</v>
      </c>
    </row>
    <row r="22" spans="1:2">
      <c r="A22" s="223">
        <v>1943</v>
      </c>
      <c r="B22" s="224">
        <v>2994110.0397042762</v>
      </c>
    </row>
    <row r="23" spans="1:2">
      <c r="A23" s="223">
        <v>1944</v>
      </c>
      <c r="B23" s="224">
        <v>3047435.1395114097</v>
      </c>
    </row>
    <row r="24" spans="1:2">
      <c r="A24" s="223">
        <v>1945</v>
      </c>
      <c r="B24" s="224">
        <v>3101709.9593461081</v>
      </c>
    </row>
    <row r="25" spans="1:2">
      <c r="A25" s="223">
        <v>1946</v>
      </c>
      <c r="B25" s="224">
        <v>3156951.4137220625</v>
      </c>
    </row>
    <row r="26" spans="1:2">
      <c r="A26" s="223">
        <v>1947</v>
      </c>
      <c r="B26" s="224">
        <v>3213176.7184004528</v>
      </c>
    </row>
    <row r="27" spans="1:2">
      <c r="A27" s="223">
        <v>1948</v>
      </c>
      <c r="B27" s="224">
        <v>3270403.3957551653</v>
      </c>
    </row>
    <row r="28" spans="1:2">
      <c r="A28" s="223">
        <v>1949</v>
      </c>
      <c r="B28" s="224">
        <v>3328649.2802335653</v>
      </c>
    </row>
    <row r="29" spans="1:2">
      <c r="A29" s="223">
        <v>1950</v>
      </c>
      <c r="B29" s="224">
        <v>3387358</v>
      </c>
    </row>
    <row r="30" spans="1:2">
      <c r="A30" s="223">
        <v>1951</v>
      </c>
      <c r="B30" s="224">
        <v>3475951</v>
      </c>
    </row>
    <row r="31" spans="1:2">
      <c r="A31" s="223">
        <v>1952</v>
      </c>
      <c r="B31" s="224">
        <v>3567080</v>
      </c>
    </row>
    <row r="32" spans="1:2">
      <c r="A32" s="223">
        <v>1953</v>
      </c>
      <c r="B32" s="224">
        <v>3661402</v>
      </c>
    </row>
    <row r="33" spans="1:2">
      <c r="A33" s="223">
        <v>1954</v>
      </c>
      <c r="B33" s="224">
        <v>3759571</v>
      </c>
    </row>
    <row r="34" spans="1:2">
      <c r="A34" s="223">
        <v>1955</v>
      </c>
      <c r="B34" s="224">
        <v>3862242</v>
      </c>
    </row>
    <row r="35" spans="1:2">
      <c r="A35" s="223">
        <v>1956</v>
      </c>
      <c r="B35" s="224">
        <v>3968978</v>
      </c>
    </row>
    <row r="36" spans="1:2">
      <c r="A36" s="223">
        <v>1957</v>
      </c>
      <c r="B36" s="224">
        <v>4079343</v>
      </c>
    </row>
    <row r="37" spans="1:2">
      <c r="A37" s="223">
        <v>1958</v>
      </c>
      <c r="B37" s="224">
        <v>4193992</v>
      </c>
    </row>
    <row r="38" spans="1:2">
      <c r="A38" s="223">
        <v>1959</v>
      </c>
      <c r="B38" s="224">
        <v>4313580</v>
      </c>
    </row>
    <row r="39" spans="1:2">
      <c r="A39" s="223">
        <v>1960</v>
      </c>
      <c r="B39" s="224">
        <v>4438761</v>
      </c>
    </row>
    <row r="40" spans="1:2">
      <c r="A40" s="223">
        <v>1961</v>
      </c>
      <c r="B40" s="224">
        <v>4569675</v>
      </c>
    </row>
    <row r="41" spans="1:2">
      <c r="A41" s="223">
        <v>1962</v>
      </c>
      <c r="B41" s="224">
        <v>4705884</v>
      </c>
    </row>
    <row r="42" spans="1:2">
      <c r="A42" s="223">
        <v>1963</v>
      </c>
      <c r="B42" s="224">
        <v>4847182</v>
      </c>
    </row>
    <row r="43" spans="1:2">
      <c r="A43" s="223">
        <v>1964</v>
      </c>
      <c r="B43" s="224">
        <v>4993359</v>
      </c>
    </row>
    <row r="44" spans="1:2">
      <c r="A44" s="223">
        <v>1965</v>
      </c>
      <c r="B44" s="224">
        <v>5144208</v>
      </c>
    </row>
    <row r="45" spans="1:2">
      <c r="A45" s="223">
        <v>1966</v>
      </c>
      <c r="B45" s="224">
        <v>5299868</v>
      </c>
    </row>
    <row r="46" spans="1:2">
      <c r="A46" s="223">
        <v>1967</v>
      </c>
      <c r="B46" s="224">
        <v>5460478</v>
      </c>
    </row>
    <row r="47" spans="1:2">
      <c r="A47" s="223">
        <v>1968</v>
      </c>
      <c r="B47" s="224">
        <v>5625829</v>
      </c>
    </row>
    <row r="48" spans="1:2">
      <c r="A48" s="223">
        <v>1969</v>
      </c>
      <c r="B48" s="224">
        <v>5795712</v>
      </c>
    </row>
    <row r="49" spans="1:2">
      <c r="A49" s="223">
        <v>1970</v>
      </c>
      <c r="B49" s="224">
        <v>5969918</v>
      </c>
    </row>
    <row r="50" spans="1:2">
      <c r="A50" s="223">
        <v>1971</v>
      </c>
      <c r="B50" s="224">
        <v>6148361</v>
      </c>
    </row>
    <row r="51" spans="1:2">
      <c r="A51" s="223">
        <v>1972</v>
      </c>
      <c r="B51" s="224">
        <v>6331179</v>
      </c>
    </row>
    <row r="52" spans="1:2">
      <c r="A52" s="223">
        <v>1973</v>
      </c>
      <c r="B52" s="224">
        <v>6518503</v>
      </c>
    </row>
    <row r="53" spans="1:2">
      <c r="A53" s="223">
        <v>1974</v>
      </c>
      <c r="B53" s="224">
        <v>6710462</v>
      </c>
    </row>
    <row r="54" spans="1:2">
      <c r="A54" s="223">
        <v>1975</v>
      </c>
      <c r="B54" s="224">
        <v>6907185</v>
      </c>
    </row>
    <row r="55" spans="1:2">
      <c r="A55" s="223">
        <v>1976</v>
      </c>
      <c r="B55" s="224">
        <v>7109212</v>
      </c>
    </row>
    <row r="56" spans="1:2">
      <c r="A56" s="223">
        <v>1977</v>
      </c>
      <c r="B56" s="224">
        <v>7316456</v>
      </c>
    </row>
    <row r="57" spans="1:2">
      <c r="A57" s="223">
        <v>1978</v>
      </c>
      <c r="B57" s="224">
        <v>7528109</v>
      </c>
    </row>
    <row r="58" spans="1:2">
      <c r="A58" s="223">
        <v>1979</v>
      </c>
      <c r="B58" s="224">
        <v>7743360</v>
      </c>
    </row>
    <row r="59" spans="1:2">
      <c r="A59" s="223">
        <v>1980</v>
      </c>
      <c r="B59" s="224">
        <v>7961402</v>
      </c>
    </row>
    <row r="60" spans="1:2">
      <c r="A60" s="223">
        <v>1981</v>
      </c>
      <c r="B60" s="224">
        <v>8183120</v>
      </c>
    </row>
    <row r="61" spans="1:2">
      <c r="A61" s="223">
        <v>1982</v>
      </c>
      <c r="B61" s="224">
        <v>8409053</v>
      </c>
    </row>
    <row r="62" spans="1:2">
      <c r="A62" s="223">
        <v>1983</v>
      </c>
      <c r="B62" s="224">
        <v>8637873</v>
      </c>
    </row>
    <row r="63" spans="1:2">
      <c r="A63" s="223">
        <v>1984</v>
      </c>
      <c r="B63" s="224">
        <v>8868249</v>
      </c>
    </row>
    <row r="64" spans="1:2">
      <c r="A64" s="223">
        <v>1985</v>
      </c>
      <c r="B64" s="224">
        <v>9098852</v>
      </c>
    </row>
    <row r="65" spans="1:2">
      <c r="A65" s="223">
        <v>1986</v>
      </c>
      <c r="B65" s="224">
        <v>9329636</v>
      </c>
    </row>
    <row r="66" spans="1:2">
      <c r="A66" s="223">
        <v>1987</v>
      </c>
      <c r="B66" s="224">
        <v>9561489</v>
      </c>
    </row>
    <row r="67" spans="1:2">
      <c r="A67" s="223">
        <v>1988</v>
      </c>
      <c r="B67" s="224">
        <v>9804403</v>
      </c>
    </row>
    <row r="68" spans="1:2">
      <c r="A68" s="223">
        <v>1989</v>
      </c>
      <c r="B68" s="224">
        <v>10039775</v>
      </c>
    </row>
    <row r="69" spans="1:2">
      <c r="A69" s="223">
        <v>1990</v>
      </c>
      <c r="B69" s="224">
        <v>10271874</v>
      </c>
    </row>
    <row r="70" spans="1:2">
      <c r="A70" s="223">
        <v>1991</v>
      </c>
      <c r="B70" s="224">
        <v>10503491</v>
      </c>
    </row>
    <row r="71" spans="1:2">
      <c r="A71" s="223">
        <v>1992</v>
      </c>
      <c r="B71" s="224">
        <v>10735969</v>
      </c>
    </row>
    <row r="72" spans="1:2">
      <c r="A72" s="223">
        <v>1993</v>
      </c>
      <c r="B72" s="224">
        <v>10965121</v>
      </c>
    </row>
    <row r="73" spans="1:2">
      <c r="A73" s="223">
        <v>1994</v>
      </c>
      <c r="B73" s="224">
        <v>11186758</v>
      </c>
    </row>
    <row r="74" spans="1:2">
      <c r="A74" s="223">
        <v>1995</v>
      </c>
      <c r="B74" s="224">
        <v>11396692</v>
      </c>
    </row>
    <row r="75" spans="1:2">
      <c r="A75" s="223">
        <v>1996</v>
      </c>
      <c r="B75" s="224">
        <v>11591131</v>
      </c>
    </row>
    <row r="76" spans="1:2">
      <c r="A76" s="223">
        <v>1997</v>
      </c>
      <c r="B76" s="224">
        <v>11772866</v>
      </c>
    </row>
    <row r="77" spans="1:2">
      <c r="A77" s="223">
        <v>1998</v>
      </c>
      <c r="B77" s="224">
        <v>11947588</v>
      </c>
    </row>
    <row r="78" spans="1:2">
      <c r="A78" s="223">
        <v>1999</v>
      </c>
      <c r="B78" s="224">
        <v>12120984</v>
      </c>
    </row>
    <row r="79" spans="1:2">
      <c r="A79" s="223">
        <v>2000</v>
      </c>
      <c r="B79" s="224">
        <v>12298745</v>
      </c>
    </row>
    <row r="80" spans="1:2">
      <c r="A80" s="223" t="s">
        <v>1382</v>
      </c>
      <c r="B80" s="224">
        <v>12156608</v>
      </c>
    </row>
    <row r="81" spans="1:2">
      <c r="A81" s="223">
        <v>2002</v>
      </c>
      <c r="B81" s="224">
        <v>12660727</v>
      </c>
    </row>
    <row r="82" spans="1:2">
      <c r="A82" s="223">
        <v>2003</v>
      </c>
      <c r="B82" s="224">
        <v>12842576</v>
      </c>
    </row>
    <row r="83" spans="1:2">
      <c r="A83" s="223">
        <v>2004</v>
      </c>
      <c r="B83" s="224">
        <v>13026890</v>
      </c>
    </row>
    <row r="84" spans="1:2">
      <c r="A84" s="223">
        <v>2005</v>
      </c>
      <c r="B84" s="224">
        <v>13215089</v>
      </c>
    </row>
    <row r="85" spans="1:2">
      <c r="A85" s="223">
        <v>2006</v>
      </c>
      <c r="B85" s="224">
        <v>13408270</v>
      </c>
    </row>
    <row r="86" spans="1:2">
      <c r="A86" s="223">
        <v>2007</v>
      </c>
      <c r="B86" s="224">
        <v>13605486</v>
      </c>
    </row>
    <row r="87" spans="1:2">
      <c r="A87" s="223">
        <v>2008</v>
      </c>
      <c r="B87" s="224">
        <v>13805092</v>
      </c>
    </row>
    <row r="88" spans="1:2">
      <c r="A88" s="223">
        <v>2009</v>
      </c>
      <c r="B88" s="224">
        <v>14005449</v>
      </c>
    </row>
    <row r="89" spans="1:2">
      <c r="A89" s="223">
        <v>2010</v>
      </c>
      <c r="B89" s="224">
        <v>14204900</v>
      </c>
    </row>
    <row r="90" spans="1:2">
      <c r="A90" s="223" t="s">
        <v>1383</v>
      </c>
      <c r="B90" s="224">
        <v>14483399</v>
      </c>
    </row>
    <row r="91" spans="1:2">
      <c r="A91" s="223" t="s">
        <v>1384</v>
      </c>
      <c r="B91" s="224">
        <v>15012228</v>
      </c>
    </row>
    <row r="92" spans="1:2">
      <c r="A92" s="223">
        <v>2011</v>
      </c>
      <c r="B92" s="224">
        <v>15266431</v>
      </c>
    </row>
    <row r="93" spans="1:2">
      <c r="A93" s="223">
        <v>2012</v>
      </c>
      <c r="B93" s="224">
        <v>15520973</v>
      </c>
    </row>
    <row r="94" spans="1:2">
      <c r="A94" s="223">
        <v>2013</v>
      </c>
      <c r="B94" s="224">
        <v>15774749</v>
      </c>
    </row>
    <row r="95" spans="1:2">
      <c r="A95" s="223">
        <v>2014</v>
      </c>
      <c r="B95" s="224">
        <v>16027466</v>
      </c>
    </row>
    <row r="96" spans="1:2">
      <c r="A96" s="223">
        <v>2015</v>
      </c>
      <c r="B96" s="224">
        <v>16278844</v>
      </c>
    </row>
    <row r="97" spans="1:2">
      <c r="A97" s="223">
        <v>2016</v>
      </c>
      <c r="B97" s="224">
        <v>16528730</v>
      </c>
    </row>
    <row r="98" spans="1:2">
      <c r="A98" s="227"/>
      <c r="B98" s="225"/>
    </row>
    <row r="99" spans="1:2">
      <c r="B99" s="226"/>
    </row>
    <row r="100" spans="1:2">
      <c r="B100" s="226"/>
    </row>
    <row r="101" spans="1:2">
      <c r="A101" s="107"/>
      <c r="B101" s="226"/>
    </row>
    <row r="102" spans="1:2">
      <c r="A102" s="19" t="s">
        <v>1009</v>
      </c>
      <c r="B102" s="226"/>
    </row>
    <row r="103" spans="1:2">
      <c r="B103" s="226"/>
    </row>
    <row r="104" spans="1:2">
      <c r="B104" s="226"/>
    </row>
    <row r="105" spans="1:2">
      <c r="B105" s="226"/>
    </row>
    <row r="106" spans="1:2">
      <c r="B106" s="226"/>
    </row>
    <row r="107" spans="1:2">
      <c r="B107" s="226"/>
    </row>
    <row r="108" spans="1:2">
      <c r="B108" s="226"/>
    </row>
    <row r="109" spans="1:2">
      <c r="B109" s="226"/>
    </row>
    <row r="110" spans="1:2">
      <c r="B110" s="226"/>
    </row>
    <row r="111" spans="1:2">
      <c r="B111" s="226"/>
    </row>
    <row r="112" spans="1:2">
      <c r="B112" s="226"/>
    </row>
    <row r="113" spans="2:2">
      <c r="B113" s="226"/>
    </row>
    <row r="114" spans="2:2">
      <c r="B114" s="226"/>
    </row>
    <row r="115" spans="2:2">
      <c r="B115" s="226"/>
    </row>
    <row r="116" spans="2:2">
      <c r="B116" s="226"/>
    </row>
    <row r="117" spans="2:2">
      <c r="B117" s="226"/>
    </row>
    <row r="118" spans="2:2">
      <c r="B118" s="226"/>
    </row>
    <row r="119" spans="2:2">
      <c r="B119" s="226"/>
    </row>
    <row r="120" spans="2:2">
      <c r="B120" s="226"/>
    </row>
    <row r="121" spans="2:2">
      <c r="B121" s="226"/>
    </row>
    <row r="122" spans="2:2">
      <c r="B122" s="226"/>
    </row>
    <row r="123" spans="2:2">
      <c r="B123" s="226"/>
    </row>
    <row r="124" spans="2:2">
      <c r="B124" s="226"/>
    </row>
    <row r="125" spans="2:2">
      <c r="B125" s="226"/>
    </row>
    <row r="126" spans="2:2">
      <c r="B126" s="226"/>
    </row>
    <row r="127" spans="2:2">
      <c r="B127" s="226"/>
    </row>
    <row r="128" spans="2:2">
      <c r="B128" s="226"/>
    </row>
    <row r="129" spans="2:2">
      <c r="B129" s="226"/>
    </row>
    <row r="130" spans="2:2">
      <c r="B130" s="226"/>
    </row>
    <row r="131" spans="2:2">
      <c r="B131" s="226"/>
    </row>
    <row r="132" spans="2:2">
      <c r="B132" s="226"/>
    </row>
    <row r="133" spans="2:2">
      <c r="B133" s="226"/>
    </row>
    <row r="134" spans="2:2">
      <c r="B134" s="226"/>
    </row>
    <row r="135" spans="2:2">
      <c r="B135" s="226"/>
    </row>
    <row r="136" spans="2:2">
      <c r="B136" s="226"/>
    </row>
    <row r="137" spans="2:2">
      <c r="B137" s="226"/>
    </row>
    <row r="138" spans="2:2">
      <c r="B138" s="226"/>
    </row>
    <row r="139" spans="2:2">
      <c r="B139" s="226"/>
    </row>
    <row r="140" spans="2:2">
      <c r="B140" s="226"/>
    </row>
    <row r="141" spans="2:2">
      <c r="B141" s="226"/>
    </row>
    <row r="142" spans="2:2">
      <c r="B142" s="226"/>
    </row>
    <row r="143" spans="2:2">
      <c r="B143" s="226"/>
    </row>
    <row r="144" spans="2:2">
      <c r="B144" s="226"/>
    </row>
    <row r="145" spans="2:2">
      <c r="B145" s="226"/>
    </row>
    <row r="146" spans="2:2">
      <c r="B146" s="226"/>
    </row>
    <row r="147" spans="2:2">
      <c r="B147" s="226"/>
    </row>
    <row r="148" spans="2:2">
      <c r="B148" s="226"/>
    </row>
    <row r="149" spans="2:2">
      <c r="B149" s="226"/>
    </row>
    <row r="150" spans="2:2">
      <c r="B150" s="226"/>
    </row>
    <row r="151" spans="2:2">
      <c r="B151" s="226"/>
    </row>
    <row r="152" spans="2:2">
      <c r="B152" s="226"/>
    </row>
    <row r="153" spans="2:2">
      <c r="B153" s="226"/>
    </row>
    <row r="154" spans="2:2">
      <c r="B154" s="226"/>
    </row>
    <row r="155" spans="2:2">
      <c r="B155" s="226"/>
    </row>
    <row r="156" spans="2:2">
      <c r="B156" s="226"/>
    </row>
    <row r="157" spans="2:2">
      <c r="B157" s="226"/>
    </row>
    <row r="158" spans="2:2">
      <c r="B158" s="226"/>
    </row>
    <row r="159" spans="2:2">
      <c r="B159" s="226"/>
    </row>
    <row r="160" spans="2:2">
      <c r="B160" s="226"/>
    </row>
    <row r="161" spans="2:2">
      <c r="B161" s="226"/>
    </row>
    <row r="162" spans="2:2">
      <c r="B162" s="226"/>
    </row>
    <row r="163" spans="2:2">
      <c r="B163" s="226"/>
    </row>
    <row r="164" spans="2:2">
      <c r="B164" s="226"/>
    </row>
    <row r="165" spans="2:2">
      <c r="B165" s="226"/>
    </row>
    <row r="166" spans="2:2">
      <c r="B166" s="226"/>
    </row>
    <row r="167" spans="2:2">
      <c r="B167" s="226"/>
    </row>
    <row r="168" spans="2:2">
      <c r="B168" s="226"/>
    </row>
    <row r="169" spans="2:2">
      <c r="B169" s="226"/>
    </row>
    <row r="170" spans="2:2">
      <c r="B170" s="226"/>
    </row>
    <row r="171" spans="2:2">
      <c r="B171" s="226"/>
    </row>
    <row r="172" spans="2:2">
      <c r="B172" s="226"/>
    </row>
    <row r="173" spans="2:2">
      <c r="B173" s="226"/>
    </row>
    <row r="174" spans="2:2">
      <c r="B174" s="226"/>
    </row>
    <row r="175" spans="2:2">
      <c r="B175" s="226"/>
    </row>
    <row r="176" spans="2:2">
      <c r="B176" s="226"/>
    </row>
    <row r="177" spans="2:2">
      <c r="B177" s="226"/>
    </row>
    <row r="178" spans="2:2">
      <c r="B178" s="226"/>
    </row>
    <row r="179" spans="2:2">
      <c r="B179" s="226"/>
    </row>
    <row r="180" spans="2:2">
      <c r="B180" s="226"/>
    </row>
    <row r="181" spans="2:2">
      <c r="B181" s="226"/>
    </row>
    <row r="182" spans="2:2">
      <c r="B182" s="226"/>
    </row>
    <row r="183" spans="2:2">
      <c r="B183" s="226"/>
    </row>
    <row r="184" spans="2:2">
      <c r="B184" s="226"/>
    </row>
    <row r="185" spans="2:2">
      <c r="B185" s="226"/>
    </row>
    <row r="186" spans="2:2">
      <c r="B186" s="226"/>
    </row>
    <row r="187" spans="2:2">
      <c r="B187" s="226"/>
    </row>
    <row r="188" spans="2:2">
      <c r="B188" s="226"/>
    </row>
    <row r="189" spans="2:2">
      <c r="B189" s="226"/>
    </row>
    <row r="190" spans="2:2">
      <c r="B190" s="226"/>
    </row>
    <row r="191" spans="2:2">
      <c r="B191" s="226"/>
    </row>
    <row r="192" spans="2:2">
      <c r="B192" s="226"/>
    </row>
    <row r="193" spans="2:2">
      <c r="B193" s="226"/>
    </row>
    <row r="194" spans="2:2">
      <c r="B194" s="226"/>
    </row>
    <row r="195" spans="2:2">
      <c r="B195" s="226"/>
    </row>
    <row r="196" spans="2:2">
      <c r="B196" s="226"/>
    </row>
    <row r="197" spans="2:2">
      <c r="B197" s="226"/>
    </row>
    <row r="198" spans="2:2">
      <c r="B198" s="226"/>
    </row>
    <row r="199" spans="2:2">
      <c r="B199" s="226"/>
    </row>
    <row r="200" spans="2:2">
      <c r="B200" s="226"/>
    </row>
    <row r="201" spans="2:2">
      <c r="B201" s="226"/>
    </row>
    <row r="202" spans="2:2">
      <c r="B202" s="226"/>
    </row>
    <row r="203" spans="2:2">
      <c r="B203" s="226"/>
    </row>
    <row r="204" spans="2:2">
      <c r="B204" s="226"/>
    </row>
    <row r="205" spans="2:2">
      <c r="B205" s="226"/>
    </row>
    <row r="206" spans="2:2">
      <c r="B206" s="226"/>
    </row>
    <row r="207" spans="2:2">
      <c r="B207" s="226"/>
    </row>
    <row r="208" spans="2:2">
      <c r="B208" s="226"/>
    </row>
    <row r="209" spans="2:2">
      <c r="B209" s="226"/>
    </row>
    <row r="210" spans="2:2">
      <c r="B210" s="226"/>
    </row>
    <row r="211" spans="2:2">
      <c r="B211" s="226"/>
    </row>
    <row r="212" spans="2:2">
      <c r="B212" s="226"/>
    </row>
    <row r="213" spans="2:2">
      <c r="B213" s="226"/>
    </row>
    <row r="214" spans="2:2">
      <c r="B214" s="226"/>
    </row>
    <row r="215" spans="2:2">
      <c r="B215" s="226"/>
    </row>
    <row r="216" spans="2:2">
      <c r="B216" s="226"/>
    </row>
    <row r="217" spans="2:2">
      <c r="B217" s="226"/>
    </row>
    <row r="218" spans="2:2">
      <c r="B218" s="226"/>
    </row>
    <row r="219" spans="2:2">
      <c r="B219" s="226"/>
    </row>
    <row r="220" spans="2:2">
      <c r="B220" s="226"/>
    </row>
    <row r="221" spans="2:2">
      <c r="B221" s="226"/>
    </row>
    <row r="222" spans="2:2">
      <c r="B222" s="226"/>
    </row>
    <row r="223" spans="2:2">
      <c r="B223" s="226"/>
    </row>
    <row r="224" spans="2:2">
      <c r="B224" s="226"/>
    </row>
    <row r="225" spans="2:2">
      <c r="B225" s="226"/>
    </row>
    <row r="226" spans="2:2">
      <c r="B226" s="226"/>
    </row>
    <row r="227" spans="2:2">
      <c r="B227" s="226"/>
    </row>
    <row r="228" spans="2:2">
      <c r="B228" s="226"/>
    </row>
    <row r="229" spans="2:2">
      <c r="B229" s="226"/>
    </row>
    <row r="230" spans="2:2">
      <c r="B230" s="226"/>
    </row>
    <row r="231" spans="2:2">
      <c r="B231" s="226"/>
    </row>
    <row r="232" spans="2:2">
      <c r="B232" s="226"/>
    </row>
    <row r="233" spans="2:2">
      <c r="B233" s="226"/>
    </row>
    <row r="234" spans="2:2">
      <c r="B234" s="226"/>
    </row>
    <row r="235" spans="2:2">
      <c r="B235" s="226"/>
    </row>
    <row r="236" spans="2:2">
      <c r="B236" s="226"/>
    </row>
    <row r="237" spans="2:2">
      <c r="B237" s="226"/>
    </row>
    <row r="238" spans="2:2">
      <c r="B238" s="226"/>
    </row>
    <row r="239" spans="2:2">
      <c r="B239" s="226"/>
    </row>
    <row r="240" spans="2:2">
      <c r="B240" s="226"/>
    </row>
    <row r="241" spans="2:2">
      <c r="B241" s="226"/>
    </row>
    <row r="242" spans="2:2">
      <c r="B242" s="226"/>
    </row>
    <row r="243" spans="2:2">
      <c r="B243" s="226"/>
    </row>
    <row r="244" spans="2:2">
      <c r="B244" s="226"/>
    </row>
    <row r="245" spans="2:2">
      <c r="B245" s="226"/>
    </row>
    <row r="246" spans="2:2">
      <c r="B246" s="226"/>
    </row>
    <row r="247" spans="2:2">
      <c r="B247" s="226"/>
    </row>
    <row r="248" spans="2:2">
      <c r="B248" s="226"/>
    </row>
    <row r="249" spans="2:2">
      <c r="B249" s="226"/>
    </row>
    <row r="250" spans="2:2">
      <c r="B250" s="226"/>
    </row>
    <row r="251" spans="2:2">
      <c r="B251" s="226"/>
    </row>
    <row r="252" spans="2:2">
      <c r="B252" s="226"/>
    </row>
    <row r="253" spans="2:2">
      <c r="B253" s="226"/>
    </row>
    <row r="254" spans="2:2">
      <c r="B254" s="226"/>
    </row>
    <row r="255" spans="2:2">
      <c r="B255" s="226"/>
    </row>
    <row r="256" spans="2:2">
      <c r="B256" s="226"/>
    </row>
    <row r="257" spans="2:2">
      <c r="B257" s="226"/>
    </row>
    <row r="258" spans="2:2">
      <c r="B258" s="226"/>
    </row>
    <row r="259" spans="2:2">
      <c r="B259" s="226"/>
    </row>
    <row r="260" spans="2:2">
      <c r="B260" s="226"/>
    </row>
    <row r="261" spans="2:2">
      <c r="B261" s="226"/>
    </row>
    <row r="262" spans="2:2">
      <c r="B262" s="226"/>
    </row>
    <row r="263" spans="2:2">
      <c r="B263" s="226"/>
    </row>
    <row r="264" spans="2:2">
      <c r="B264" s="226"/>
    </row>
    <row r="265" spans="2:2">
      <c r="B265" s="226"/>
    </row>
    <row r="266" spans="2:2">
      <c r="B266" s="226"/>
    </row>
    <row r="267" spans="2:2">
      <c r="B267" s="226"/>
    </row>
    <row r="268" spans="2:2">
      <c r="B268" s="226"/>
    </row>
    <row r="269" spans="2:2">
      <c r="B269" s="226"/>
    </row>
    <row r="270" spans="2:2">
      <c r="B270" s="226"/>
    </row>
    <row r="271" spans="2:2">
      <c r="B271" s="226"/>
    </row>
    <row r="272" spans="2:2">
      <c r="B272" s="226"/>
    </row>
    <row r="273" spans="2:2">
      <c r="B273" s="226"/>
    </row>
    <row r="274" spans="2:2">
      <c r="B274" s="226"/>
    </row>
    <row r="275" spans="2:2">
      <c r="B275" s="226"/>
    </row>
    <row r="276" spans="2:2">
      <c r="B276" s="226"/>
    </row>
    <row r="277" spans="2:2">
      <c r="B277" s="226"/>
    </row>
    <row r="278" spans="2:2">
      <c r="B278" s="226"/>
    </row>
    <row r="279" spans="2:2">
      <c r="B279" s="226"/>
    </row>
    <row r="280" spans="2:2">
      <c r="B280" s="226"/>
    </row>
    <row r="281" spans="2:2">
      <c r="B281" s="226"/>
    </row>
    <row r="282" spans="2:2">
      <c r="B282" s="226"/>
    </row>
    <row r="283" spans="2:2">
      <c r="B283" s="226"/>
    </row>
    <row r="284" spans="2:2">
      <c r="B284" s="226"/>
    </row>
    <row r="285" spans="2:2">
      <c r="B285" s="226"/>
    </row>
    <row r="286" spans="2:2">
      <c r="B286" s="226"/>
    </row>
    <row r="287" spans="2:2">
      <c r="B287" s="226"/>
    </row>
    <row r="288" spans="2:2">
      <c r="B288" s="226"/>
    </row>
    <row r="289" spans="2:2">
      <c r="B289" s="226"/>
    </row>
    <row r="290" spans="2:2">
      <c r="B290" s="226"/>
    </row>
    <row r="291" spans="2:2">
      <c r="B291" s="226"/>
    </row>
    <row r="292" spans="2:2">
      <c r="B292" s="226"/>
    </row>
    <row r="293" spans="2:2">
      <c r="B293" s="226"/>
    </row>
    <row r="294" spans="2:2">
      <c r="B294" s="226"/>
    </row>
    <row r="295" spans="2:2">
      <c r="B295" s="226"/>
    </row>
    <row r="296" spans="2:2">
      <c r="B296" s="226"/>
    </row>
    <row r="297" spans="2:2">
      <c r="B297" s="226"/>
    </row>
    <row r="298" spans="2:2">
      <c r="B298" s="226"/>
    </row>
    <row r="299" spans="2:2">
      <c r="B299" s="226"/>
    </row>
    <row r="300" spans="2:2">
      <c r="B300" s="226"/>
    </row>
    <row r="301" spans="2:2">
      <c r="B301" s="226"/>
    </row>
    <row r="302" spans="2:2">
      <c r="B302" s="226"/>
    </row>
    <row r="303" spans="2:2">
      <c r="B303" s="226"/>
    </row>
    <row r="304" spans="2:2">
      <c r="B304" s="226"/>
    </row>
    <row r="305" spans="2:2">
      <c r="B305" s="226"/>
    </row>
    <row r="306" spans="2:2">
      <c r="B306" s="226"/>
    </row>
    <row r="307" spans="2:2">
      <c r="B307" s="226"/>
    </row>
    <row r="308" spans="2:2">
      <c r="B308" s="226"/>
    </row>
    <row r="309" spans="2:2">
      <c r="B309" s="226"/>
    </row>
    <row r="310" spans="2:2">
      <c r="B310" s="226"/>
    </row>
    <row r="311" spans="2:2">
      <c r="B311" s="226"/>
    </row>
    <row r="312" spans="2:2">
      <c r="B312" s="226"/>
    </row>
    <row r="313" spans="2:2">
      <c r="B313" s="226"/>
    </row>
    <row r="314" spans="2:2">
      <c r="B314" s="226"/>
    </row>
    <row r="315" spans="2:2">
      <c r="B315" s="226"/>
    </row>
    <row r="316" spans="2:2">
      <c r="B316" s="226"/>
    </row>
    <row r="317" spans="2:2">
      <c r="B317" s="226"/>
    </row>
    <row r="318" spans="2:2">
      <c r="B318" s="226"/>
    </row>
    <row r="319" spans="2:2">
      <c r="B319" s="226"/>
    </row>
    <row r="320" spans="2:2">
      <c r="B320" s="226"/>
    </row>
    <row r="321" spans="2:2">
      <c r="B321" s="226"/>
    </row>
    <row r="322" spans="2:2">
      <c r="B322" s="226"/>
    </row>
    <row r="323" spans="2:2">
      <c r="B323" s="226"/>
    </row>
    <row r="324" spans="2:2">
      <c r="B324" s="226"/>
    </row>
    <row r="325" spans="2:2">
      <c r="B325" s="226"/>
    </row>
    <row r="326" spans="2:2">
      <c r="B326" s="226"/>
    </row>
    <row r="327" spans="2:2">
      <c r="B327" s="226"/>
    </row>
    <row r="328" spans="2:2">
      <c r="B328" s="226"/>
    </row>
    <row r="329" spans="2:2">
      <c r="B329" s="226"/>
    </row>
    <row r="330" spans="2:2">
      <c r="B330" s="226"/>
    </row>
    <row r="331" spans="2:2">
      <c r="B331" s="226"/>
    </row>
    <row r="332" spans="2:2">
      <c r="B332" s="226"/>
    </row>
    <row r="333" spans="2:2">
      <c r="B333" s="226"/>
    </row>
    <row r="334" spans="2:2">
      <c r="B334" s="226"/>
    </row>
    <row r="335" spans="2:2">
      <c r="B335" s="226"/>
    </row>
    <row r="336" spans="2:2">
      <c r="B336" s="226"/>
    </row>
    <row r="337" spans="2:2">
      <c r="B337" s="226"/>
    </row>
    <row r="338" spans="2:2">
      <c r="B338" s="226"/>
    </row>
    <row r="339" spans="2:2">
      <c r="B339" s="226"/>
    </row>
    <row r="340" spans="2:2">
      <c r="B340" s="226"/>
    </row>
    <row r="341" spans="2:2">
      <c r="B341" s="226"/>
    </row>
    <row r="342" spans="2:2">
      <c r="B342" s="226"/>
    </row>
    <row r="343" spans="2:2">
      <c r="B343" s="226"/>
    </row>
    <row r="344" spans="2:2">
      <c r="B344" s="226"/>
    </row>
    <row r="345" spans="2:2">
      <c r="B345" s="226"/>
    </row>
    <row r="346" spans="2:2">
      <c r="B346" s="226"/>
    </row>
    <row r="347" spans="2:2">
      <c r="B347" s="226"/>
    </row>
    <row r="348" spans="2:2">
      <c r="B348" s="226"/>
    </row>
    <row r="349" spans="2:2">
      <c r="B349" s="226"/>
    </row>
    <row r="350" spans="2:2">
      <c r="B350" s="226"/>
    </row>
    <row r="351" spans="2:2">
      <c r="B351" s="226"/>
    </row>
    <row r="352" spans="2:2">
      <c r="B352" s="226"/>
    </row>
    <row r="353" spans="2:2">
      <c r="B353" s="226"/>
    </row>
    <row r="354" spans="2:2">
      <c r="B354" s="226"/>
    </row>
    <row r="355" spans="2:2">
      <c r="B355" s="226"/>
    </row>
    <row r="356" spans="2:2">
      <c r="B356" s="226"/>
    </row>
    <row r="357" spans="2:2">
      <c r="B357" s="226"/>
    </row>
    <row r="358" spans="2:2">
      <c r="B358" s="226"/>
    </row>
    <row r="359" spans="2:2">
      <c r="B359" s="226"/>
    </row>
    <row r="360" spans="2:2">
      <c r="B360" s="226"/>
    </row>
    <row r="361" spans="2:2">
      <c r="B361" s="226"/>
    </row>
    <row r="362" spans="2:2">
      <c r="B362" s="226"/>
    </row>
    <row r="363" spans="2:2">
      <c r="B363" s="226"/>
    </row>
    <row r="364" spans="2:2">
      <c r="B364" s="226"/>
    </row>
    <row r="365" spans="2:2">
      <c r="B365" s="226"/>
    </row>
    <row r="366" spans="2:2">
      <c r="B366" s="226"/>
    </row>
    <row r="367" spans="2:2">
      <c r="B367" s="226"/>
    </row>
    <row r="368" spans="2:2">
      <c r="B368" s="226"/>
    </row>
  </sheetData>
  <mergeCells count="3">
    <mergeCell ref="A1:B1"/>
    <mergeCell ref="A3:A4"/>
    <mergeCell ref="B3:B4"/>
  </mergeCells>
  <hyperlinks>
    <hyperlink ref="A102" location="'indice cap.4'!A1" display="regresar al índice"/>
  </hyperlinks>
  <printOptions horizontalCentered="1"/>
  <pageMargins left="0.70866141732283472" right="0.70866141732283472" top="0.19685039370078741" bottom="0.15748031496062992" header="0.31496062992125984" footer="0.31496062992125984"/>
  <pageSetup paperSize="9" orientation="portrait" verticalDpi="599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313"/>
  <sheetViews>
    <sheetView showGridLines="0" zoomScaleNormal="100" workbookViewId="0">
      <selection sqref="A1:A3"/>
    </sheetView>
  </sheetViews>
  <sheetFormatPr baseColWidth="10" defaultRowHeight="12.75"/>
  <cols>
    <col min="1" max="1" width="45.7109375" style="92" customWidth="1"/>
    <col min="2" max="2" width="12" style="100" customWidth="1"/>
    <col min="3" max="3" width="11.28515625" style="92" customWidth="1"/>
    <col min="4" max="16384" width="11.42578125" style="92"/>
  </cols>
  <sheetData>
    <row r="1" spans="1:3">
      <c r="A1" s="84" t="s">
        <v>1024</v>
      </c>
      <c r="B1" s="91"/>
    </row>
    <row r="2" spans="1:3">
      <c r="A2" s="288" t="s">
        <v>1497</v>
      </c>
      <c r="B2" s="156"/>
    </row>
    <row r="3" spans="1:3">
      <c r="A3" s="85" t="s">
        <v>134</v>
      </c>
      <c r="B3" s="86"/>
    </row>
    <row r="5" spans="1:3">
      <c r="A5" s="87" t="s">
        <v>135</v>
      </c>
      <c r="B5" s="88">
        <v>52</v>
      </c>
      <c r="C5" s="93"/>
    </row>
    <row r="6" spans="1:3">
      <c r="A6" s="26"/>
      <c r="B6" s="94"/>
    </row>
    <row r="7" spans="1:3">
      <c r="A7" s="87" t="s">
        <v>136</v>
      </c>
      <c r="B7" s="88">
        <v>8.3000000000000007</v>
      </c>
    </row>
    <row r="8" spans="1:3">
      <c r="A8" s="95" t="s">
        <v>137</v>
      </c>
      <c r="B8" s="96">
        <v>6.7</v>
      </c>
    </row>
    <row r="9" spans="1:3">
      <c r="A9" s="95" t="s">
        <v>138</v>
      </c>
      <c r="B9" s="96">
        <v>0.4</v>
      </c>
    </row>
    <row r="10" spans="1:3">
      <c r="A10" s="95" t="s">
        <v>139</v>
      </c>
      <c r="B10" s="96">
        <v>0.1</v>
      </c>
    </row>
    <row r="11" spans="1:3">
      <c r="A11" s="95" t="s">
        <v>140</v>
      </c>
      <c r="B11" s="96">
        <v>1.1000000000000001</v>
      </c>
      <c r="C11" s="92" t="s">
        <v>141</v>
      </c>
    </row>
    <row r="12" spans="1:3">
      <c r="A12" s="95" t="s">
        <v>142</v>
      </c>
      <c r="B12" s="97" t="s">
        <v>143</v>
      </c>
    </row>
    <row r="13" spans="1:3">
      <c r="B13" s="98"/>
    </row>
    <row r="14" spans="1:3">
      <c r="A14" s="87" t="s">
        <v>144</v>
      </c>
      <c r="B14" s="89">
        <v>13.6</v>
      </c>
    </row>
    <row r="15" spans="1:3">
      <c r="A15" s="95" t="s">
        <v>145</v>
      </c>
      <c r="B15" s="96">
        <v>3.7</v>
      </c>
    </row>
    <row r="16" spans="1:3">
      <c r="A16" s="95" t="s">
        <v>146</v>
      </c>
      <c r="B16" s="96">
        <v>0.3</v>
      </c>
    </row>
    <row r="17" spans="1:2">
      <c r="A17" s="95" t="s">
        <v>147</v>
      </c>
      <c r="B17" s="96">
        <v>0.3</v>
      </c>
    </row>
    <row r="18" spans="1:2">
      <c r="A18" s="95" t="s">
        <v>148</v>
      </c>
      <c r="B18" s="96">
        <v>0.3</v>
      </c>
    </row>
    <row r="19" spans="1:2">
      <c r="A19" s="95" t="s">
        <v>149</v>
      </c>
      <c r="B19" s="96">
        <v>1.3</v>
      </c>
    </row>
    <row r="20" spans="1:2">
      <c r="A20" s="95" t="s">
        <v>150</v>
      </c>
      <c r="B20" s="96">
        <v>0.6</v>
      </c>
    </row>
    <row r="21" spans="1:2">
      <c r="A21" s="95" t="s">
        <v>151</v>
      </c>
      <c r="B21" s="96">
        <v>0.2</v>
      </c>
    </row>
    <row r="22" spans="1:2">
      <c r="A22" s="95" t="s">
        <v>152</v>
      </c>
      <c r="B22" s="96">
        <v>0.1</v>
      </c>
    </row>
    <row r="23" spans="1:2">
      <c r="A23" s="95" t="s">
        <v>153</v>
      </c>
      <c r="B23" s="96">
        <v>0.2</v>
      </c>
    </row>
    <row r="24" spans="1:2">
      <c r="A24" s="95" t="s">
        <v>154</v>
      </c>
      <c r="B24" s="96">
        <v>0.1</v>
      </c>
    </row>
    <row r="25" spans="1:2">
      <c r="A25" s="95" t="s">
        <v>155</v>
      </c>
      <c r="B25" s="96">
        <v>0.6</v>
      </c>
    </row>
    <row r="26" spans="1:2">
      <c r="A26" s="95" t="s">
        <v>156</v>
      </c>
      <c r="B26" s="96">
        <v>0.2</v>
      </c>
    </row>
    <row r="27" spans="1:2">
      <c r="A27" s="95" t="s">
        <v>157</v>
      </c>
      <c r="B27" s="96">
        <v>5.7</v>
      </c>
    </row>
    <row r="28" spans="1:2">
      <c r="B28" s="94"/>
    </row>
    <row r="29" spans="1:2">
      <c r="A29" s="87" t="s">
        <v>158</v>
      </c>
      <c r="B29" s="88">
        <v>8.5</v>
      </c>
    </row>
    <row r="30" spans="1:2">
      <c r="A30" s="95" t="s">
        <v>159</v>
      </c>
      <c r="B30" s="96">
        <v>0.3</v>
      </c>
    </row>
    <row r="31" spans="1:2">
      <c r="A31" s="95" t="s">
        <v>160</v>
      </c>
      <c r="B31" s="96">
        <v>0.8</v>
      </c>
    </row>
    <row r="32" spans="1:2">
      <c r="A32" s="95" t="s">
        <v>161</v>
      </c>
      <c r="B32" s="96">
        <v>1.1000000000000001</v>
      </c>
    </row>
    <row r="33" spans="1:2">
      <c r="A33" s="95" t="s">
        <v>162</v>
      </c>
      <c r="B33" s="96">
        <v>0.2</v>
      </c>
    </row>
    <row r="34" spans="1:2">
      <c r="A34" s="95" t="s">
        <v>163</v>
      </c>
      <c r="B34" s="96">
        <v>0.2</v>
      </c>
    </row>
    <row r="35" spans="1:2">
      <c r="A35" s="95" t="s">
        <v>164</v>
      </c>
      <c r="B35" s="96">
        <v>3.3</v>
      </c>
    </row>
    <row r="36" spans="1:2">
      <c r="A36" s="95" t="s">
        <v>165</v>
      </c>
      <c r="B36" s="96">
        <v>0.8</v>
      </c>
    </row>
    <row r="37" spans="1:2">
      <c r="A37" s="95" t="s">
        <v>166</v>
      </c>
      <c r="B37" s="96">
        <v>0.2</v>
      </c>
    </row>
    <row r="38" spans="1:2">
      <c r="A38" s="95" t="s">
        <v>167</v>
      </c>
      <c r="B38" s="96">
        <v>0.1</v>
      </c>
    </row>
    <row r="39" spans="1:2">
      <c r="A39" s="95" t="s">
        <v>168</v>
      </c>
      <c r="B39" s="96">
        <v>0.4</v>
      </c>
    </row>
    <row r="40" spans="1:2">
      <c r="A40" s="95" t="s">
        <v>169</v>
      </c>
      <c r="B40" s="96">
        <v>1.1000000000000001</v>
      </c>
    </row>
    <row r="41" spans="1:2">
      <c r="B41" s="94"/>
    </row>
    <row r="42" spans="1:2">
      <c r="A42" s="87" t="s">
        <v>170</v>
      </c>
      <c r="B42" s="88">
        <v>1.4</v>
      </c>
    </row>
    <row r="43" spans="1:2">
      <c r="A43" s="26"/>
      <c r="B43" s="90"/>
    </row>
    <row r="44" spans="1:2">
      <c r="A44" s="87" t="s">
        <v>171</v>
      </c>
      <c r="B44" s="88">
        <v>7</v>
      </c>
    </row>
    <row r="45" spans="1:2">
      <c r="A45" s="95" t="s">
        <v>172</v>
      </c>
      <c r="B45" s="96">
        <v>5.5</v>
      </c>
    </row>
    <row r="46" spans="1:2">
      <c r="A46" s="95" t="s">
        <v>173</v>
      </c>
      <c r="B46" s="96">
        <v>0.8</v>
      </c>
    </row>
    <row r="47" spans="1:2">
      <c r="A47" s="95" t="s">
        <v>174</v>
      </c>
      <c r="B47" s="96">
        <v>0.7</v>
      </c>
    </row>
    <row r="48" spans="1:2">
      <c r="B48" s="94"/>
    </row>
    <row r="49" spans="1:2">
      <c r="A49" s="87" t="s">
        <v>175</v>
      </c>
      <c r="B49" s="88">
        <v>2.4</v>
      </c>
    </row>
    <row r="50" spans="1:2">
      <c r="A50" s="95" t="s">
        <v>176</v>
      </c>
      <c r="B50" s="96">
        <v>2.4</v>
      </c>
    </row>
    <row r="51" spans="1:2">
      <c r="B51" s="94"/>
    </row>
    <row r="52" spans="1:2">
      <c r="A52" s="87" t="s">
        <v>177</v>
      </c>
      <c r="B52" s="88">
        <v>2.5</v>
      </c>
    </row>
    <row r="53" spans="1:2">
      <c r="A53" s="95" t="s">
        <v>178</v>
      </c>
      <c r="B53" s="96">
        <v>1.1000000000000001</v>
      </c>
    </row>
    <row r="54" spans="1:2">
      <c r="A54" s="95" t="s">
        <v>179</v>
      </c>
      <c r="B54" s="96">
        <v>0.5</v>
      </c>
    </row>
    <row r="55" spans="1:2">
      <c r="A55" s="95" t="s">
        <v>180</v>
      </c>
      <c r="B55" s="96">
        <v>0.5</v>
      </c>
    </row>
    <row r="56" spans="1:2">
      <c r="A56" s="95" t="s">
        <v>181</v>
      </c>
      <c r="B56" s="96">
        <v>0.4</v>
      </c>
    </row>
    <row r="57" spans="1:2">
      <c r="B57" s="94"/>
    </row>
    <row r="58" spans="1:2">
      <c r="A58" s="87" t="s">
        <v>182</v>
      </c>
      <c r="B58" s="88">
        <v>3.3</v>
      </c>
    </row>
    <row r="59" spans="1:2">
      <c r="A59" s="95" t="s">
        <v>183</v>
      </c>
      <c r="B59" s="96">
        <v>2.4</v>
      </c>
    </row>
    <row r="60" spans="1:2">
      <c r="A60" s="95" t="s">
        <v>184</v>
      </c>
      <c r="B60" s="96">
        <v>0.9</v>
      </c>
    </row>
    <row r="61" spans="1:2">
      <c r="B61" s="94"/>
    </row>
    <row r="62" spans="1:2">
      <c r="A62" s="87" t="s">
        <v>185</v>
      </c>
      <c r="B62" s="88">
        <v>0.9</v>
      </c>
    </row>
    <row r="63" spans="1:2">
      <c r="A63" s="95" t="s">
        <v>186</v>
      </c>
      <c r="B63" s="96">
        <v>0.4</v>
      </c>
    </row>
    <row r="64" spans="1:2">
      <c r="A64" s="95" t="s">
        <v>187</v>
      </c>
      <c r="B64" s="96">
        <v>0.5</v>
      </c>
    </row>
    <row r="65" spans="1:2">
      <c r="B65" s="94"/>
    </row>
    <row r="66" spans="1:2">
      <c r="A66" s="87" t="s">
        <v>188</v>
      </c>
      <c r="B66" s="88">
        <v>4.0999999999999996</v>
      </c>
    </row>
    <row r="67" spans="1:2">
      <c r="A67" s="95" t="s">
        <v>189</v>
      </c>
      <c r="B67" s="96">
        <v>2.2000000000000002</v>
      </c>
    </row>
    <row r="68" spans="1:2">
      <c r="A68" s="95" t="s">
        <v>190</v>
      </c>
      <c r="B68" s="96">
        <v>0.4</v>
      </c>
    </row>
    <row r="69" spans="1:2">
      <c r="A69" s="95" t="s">
        <v>191</v>
      </c>
      <c r="B69" s="96">
        <v>0.6</v>
      </c>
    </row>
    <row r="70" spans="1:2">
      <c r="A70" s="95" t="s">
        <v>192</v>
      </c>
      <c r="B70" s="96">
        <v>0.9</v>
      </c>
    </row>
    <row r="71" spans="1:2">
      <c r="B71" s="94"/>
    </row>
    <row r="72" spans="1:2">
      <c r="A72" s="87" t="s">
        <v>193</v>
      </c>
      <c r="B72" s="88">
        <v>15.7</v>
      </c>
    </row>
    <row r="73" spans="1:2">
      <c r="A73" s="26"/>
      <c r="B73" s="94"/>
    </row>
    <row r="74" spans="1:2">
      <c r="A74" s="87" t="s">
        <v>194</v>
      </c>
      <c r="B74" s="88">
        <v>3.7</v>
      </c>
    </row>
    <row r="75" spans="1:2">
      <c r="A75" s="95" t="s">
        <v>195</v>
      </c>
      <c r="B75" s="96">
        <v>0.9</v>
      </c>
    </row>
    <row r="76" spans="1:2">
      <c r="A76" s="95" t="s">
        <v>196</v>
      </c>
      <c r="B76" s="96">
        <v>0.3</v>
      </c>
    </row>
    <row r="77" spans="1:2">
      <c r="A77" s="95" t="s">
        <v>197</v>
      </c>
      <c r="B77" s="96">
        <v>0.2</v>
      </c>
    </row>
    <row r="78" spans="1:2">
      <c r="A78" s="95" t="s">
        <v>198</v>
      </c>
      <c r="B78" s="96">
        <v>0.6</v>
      </c>
    </row>
    <row r="79" spans="1:2">
      <c r="A79" s="95" t="s">
        <v>199</v>
      </c>
      <c r="B79" s="96">
        <v>0.4</v>
      </c>
    </row>
    <row r="80" spans="1:2">
      <c r="A80" s="95" t="s">
        <v>200</v>
      </c>
      <c r="B80" s="96">
        <v>0.1</v>
      </c>
    </row>
    <row r="81" spans="1:2">
      <c r="A81" s="95" t="s">
        <v>201</v>
      </c>
      <c r="B81" s="96">
        <v>0.4</v>
      </c>
    </row>
    <row r="82" spans="1:2">
      <c r="A82" s="95" t="s">
        <v>202</v>
      </c>
      <c r="B82" s="96">
        <v>0.1</v>
      </c>
    </row>
    <row r="83" spans="1:2">
      <c r="A83" s="95" t="s">
        <v>203</v>
      </c>
      <c r="B83" s="96">
        <v>0.1</v>
      </c>
    </row>
    <row r="84" spans="1:2">
      <c r="A84" s="95" t="s">
        <v>204</v>
      </c>
      <c r="B84" s="96">
        <v>0.4</v>
      </c>
    </row>
    <row r="85" spans="1:2">
      <c r="A85" s="95" t="s">
        <v>205</v>
      </c>
      <c r="B85" s="96">
        <v>0.1</v>
      </c>
    </row>
    <row r="86" spans="1:2">
      <c r="A86" s="95" t="s">
        <v>206</v>
      </c>
      <c r="B86" s="96">
        <v>0.1</v>
      </c>
    </row>
    <row r="87" spans="1:2">
      <c r="B87" s="94"/>
    </row>
    <row r="88" spans="1:2">
      <c r="A88" s="87" t="s">
        <v>207</v>
      </c>
      <c r="B88" s="88">
        <v>4.0999999999999996</v>
      </c>
    </row>
    <row r="89" spans="1:2">
      <c r="A89" s="95" t="s">
        <v>208</v>
      </c>
      <c r="B89" s="96">
        <v>0.2</v>
      </c>
    </row>
    <row r="90" spans="1:2">
      <c r="A90" s="95" t="s">
        <v>209</v>
      </c>
      <c r="B90" s="96">
        <v>0.2</v>
      </c>
    </row>
    <row r="91" spans="1:2">
      <c r="A91" s="95" t="s">
        <v>210</v>
      </c>
      <c r="B91" s="96">
        <v>0.2</v>
      </c>
    </row>
    <row r="92" spans="1:2">
      <c r="A92" s="95" t="s">
        <v>196</v>
      </c>
      <c r="B92" s="96">
        <v>0.2</v>
      </c>
    </row>
    <row r="93" spans="1:2">
      <c r="A93" s="95" t="s">
        <v>211</v>
      </c>
      <c r="B93" s="96">
        <v>0.7</v>
      </c>
    </row>
    <row r="94" spans="1:2">
      <c r="A94" s="95" t="s">
        <v>212</v>
      </c>
      <c r="B94" s="96">
        <v>0.2</v>
      </c>
    </row>
    <row r="95" spans="1:2">
      <c r="A95" s="95" t="s">
        <v>213</v>
      </c>
      <c r="B95" s="96">
        <v>0.1</v>
      </c>
    </row>
    <row r="96" spans="1:2">
      <c r="A96" s="95" t="s">
        <v>214</v>
      </c>
      <c r="B96" s="96">
        <v>0.2</v>
      </c>
    </row>
    <row r="97" spans="1:2">
      <c r="A97" s="95" t="s">
        <v>215</v>
      </c>
      <c r="B97" s="96">
        <v>0.5</v>
      </c>
    </row>
    <row r="98" spans="1:2">
      <c r="A98" s="95" t="s">
        <v>216</v>
      </c>
      <c r="B98" s="96">
        <v>0.2</v>
      </c>
    </row>
    <row r="99" spans="1:2">
      <c r="A99" s="95" t="s">
        <v>217</v>
      </c>
      <c r="B99" s="96">
        <v>0.2</v>
      </c>
    </row>
    <row r="100" spans="1:2">
      <c r="A100" s="95" t="s">
        <v>218</v>
      </c>
      <c r="B100" s="96">
        <v>0.3</v>
      </c>
    </row>
    <row r="101" spans="1:2">
      <c r="A101" s="95" t="s">
        <v>219</v>
      </c>
      <c r="B101" s="96">
        <v>0.2</v>
      </c>
    </row>
    <row r="102" spans="1:2">
      <c r="A102" s="95" t="s">
        <v>220</v>
      </c>
      <c r="B102" s="96">
        <v>0.7</v>
      </c>
    </row>
    <row r="103" spans="1:2">
      <c r="B103" s="94"/>
    </row>
    <row r="104" spans="1:2">
      <c r="A104" s="87" t="s">
        <v>221</v>
      </c>
      <c r="B104" s="88">
        <v>3.2</v>
      </c>
    </row>
    <row r="105" spans="1:2">
      <c r="A105" s="95" t="s">
        <v>222</v>
      </c>
      <c r="B105" s="96">
        <v>0.1</v>
      </c>
    </row>
    <row r="106" spans="1:2">
      <c r="A106" s="95" t="s">
        <v>223</v>
      </c>
      <c r="B106" s="96">
        <v>0.9</v>
      </c>
    </row>
    <row r="107" spans="1:2">
      <c r="A107" s="95" t="s">
        <v>224</v>
      </c>
      <c r="B107" s="96">
        <v>0.4</v>
      </c>
    </row>
    <row r="108" spans="1:2">
      <c r="A108" s="95" t="s">
        <v>225</v>
      </c>
      <c r="B108" s="96" t="s">
        <v>143</v>
      </c>
    </row>
    <row r="109" spans="1:2">
      <c r="A109" s="95" t="s">
        <v>226</v>
      </c>
      <c r="B109" s="96">
        <v>1.2</v>
      </c>
    </row>
    <row r="110" spans="1:2">
      <c r="A110" s="95" t="s">
        <v>227</v>
      </c>
      <c r="B110" s="96">
        <v>0.6</v>
      </c>
    </row>
    <row r="111" spans="1:2">
      <c r="B111" s="94"/>
    </row>
    <row r="112" spans="1:2">
      <c r="A112" s="87" t="s">
        <v>228</v>
      </c>
      <c r="B112" s="88">
        <v>4.7</v>
      </c>
    </row>
    <row r="113" spans="1:2">
      <c r="A113" s="95" t="s">
        <v>229</v>
      </c>
      <c r="B113" s="96">
        <v>0.2</v>
      </c>
    </row>
    <row r="114" spans="1:2">
      <c r="A114" s="95" t="s">
        <v>230</v>
      </c>
      <c r="B114" s="96">
        <v>0.1</v>
      </c>
    </row>
    <row r="115" spans="1:2">
      <c r="A115" s="95" t="s">
        <v>231</v>
      </c>
      <c r="B115" s="96">
        <v>0.1</v>
      </c>
    </row>
    <row r="116" spans="1:2">
      <c r="A116" s="95" t="s">
        <v>232</v>
      </c>
      <c r="B116" s="96">
        <v>0.3</v>
      </c>
    </row>
    <row r="117" spans="1:2">
      <c r="A117" s="95" t="s">
        <v>233</v>
      </c>
      <c r="B117" s="96">
        <v>0.7</v>
      </c>
    </row>
    <row r="118" spans="1:2">
      <c r="A118" s="95" t="s">
        <v>234</v>
      </c>
      <c r="B118" s="96">
        <v>0.5</v>
      </c>
    </row>
    <row r="119" spans="1:2">
      <c r="A119" s="95" t="s">
        <v>235</v>
      </c>
      <c r="B119" s="96">
        <v>0.5</v>
      </c>
    </row>
    <row r="120" spans="1:2">
      <c r="A120" s="95" t="s">
        <v>236</v>
      </c>
      <c r="B120" s="96">
        <v>0.3</v>
      </c>
    </row>
    <row r="121" spans="1:2">
      <c r="A121" s="95" t="s">
        <v>237</v>
      </c>
      <c r="B121" s="96">
        <v>2</v>
      </c>
    </row>
    <row r="122" spans="1:2">
      <c r="B122" s="94"/>
    </row>
    <row r="123" spans="1:2">
      <c r="A123" s="87" t="s">
        <v>238</v>
      </c>
      <c r="B123" s="88">
        <v>12.7</v>
      </c>
    </row>
    <row r="124" spans="1:2">
      <c r="A124" s="26"/>
      <c r="B124" s="94"/>
    </row>
    <row r="125" spans="1:2">
      <c r="A125" s="87" t="s">
        <v>239</v>
      </c>
      <c r="B125" s="88">
        <v>4.2</v>
      </c>
    </row>
    <row r="126" spans="1:2">
      <c r="A126" s="95" t="s">
        <v>240</v>
      </c>
      <c r="B126" s="96">
        <v>1</v>
      </c>
    </row>
    <row r="127" spans="1:2">
      <c r="A127" s="95" t="s">
        <v>241</v>
      </c>
      <c r="B127" s="96">
        <v>1.6</v>
      </c>
    </row>
    <row r="128" spans="1:2">
      <c r="A128" s="95" t="s">
        <v>242</v>
      </c>
      <c r="B128" s="96">
        <v>0.2</v>
      </c>
    </row>
    <row r="129" spans="1:2">
      <c r="A129" s="95" t="s">
        <v>243</v>
      </c>
      <c r="B129" s="96">
        <v>0.8</v>
      </c>
    </row>
    <row r="130" spans="1:2">
      <c r="A130" s="95" t="s">
        <v>244</v>
      </c>
      <c r="B130" s="96">
        <v>0.6</v>
      </c>
    </row>
    <row r="131" spans="1:2">
      <c r="B131" s="94"/>
    </row>
    <row r="132" spans="1:2">
      <c r="A132" s="87" t="s">
        <v>245</v>
      </c>
      <c r="B132" s="88">
        <v>3</v>
      </c>
    </row>
    <row r="133" spans="1:2">
      <c r="A133" s="95" t="s">
        <v>246</v>
      </c>
      <c r="B133" s="96" t="s">
        <v>143</v>
      </c>
    </row>
    <row r="134" spans="1:2">
      <c r="A134" s="95" t="s">
        <v>247</v>
      </c>
      <c r="B134" s="96">
        <v>0.1</v>
      </c>
    </row>
    <row r="135" spans="1:2">
      <c r="A135" s="95" t="s">
        <v>248</v>
      </c>
      <c r="B135" s="96">
        <v>0.9</v>
      </c>
    </row>
    <row r="136" spans="1:2">
      <c r="A136" s="95" t="s">
        <v>249</v>
      </c>
      <c r="B136" s="96">
        <v>0.2</v>
      </c>
    </row>
    <row r="137" spans="1:2">
      <c r="A137" s="95" t="s">
        <v>250</v>
      </c>
      <c r="B137" s="96">
        <v>0.1</v>
      </c>
    </row>
    <row r="138" spans="1:2">
      <c r="A138" s="95" t="s">
        <v>251</v>
      </c>
      <c r="B138" s="96" t="s">
        <v>143</v>
      </c>
    </row>
    <row r="139" spans="1:2">
      <c r="A139" s="95" t="s">
        <v>252</v>
      </c>
      <c r="B139" s="96">
        <v>0.7</v>
      </c>
    </row>
    <row r="140" spans="1:2">
      <c r="A140" s="95" t="s">
        <v>253</v>
      </c>
      <c r="B140" s="96">
        <v>0.1</v>
      </c>
    </row>
    <row r="141" spans="1:2">
      <c r="A141" s="95" t="s">
        <v>254</v>
      </c>
      <c r="B141" s="96">
        <v>0.2</v>
      </c>
    </row>
    <row r="142" spans="1:2">
      <c r="A142" s="95" t="s">
        <v>255</v>
      </c>
      <c r="B142" s="96">
        <v>0.2</v>
      </c>
    </row>
    <row r="143" spans="1:2">
      <c r="A143" s="95" t="s">
        <v>256</v>
      </c>
      <c r="B143" s="96">
        <v>0.2</v>
      </c>
    </row>
    <row r="144" spans="1:2">
      <c r="A144" s="95" t="s">
        <v>257</v>
      </c>
      <c r="B144" s="96">
        <v>0.1</v>
      </c>
    </row>
    <row r="145" spans="1:2">
      <c r="A145" s="95" t="s">
        <v>258</v>
      </c>
      <c r="B145" s="96">
        <v>0.2</v>
      </c>
    </row>
    <row r="146" spans="1:2">
      <c r="B146" s="94"/>
    </row>
    <row r="147" spans="1:2">
      <c r="A147" s="87" t="s">
        <v>259</v>
      </c>
      <c r="B147" s="88">
        <v>12.4</v>
      </c>
    </row>
    <row r="148" spans="1:2">
      <c r="B148" s="94"/>
    </row>
    <row r="149" spans="1:2">
      <c r="A149" s="87" t="s">
        <v>260</v>
      </c>
      <c r="B149" s="88">
        <v>2.5</v>
      </c>
    </row>
    <row r="150" spans="1:2">
      <c r="A150" s="95" t="s">
        <v>261</v>
      </c>
      <c r="B150" s="96">
        <v>0.1</v>
      </c>
    </row>
    <row r="151" spans="1:2">
      <c r="A151" s="95" t="s">
        <v>262</v>
      </c>
      <c r="B151" s="96">
        <v>0.2</v>
      </c>
    </row>
    <row r="152" spans="1:2">
      <c r="A152" s="95" t="s">
        <v>263</v>
      </c>
      <c r="B152" s="96">
        <v>1.9</v>
      </c>
    </row>
    <row r="153" spans="1:2">
      <c r="A153" s="95" t="s">
        <v>264</v>
      </c>
      <c r="B153" s="96">
        <v>0.3</v>
      </c>
    </row>
    <row r="154" spans="1:2">
      <c r="B154" s="94"/>
    </row>
    <row r="155" spans="1:2">
      <c r="A155" s="87" t="s">
        <v>265</v>
      </c>
      <c r="B155" s="88">
        <v>1.7</v>
      </c>
    </row>
    <row r="156" spans="1:2">
      <c r="A156" s="95" t="s">
        <v>266</v>
      </c>
      <c r="B156" s="96">
        <v>0.1</v>
      </c>
    </row>
    <row r="157" spans="1:2">
      <c r="A157" s="95" t="s">
        <v>267</v>
      </c>
      <c r="B157" s="96">
        <v>0.1</v>
      </c>
    </row>
    <row r="158" spans="1:2">
      <c r="A158" s="95" t="s">
        <v>268</v>
      </c>
      <c r="B158" s="96">
        <v>0.1</v>
      </c>
    </row>
    <row r="159" spans="1:2">
      <c r="A159" s="95" t="s">
        <v>269</v>
      </c>
      <c r="B159" s="96">
        <v>0.1</v>
      </c>
    </row>
    <row r="160" spans="1:2">
      <c r="A160" s="95" t="s">
        <v>270</v>
      </c>
      <c r="B160" s="96">
        <v>0.3</v>
      </c>
    </row>
    <row r="161" spans="1:2">
      <c r="A161" s="95" t="s">
        <v>271</v>
      </c>
      <c r="B161" s="96">
        <v>0.1</v>
      </c>
    </row>
    <row r="162" spans="1:2">
      <c r="A162" s="95" t="s">
        <v>272</v>
      </c>
      <c r="B162" s="96">
        <v>0.7</v>
      </c>
    </row>
    <row r="163" spans="1:2">
      <c r="A163" s="95" t="s">
        <v>273</v>
      </c>
      <c r="B163" s="96">
        <v>0.1</v>
      </c>
    </row>
    <row r="164" spans="1:2">
      <c r="A164" s="95" t="s">
        <v>274</v>
      </c>
      <c r="B164" s="96">
        <v>0.1</v>
      </c>
    </row>
    <row r="165" spans="1:2">
      <c r="B165" s="94"/>
    </row>
    <row r="166" spans="1:2">
      <c r="A166" s="87" t="s">
        <v>275</v>
      </c>
      <c r="B166" s="88">
        <v>1.8</v>
      </c>
    </row>
    <row r="167" spans="1:2">
      <c r="A167" s="95" t="s">
        <v>276</v>
      </c>
      <c r="B167" s="96">
        <v>0.9</v>
      </c>
    </row>
    <row r="168" spans="1:2">
      <c r="A168" s="95" t="s">
        <v>277</v>
      </c>
      <c r="B168" s="96" t="s">
        <v>143</v>
      </c>
    </row>
    <row r="169" spans="1:2">
      <c r="A169" s="95" t="s">
        <v>278</v>
      </c>
      <c r="B169" s="96">
        <v>0.1</v>
      </c>
    </row>
    <row r="170" spans="1:2">
      <c r="A170" s="95" t="s">
        <v>279</v>
      </c>
      <c r="B170" s="96">
        <v>0.1</v>
      </c>
    </row>
    <row r="171" spans="1:2">
      <c r="A171" s="95" t="s">
        <v>280</v>
      </c>
      <c r="B171" s="96">
        <v>0.1</v>
      </c>
    </row>
    <row r="172" spans="1:2">
      <c r="A172" s="95" t="s">
        <v>281</v>
      </c>
      <c r="B172" s="96">
        <v>0.4</v>
      </c>
    </row>
    <row r="173" spans="1:2">
      <c r="A173" s="95" t="s">
        <v>282</v>
      </c>
      <c r="B173" s="96">
        <v>0.2</v>
      </c>
    </row>
    <row r="174" spans="1:2">
      <c r="B174" s="94"/>
    </row>
    <row r="175" spans="1:2">
      <c r="A175" s="87" t="s">
        <v>283</v>
      </c>
      <c r="B175" s="88">
        <v>5</v>
      </c>
    </row>
    <row r="176" spans="1:2">
      <c r="A176" s="95" t="s">
        <v>284</v>
      </c>
      <c r="B176" s="96">
        <v>1.1000000000000001</v>
      </c>
    </row>
    <row r="177" spans="1:25">
      <c r="A177" s="95" t="s">
        <v>285</v>
      </c>
      <c r="B177" s="96" t="s">
        <v>143</v>
      </c>
    </row>
    <row r="178" spans="1:25">
      <c r="A178" s="95" t="s">
        <v>286</v>
      </c>
      <c r="B178" s="96">
        <v>1.6</v>
      </c>
    </row>
    <row r="179" spans="1:25">
      <c r="A179" s="95" t="s">
        <v>287</v>
      </c>
      <c r="B179" s="96">
        <v>1.1000000000000001</v>
      </c>
    </row>
    <row r="180" spans="1:25">
      <c r="A180" s="95" t="s">
        <v>288</v>
      </c>
      <c r="B180" s="96">
        <v>1.2</v>
      </c>
    </row>
    <row r="181" spans="1:25">
      <c r="B181" s="94"/>
    </row>
    <row r="182" spans="1:25">
      <c r="A182" s="87" t="s">
        <v>289</v>
      </c>
      <c r="B182" s="88">
        <v>1.4</v>
      </c>
    </row>
    <row r="183" spans="1:25">
      <c r="A183" s="95" t="s">
        <v>290</v>
      </c>
      <c r="B183" s="96">
        <v>1.4</v>
      </c>
      <c r="Y183" s="92" t="s">
        <v>291</v>
      </c>
    </row>
    <row r="185" spans="1:25">
      <c r="A185" s="95" t="s">
        <v>292</v>
      </c>
      <c r="B185" s="99"/>
    </row>
    <row r="186" spans="1:25">
      <c r="A186" s="108"/>
      <c r="B186" s="110"/>
    </row>
    <row r="189" spans="1:25">
      <c r="A189" s="107"/>
    </row>
    <row r="190" spans="1:25">
      <c r="A190" s="19" t="s">
        <v>1009</v>
      </c>
    </row>
    <row r="313" spans="1:24">
      <c r="A313" s="92" t="s">
        <v>293</v>
      </c>
      <c r="X313" s="92" t="s">
        <v>141</v>
      </c>
    </row>
  </sheetData>
  <hyperlinks>
    <hyperlink ref="A190" location="'indice cap.4'!A1" display="regresar al índice"/>
  </hyperlinks>
  <printOptions horizontalCentered="1"/>
  <pageMargins left="0.70866141732283472" right="0.70866141732283472" top="0.15748031496062992" bottom="0.15748031496062992" header="0.31496062992125984" footer="0.31496062992125984"/>
  <pageSetup paperSize="9" scale="70" orientation="portrait" verticalDpi="599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41"/>
  <sheetViews>
    <sheetView showGridLines="0" zoomScaleNormal="100" workbookViewId="0">
      <selection sqref="A1:B1"/>
    </sheetView>
  </sheetViews>
  <sheetFormatPr baseColWidth="10" defaultRowHeight="12.75"/>
  <cols>
    <col min="1" max="1" width="45.7109375" style="92" customWidth="1"/>
    <col min="2" max="5" width="11.42578125" style="92"/>
    <col min="6" max="6" width="11.42578125" style="26"/>
    <col min="7" max="16384" width="11.42578125" style="92"/>
  </cols>
  <sheetData>
    <row r="1" spans="1:8" ht="15">
      <c r="A1" s="292" t="s">
        <v>1520</v>
      </c>
      <c r="B1" s="304"/>
      <c r="F1" s="92"/>
      <c r="H1" s="26"/>
    </row>
    <row r="2" spans="1:8">
      <c r="A2" s="292" t="s">
        <v>1497</v>
      </c>
      <c r="B2" s="292"/>
      <c r="F2" s="92"/>
      <c r="H2" s="26"/>
    </row>
    <row r="3" spans="1:8" ht="15">
      <c r="A3" s="335" t="s">
        <v>294</v>
      </c>
      <c r="B3" s="304"/>
      <c r="F3" s="92"/>
      <c r="H3" s="26"/>
    </row>
    <row r="4" spans="1:8">
      <c r="A4" s="101"/>
      <c r="B4" s="102"/>
      <c r="F4" s="92"/>
      <c r="H4" s="26"/>
    </row>
    <row r="5" spans="1:8">
      <c r="A5" s="87" t="s">
        <v>295</v>
      </c>
      <c r="B5" s="104">
        <v>41.8</v>
      </c>
      <c r="C5" s="103"/>
    </row>
    <row r="7" spans="1:8">
      <c r="A7" s="87" t="s">
        <v>296</v>
      </c>
      <c r="B7" s="104">
        <v>10.199999999999999</v>
      </c>
    </row>
    <row r="8" spans="1:8">
      <c r="A8" s="95" t="s">
        <v>297</v>
      </c>
      <c r="B8" s="105">
        <v>6.0791999999999993</v>
      </c>
    </row>
    <row r="9" spans="1:8">
      <c r="A9" s="95" t="s">
        <v>298</v>
      </c>
      <c r="B9" s="105">
        <v>0.83639999999999981</v>
      </c>
    </row>
    <row r="10" spans="1:8">
      <c r="A10" s="95" t="s">
        <v>145</v>
      </c>
      <c r="B10" s="105">
        <v>2.9273999999999996</v>
      </c>
    </row>
    <row r="11" spans="1:8">
      <c r="A11" s="95" t="s">
        <v>299</v>
      </c>
      <c r="B11" s="105">
        <v>0.35699999999999998</v>
      </c>
    </row>
    <row r="12" spans="1:8">
      <c r="B12" s="103"/>
    </row>
    <row r="13" spans="1:8">
      <c r="A13" s="87" t="s">
        <v>300</v>
      </c>
      <c r="B13" s="104">
        <v>6.8</v>
      </c>
    </row>
    <row r="14" spans="1:8">
      <c r="A14" s="95" t="s">
        <v>301</v>
      </c>
      <c r="B14" s="105">
        <v>4.0459999999999994</v>
      </c>
    </row>
    <row r="15" spans="1:8">
      <c r="A15" s="95" t="s">
        <v>302</v>
      </c>
      <c r="B15" s="105">
        <v>2.1556000000000002</v>
      </c>
    </row>
    <row r="16" spans="1:8">
      <c r="A16" s="95" t="s">
        <v>303</v>
      </c>
      <c r="B16" s="105">
        <v>0.59840000000000004</v>
      </c>
    </row>
    <row r="17" spans="1:2">
      <c r="B17" s="103"/>
    </row>
    <row r="18" spans="1:2">
      <c r="A18" s="87" t="s">
        <v>304</v>
      </c>
      <c r="B18" s="104">
        <v>0.5</v>
      </c>
    </row>
    <row r="19" spans="1:2">
      <c r="A19" s="95" t="s">
        <v>305</v>
      </c>
      <c r="B19" s="105">
        <v>0.222</v>
      </c>
    </row>
    <row r="20" spans="1:2">
      <c r="A20" s="95" t="s">
        <v>306</v>
      </c>
      <c r="B20" s="105">
        <v>0.27800000000000002</v>
      </c>
    </row>
    <row r="21" spans="1:2">
      <c r="B21" s="103"/>
    </row>
    <row r="22" spans="1:2">
      <c r="A22" s="87" t="s">
        <v>307</v>
      </c>
      <c r="B22" s="104">
        <v>2.9</v>
      </c>
    </row>
    <row r="23" spans="1:2">
      <c r="A23" s="95" t="s">
        <v>308</v>
      </c>
      <c r="B23" s="105">
        <v>1.9603999999999997</v>
      </c>
    </row>
    <row r="24" spans="1:2">
      <c r="A24" s="95" t="s">
        <v>309</v>
      </c>
      <c r="B24" s="105">
        <v>0.68440000000000001</v>
      </c>
    </row>
    <row r="25" spans="1:2">
      <c r="A25" s="95" t="s">
        <v>174</v>
      </c>
      <c r="B25" s="105">
        <v>0.25519999999999998</v>
      </c>
    </row>
    <row r="26" spans="1:2">
      <c r="B26" s="103"/>
    </row>
    <row r="27" spans="1:2">
      <c r="A27" s="87" t="s">
        <v>310</v>
      </c>
      <c r="B27" s="104">
        <v>6.1</v>
      </c>
    </row>
    <row r="28" spans="1:2">
      <c r="A28" s="95" t="s">
        <v>311</v>
      </c>
      <c r="B28" s="105">
        <v>4.6787000000000001</v>
      </c>
    </row>
    <row r="29" spans="1:2">
      <c r="A29" s="95" t="s">
        <v>312</v>
      </c>
      <c r="B29" s="105">
        <v>0.81129999999999991</v>
      </c>
    </row>
    <row r="30" spans="1:2">
      <c r="A30" s="95" t="s">
        <v>313</v>
      </c>
      <c r="B30" s="105">
        <v>0.61</v>
      </c>
    </row>
    <row r="31" spans="1:2">
      <c r="B31" s="103"/>
    </row>
    <row r="32" spans="1:2">
      <c r="A32" s="87" t="s">
        <v>314</v>
      </c>
      <c r="B32" s="104">
        <v>2.2999999999999998</v>
      </c>
    </row>
    <row r="33" spans="1:2">
      <c r="A33" s="95" t="s">
        <v>315</v>
      </c>
      <c r="B33" s="105">
        <v>0.24149999999999999</v>
      </c>
    </row>
    <row r="34" spans="1:2">
      <c r="A34" s="95" t="s">
        <v>160</v>
      </c>
      <c r="B34" s="105">
        <v>0.49680000000000002</v>
      </c>
    </row>
    <row r="35" spans="1:2">
      <c r="A35" s="95" t="s">
        <v>159</v>
      </c>
      <c r="B35" s="105">
        <v>0.2737</v>
      </c>
    </row>
    <row r="36" spans="1:2">
      <c r="A36" s="95" t="s">
        <v>316</v>
      </c>
      <c r="B36" s="105">
        <v>0.16329999999999997</v>
      </c>
    </row>
    <row r="37" spans="1:2">
      <c r="A37" s="95" t="s">
        <v>317</v>
      </c>
      <c r="B37" s="105">
        <v>7.5899999999999995E-2</v>
      </c>
    </row>
    <row r="38" spans="1:2">
      <c r="A38" s="95" t="s">
        <v>318</v>
      </c>
      <c r="B38" s="105">
        <v>0.28520000000000001</v>
      </c>
    </row>
    <row r="39" spans="1:2">
      <c r="A39" s="95" t="s">
        <v>319</v>
      </c>
      <c r="B39" s="105">
        <v>8.9699999999999988E-2</v>
      </c>
    </row>
    <row r="40" spans="1:2">
      <c r="A40" s="95" t="s">
        <v>320</v>
      </c>
      <c r="B40" s="105">
        <v>7.1300000000000002E-2</v>
      </c>
    </row>
    <row r="41" spans="1:2">
      <c r="A41" s="95" t="s">
        <v>321</v>
      </c>
      <c r="B41" s="105">
        <v>7.3599999999999999E-2</v>
      </c>
    </row>
    <row r="42" spans="1:2">
      <c r="A42" s="95" t="s">
        <v>322</v>
      </c>
      <c r="B42" s="105">
        <v>0.43699999999999994</v>
      </c>
    </row>
    <row r="43" spans="1:2">
      <c r="A43" s="95" t="s">
        <v>323</v>
      </c>
      <c r="B43" s="105">
        <v>9.1999999999999998E-2</v>
      </c>
    </row>
    <row r="44" spans="1:2">
      <c r="B44" s="103"/>
    </row>
    <row r="45" spans="1:2">
      <c r="A45" s="87" t="s">
        <v>324</v>
      </c>
      <c r="B45" s="104">
        <v>2.7</v>
      </c>
    </row>
    <row r="46" spans="1:2">
      <c r="A46" s="95" t="s">
        <v>325</v>
      </c>
      <c r="B46" s="105">
        <v>2.6109000000000004</v>
      </c>
    </row>
    <row r="47" spans="1:2">
      <c r="A47" s="95" t="s">
        <v>163</v>
      </c>
      <c r="B47" s="105">
        <v>8.9099999999999999E-2</v>
      </c>
    </row>
    <row r="48" spans="1:2">
      <c r="B48" s="103"/>
    </row>
    <row r="49" spans="1:2">
      <c r="A49" s="87" t="s">
        <v>326</v>
      </c>
      <c r="B49" s="104">
        <v>0.3</v>
      </c>
    </row>
    <row r="50" spans="1:2">
      <c r="A50" s="95" t="s">
        <v>327</v>
      </c>
      <c r="B50" s="105">
        <v>3.7199999999999997E-2</v>
      </c>
    </row>
    <row r="51" spans="1:2">
      <c r="A51" s="95" t="s">
        <v>169</v>
      </c>
      <c r="B51" s="105">
        <v>0.12299999999999998</v>
      </c>
    </row>
    <row r="52" spans="1:2">
      <c r="A52" s="95" t="s">
        <v>328</v>
      </c>
      <c r="B52" s="105">
        <v>4.8300000000000003E-2</v>
      </c>
    </row>
    <row r="53" spans="1:2">
      <c r="A53" s="95" t="s">
        <v>329</v>
      </c>
      <c r="B53" s="105">
        <v>9.1499999999999998E-2</v>
      </c>
    </row>
    <row r="54" spans="1:2">
      <c r="B54" s="103"/>
    </row>
    <row r="55" spans="1:2">
      <c r="A55" s="87" t="s">
        <v>330</v>
      </c>
      <c r="B55" s="104">
        <v>1.9</v>
      </c>
    </row>
    <row r="56" spans="1:2">
      <c r="A56" s="95" t="s">
        <v>331</v>
      </c>
      <c r="B56" s="105">
        <v>9.1199999999999989E-2</v>
      </c>
    </row>
    <row r="57" spans="1:2">
      <c r="A57" s="95" t="s">
        <v>332</v>
      </c>
      <c r="B57" s="105">
        <v>0.28689999999999999</v>
      </c>
    </row>
    <row r="58" spans="1:2">
      <c r="A58" s="95" t="s">
        <v>333</v>
      </c>
      <c r="B58" s="105">
        <v>0.33629999999999993</v>
      </c>
    </row>
    <row r="59" spans="1:2">
      <c r="A59" s="95" t="s">
        <v>334</v>
      </c>
      <c r="B59" s="105">
        <v>8.5499999999999993E-2</v>
      </c>
    </row>
    <row r="60" spans="1:2">
      <c r="A60" s="95" t="s">
        <v>335</v>
      </c>
      <c r="B60" s="105">
        <v>0.10639999999999999</v>
      </c>
    </row>
    <row r="61" spans="1:2">
      <c r="A61" s="95" t="s">
        <v>336</v>
      </c>
      <c r="B61" s="105">
        <v>0.81889999999999996</v>
      </c>
    </row>
    <row r="62" spans="1:2">
      <c r="A62" s="95" t="s">
        <v>337</v>
      </c>
      <c r="B62" s="105">
        <v>0.18049999999999999</v>
      </c>
    </row>
    <row r="63" spans="1:2">
      <c r="B63" s="103"/>
    </row>
    <row r="64" spans="1:2">
      <c r="A64" s="87" t="s">
        <v>338</v>
      </c>
      <c r="B64" s="104">
        <v>3.2</v>
      </c>
    </row>
    <row r="65" spans="1:2">
      <c r="A65" s="95" t="s">
        <v>339</v>
      </c>
      <c r="B65" s="105">
        <v>2.4960000000000004</v>
      </c>
    </row>
    <row r="66" spans="1:2">
      <c r="A66" s="95" t="s">
        <v>184</v>
      </c>
      <c r="B66" s="105">
        <v>0.27200000000000002</v>
      </c>
    </row>
    <row r="67" spans="1:2">
      <c r="A67" s="95" t="s">
        <v>187</v>
      </c>
      <c r="B67" s="105">
        <v>0.31360000000000005</v>
      </c>
    </row>
    <row r="68" spans="1:2">
      <c r="A68" s="95" t="s">
        <v>340</v>
      </c>
      <c r="B68" s="105">
        <v>0.13440000000000002</v>
      </c>
    </row>
    <row r="69" spans="1:2">
      <c r="B69" s="103"/>
    </row>
    <row r="70" spans="1:2">
      <c r="A70" s="87" t="s">
        <v>341</v>
      </c>
      <c r="B70" s="105"/>
    </row>
    <row r="71" spans="1:2">
      <c r="A71" s="87" t="s">
        <v>342</v>
      </c>
      <c r="B71" s="104">
        <v>1.8</v>
      </c>
    </row>
    <row r="72" spans="1:2">
      <c r="A72" s="95" t="s">
        <v>189</v>
      </c>
      <c r="B72" s="105">
        <v>0.87660000000000016</v>
      </c>
    </row>
    <row r="73" spans="1:2">
      <c r="A73" s="95" t="s">
        <v>343</v>
      </c>
      <c r="B73" s="105">
        <v>0.4824</v>
      </c>
    </row>
    <row r="74" spans="1:2">
      <c r="A74" s="95" t="s">
        <v>344</v>
      </c>
      <c r="B74" s="105">
        <v>0.20340000000000003</v>
      </c>
    </row>
    <row r="75" spans="1:2">
      <c r="A75" s="95" t="s">
        <v>345</v>
      </c>
      <c r="B75" s="105">
        <v>0.23759999999999998</v>
      </c>
    </row>
    <row r="76" spans="1:2">
      <c r="B76" s="103"/>
    </row>
    <row r="77" spans="1:2">
      <c r="A77" s="87" t="s">
        <v>346</v>
      </c>
      <c r="B77" s="104">
        <v>0.3</v>
      </c>
    </row>
    <row r="78" spans="1:2">
      <c r="A78" s="95" t="s">
        <v>347</v>
      </c>
      <c r="B78" s="105">
        <v>0.15389999999999998</v>
      </c>
    </row>
    <row r="79" spans="1:2">
      <c r="A79" s="95" t="s">
        <v>348</v>
      </c>
      <c r="B79" s="105">
        <v>7.8950699999999985E-2</v>
      </c>
    </row>
    <row r="80" spans="1:2">
      <c r="A80" s="95" t="s">
        <v>349</v>
      </c>
      <c r="B80" s="105">
        <v>4.0501709099999991E-2</v>
      </c>
    </row>
    <row r="81" spans="1:2">
      <c r="B81" s="103"/>
    </row>
    <row r="82" spans="1:2">
      <c r="A82" s="87" t="s">
        <v>350</v>
      </c>
      <c r="B82" s="104">
        <v>0.6</v>
      </c>
    </row>
    <row r="83" spans="1:2">
      <c r="A83" s="95" t="s">
        <v>351</v>
      </c>
      <c r="B83" s="105">
        <v>7.3800000000000004E-2</v>
      </c>
    </row>
    <row r="84" spans="1:2">
      <c r="A84" s="95" t="s">
        <v>352</v>
      </c>
      <c r="B84" s="105">
        <v>9.0774000000000011E-3</v>
      </c>
    </row>
    <row r="85" spans="1:2">
      <c r="A85" s="95" t="s">
        <v>353</v>
      </c>
      <c r="B85" s="105">
        <v>1.1165202000000003E-3</v>
      </c>
    </row>
    <row r="86" spans="1:2">
      <c r="B86" s="103"/>
    </row>
    <row r="87" spans="1:2">
      <c r="A87" s="87" t="s">
        <v>354</v>
      </c>
      <c r="B87" s="105"/>
    </row>
    <row r="88" spans="1:2">
      <c r="A88" s="87" t="s">
        <v>355</v>
      </c>
      <c r="B88" s="104">
        <v>2.2999999999999998</v>
      </c>
    </row>
    <row r="89" spans="1:2">
      <c r="A89" s="95" t="s">
        <v>356</v>
      </c>
      <c r="B89" s="105">
        <v>2.2999999999999998</v>
      </c>
    </row>
    <row r="90" spans="1:2">
      <c r="A90" s="95" t="s">
        <v>357</v>
      </c>
      <c r="B90" s="105"/>
    </row>
    <row r="91" spans="1:2">
      <c r="B91" s="103"/>
    </row>
    <row r="92" spans="1:2">
      <c r="A92" s="87" t="s">
        <v>358</v>
      </c>
      <c r="B92" s="104">
        <v>19.7</v>
      </c>
    </row>
    <row r="93" spans="1:2">
      <c r="B93" s="103"/>
    </row>
    <row r="94" spans="1:2">
      <c r="A94" s="87" t="s">
        <v>359</v>
      </c>
      <c r="B94" s="104">
        <v>9</v>
      </c>
    </row>
    <row r="95" spans="1:2">
      <c r="A95" s="95" t="s">
        <v>359</v>
      </c>
      <c r="B95" s="105">
        <v>9</v>
      </c>
    </row>
    <row r="96" spans="1:2">
      <c r="B96" s="103"/>
    </row>
    <row r="97" spans="1:5">
      <c r="A97" s="87" t="s">
        <v>360</v>
      </c>
      <c r="B97" s="104">
        <v>0.3</v>
      </c>
    </row>
    <row r="98" spans="1:5">
      <c r="A98" s="95" t="s">
        <v>360</v>
      </c>
      <c r="B98" s="105">
        <v>0.3</v>
      </c>
    </row>
    <row r="99" spans="1:5">
      <c r="B99" s="103"/>
    </row>
    <row r="100" spans="1:5">
      <c r="A100" s="87" t="s">
        <v>361</v>
      </c>
      <c r="B100" s="104">
        <v>4.0999999999999996</v>
      </c>
    </row>
    <row r="101" spans="1:5">
      <c r="A101" s="95" t="s">
        <v>362</v>
      </c>
      <c r="B101" s="105">
        <v>0.1517</v>
      </c>
    </row>
    <row r="102" spans="1:5">
      <c r="A102" s="95" t="s">
        <v>241</v>
      </c>
      <c r="B102" s="105">
        <v>1.9925999999999999</v>
      </c>
    </row>
    <row r="103" spans="1:5">
      <c r="A103" s="95" t="s">
        <v>242</v>
      </c>
      <c r="B103" s="105">
        <v>0.13939999999999997</v>
      </c>
    </row>
    <row r="104" spans="1:5">
      <c r="A104" s="95" t="s">
        <v>363</v>
      </c>
      <c r="B104" s="105">
        <v>1.5333999999999997</v>
      </c>
      <c r="D104" s="26"/>
    </row>
    <row r="105" spans="1:5">
      <c r="A105" s="95" t="s">
        <v>262</v>
      </c>
      <c r="B105" s="105">
        <v>0.36899999999999999</v>
      </c>
    </row>
    <row r="106" spans="1:5">
      <c r="B106" s="103"/>
    </row>
    <row r="107" spans="1:5">
      <c r="A107" s="87" t="s">
        <v>364</v>
      </c>
      <c r="B107" s="104">
        <v>3.5</v>
      </c>
    </row>
    <row r="108" spans="1:5">
      <c r="A108" s="95" t="s">
        <v>365</v>
      </c>
      <c r="B108" s="105">
        <v>0.16449999999999998</v>
      </c>
      <c r="E108" s="26"/>
    </row>
    <row r="109" spans="1:5">
      <c r="A109" s="95" t="s">
        <v>366</v>
      </c>
      <c r="B109" s="105">
        <v>0.40600000000000003</v>
      </c>
      <c r="D109" s="26"/>
    </row>
    <row r="110" spans="1:5">
      <c r="A110" s="95" t="s">
        <v>367</v>
      </c>
      <c r="B110" s="105">
        <v>1.1795000000000002</v>
      </c>
    </row>
    <row r="111" spans="1:5">
      <c r="A111" s="95" t="s">
        <v>368</v>
      </c>
      <c r="B111" s="105">
        <v>0.1225</v>
      </c>
    </row>
    <row r="112" spans="1:5">
      <c r="A112" s="95" t="s">
        <v>369</v>
      </c>
      <c r="B112" s="105">
        <v>0.10150000000000001</v>
      </c>
    </row>
    <row r="113" spans="1:2">
      <c r="A113" s="95" t="s">
        <v>370</v>
      </c>
      <c r="B113" s="105">
        <v>0.10150000000000001</v>
      </c>
    </row>
    <row r="114" spans="1:2">
      <c r="A114" s="95" t="s">
        <v>371</v>
      </c>
      <c r="B114" s="105">
        <v>1.4454999999999998</v>
      </c>
    </row>
    <row r="115" spans="1:2">
      <c r="B115" s="103"/>
    </row>
    <row r="116" spans="1:2">
      <c r="A116" s="87" t="s">
        <v>372</v>
      </c>
      <c r="B116" s="104">
        <v>0.8</v>
      </c>
    </row>
    <row r="117" spans="1:2">
      <c r="A117" s="95" t="s">
        <v>373</v>
      </c>
      <c r="B117" s="105">
        <v>3.7600000000000001E-2</v>
      </c>
    </row>
    <row r="118" spans="1:2">
      <c r="A118" s="95" t="s">
        <v>374</v>
      </c>
      <c r="B118" s="105">
        <v>4.24E-2</v>
      </c>
    </row>
    <row r="119" spans="1:2">
      <c r="A119" s="95" t="s">
        <v>375</v>
      </c>
      <c r="B119" s="105">
        <v>9.4400000000000012E-2</v>
      </c>
    </row>
    <row r="120" spans="1:2">
      <c r="A120" s="95" t="s">
        <v>376</v>
      </c>
      <c r="B120" s="105">
        <v>0.32319999999999999</v>
      </c>
    </row>
    <row r="121" spans="1:2">
      <c r="A121" s="95" t="s">
        <v>377</v>
      </c>
      <c r="B121" s="105">
        <v>0.16</v>
      </c>
    </row>
    <row r="122" spans="1:2">
      <c r="A122" s="95" t="s">
        <v>378</v>
      </c>
      <c r="B122" s="105">
        <v>0.14240000000000003</v>
      </c>
    </row>
    <row r="123" spans="1:2">
      <c r="B123" s="103"/>
    </row>
    <row r="124" spans="1:2">
      <c r="A124" s="87" t="s">
        <v>379</v>
      </c>
      <c r="B124" s="104">
        <v>0.7</v>
      </c>
    </row>
    <row r="125" spans="1:2">
      <c r="A125" s="95" t="s">
        <v>380</v>
      </c>
      <c r="B125" s="105">
        <v>8.3999999999999991E-2</v>
      </c>
    </row>
    <row r="126" spans="1:2">
      <c r="A126" s="95" t="s">
        <v>381</v>
      </c>
      <c r="B126" s="105">
        <v>8.3999999999999991E-2</v>
      </c>
    </row>
    <row r="127" spans="1:2">
      <c r="A127" s="95" t="s">
        <v>382</v>
      </c>
      <c r="B127" s="105">
        <v>4.7599999999999996E-2</v>
      </c>
    </row>
    <row r="128" spans="1:2">
      <c r="A128" s="95" t="s">
        <v>383</v>
      </c>
      <c r="B128" s="105">
        <v>0.17919999999999997</v>
      </c>
    </row>
    <row r="129" spans="1:2">
      <c r="A129" s="95" t="s">
        <v>384</v>
      </c>
      <c r="B129" s="105">
        <v>6.0899999999999989E-2</v>
      </c>
    </row>
    <row r="130" spans="1:2">
      <c r="A130" s="95" t="s">
        <v>385</v>
      </c>
      <c r="B130" s="105">
        <v>0.2016</v>
      </c>
    </row>
    <row r="131" spans="1:2">
      <c r="A131" s="95" t="s">
        <v>386</v>
      </c>
      <c r="B131" s="105">
        <v>5.8100000000000006E-2</v>
      </c>
    </row>
    <row r="132" spans="1:2">
      <c r="B132" s="103"/>
    </row>
    <row r="133" spans="1:2">
      <c r="A133" s="87" t="s">
        <v>387</v>
      </c>
      <c r="B133" s="104">
        <v>0.9</v>
      </c>
    </row>
    <row r="134" spans="1:2">
      <c r="A134" s="95" t="s">
        <v>388</v>
      </c>
      <c r="B134" s="105">
        <v>0.34740000000000004</v>
      </c>
    </row>
    <row r="135" spans="1:2">
      <c r="A135" s="95" t="s">
        <v>389</v>
      </c>
      <c r="B135" s="105">
        <v>7.2900000000000006E-2</v>
      </c>
    </row>
    <row r="136" spans="1:2">
      <c r="A136" s="95" t="s">
        <v>390</v>
      </c>
      <c r="B136" s="105">
        <v>9.9000000000000005E-2</v>
      </c>
    </row>
    <row r="137" spans="1:2">
      <c r="A137" s="95" t="s">
        <v>391</v>
      </c>
      <c r="B137" s="105">
        <v>7.8299999999999995E-2</v>
      </c>
    </row>
    <row r="138" spans="1:2">
      <c r="A138" s="95" t="s">
        <v>392</v>
      </c>
      <c r="B138" s="105">
        <v>0.18629999999999999</v>
      </c>
    </row>
    <row r="139" spans="1:2">
      <c r="A139" s="95" t="s">
        <v>393</v>
      </c>
      <c r="B139" s="105">
        <v>4.1399999999999999E-2</v>
      </c>
    </row>
    <row r="140" spans="1:2">
      <c r="A140" s="95" t="s">
        <v>394</v>
      </c>
      <c r="B140" s="105">
        <v>8.4600000000000009E-2</v>
      </c>
    </row>
    <row r="141" spans="1:2">
      <c r="B141" s="103"/>
    </row>
    <row r="142" spans="1:2">
      <c r="A142" s="87" t="s">
        <v>395</v>
      </c>
      <c r="B142" s="104">
        <v>0.4</v>
      </c>
    </row>
    <row r="143" spans="1:2">
      <c r="A143" s="95" t="s">
        <v>396</v>
      </c>
      <c r="B143" s="105">
        <v>6.2400000000000004E-2</v>
      </c>
    </row>
    <row r="144" spans="1:2">
      <c r="A144" s="95" t="s">
        <v>397</v>
      </c>
      <c r="B144" s="105">
        <v>0.2</v>
      </c>
    </row>
    <row r="145" spans="1:4">
      <c r="A145" s="95" t="s">
        <v>398</v>
      </c>
      <c r="B145" s="105">
        <v>0.11200000000000002</v>
      </c>
    </row>
    <row r="146" spans="1:4">
      <c r="A146" s="95" t="s">
        <v>399</v>
      </c>
      <c r="B146" s="105">
        <v>3.32E-2</v>
      </c>
      <c r="D146" s="26"/>
    </row>
    <row r="147" spans="1:4">
      <c r="B147" s="103"/>
    </row>
    <row r="148" spans="1:4">
      <c r="A148" s="87" t="s">
        <v>400</v>
      </c>
      <c r="B148" s="104">
        <v>17.399999999999999</v>
      </c>
    </row>
    <row r="149" spans="1:4">
      <c r="B149" s="103"/>
    </row>
    <row r="150" spans="1:4">
      <c r="A150" s="87" t="s">
        <v>401</v>
      </c>
      <c r="B150" s="104">
        <v>3.7</v>
      </c>
    </row>
    <row r="151" spans="1:4">
      <c r="A151" s="95" t="s">
        <v>402</v>
      </c>
      <c r="B151" s="105">
        <v>0.85840000000000005</v>
      </c>
    </row>
    <row r="152" spans="1:4">
      <c r="A152" s="95" t="s">
        <v>403</v>
      </c>
      <c r="B152" s="105">
        <v>0.40700000000000003</v>
      </c>
    </row>
    <row r="153" spans="1:4">
      <c r="A153" s="95" t="s">
        <v>404</v>
      </c>
      <c r="B153" s="105">
        <v>0.26640000000000003</v>
      </c>
    </row>
    <row r="154" spans="1:4">
      <c r="A154" s="95" t="s">
        <v>405</v>
      </c>
      <c r="B154" s="105">
        <v>0.55500000000000005</v>
      </c>
    </row>
    <row r="155" spans="1:4">
      <c r="A155" s="95" t="s">
        <v>406</v>
      </c>
      <c r="B155" s="105">
        <v>0.95090000000000008</v>
      </c>
    </row>
    <row r="156" spans="1:4">
      <c r="A156" s="95" t="s">
        <v>407</v>
      </c>
      <c r="B156" s="105">
        <v>9.9900000000000017E-2</v>
      </c>
    </row>
    <row r="157" spans="1:4">
      <c r="A157" s="95" t="s">
        <v>408</v>
      </c>
      <c r="B157" s="105">
        <v>0.33300000000000002</v>
      </c>
    </row>
    <row r="158" spans="1:4">
      <c r="A158" s="95" t="s">
        <v>409</v>
      </c>
      <c r="B158" s="105">
        <v>0.41070000000000001</v>
      </c>
    </row>
    <row r="159" spans="1:4">
      <c r="B159" s="103"/>
    </row>
    <row r="160" spans="1:4">
      <c r="A160" s="87" t="s">
        <v>410</v>
      </c>
      <c r="B160" s="104">
        <v>6.7</v>
      </c>
    </row>
    <row r="161" spans="1:2">
      <c r="A161" s="95" t="s">
        <v>411</v>
      </c>
      <c r="B161" s="105">
        <v>1.675</v>
      </c>
    </row>
    <row r="162" spans="1:2">
      <c r="A162" s="95" t="s">
        <v>412</v>
      </c>
      <c r="B162" s="105">
        <v>0.93130000000000013</v>
      </c>
    </row>
    <row r="163" spans="1:2">
      <c r="A163" s="95" t="s">
        <v>413</v>
      </c>
      <c r="B163" s="105">
        <v>0.38190000000000007</v>
      </c>
    </row>
    <row r="164" spans="1:2">
      <c r="A164" s="95" t="s">
        <v>414</v>
      </c>
      <c r="B164" s="105">
        <v>0.17420000000000002</v>
      </c>
    </row>
    <row r="165" spans="1:2">
      <c r="A165" s="95" t="s">
        <v>415</v>
      </c>
      <c r="B165" s="105">
        <v>0.28139999999999998</v>
      </c>
    </row>
    <row r="166" spans="1:2">
      <c r="A166" s="95" t="s">
        <v>416</v>
      </c>
      <c r="B166" s="105">
        <v>0.89780000000000004</v>
      </c>
    </row>
    <row r="167" spans="1:2">
      <c r="A167" s="95" t="s">
        <v>417</v>
      </c>
      <c r="B167" s="105">
        <v>0.32830000000000004</v>
      </c>
    </row>
    <row r="168" spans="1:2">
      <c r="A168" s="95" t="s">
        <v>418</v>
      </c>
      <c r="B168" s="105">
        <v>0.20093300000000003</v>
      </c>
    </row>
    <row r="169" spans="1:2">
      <c r="A169" s="95" t="s">
        <v>419</v>
      </c>
      <c r="B169" s="105">
        <v>0.32830000000000004</v>
      </c>
    </row>
    <row r="170" spans="1:2">
      <c r="A170" s="95" t="s">
        <v>420</v>
      </c>
      <c r="B170" s="105">
        <v>1.5544</v>
      </c>
    </row>
    <row r="171" spans="1:2">
      <c r="B171" s="103"/>
    </row>
    <row r="172" spans="1:2">
      <c r="A172" s="87" t="s">
        <v>421</v>
      </c>
      <c r="B172" s="104">
        <v>6.6</v>
      </c>
    </row>
    <row r="173" spans="1:2">
      <c r="A173" s="95" t="s">
        <v>422</v>
      </c>
      <c r="B173" s="105">
        <v>1.056</v>
      </c>
    </row>
    <row r="174" spans="1:2">
      <c r="A174" s="95" t="s">
        <v>423</v>
      </c>
      <c r="B174" s="105">
        <v>0.33</v>
      </c>
    </row>
    <row r="175" spans="1:2">
      <c r="A175" s="95" t="s">
        <v>424</v>
      </c>
      <c r="B175" s="105">
        <v>0.39599999999999996</v>
      </c>
    </row>
    <row r="176" spans="1:2">
      <c r="A176" s="95" t="s">
        <v>425</v>
      </c>
      <c r="B176" s="105">
        <v>0.68640000000000001</v>
      </c>
    </row>
    <row r="177" spans="1:2">
      <c r="A177" s="95" t="s">
        <v>426</v>
      </c>
      <c r="B177" s="105">
        <v>0.94379999999999997</v>
      </c>
    </row>
    <row r="178" spans="1:2">
      <c r="A178" s="95" t="s">
        <v>427</v>
      </c>
      <c r="B178" s="105">
        <v>0.38279999999999992</v>
      </c>
    </row>
    <row r="179" spans="1:2">
      <c r="A179" s="95" t="s">
        <v>428</v>
      </c>
      <c r="B179" s="105">
        <v>0.26400000000000001</v>
      </c>
    </row>
    <row r="180" spans="1:2">
      <c r="A180" s="95" t="s">
        <v>429</v>
      </c>
      <c r="B180" s="105">
        <v>0.43559999999999993</v>
      </c>
    </row>
    <row r="181" spans="1:2">
      <c r="A181" s="95" t="s">
        <v>430</v>
      </c>
      <c r="B181" s="105">
        <v>0.77219999999999989</v>
      </c>
    </row>
    <row r="182" spans="1:2">
      <c r="A182" s="95" t="s">
        <v>431</v>
      </c>
      <c r="B182" s="105">
        <v>1.5246000000000002</v>
      </c>
    </row>
    <row r="183" spans="1:2">
      <c r="B183" s="103"/>
    </row>
    <row r="184" spans="1:2">
      <c r="A184" s="87" t="s">
        <v>432</v>
      </c>
      <c r="B184" s="104">
        <v>0.4</v>
      </c>
    </row>
    <row r="185" spans="1:2">
      <c r="A185" s="95" t="s">
        <v>433</v>
      </c>
      <c r="B185" s="105">
        <v>6.8000000000000005E-2</v>
      </c>
    </row>
    <row r="186" spans="1:2">
      <c r="A186" s="95" t="s">
        <v>434</v>
      </c>
      <c r="B186" s="105">
        <v>0.19159999999999999</v>
      </c>
    </row>
    <row r="187" spans="1:2">
      <c r="A187" s="95" t="s">
        <v>426</v>
      </c>
      <c r="B187" s="105">
        <v>6.8000000000000005E-2</v>
      </c>
    </row>
    <row r="188" spans="1:2">
      <c r="A188" s="95" t="s">
        <v>435</v>
      </c>
      <c r="B188" s="105">
        <v>0.02</v>
      </c>
    </row>
    <row r="189" spans="1:2">
      <c r="A189" s="95" t="s">
        <v>436</v>
      </c>
      <c r="B189" s="105">
        <v>2.12E-2</v>
      </c>
    </row>
    <row r="190" spans="1:2">
      <c r="A190" s="95" t="s">
        <v>437</v>
      </c>
      <c r="B190" s="105">
        <v>3.3600000000000005E-2</v>
      </c>
    </row>
    <row r="191" spans="1:2">
      <c r="B191" s="103"/>
    </row>
    <row r="192" spans="1:2">
      <c r="A192" s="87" t="s">
        <v>438</v>
      </c>
      <c r="B192" s="104">
        <v>20.9</v>
      </c>
    </row>
    <row r="193" spans="1:2">
      <c r="B193" s="103"/>
    </row>
    <row r="194" spans="1:2">
      <c r="A194" s="87" t="s">
        <v>439</v>
      </c>
      <c r="B194" s="104">
        <v>2.8</v>
      </c>
    </row>
    <row r="195" spans="1:2">
      <c r="A195" s="95" t="s">
        <v>440</v>
      </c>
      <c r="B195" s="105">
        <v>0.308</v>
      </c>
    </row>
    <row r="196" spans="1:2">
      <c r="A196" s="95" t="s">
        <v>441</v>
      </c>
      <c r="B196" s="105">
        <v>0.3024</v>
      </c>
    </row>
    <row r="197" spans="1:2">
      <c r="A197" s="95" t="s">
        <v>442</v>
      </c>
      <c r="B197" s="105">
        <v>0.38359999999999994</v>
      </c>
    </row>
    <row r="198" spans="1:2">
      <c r="A198" s="95" t="s">
        <v>443</v>
      </c>
      <c r="B198" s="105">
        <v>1.8171999999999999</v>
      </c>
    </row>
    <row r="199" spans="1:2">
      <c r="B199" s="103"/>
    </row>
    <row r="200" spans="1:2">
      <c r="A200" s="87" t="s">
        <v>444</v>
      </c>
      <c r="B200" s="104">
        <v>2.6</v>
      </c>
    </row>
    <row r="201" spans="1:2">
      <c r="A201" s="95" t="s">
        <v>445</v>
      </c>
      <c r="B201" s="105">
        <v>0.35100000000000003</v>
      </c>
    </row>
    <row r="202" spans="1:2">
      <c r="A202" s="95" t="s">
        <v>446</v>
      </c>
      <c r="B202" s="105">
        <v>0.6552</v>
      </c>
    </row>
    <row r="203" spans="1:2">
      <c r="A203" s="95" t="s">
        <v>276</v>
      </c>
      <c r="B203" s="105">
        <v>0.76700000000000002</v>
      </c>
    </row>
    <row r="204" spans="1:2">
      <c r="A204" s="95" t="s">
        <v>447</v>
      </c>
      <c r="B204" s="105">
        <v>0.1638</v>
      </c>
    </row>
    <row r="205" spans="1:2">
      <c r="A205" s="95" t="s">
        <v>448</v>
      </c>
      <c r="B205" s="105">
        <v>0.182</v>
      </c>
    </row>
    <row r="206" spans="1:2">
      <c r="A206" s="95" t="s">
        <v>449</v>
      </c>
      <c r="B206" s="105">
        <v>0.54600000000000004</v>
      </c>
    </row>
    <row r="207" spans="1:2">
      <c r="B207" s="103"/>
    </row>
    <row r="208" spans="1:2">
      <c r="A208" s="87" t="s">
        <v>450</v>
      </c>
      <c r="B208" s="104">
        <v>3.6</v>
      </c>
    </row>
    <row r="209" spans="1:2">
      <c r="A209" s="95" t="s">
        <v>451</v>
      </c>
      <c r="B209" s="105">
        <v>1.3536000000000001</v>
      </c>
    </row>
    <row r="210" spans="1:2">
      <c r="A210" s="95" t="s">
        <v>452</v>
      </c>
      <c r="B210" s="105">
        <v>0.32400000000000001</v>
      </c>
    </row>
    <row r="211" spans="1:2">
      <c r="A211" s="95" t="s">
        <v>453</v>
      </c>
      <c r="B211" s="105">
        <v>0.38880000000000003</v>
      </c>
    </row>
    <row r="212" spans="1:2">
      <c r="A212" s="95" t="s">
        <v>454</v>
      </c>
      <c r="B212" s="105">
        <v>0.48599999999999999</v>
      </c>
    </row>
    <row r="213" spans="1:2">
      <c r="A213" s="95" t="s">
        <v>455</v>
      </c>
      <c r="B213" s="105"/>
    </row>
    <row r="214" spans="1:2">
      <c r="A214" s="95" t="s">
        <v>456</v>
      </c>
      <c r="B214" s="105">
        <v>0.60839999999999994</v>
      </c>
    </row>
    <row r="215" spans="1:2">
      <c r="A215" s="95" t="s">
        <v>457</v>
      </c>
      <c r="B215" s="105">
        <v>0.48599999999999999</v>
      </c>
    </row>
    <row r="216" spans="1:2">
      <c r="B216" s="103"/>
    </row>
    <row r="217" spans="1:2">
      <c r="A217" s="87" t="s">
        <v>458</v>
      </c>
      <c r="B217" s="104">
        <v>0.8</v>
      </c>
    </row>
    <row r="218" spans="1:2">
      <c r="A218" s="95" t="s">
        <v>459</v>
      </c>
      <c r="B218" s="105">
        <v>0.8</v>
      </c>
    </row>
    <row r="219" spans="1:2">
      <c r="B219" s="103"/>
    </row>
    <row r="220" spans="1:2">
      <c r="A220" s="87" t="s">
        <v>21</v>
      </c>
      <c r="B220" s="104">
        <v>3</v>
      </c>
    </row>
    <row r="221" spans="1:2">
      <c r="A221" s="95" t="s">
        <v>460</v>
      </c>
      <c r="B221" s="105">
        <v>0.73529411764705888</v>
      </c>
    </row>
    <row r="222" spans="1:2">
      <c r="A222" s="95" t="s">
        <v>461</v>
      </c>
      <c r="B222" s="105">
        <v>1.0911764705882354</v>
      </c>
    </row>
    <row r="223" spans="1:2">
      <c r="A223" s="95" t="s">
        <v>462</v>
      </c>
      <c r="B223" s="105">
        <v>1.1735294117647057</v>
      </c>
    </row>
    <row r="224" spans="1:2">
      <c r="B224" s="103"/>
    </row>
    <row r="225" spans="1:2">
      <c r="A225" s="87" t="s">
        <v>463</v>
      </c>
      <c r="B225" s="104">
        <v>3.6</v>
      </c>
    </row>
    <row r="226" spans="1:2">
      <c r="A226" s="95" t="s">
        <v>464</v>
      </c>
      <c r="B226" s="105">
        <v>2.9988000000000001</v>
      </c>
    </row>
    <row r="227" spans="1:2">
      <c r="A227" s="95" t="s">
        <v>465</v>
      </c>
      <c r="B227" s="105">
        <v>0.61199999999999999</v>
      </c>
    </row>
    <row r="228" spans="1:2">
      <c r="B228" s="103"/>
    </row>
    <row r="229" spans="1:2">
      <c r="A229" s="87" t="s">
        <v>29</v>
      </c>
      <c r="B229" s="104">
        <v>0.5</v>
      </c>
    </row>
    <row r="230" spans="1:2">
      <c r="A230" s="95" t="s">
        <v>466</v>
      </c>
      <c r="B230" s="105">
        <v>0.125</v>
      </c>
    </row>
    <row r="231" spans="1:2">
      <c r="A231" s="95" t="s">
        <v>467</v>
      </c>
      <c r="B231" s="105">
        <v>0.39350000000000002</v>
      </c>
    </row>
    <row r="232" spans="1:2">
      <c r="B232" s="103"/>
    </row>
    <row r="233" spans="1:2">
      <c r="A233" s="87" t="s">
        <v>468</v>
      </c>
      <c r="B233" s="104">
        <v>4</v>
      </c>
    </row>
    <row r="234" spans="1:2">
      <c r="A234" s="95" t="s">
        <v>469</v>
      </c>
      <c r="B234" s="105">
        <v>2.5490196078431371</v>
      </c>
    </row>
    <row r="235" spans="1:2">
      <c r="A235" s="95" t="s">
        <v>470</v>
      </c>
      <c r="B235" s="105">
        <v>0.74509803921568629</v>
      </c>
    </row>
    <row r="236" spans="1:2">
      <c r="A236" s="95" t="s">
        <v>471</v>
      </c>
      <c r="B236" s="105">
        <v>0.70588235294117652</v>
      </c>
    </row>
    <row r="237" spans="1:2">
      <c r="A237" s="108"/>
      <c r="B237" s="109"/>
    </row>
    <row r="240" spans="1:2">
      <c r="A240" s="107"/>
    </row>
    <row r="241" spans="1:1">
      <c r="A241" s="19" t="s">
        <v>1009</v>
      </c>
    </row>
  </sheetData>
  <mergeCells count="3">
    <mergeCell ref="A1:B1"/>
    <mergeCell ref="A2:B2"/>
    <mergeCell ref="A3:B3"/>
  </mergeCells>
  <hyperlinks>
    <hyperlink ref="A241" location="'indice cap.4'!A1" display="regresar al índice"/>
  </hyperlinks>
  <printOptions horizontalCentered="1"/>
  <pageMargins left="0.70866141732283472" right="0.70866141732283472" top="0.15748031496062992" bottom="0.15748031496062992" header="0.31496062992125984" footer="0.31496062992125984"/>
  <pageSetup paperSize="9" orientation="portrait" verticalDpi="599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R488"/>
  <sheetViews>
    <sheetView showGridLines="0" workbookViewId="0">
      <selection sqref="A1:B1"/>
    </sheetView>
  </sheetViews>
  <sheetFormatPr baseColWidth="10" defaultColWidth="11" defaultRowHeight="12.75"/>
  <cols>
    <col min="1" max="1" width="45.7109375" style="92" customWidth="1"/>
    <col min="2" max="2" width="11" style="125"/>
    <col min="3" max="16384" width="11" style="92"/>
  </cols>
  <sheetData>
    <row r="1" spans="1:252" ht="12.75" customHeight="1">
      <c r="A1" s="292" t="s">
        <v>1521</v>
      </c>
      <c r="B1" s="292"/>
    </row>
    <row r="2" spans="1:252">
      <c r="A2" s="292" t="s">
        <v>1497</v>
      </c>
      <c r="B2" s="292"/>
    </row>
    <row r="3" spans="1:252" ht="15">
      <c r="A3" s="335" t="s">
        <v>472</v>
      </c>
      <c r="B3" s="336"/>
    </row>
    <row r="4" spans="1:252" ht="14.25" customHeight="1">
      <c r="A4" s="10"/>
      <c r="B4" s="117"/>
    </row>
    <row r="5" spans="1:252" ht="14.25" customHeight="1">
      <c r="A5" s="126" t="s">
        <v>295</v>
      </c>
      <c r="B5" s="127">
        <v>39.5976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</row>
    <row r="6" spans="1:252" ht="14.25" customHeight="1">
      <c r="A6" s="118"/>
      <c r="B6" s="121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</row>
    <row r="7" spans="1:252" ht="14.25" customHeight="1">
      <c r="A7" s="126" t="s">
        <v>296</v>
      </c>
      <c r="B7" s="127">
        <v>6.7236000000000002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3"/>
      <c r="EA7" s="123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</row>
    <row r="8" spans="1:252">
      <c r="A8" s="128" t="s">
        <v>473</v>
      </c>
      <c r="B8" s="129">
        <v>4.1020000000000003</v>
      </c>
    </row>
    <row r="9" spans="1:252">
      <c r="A9" s="128" t="s">
        <v>474</v>
      </c>
      <c r="B9" s="129">
        <v>7.7100000000000002E-2</v>
      </c>
    </row>
    <row r="10" spans="1:252">
      <c r="A10" s="128" t="s">
        <v>475</v>
      </c>
      <c r="B10" s="129">
        <v>0.56669999999999998</v>
      </c>
    </row>
    <row r="11" spans="1:252">
      <c r="A11" s="128" t="s">
        <v>476</v>
      </c>
      <c r="B11" s="129">
        <v>6.8499999999999991E-2</v>
      </c>
    </row>
    <row r="12" spans="1:252">
      <c r="A12" s="128" t="s">
        <v>155</v>
      </c>
      <c r="B12" s="129">
        <v>6.7900000000000002E-2</v>
      </c>
    </row>
    <row r="13" spans="1:252">
      <c r="A13" s="128" t="s">
        <v>477</v>
      </c>
      <c r="B13" s="129">
        <v>1.8413999999999999</v>
      </c>
    </row>
    <row r="14" spans="1:252">
      <c r="A14" s="122"/>
      <c r="B14" s="121"/>
    </row>
    <row r="15" spans="1:252">
      <c r="A15" s="126" t="s">
        <v>478</v>
      </c>
      <c r="B15" s="127">
        <v>7.7533000000000003</v>
      </c>
    </row>
    <row r="16" spans="1:252">
      <c r="A16" s="128" t="s">
        <v>479</v>
      </c>
      <c r="B16" s="129">
        <v>2.3149999999999999</v>
      </c>
    </row>
    <row r="17" spans="1:2">
      <c r="A17" s="128" t="s">
        <v>302</v>
      </c>
      <c r="B17" s="129">
        <v>4.1049000000000007</v>
      </c>
    </row>
    <row r="18" spans="1:2">
      <c r="A18" s="128" t="s">
        <v>480</v>
      </c>
      <c r="B18" s="129">
        <v>0.11950000000000001</v>
      </c>
    </row>
    <row r="19" spans="1:2">
      <c r="A19" s="128" t="s">
        <v>481</v>
      </c>
      <c r="B19" s="129">
        <v>1.2139</v>
      </c>
    </row>
    <row r="20" spans="1:2">
      <c r="A20" s="122"/>
      <c r="B20" s="121"/>
    </row>
    <row r="21" spans="1:2">
      <c r="A21" s="126" t="s">
        <v>304</v>
      </c>
      <c r="B21" s="127">
        <v>1.9904999999999999</v>
      </c>
    </row>
    <row r="22" spans="1:2">
      <c r="A22" s="128" t="s">
        <v>142</v>
      </c>
      <c r="B22" s="129">
        <v>0.57679999999999998</v>
      </c>
    </row>
    <row r="23" spans="1:2">
      <c r="A23" s="128" t="s">
        <v>482</v>
      </c>
      <c r="B23" s="129">
        <v>0.20240000000000002</v>
      </c>
    </row>
    <row r="24" spans="1:2">
      <c r="A24" s="128" t="s">
        <v>483</v>
      </c>
      <c r="B24" s="129">
        <v>0.39690000000000003</v>
      </c>
    </row>
    <row r="25" spans="1:2">
      <c r="A25" s="128" t="s">
        <v>484</v>
      </c>
      <c r="B25" s="129">
        <v>0.16739999999999999</v>
      </c>
    </row>
    <row r="26" spans="1:2">
      <c r="A26" s="128" t="s">
        <v>485</v>
      </c>
      <c r="B26" s="129">
        <v>0.42730000000000001</v>
      </c>
    </row>
    <row r="27" spans="1:2">
      <c r="A27" s="128" t="s">
        <v>486</v>
      </c>
      <c r="B27" s="129">
        <v>0.10759999999999999</v>
      </c>
    </row>
    <row r="28" spans="1:2">
      <c r="A28" s="128" t="s">
        <v>487</v>
      </c>
      <c r="B28" s="129">
        <v>0.11210000000000001</v>
      </c>
    </row>
    <row r="29" spans="1:2">
      <c r="A29" s="122"/>
      <c r="B29" s="121"/>
    </row>
    <row r="30" spans="1:2">
      <c r="A30" s="126" t="s">
        <v>307</v>
      </c>
      <c r="B30" s="127">
        <v>1.8514999999999999</v>
      </c>
    </row>
    <row r="31" spans="1:2">
      <c r="A31" s="128" t="s">
        <v>488</v>
      </c>
      <c r="B31" s="129">
        <v>0.88600000000000001</v>
      </c>
    </row>
    <row r="32" spans="1:2">
      <c r="A32" s="128" t="s">
        <v>308</v>
      </c>
      <c r="B32" s="129">
        <v>0.43590000000000001</v>
      </c>
    </row>
    <row r="33" spans="1:2">
      <c r="A33" s="128" t="s">
        <v>309</v>
      </c>
      <c r="B33" s="129">
        <v>0.52960000000000007</v>
      </c>
    </row>
    <row r="34" spans="1:2">
      <c r="A34" s="122"/>
      <c r="B34" s="121"/>
    </row>
    <row r="35" spans="1:2">
      <c r="A35" s="126" t="s">
        <v>310</v>
      </c>
      <c r="B35" s="127">
        <v>4.7371999999999996</v>
      </c>
    </row>
    <row r="36" spans="1:2">
      <c r="A36" s="128" t="s">
        <v>312</v>
      </c>
      <c r="B36" s="129">
        <v>0.80099999999999993</v>
      </c>
    </row>
    <row r="37" spans="1:2">
      <c r="A37" s="128" t="s">
        <v>311</v>
      </c>
      <c r="B37" s="129">
        <v>2.5840999999999998</v>
      </c>
    </row>
    <row r="38" spans="1:2">
      <c r="A38" s="128" t="s">
        <v>174</v>
      </c>
      <c r="B38" s="129">
        <v>0.41170000000000001</v>
      </c>
    </row>
    <row r="39" spans="1:2">
      <c r="A39" s="128" t="s">
        <v>313</v>
      </c>
      <c r="B39" s="129">
        <v>0.9403999999999999</v>
      </c>
    </row>
    <row r="40" spans="1:2">
      <c r="A40" s="122"/>
      <c r="B40" s="121"/>
    </row>
    <row r="41" spans="1:2">
      <c r="A41" s="126" t="s">
        <v>314</v>
      </c>
      <c r="B41" s="127">
        <v>2.1526000000000001</v>
      </c>
    </row>
    <row r="42" spans="1:2">
      <c r="A42" s="128" t="s">
        <v>489</v>
      </c>
      <c r="B42" s="129">
        <v>0.29430000000000001</v>
      </c>
    </row>
    <row r="43" spans="1:2">
      <c r="A43" s="128" t="s">
        <v>160</v>
      </c>
      <c r="B43" s="129">
        <v>0.13450000000000001</v>
      </c>
    </row>
    <row r="44" spans="1:2">
      <c r="A44" s="128" t="s">
        <v>159</v>
      </c>
      <c r="B44" s="129">
        <v>0.46839999999999998</v>
      </c>
    </row>
    <row r="45" spans="1:2">
      <c r="A45" s="128" t="s">
        <v>317</v>
      </c>
      <c r="B45" s="129">
        <v>3.5400000000000001E-2</v>
      </c>
    </row>
    <row r="46" spans="1:2">
      <c r="A46" s="128" t="s">
        <v>490</v>
      </c>
      <c r="B46" s="129">
        <v>0.10289999999999999</v>
      </c>
    </row>
    <row r="47" spans="1:2">
      <c r="A47" s="128" t="s">
        <v>491</v>
      </c>
      <c r="B47" s="129">
        <v>0.1376</v>
      </c>
    </row>
    <row r="48" spans="1:2">
      <c r="A48" s="128" t="s">
        <v>319</v>
      </c>
      <c r="B48" s="129">
        <v>0.16250000000000001</v>
      </c>
    </row>
    <row r="49" spans="1:2">
      <c r="A49" s="128" t="s">
        <v>492</v>
      </c>
      <c r="B49" s="129">
        <v>0.11449999999999999</v>
      </c>
    </row>
    <row r="50" spans="1:2">
      <c r="A50" s="128" t="s">
        <v>321</v>
      </c>
      <c r="B50" s="129">
        <v>9.6100000000000005E-2</v>
      </c>
    </row>
    <row r="51" spans="1:2">
      <c r="A51" s="128" t="s">
        <v>493</v>
      </c>
      <c r="B51" s="129">
        <v>7.2000000000000008E-2</v>
      </c>
    </row>
    <row r="52" spans="1:2">
      <c r="A52" s="128" t="s">
        <v>494</v>
      </c>
      <c r="B52" s="129">
        <v>0.53439999999999999</v>
      </c>
    </row>
    <row r="53" spans="1:2">
      <c r="A53" s="122"/>
      <c r="B53" s="121"/>
    </row>
    <row r="54" spans="1:2">
      <c r="A54" s="126" t="s">
        <v>324</v>
      </c>
      <c r="B54" s="127">
        <v>2.2132999999999998</v>
      </c>
    </row>
    <row r="55" spans="1:2">
      <c r="A55" s="128" t="s">
        <v>325</v>
      </c>
      <c r="B55" s="129">
        <v>1.6601999999999999</v>
      </c>
    </row>
    <row r="56" spans="1:2">
      <c r="A56" s="128" t="s">
        <v>495</v>
      </c>
      <c r="B56" s="129">
        <v>0.1772</v>
      </c>
    </row>
    <row r="57" spans="1:2">
      <c r="A57" s="128" t="s">
        <v>163</v>
      </c>
      <c r="B57" s="129">
        <v>0.21610000000000001</v>
      </c>
    </row>
    <row r="58" spans="1:2">
      <c r="A58" s="128" t="s">
        <v>323</v>
      </c>
      <c r="B58" s="129">
        <v>0.1598</v>
      </c>
    </row>
    <row r="59" spans="1:2">
      <c r="A59" s="122"/>
      <c r="B59" s="121"/>
    </row>
    <row r="60" spans="1:2">
      <c r="A60" s="126" t="s">
        <v>326</v>
      </c>
      <c r="B60" s="127">
        <v>0.80510000000000004</v>
      </c>
    </row>
    <row r="61" spans="1:2">
      <c r="A61" s="128" t="s">
        <v>496</v>
      </c>
      <c r="B61" s="129">
        <v>2.9599999999999998E-2</v>
      </c>
    </row>
    <row r="62" spans="1:2">
      <c r="A62" s="128" t="s">
        <v>497</v>
      </c>
      <c r="B62" s="129">
        <v>3.3599999999999998E-2</v>
      </c>
    </row>
    <row r="63" spans="1:2">
      <c r="A63" s="128" t="s">
        <v>498</v>
      </c>
      <c r="B63" s="129">
        <v>0.29170000000000001</v>
      </c>
    </row>
    <row r="64" spans="1:2">
      <c r="A64" s="128" t="s">
        <v>328</v>
      </c>
      <c r="B64" s="129">
        <v>0.1109</v>
      </c>
    </row>
    <row r="65" spans="1:2">
      <c r="A65" s="128" t="s">
        <v>329</v>
      </c>
      <c r="B65" s="129">
        <v>0.33930000000000005</v>
      </c>
    </row>
    <row r="66" spans="1:2">
      <c r="A66" s="122"/>
      <c r="B66" s="121"/>
    </row>
    <row r="67" spans="1:2">
      <c r="A67" s="126" t="s">
        <v>330</v>
      </c>
      <c r="B67" s="127">
        <v>2.1881999999999997</v>
      </c>
    </row>
    <row r="68" spans="1:2">
      <c r="A68" s="128" t="s">
        <v>499</v>
      </c>
      <c r="B68" s="129">
        <v>0.11720000000000001</v>
      </c>
    </row>
    <row r="69" spans="1:2">
      <c r="A69" s="128" t="s">
        <v>500</v>
      </c>
      <c r="B69" s="129">
        <v>9.7000000000000003E-3</v>
      </c>
    </row>
    <row r="70" spans="1:2">
      <c r="A70" s="128" t="s">
        <v>334</v>
      </c>
      <c r="B70" s="129">
        <v>0.17530000000000001</v>
      </c>
    </row>
    <row r="71" spans="1:2">
      <c r="A71" s="128" t="s">
        <v>501</v>
      </c>
      <c r="B71" s="129">
        <v>6.3199999999999992E-2</v>
      </c>
    </row>
    <row r="72" spans="1:2">
      <c r="A72" s="128" t="s">
        <v>502</v>
      </c>
      <c r="B72" s="129">
        <v>6.9399999999999989E-2</v>
      </c>
    </row>
    <row r="73" spans="1:2">
      <c r="A73" s="128" t="s">
        <v>332</v>
      </c>
      <c r="B73" s="129">
        <v>0.40449999999999997</v>
      </c>
    </row>
    <row r="74" spans="1:2">
      <c r="A74" s="128" t="s">
        <v>333</v>
      </c>
      <c r="B74" s="129">
        <v>0.37409999999999999</v>
      </c>
    </row>
    <row r="75" spans="1:2">
      <c r="A75" s="128" t="s">
        <v>503</v>
      </c>
      <c r="B75" s="129">
        <v>0.106</v>
      </c>
    </row>
    <row r="76" spans="1:2">
      <c r="A76" s="128" t="s">
        <v>335</v>
      </c>
      <c r="B76" s="129">
        <v>0.10389999999999999</v>
      </c>
    </row>
    <row r="77" spans="1:2">
      <c r="A77" s="128" t="s">
        <v>504</v>
      </c>
      <c r="B77" s="129">
        <v>0.31990000000000002</v>
      </c>
    </row>
    <row r="78" spans="1:2">
      <c r="A78" s="128" t="s">
        <v>505</v>
      </c>
      <c r="B78" s="129">
        <v>0.42040000000000005</v>
      </c>
    </row>
    <row r="79" spans="1:2">
      <c r="A79" s="128" t="s">
        <v>506</v>
      </c>
      <c r="B79" s="129">
        <v>2.46E-2</v>
      </c>
    </row>
    <row r="80" spans="1:2">
      <c r="A80" s="122"/>
      <c r="B80" s="121"/>
    </row>
    <row r="81" spans="1:2">
      <c r="A81" s="126" t="s">
        <v>507</v>
      </c>
      <c r="B81" s="127">
        <v>7.4999999999999997E-2</v>
      </c>
    </row>
    <row r="82" spans="1:2">
      <c r="A82" s="128" t="s">
        <v>508</v>
      </c>
      <c r="B82" s="129">
        <v>9.6000000000000009E-3</v>
      </c>
    </row>
    <row r="83" spans="1:2">
      <c r="A83" s="128" t="s">
        <v>509</v>
      </c>
      <c r="B83" s="129">
        <v>1.2E-2</v>
      </c>
    </row>
    <row r="84" spans="1:2">
      <c r="A84" s="128" t="s">
        <v>510</v>
      </c>
      <c r="B84" s="129">
        <v>5.5000000000000005E-3</v>
      </c>
    </row>
    <row r="85" spans="1:2">
      <c r="A85" s="128" t="s">
        <v>511</v>
      </c>
      <c r="B85" s="129">
        <v>3.3599999999999998E-2</v>
      </c>
    </row>
    <row r="86" spans="1:2">
      <c r="A86" s="128" t="s">
        <v>512</v>
      </c>
      <c r="B86" s="129">
        <v>1.43E-2</v>
      </c>
    </row>
    <row r="87" spans="1:2">
      <c r="A87" s="122"/>
      <c r="B87" s="121"/>
    </row>
    <row r="88" spans="1:2">
      <c r="A88" s="126" t="s">
        <v>338</v>
      </c>
      <c r="B88" s="127">
        <v>3.2960999999999996</v>
      </c>
    </row>
    <row r="89" spans="1:2">
      <c r="A89" s="128" t="s">
        <v>340</v>
      </c>
      <c r="B89" s="129">
        <v>0.4229</v>
      </c>
    </row>
    <row r="90" spans="1:2">
      <c r="A90" s="128" t="s">
        <v>339</v>
      </c>
      <c r="B90" s="129">
        <v>2.1800999999999999</v>
      </c>
    </row>
    <row r="91" spans="1:2">
      <c r="A91" s="128" t="s">
        <v>513</v>
      </c>
      <c r="B91" s="129">
        <v>0.1018</v>
      </c>
    </row>
    <row r="92" spans="1:2">
      <c r="A92" s="128" t="s">
        <v>514</v>
      </c>
      <c r="B92" s="129">
        <v>0.1212</v>
      </c>
    </row>
    <row r="93" spans="1:2">
      <c r="A93" s="128" t="s">
        <v>184</v>
      </c>
      <c r="B93" s="129">
        <v>2.8899999999999999E-2</v>
      </c>
    </row>
    <row r="94" spans="1:2">
      <c r="A94" s="128" t="s">
        <v>515</v>
      </c>
      <c r="B94" s="129">
        <v>0.23869999999999997</v>
      </c>
    </row>
    <row r="95" spans="1:2">
      <c r="A95" s="128" t="s">
        <v>349</v>
      </c>
      <c r="B95" s="129">
        <v>0.20249999999999999</v>
      </c>
    </row>
    <row r="96" spans="1:2">
      <c r="A96" s="122"/>
      <c r="B96" s="121"/>
    </row>
    <row r="97" spans="1:2">
      <c r="A97" s="126" t="s">
        <v>516</v>
      </c>
      <c r="B97" s="127">
        <v>1.5388999999999999</v>
      </c>
    </row>
    <row r="98" spans="1:2">
      <c r="A98" s="128" t="s">
        <v>517</v>
      </c>
      <c r="B98" s="129">
        <v>4.4299999999999999E-2</v>
      </c>
    </row>
    <row r="99" spans="1:2">
      <c r="A99" s="128" t="s">
        <v>189</v>
      </c>
      <c r="B99" s="129">
        <v>0.71560000000000001</v>
      </c>
    </row>
    <row r="100" spans="1:2">
      <c r="A100" s="128" t="s">
        <v>518</v>
      </c>
      <c r="B100" s="129">
        <v>0.41260000000000002</v>
      </c>
    </row>
    <row r="101" spans="1:2">
      <c r="A101" s="128" t="s">
        <v>519</v>
      </c>
      <c r="B101" s="129">
        <v>4.0499999999999994E-2</v>
      </c>
    </row>
    <row r="102" spans="1:2">
      <c r="A102" s="128" t="s">
        <v>190</v>
      </c>
      <c r="B102" s="129">
        <v>3.1300000000000001E-2</v>
      </c>
    </row>
    <row r="103" spans="1:2">
      <c r="A103" s="128" t="s">
        <v>520</v>
      </c>
      <c r="B103" s="129">
        <v>0.29459999999999997</v>
      </c>
    </row>
    <row r="104" spans="1:2">
      <c r="A104" s="122"/>
      <c r="B104" s="121"/>
    </row>
    <row r="105" spans="1:2">
      <c r="A105" s="126" t="s">
        <v>521</v>
      </c>
      <c r="B105" s="127">
        <v>2.35E-2</v>
      </c>
    </row>
    <row r="106" spans="1:2">
      <c r="A106" s="128" t="s">
        <v>522</v>
      </c>
      <c r="B106" s="129">
        <v>1.2400000000000001E-2</v>
      </c>
    </row>
    <row r="107" spans="1:2">
      <c r="A107" s="128" t="s">
        <v>523</v>
      </c>
      <c r="B107" s="129">
        <v>1.11E-2</v>
      </c>
    </row>
    <row r="108" spans="1:2">
      <c r="A108" s="122"/>
      <c r="B108" s="121"/>
    </row>
    <row r="109" spans="1:2">
      <c r="A109" s="126" t="s">
        <v>346</v>
      </c>
      <c r="B109" s="127">
        <v>0.24710000000000001</v>
      </c>
    </row>
    <row r="110" spans="1:2">
      <c r="A110" s="128" t="s">
        <v>524</v>
      </c>
      <c r="B110" s="129">
        <v>0.1794</v>
      </c>
    </row>
    <row r="111" spans="1:2">
      <c r="A111" s="128" t="s">
        <v>152</v>
      </c>
      <c r="B111" s="129">
        <v>1.84E-2</v>
      </c>
    </row>
    <row r="112" spans="1:2">
      <c r="A112" s="128" t="s">
        <v>525</v>
      </c>
      <c r="B112" s="129">
        <v>4.9299999999999997E-2</v>
      </c>
    </row>
    <row r="113" spans="1:2">
      <c r="A113" s="122"/>
      <c r="B113" s="121"/>
    </row>
    <row r="114" spans="1:2">
      <c r="A114" s="126" t="s">
        <v>182</v>
      </c>
      <c r="B114" s="127">
        <v>0.1101</v>
      </c>
    </row>
    <row r="115" spans="1:2">
      <c r="A115" s="128" t="s">
        <v>526</v>
      </c>
      <c r="B115" s="129">
        <v>5.9299999999999999E-2</v>
      </c>
    </row>
    <row r="116" spans="1:2">
      <c r="A116" s="128" t="s">
        <v>527</v>
      </c>
      <c r="B116" s="129">
        <v>3.6600000000000001E-2</v>
      </c>
    </row>
    <row r="117" spans="1:2">
      <c r="A117" s="128" t="s">
        <v>528</v>
      </c>
      <c r="B117" s="129">
        <v>1.2E-2</v>
      </c>
    </row>
    <row r="118" spans="1:2">
      <c r="A118" s="128" t="s">
        <v>529</v>
      </c>
      <c r="B118" s="129">
        <v>2.2000000000000001E-3</v>
      </c>
    </row>
    <row r="119" spans="1:2">
      <c r="A119" s="122"/>
      <c r="B119" s="121"/>
    </row>
    <row r="120" spans="1:2">
      <c r="A120" s="126" t="s">
        <v>350</v>
      </c>
      <c r="B120" s="127">
        <v>0.2117</v>
      </c>
    </row>
    <row r="121" spans="1:2">
      <c r="A121" s="128" t="s">
        <v>530</v>
      </c>
      <c r="B121" s="129">
        <v>3.7100000000000001E-2</v>
      </c>
    </row>
    <row r="122" spans="1:2">
      <c r="A122" s="128" t="s">
        <v>531</v>
      </c>
      <c r="B122" s="129">
        <v>3.6400000000000002E-2</v>
      </c>
    </row>
    <row r="123" spans="1:2">
      <c r="A123" s="128" t="s">
        <v>532</v>
      </c>
      <c r="B123" s="129">
        <v>3.7999999999999999E-2</v>
      </c>
    </row>
    <row r="124" spans="1:2">
      <c r="A124" s="128" t="s">
        <v>533</v>
      </c>
      <c r="B124" s="129">
        <v>0.10020000000000001</v>
      </c>
    </row>
    <row r="125" spans="1:2">
      <c r="A125" s="122"/>
      <c r="B125" s="121"/>
    </row>
    <row r="126" spans="1:2">
      <c r="A126" s="126" t="s">
        <v>534</v>
      </c>
      <c r="B126" s="127">
        <v>0.1067</v>
      </c>
    </row>
    <row r="127" spans="1:2">
      <c r="A127" s="128" t="s">
        <v>535</v>
      </c>
      <c r="B127" s="129">
        <v>0.1067</v>
      </c>
    </row>
    <row r="128" spans="1:2">
      <c r="A128" s="122"/>
      <c r="B128" s="121"/>
    </row>
    <row r="129" spans="1:2">
      <c r="A129" s="126" t="s">
        <v>536</v>
      </c>
      <c r="B129" s="127">
        <v>3.5731999999999999</v>
      </c>
    </row>
    <row r="130" spans="1:2">
      <c r="A130" s="128" t="s">
        <v>537</v>
      </c>
      <c r="B130" s="129">
        <v>0.64949999999999997</v>
      </c>
    </row>
    <row r="131" spans="1:2">
      <c r="A131" s="128" t="s">
        <v>538</v>
      </c>
      <c r="B131" s="129">
        <v>2.2699999999999998E-2</v>
      </c>
    </row>
    <row r="132" spans="1:2">
      <c r="A132" s="128" t="s">
        <v>539</v>
      </c>
      <c r="B132" s="129">
        <v>3.8300000000000001E-2</v>
      </c>
    </row>
    <row r="133" spans="1:2">
      <c r="A133" s="128" t="s">
        <v>540</v>
      </c>
      <c r="B133" s="129">
        <v>2.8626999999999998</v>
      </c>
    </row>
    <row r="134" spans="1:2">
      <c r="A134" s="122"/>
      <c r="B134" s="121"/>
    </row>
    <row r="135" spans="1:2">
      <c r="A135" s="126" t="s">
        <v>358</v>
      </c>
      <c r="B135" s="127">
        <v>24.663899999999998</v>
      </c>
    </row>
    <row r="136" spans="1:2">
      <c r="A136" s="118"/>
      <c r="B136" s="121"/>
    </row>
    <row r="137" spans="1:2">
      <c r="A137" s="126" t="s">
        <v>359</v>
      </c>
      <c r="B137" s="127">
        <v>16.0989</v>
      </c>
    </row>
    <row r="138" spans="1:2">
      <c r="A138" s="128" t="s">
        <v>359</v>
      </c>
      <c r="B138" s="130">
        <v>16.0989</v>
      </c>
    </row>
    <row r="139" spans="1:2">
      <c r="A139" s="122"/>
      <c r="B139" s="121"/>
    </row>
    <row r="140" spans="1:2">
      <c r="A140" s="126" t="s">
        <v>361</v>
      </c>
      <c r="B140" s="127">
        <v>2.9641000000000002</v>
      </c>
    </row>
    <row r="141" spans="1:2">
      <c r="A141" s="128" t="s">
        <v>541</v>
      </c>
      <c r="B141" s="129">
        <v>1.4890999999999999</v>
      </c>
    </row>
    <row r="142" spans="1:2">
      <c r="A142" s="128" t="s">
        <v>362</v>
      </c>
      <c r="B142" s="129">
        <v>1.4749999999999999</v>
      </c>
    </row>
    <row r="143" spans="1:2">
      <c r="A143" s="122"/>
      <c r="B143" s="121"/>
    </row>
    <row r="144" spans="1:2">
      <c r="A144" s="126" t="s">
        <v>364</v>
      </c>
      <c r="B144" s="127">
        <v>2.2141999999999999</v>
      </c>
    </row>
    <row r="145" spans="1:2">
      <c r="A145" s="128" t="s">
        <v>366</v>
      </c>
      <c r="B145" s="129">
        <v>0.50029999999999997</v>
      </c>
    </row>
    <row r="146" spans="1:2">
      <c r="A146" s="128" t="s">
        <v>542</v>
      </c>
      <c r="B146" s="129">
        <v>7.7899999999999997E-2</v>
      </c>
    </row>
    <row r="147" spans="1:2">
      <c r="A147" s="128" t="s">
        <v>543</v>
      </c>
      <c r="B147" s="129">
        <v>0.3574</v>
      </c>
    </row>
    <row r="148" spans="1:2">
      <c r="A148" s="128" t="s">
        <v>544</v>
      </c>
      <c r="B148" s="129">
        <v>0.88880000000000003</v>
      </c>
    </row>
    <row r="149" spans="1:2">
      <c r="A149" s="128" t="s">
        <v>545</v>
      </c>
      <c r="B149" s="129">
        <v>0.38979999999999998</v>
      </c>
    </row>
    <row r="150" spans="1:2">
      <c r="A150" s="122"/>
      <c r="B150" s="119"/>
    </row>
    <row r="151" spans="1:2">
      <c r="A151" s="126" t="s">
        <v>372</v>
      </c>
      <c r="B151" s="127">
        <v>0.82220000000000004</v>
      </c>
    </row>
    <row r="152" spans="1:2">
      <c r="A152" s="128" t="s">
        <v>546</v>
      </c>
      <c r="B152" s="129">
        <v>0.29060000000000002</v>
      </c>
    </row>
    <row r="153" spans="1:2">
      <c r="A153" s="128" t="s">
        <v>547</v>
      </c>
      <c r="B153" s="129">
        <v>0.1046</v>
      </c>
    </row>
    <row r="154" spans="1:2">
      <c r="A154" s="128" t="s">
        <v>548</v>
      </c>
      <c r="B154" s="129">
        <v>0.1183</v>
      </c>
    </row>
    <row r="155" spans="1:2">
      <c r="A155" s="128" t="s">
        <v>549</v>
      </c>
      <c r="B155" s="129">
        <v>0.27539999999999998</v>
      </c>
    </row>
    <row r="156" spans="1:2">
      <c r="A156" s="128" t="s">
        <v>550</v>
      </c>
      <c r="B156" s="129">
        <v>3.3300000000000003E-2</v>
      </c>
    </row>
    <row r="157" spans="1:2">
      <c r="A157" s="122"/>
      <c r="B157" s="121"/>
    </row>
    <row r="158" spans="1:2">
      <c r="A158" s="126" t="s">
        <v>551</v>
      </c>
      <c r="B158" s="127">
        <v>1.1881999999999999</v>
      </c>
    </row>
    <row r="159" spans="1:2">
      <c r="A159" s="128" t="s">
        <v>552</v>
      </c>
      <c r="B159" s="129">
        <v>0.32700000000000001</v>
      </c>
    </row>
    <row r="160" spans="1:2">
      <c r="A160" s="128" t="s">
        <v>553</v>
      </c>
      <c r="B160" s="129">
        <v>8.3500000000000005E-2</v>
      </c>
    </row>
    <row r="161" spans="1:2">
      <c r="A161" s="128" t="s">
        <v>554</v>
      </c>
      <c r="B161" s="129">
        <v>0.1</v>
      </c>
    </row>
    <row r="162" spans="1:2">
      <c r="A162" s="128" t="s">
        <v>555</v>
      </c>
      <c r="B162" s="129">
        <v>4.1599999999999998E-2</v>
      </c>
    </row>
    <row r="163" spans="1:2">
      <c r="A163" s="128" t="s">
        <v>556</v>
      </c>
      <c r="B163" s="129">
        <v>9.7900000000000001E-2</v>
      </c>
    </row>
    <row r="164" spans="1:2">
      <c r="A164" s="128" t="s">
        <v>557</v>
      </c>
      <c r="B164" s="129">
        <v>0.42389999999999994</v>
      </c>
    </row>
    <row r="165" spans="1:2">
      <c r="A165" s="128" t="s">
        <v>558</v>
      </c>
      <c r="B165" s="129">
        <v>3.9399999999999998E-2</v>
      </c>
    </row>
    <row r="166" spans="1:2">
      <c r="A166" s="128" t="s">
        <v>559</v>
      </c>
      <c r="B166" s="129">
        <v>7.4899999999999994E-2</v>
      </c>
    </row>
    <row r="167" spans="1:2">
      <c r="A167" s="122"/>
      <c r="B167" s="121"/>
    </row>
    <row r="168" spans="1:2">
      <c r="A168" s="126" t="s">
        <v>387</v>
      </c>
      <c r="B168" s="127">
        <v>0.96599999999999997</v>
      </c>
    </row>
    <row r="169" spans="1:2">
      <c r="A169" s="128" t="s">
        <v>560</v>
      </c>
      <c r="B169" s="129">
        <v>0.41050000000000003</v>
      </c>
    </row>
    <row r="170" spans="1:2">
      <c r="A170" s="128" t="s">
        <v>561</v>
      </c>
      <c r="B170" s="129">
        <v>0.18409999999999999</v>
      </c>
    </row>
    <row r="171" spans="1:2">
      <c r="A171" s="128" t="s">
        <v>562</v>
      </c>
      <c r="B171" s="129">
        <v>0.2157</v>
      </c>
    </row>
    <row r="172" spans="1:2">
      <c r="A172" s="128" t="s">
        <v>563</v>
      </c>
      <c r="B172" s="129">
        <v>4.4000000000000004E-2</v>
      </c>
    </row>
    <row r="173" spans="1:2">
      <c r="A173" s="128" t="s">
        <v>564</v>
      </c>
      <c r="B173" s="129">
        <v>0.11169999999999999</v>
      </c>
    </row>
    <row r="174" spans="1:2">
      <c r="A174" s="122"/>
      <c r="B174" s="121"/>
    </row>
    <row r="175" spans="1:2">
      <c r="A175" s="126" t="s">
        <v>395</v>
      </c>
      <c r="B175" s="127">
        <v>0.30449999999999999</v>
      </c>
    </row>
    <row r="176" spans="1:2">
      <c r="A176" s="128" t="s">
        <v>565</v>
      </c>
      <c r="B176" s="129">
        <v>0.21020000000000003</v>
      </c>
    </row>
    <row r="177" spans="1:2">
      <c r="A177" s="128" t="s">
        <v>566</v>
      </c>
      <c r="B177" s="129">
        <v>4.6700000000000005E-2</v>
      </c>
    </row>
    <row r="178" spans="1:2">
      <c r="A178" s="128" t="s">
        <v>567</v>
      </c>
      <c r="B178" s="129">
        <v>9.0000000000000011E-3</v>
      </c>
    </row>
    <row r="179" spans="1:2">
      <c r="A179" s="128" t="s">
        <v>568</v>
      </c>
      <c r="B179" s="129">
        <v>1.4899999999999998E-2</v>
      </c>
    </row>
    <row r="180" spans="1:2">
      <c r="A180" s="128" t="s">
        <v>569</v>
      </c>
      <c r="B180" s="129">
        <v>9.4999999999999998E-3</v>
      </c>
    </row>
    <row r="181" spans="1:2">
      <c r="A181" s="128" t="s">
        <v>570</v>
      </c>
      <c r="B181" s="129">
        <v>1.4200000000000001E-2</v>
      </c>
    </row>
    <row r="182" spans="1:2">
      <c r="A182" s="122"/>
      <c r="B182" s="121"/>
    </row>
    <row r="183" spans="1:2">
      <c r="A183" s="126" t="s">
        <v>571</v>
      </c>
      <c r="B183" s="127">
        <v>0.10579999999999999</v>
      </c>
    </row>
    <row r="184" spans="1:2">
      <c r="A184" s="128" t="s">
        <v>572</v>
      </c>
      <c r="B184" s="129">
        <v>5.67E-2</v>
      </c>
    </row>
    <row r="185" spans="1:2">
      <c r="A185" s="128" t="s">
        <v>573</v>
      </c>
      <c r="B185" s="129">
        <v>4.9099999999999998E-2</v>
      </c>
    </row>
    <row r="186" spans="1:2">
      <c r="A186" s="122"/>
      <c r="B186" s="121"/>
    </row>
    <row r="187" spans="1:2">
      <c r="A187" s="126" t="s">
        <v>400</v>
      </c>
      <c r="B187" s="127">
        <v>10.7729</v>
      </c>
    </row>
    <row r="188" spans="1:2">
      <c r="A188" s="118"/>
      <c r="B188" s="121"/>
    </row>
    <row r="189" spans="1:2">
      <c r="A189" s="126" t="s">
        <v>574</v>
      </c>
      <c r="B189" s="127">
        <v>1.0362</v>
      </c>
    </row>
    <row r="190" spans="1:2">
      <c r="A190" s="128" t="s">
        <v>575</v>
      </c>
      <c r="B190" s="129">
        <v>0.2019</v>
      </c>
    </row>
    <row r="191" spans="1:2">
      <c r="A191" s="128" t="s">
        <v>576</v>
      </c>
      <c r="B191" s="129">
        <v>0.13100000000000001</v>
      </c>
    </row>
    <row r="192" spans="1:2">
      <c r="A192" s="128" t="s">
        <v>577</v>
      </c>
      <c r="B192" s="129">
        <v>0.1109</v>
      </c>
    </row>
    <row r="193" spans="1:2">
      <c r="A193" s="128" t="s">
        <v>578</v>
      </c>
      <c r="B193" s="129">
        <v>0.13929999999999998</v>
      </c>
    </row>
    <row r="194" spans="1:2">
      <c r="A194" s="128" t="s">
        <v>579</v>
      </c>
      <c r="B194" s="129">
        <v>4.3900000000000002E-2</v>
      </c>
    </row>
    <row r="195" spans="1:2">
      <c r="A195" s="128" t="s">
        <v>580</v>
      </c>
      <c r="B195" s="129">
        <v>0.21150000000000002</v>
      </c>
    </row>
    <row r="196" spans="1:2">
      <c r="A196" s="128" t="s">
        <v>581</v>
      </c>
      <c r="B196" s="129">
        <v>0.18229999999999999</v>
      </c>
    </row>
    <row r="197" spans="1:2">
      <c r="A197" s="128" t="s">
        <v>582</v>
      </c>
      <c r="B197" s="129">
        <v>1.54E-2</v>
      </c>
    </row>
    <row r="198" spans="1:2">
      <c r="A198" s="122"/>
      <c r="B198" s="121"/>
    </row>
    <row r="199" spans="1:2">
      <c r="A199" s="126" t="s">
        <v>583</v>
      </c>
      <c r="B199" s="127">
        <v>4.8897999999999993</v>
      </c>
    </row>
    <row r="200" spans="1:2">
      <c r="A200" s="128" t="s">
        <v>584</v>
      </c>
      <c r="B200" s="129">
        <v>0.96889999999999998</v>
      </c>
    </row>
    <row r="201" spans="1:2">
      <c r="A201" s="128" t="s">
        <v>585</v>
      </c>
      <c r="B201" s="129">
        <v>0.14410000000000001</v>
      </c>
    </row>
    <row r="202" spans="1:2">
      <c r="A202" s="128" t="s">
        <v>586</v>
      </c>
      <c r="B202" s="129">
        <v>0.1933</v>
      </c>
    </row>
    <row r="203" spans="1:2">
      <c r="A203" s="128" t="s">
        <v>587</v>
      </c>
      <c r="B203" s="129">
        <v>0.20100000000000001</v>
      </c>
    </row>
    <row r="204" spans="1:2">
      <c r="A204" s="128" t="s">
        <v>588</v>
      </c>
      <c r="B204" s="129">
        <v>1.5278</v>
      </c>
    </row>
    <row r="205" spans="1:2">
      <c r="A205" s="128" t="s">
        <v>589</v>
      </c>
      <c r="B205" s="129">
        <v>0.3674</v>
      </c>
    </row>
    <row r="206" spans="1:2">
      <c r="A206" s="128" t="s">
        <v>590</v>
      </c>
      <c r="B206" s="129">
        <v>1.4873000000000001</v>
      </c>
    </row>
    <row r="207" spans="1:2">
      <c r="A207" s="122"/>
      <c r="B207" s="121"/>
    </row>
    <row r="208" spans="1:2">
      <c r="A208" s="126" t="s">
        <v>591</v>
      </c>
      <c r="B208" s="127">
        <v>3.9533999999999998</v>
      </c>
    </row>
    <row r="209" spans="1:2">
      <c r="A209" s="128" t="s">
        <v>592</v>
      </c>
      <c r="B209" s="129">
        <v>9.69E-2</v>
      </c>
    </row>
    <row r="210" spans="1:2">
      <c r="A210" s="128" t="s">
        <v>593</v>
      </c>
      <c r="B210" s="129">
        <v>0.54689999999999994</v>
      </c>
    </row>
    <row r="211" spans="1:2">
      <c r="A211" s="128" t="s">
        <v>594</v>
      </c>
      <c r="B211" s="129">
        <v>0.12229999999999999</v>
      </c>
    </row>
    <row r="212" spans="1:2">
      <c r="A212" s="128" t="s">
        <v>595</v>
      </c>
      <c r="B212" s="129">
        <v>0.252</v>
      </c>
    </row>
    <row r="213" spans="1:2">
      <c r="A213" s="128" t="s">
        <v>596</v>
      </c>
      <c r="B213" s="129">
        <v>0.26069999999999999</v>
      </c>
    </row>
    <row r="214" spans="1:2">
      <c r="A214" s="128" t="s">
        <v>597</v>
      </c>
      <c r="B214" s="129">
        <v>0.74840000000000007</v>
      </c>
    </row>
    <row r="215" spans="1:2">
      <c r="A215" s="128" t="s">
        <v>598</v>
      </c>
      <c r="B215" s="129">
        <v>0.19359999999999999</v>
      </c>
    </row>
    <row r="216" spans="1:2">
      <c r="A216" s="128" t="s">
        <v>599</v>
      </c>
      <c r="B216" s="129">
        <v>0.51789999999999992</v>
      </c>
    </row>
    <row r="217" spans="1:2">
      <c r="A217" s="128" t="s">
        <v>223</v>
      </c>
      <c r="B217" s="129">
        <v>1.2146999999999999</v>
      </c>
    </row>
    <row r="218" spans="1:2">
      <c r="A218" s="122"/>
      <c r="B218" s="121"/>
    </row>
    <row r="219" spans="1:2">
      <c r="A219" s="126" t="s">
        <v>600</v>
      </c>
      <c r="B219" s="127">
        <v>0.2923</v>
      </c>
    </row>
    <row r="220" spans="1:2">
      <c r="A220" s="128" t="s">
        <v>601</v>
      </c>
      <c r="B220" s="129">
        <v>5.79E-2</v>
      </c>
    </row>
    <row r="221" spans="1:2">
      <c r="A221" s="128" t="s">
        <v>602</v>
      </c>
      <c r="B221" s="129">
        <v>1.03E-2</v>
      </c>
    </row>
    <row r="222" spans="1:2">
      <c r="A222" s="128" t="s">
        <v>603</v>
      </c>
      <c r="B222" s="129">
        <v>3.49E-2</v>
      </c>
    </row>
    <row r="223" spans="1:2">
      <c r="A223" s="128" t="s">
        <v>604</v>
      </c>
      <c r="B223" s="129">
        <v>1.0500000000000001E-2</v>
      </c>
    </row>
    <row r="224" spans="1:2">
      <c r="A224" s="128" t="s">
        <v>605</v>
      </c>
      <c r="B224" s="129">
        <v>1.95E-2</v>
      </c>
    </row>
    <row r="225" spans="1:2">
      <c r="A225" s="128" t="s">
        <v>606</v>
      </c>
      <c r="B225" s="129">
        <v>1.1000000000000001E-2</v>
      </c>
    </row>
    <row r="226" spans="1:2">
      <c r="A226" s="128" t="s">
        <v>607</v>
      </c>
      <c r="B226" s="129">
        <v>8.6999999999999994E-2</v>
      </c>
    </row>
    <row r="227" spans="1:2">
      <c r="A227" s="128" t="s">
        <v>608</v>
      </c>
      <c r="B227" s="129">
        <v>7.3999999999999995E-3</v>
      </c>
    </row>
    <row r="228" spans="1:2">
      <c r="A228" s="128" t="s">
        <v>609</v>
      </c>
      <c r="B228" s="129">
        <v>5.3799999999999994E-2</v>
      </c>
    </row>
    <row r="229" spans="1:2">
      <c r="A229" s="122"/>
      <c r="B229" s="121"/>
    </row>
    <row r="230" spans="1:2">
      <c r="A230" s="126" t="s">
        <v>610</v>
      </c>
      <c r="B230" s="127">
        <v>0.60119999999999996</v>
      </c>
    </row>
    <row r="231" spans="1:2">
      <c r="A231" s="128" t="s">
        <v>611</v>
      </c>
      <c r="B231" s="129">
        <v>2.2499999999999999E-2</v>
      </c>
    </row>
    <row r="232" spans="1:2">
      <c r="A232" s="128" t="s">
        <v>409</v>
      </c>
      <c r="B232" s="129">
        <v>0.13220000000000001</v>
      </c>
    </row>
    <row r="233" spans="1:2">
      <c r="A233" s="128" t="s">
        <v>612</v>
      </c>
      <c r="B233" s="129">
        <v>0.11499999999999999</v>
      </c>
    </row>
    <row r="234" spans="1:2">
      <c r="A234" s="128" t="s">
        <v>613</v>
      </c>
      <c r="B234" s="129">
        <v>0.1152</v>
      </c>
    </row>
    <row r="235" spans="1:2">
      <c r="A235" s="128" t="s">
        <v>614</v>
      </c>
      <c r="B235" s="129">
        <v>0.21629999999999999</v>
      </c>
    </row>
    <row r="236" spans="1:2">
      <c r="A236" s="122"/>
      <c r="B236" s="121"/>
    </row>
    <row r="237" spans="1:2">
      <c r="A237" s="126" t="s">
        <v>259</v>
      </c>
      <c r="B237" s="127">
        <v>24.965599999999998</v>
      </c>
    </row>
    <row r="238" spans="1:2">
      <c r="A238" s="118"/>
      <c r="B238" s="121"/>
    </row>
    <row r="239" spans="1:2">
      <c r="A239" s="126" t="s">
        <v>615</v>
      </c>
      <c r="B239" s="127">
        <v>4.5476999999999999</v>
      </c>
    </row>
    <row r="240" spans="1:2">
      <c r="A240" s="128" t="s">
        <v>616</v>
      </c>
      <c r="B240" s="129">
        <v>0.72360000000000002</v>
      </c>
    </row>
    <row r="241" spans="1:2">
      <c r="A241" s="128" t="s">
        <v>617</v>
      </c>
      <c r="B241" s="129">
        <v>3.8240999999999996</v>
      </c>
    </row>
    <row r="242" spans="1:2">
      <c r="A242" s="122"/>
      <c r="B242" s="121"/>
    </row>
    <row r="243" spans="1:2">
      <c r="A243" s="126" t="s">
        <v>444</v>
      </c>
      <c r="B243" s="127">
        <v>3.5537999999999998</v>
      </c>
    </row>
    <row r="244" spans="1:2">
      <c r="A244" s="128" t="s">
        <v>276</v>
      </c>
      <c r="B244" s="129">
        <v>0.60909999999999997</v>
      </c>
    </row>
    <row r="245" spans="1:2">
      <c r="A245" s="128" t="s">
        <v>618</v>
      </c>
      <c r="B245" s="129">
        <v>0.66369999999999996</v>
      </c>
    </row>
    <row r="246" spans="1:2">
      <c r="A246" s="128" t="s">
        <v>619</v>
      </c>
      <c r="B246" s="129">
        <v>0.12559999999999999</v>
      </c>
    </row>
    <row r="247" spans="1:2">
      <c r="A247" s="128" t="s">
        <v>620</v>
      </c>
      <c r="B247" s="129">
        <v>0.47739999999999994</v>
      </c>
    </row>
    <row r="248" spans="1:2">
      <c r="A248" s="128" t="s">
        <v>621</v>
      </c>
      <c r="B248" s="129">
        <v>0.57169999999999999</v>
      </c>
    </row>
    <row r="249" spans="1:2">
      <c r="A249" s="128" t="s">
        <v>622</v>
      </c>
      <c r="B249" s="129">
        <v>0.53779999999999994</v>
      </c>
    </row>
    <row r="250" spans="1:2">
      <c r="A250" s="128" t="s">
        <v>623</v>
      </c>
      <c r="B250" s="129">
        <v>0.37940000000000002</v>
      </c>
    </row>
    <row r="251" spans="1:2">
      <c r="A251" s="128" t="s">
        <v>624</v>
      </c>
      <c r="B251" s="129">
        <v>0.18910000000000002</v>
      </c>
    </row>
    <row r="252" spans="1:2">
      <c r="A252" s="122"/>
      <c r="B252" s="121"/>
    </row>
    <row r="253" spans="1:2">
      <c r="A253" s="126" t="s">
        <v>625</v>
      </c>
      <c r="B253" s="127">
        <v>4.1871</v>
      </c>
    </row>
    <row r="254" spans="1:2">
      <c r="A254" s="128" t="s">
        <v>626</v>
      </c>
      <c r="B254" s="129">
        <v>1.1288</v>
      </c>
    </row>
    <row r="255" spans="1:2">
      <c r="A255" s="128" t="s">
        <v>627</v>
      </c>
      <c r="B255" s="129">
        <v>0.45189999999999997</v>
      </c>
    </row>
    <row r="256" spans="1:2">
      <c r="A256" s="128" t="s">
        <v>628</v>
      </c>
      <c r="B256" s="129">
        <v>0.62570000000000003</v>
      </c>
    </row>
    <row r="257" spans="1:2">
      <c r="A257" s="128" t="s">
        <v>629</v>
      </c>
      <c r="B257" s="129">
        <v>0.192</v>
      </c>
    </row>
    <row r="258" spans="1:2">
      <c r="A258" s="128" t="s">
        <v>630</v>
      </c>
      <c r="B258" s="129">
        <v>0.78860000000000008</v>
      </c>
    </row>
    <row r="259" spans="1:2">
      <c r="A259" s="128" t="s">
        <v>631</v>
      </c>
      <c r="B259" s="129">
        <v>0.18439999999999998</v>
      </c>
    </row>
    <row r="260" spans="1:2">
      <c r="A260" s="128" t="s">
        <v>632</v>
      </c>
      <c r="B260" s="129">
        <v>0.1633</v>
      </c>
    </row>
    <row r="261" spans="1:2">
      <c r="A261" s="128" t="s">
        <v>633</v>
      </c>
      <c r="B261" s="129">
        <v>0.65239999999999998</v>
      </c>
    </row>
    <row r="262" spans="1:2">
      <c r="A262" s="122"/>
      <c r="B262" s="121"/>
    </row>
    <row r="263" spans="1:2">
      <c r="A263" s="126" t="s">
        <v>634</v>
      </c>
      <c r="B263" s="127">
        <v>0.87530000000000008</v>
      </c>
    </row>
    <row r="264" spans="1:2">
      <c r="A264" s="128" t="s">
        <v>286</v>
      </c>
      <c r="B264" s="129">
        <v>0.87530000000000008</v>
      </c>
    </row>
    <row r="265" spans="1:2">
      <c r="A265" s="122"/>
      <c r="B265" s="121"/>
    </row>
    <row r="266" spans="1:2">
      <c r="A266" s="126" t="s">
        <v>21</v>
      </c>
      <c r="B266" s="127">
        <v>5.4916999999999998</v>
      </c>
    </row>
    <row r="267" spans="1:2">
      <c r="A267" s="128" t="s">
        <v>635</v>
      </c>
      <c r="B267" s="129">
        <v>1.0809</v>
      </c>
    </row>
    <row r="268" spans="1:2">
      <c r="A268" s="128" t="s">
        <v>636</v>
      </c>
      <c r="B268" s="129">
        <v>0.27430000000000004</v>
      </c>
    </row>
    <row r="269" spans="1:2">
      <c r="A269" s="128" t="s">
        <v>637</v>
      </c>
      <c r="B269" s="129">
        <v>0.7087</v>
      </c>
    </row>
    <row r="270" spans="1:2">
      <c r="A270" s="128" t="s">
        <v>638</v>
      </c>
      <c r="B270" s="129">
        <v>1.1511</v>
      </c>
    </row>
    <row r="271" spans="1:2">
      <c r="A271" s="128" t="s">
        <v>639</v>
      </c>
      <c r="B271" s="129">
        <v>0.37869999999999998</v>
      </c>
    </row>
    <row r="272" spans="1:2">
      <c r="A272" s="128" t="s">
        <v>640</v>
      </c>
      <c r="B272" s="129">
        <v>0.33310000000000001</v>
      </c>
    </row>
    <row r="273" spans="1:2">
      <c r="A273" s="128" t="s">
        <v>641</v>
      </c>
      <c r="B273" s="129">
        <v>0.40179999999999999</v>
      </c>
    </row>
    <row r="274" spans="1:2">
      <c r="A274" s="128" t="s">
        <v>642</v>
      </c>
      <c r="B274" s="129">
        <v>1.1631</v>
      </c>
    </row>
    <row r="275" spans="1:2">
      <c r="A275" s="122"/>
      <c r="B275" s="121"/>
    </row>
    <row r="276" spans="1:2">
      <c r="A276" s="126" t="s">
        <v>19</v>
      </c>
      <c r="B276" s="127">
        <v>2.9471000000000003</v>
      </c>
    </row>
    <row r="277" spans="1:2">
      <c r="A277" s="128" t="s">
        <v>643</v>
      </c>
      <c r="B277" s="129">
        <v>2.5114999999999998</v>
      </c>
    </row>
    <row r="278" spans="1:2">
      <c r="A278" s="128" t="s">
        <v>644</v>
      </c>
      <c r="B278" s="129">
        <v>0.30720000000000003</v>
      </c>
    </row>
    <row r="279" spans="1:2">
      <c r="A279" s="128" t="s">
        <v>645</v>
      </c>
      <c r="B279" s="129">
        <v>0.12839999999999999</v>
      </c>
    </row>
    <row r="280" spans="1:2">
      <c r="A280" s="122"/>
      <c r="B280" s="121"/>
    </row>
    <row r="281" spans="1:2">
      <c r="A281" s="126" t="s">
        <v>29</v>
      </c>
      <c r="B281" s="127">
        <v>0.59620000000000006</v>
      </c>
    </row>
    <row r="282" spans="1:2">
      <c r="A282" s="128" t="s">
        <v>646</v>
      </c>
      <c r="B282" s="129">
        <v>5.4299999999999994E-2</v>
      </c>
    </row>
    <row r="283" spans="1:2">
      <c r="A283" s="128" t="s">
        <v>647</v>
      </c>
      <c r="B283" s="129">
        <v>3.1100000000000003E-2</v>
      </c>
    </row>
    <row r="284" spans="1:2">
      <c r="A284" s="128" t="s">
        <v>467</v>
      </c>
      <c r="B284" s="129">
        <v>0.51079999999999992</v>
      </c>
    </row>
    <row r="285" spans="1:2">
      <c r="A285" s="122"/>
      <c r="B285" s="121"/>
    </row>
    <row r="286" spans="1:2">
      <c r="A286" s="126" t="s">
        <v>648</v>
      </c>
      <c r="B286" s="127">
        <v>2.7667000000000002</v>
      </c>
    </row>
    <row r="287" spans="1:2">
      <c r="A287" s="128" t="s">
        <v>649</v>
      </c>
      <c r="B287" s="129">
        <v>1.9716999999999998</v>
      </c>
    </row>
    <row r="288" spans="1:2">
      <c r="A288" s="128" t="s">
        <v>650</v>
      </c>
      <c r="B288" s="129">
        <v>0.55469999999999997</v>
      </c>
    </row>
    <row r="289" spans="1:2">
      <c r="A289" s="128" t="s">
        <v>651</v>
      </c>
      <c r="B289" s="129">
        <v>0.24030000000000001</v>
      </c>
    </row>
    <row r="290" spans="1:2">
      <c r="A290" s="132"/>
      <c r="B290" s="133"/>
    </row>
    <row r="291" spans="1:2">
      <c r="A291" s="122"/>
      <c r="B291" s="117"/>
    </row>
    <row r="292" spans="1:2">
      <c r="A292" s="122"/>
      <c r="B292" s="117"/>
    </row>
    <row r="293" spans="1:2">
      <c r="A293" s="19"/>
      <c r="B293" s="117"/>
    </row>
    <row r="294" spans="1:2">
      <c r="A294" s="19" t="s">
        <v>1009</v>
      </c>
      <c r="B294" s="117"/>
    </row>
    <row r="295" spans="1:2">
      <c r="A295" s="122"/>
      <c r="B295" s="117"/>
    </row>
    <row r="296" spans="1:2">
      <c r="A296" s="122"/>
      <c r="B296" s="117"/>
    </row>
    <row r="297" spans="1:2">
      <c r="A297" s="122"/>
      <c r="B297" s="117"/>
    </row>
    <row r="298" spans="1:2">
      <c r="A298" s="122"/>
      <c r="B298" s="117"/>
    </row>
    <row r="299" spans="1:2">
      <c r="A299" s="122"/>
      <c r="B299" s="117"/>
    </row>
    <row r="300" spans="1:2">
      <c r="A300" s="122"/>
      <c r="B300" s="117"/>
    </row>
    <row r="301" spans="1:2">
      <c r="A301" s="122"/>
      <c r="B301" s="117"/>
    </row>
    <row r="302" spans="1:2">
      <c r="A302" s="122"/>
      <c r="B302" s="117"/>
    </row>
    <row r="303" spans="1:2">
      <c r="A303" s="122"/>
      <c r="B303" s="117"/>
    </row>
    <row r="304" spans="1:2">
      <c r="A304" s="122"/>
      <c r="B304" s="117"/>
    </row>
    <row r="305" spans="1:2">
      <c r="A305" s="122"/>
      <c r="B305" s="117"/>
    </row>
    <row r="306" spans="1:2">
      <c r="A306" s="124"/>
    </row>
    <row r="307" spans="1:2">
      <c r="A307" s="124"/>
    </row>
    <row r="308" spans="1:2">
      <c r="A308" s="124"/>
    </row>
    <row r="309" spans="1:2">
      <c r="A309" s="124"/>
    </row>
    <row r="310" spans="1:2">
      <c r="A310" s="124"/>
    </row>
    <row r="311" spans="1:2">
      <c r="A311" s="124"/>
    </row>
    <row r="312" spans="1:2">
      <c r="A312" s="124"/>
    </row>
    <row r="313" spans="1:2">
      <c r="A313" s="124"/>
    </row>
    <row r="314" spans="1:2">
      <c r="A314" s="124"/>
    </row>
    <row r="315" spans="1:2">
      <c r="A315" s="124"/>
    </row>
    <row r="316" spans="1:2">
      <c r="A316" s="124"/>
    </row>
    <row r="317" spans="1:2">
      <c r="A317" s="124"/>
    </row>
    <row r="318" spans="1:2">
      <c r="A318" s="124"/>
    </row>
    <row r="319" spans="1:2">
      <c r="A319" s="124"/>
    </row>
    <row r="320" spans="1:2">
      <c r="A320" s="124"/>
    </row>
    <row r="321" spans="1:1">
      <c r="A321" s="124"/>
    </row>
    <row r="322" spans="1:1">
      <c r="A322" s="124"/>
    </row>
    <row r="323" spans="1:1">
      <c r="A323" s="124"/>
    </row>
    <row r="324" spans="1:1">
      <c r="A324" s="124"/>
    </row>
    <row r="325" spans="1:1">
      <c r="A325" s="124"/>
    </row>
    <row r="326" spans="1:1">
      <c r="A326" s="124"/>
    </row>
    <row r="327" spans="1:1">
      <c r="A327" s="124"/>
    </row>
    <row r="328" spans="1:1">
      <c r="A328" s="124"/>
    </row>
    <row r="329" spans="1:1">
      <c r="A329" s="124"/>
    </row>
    <row r="330" spans="1:1">
      <c r="A330" s="124"/>
    </row>
    <row r="331" spans="1:1">
      <c r="A331" s="124"/>
    </row>
    <row r="332" spans="1:1">
      <c r="A332" s="124"/>
    </row>
    <row r="333" spans="1:1">
      <c r="A333" s="124"/>
    </row>
    <row r="334" spans="1:1">
      <c r="A334" s="124"/>
    </row>
    <row r="335" spans="1:1">
      <c r="A335" s="124"/>
    </row>
    <row r="336" spans="1:1">
      <c r="A336" s="124"/>
    </row>
    <row r="337" spans="1:1">
      <c r="A337" s="124"/>
    </row>
    <row r="338" spans="1:1">
      <c r="A338" s="124"/>
    </row>
    <row r="339" spans="1:1">
      <c r="A339" s="124"/>
    </row>
    <row r="340" spans="1:1">
      <c r="A340" s="124"/>
    </row>
    <row r="341" spans="1:1">
      <c r="A341" s="124"/>
    </row>
    <row r="342" spans="1:1">
      <c r="A342" s="124"/>
    </row>
    <row r="343" spans="1:1">
      <c r="A343" s="124"/>
    </row>
    <row r="344" spans="1:1">
      <c r="A344" s="124"/>
    </row>
    <row r="345" spans="1:1">
      <c r="A345" s="124"/>
    </row>
    <row r="346" spans="1:1">
      <c r="A346" s="124"/>
    </row>
    <row r="347" spans="1:1">
      <c r="A347" s="124"/>
    </row>
    <row r="348" spans="1:1">
      <c r="A348" s="124"/>
    </row>
    <row r="349" spans="1:1">
      <c r="A349" s="124"/>
    </row>
    <row r="350" spans="1:1">
      <c r="A350" s="124"/>
    </row>
    <row r="351" spans="1:1">
      <c r="A351" s="124"/>
    </row>
    <row r="352" spans="1:1">
      <c r="A352" s="124"/>
    </row>
    <row r="353" spans="1:1">
      <c r="A353" s="124"/>
    </row>
    <row r="354" spans="1:1">
      <c r="A354" s="124"/>
    </row>
    <row r="355" spans="1:1">
      <c r="A355" s="124"/>
    </row>
    <row r="356" spans="1:1">
      <c r="A356" s="124"/>
    </row>
    <row r="357" spans="1:1">
      <c r="A357" s="124"/>
    </row>
    <row r="358" spans="1:1">
      <c r="A358" s="124"/>
    </row>
    <row r="359" spans="1:1">
      <c r="A359" s="124"/>
    </row>
    <row r="360" spans="1:1">
      <c r="A360" s="124"/>
    </row>
    <row r="361" spans="1:1">
      <c r="A361" s="124"/>
    </row>
    <row r="362" spans="1:1">
      <c r="A362" s="124"/>
    </row>
    <row r="363" spans="1:1">
      <c r="A363" s="124"/>
    </row>
    <row r="364" spans="1:1">
      <c r="A364" s="124"/>
    </row>
    <row r="365" spans="1:1">
      <c r="A365" s="124"/>
    </row>
    <row r="366" spans="1:1">
      <c r="A366" s="124"/>
    </row>
    <row r="367" spans="1:1">
      <c r="A367" s="124"/>
    </row>
    <row r="368" spans="1:1">
      <c r="A368" s="124"/>
    </row>
    <row r="369" spans="1:1">
      <c r="A369" s="124"/>
    </row>
    <row r="370" spans="1:1">
      <c r="A370" s="124"/>
    </row>
    <row r="371" spans="1:1">
      <c r="A371" s="124"/>
    </row>
    <row r="372" spans="1:1">
      <c r="A372" s="124"/>
    </row>
    <row r="373" spans="1:1">
      <c r="A373" s="124"/>
    </row>
    <row r="374" spans="1:1">
      <c r="A374" s="124"/>
    </row>
    <row r="375" spans="1:1">
      <c r="A375" s="124"/>
    </row>
    <row r="376" spans="1:1">
      <c r="A376" s="124"/>
    </row>
    <row r="377" spans="1:1">
      <c r="A377" s="124"/>
    </row>
    <row r="378" spans="1:1">
      <c r="A378" s="124"/>
    </row>
    <row r="379" spans="1:1">
      <c r="A379" s="124"/>
    </row>
    <row r="380" spans="1:1">
      <c r="A380" s="124"/>
    </row>
    <row r="381" spans="1:1">
      <c r="A381" s="124"/>
    </row>
    <row r="382" spans="1:1">
      <c r="A382" s="124"/>
    </row>
    <row r="383" spans="1:1">
      <c r="A383" s="124"/>
    </row>
    <row r="384" spans="1:1">
      <c r="A384" s="124"/>
    </row>
    <row r="385" spans="1:1">
      <c r="A385" s="124"/>
    </row>
    <row r="386" spans="1:1">
      <c r="A386" s="124"/>
    </row>
    <row r="387" spans="1:1">
      <c r="A387" s="124"/>
    </row>
    <row r="388" spans="1:1">
      <c r="A388" s="124"/>
    </row>
    <row r="389" spans="1:1">
      <c r="A389" s="124"/>
    </row>
    <row r="390" spans="1:1">
      <c r="A390" s="124"/>
    </row>
    <row r="391" spans="1:1">
      <c r="A391" s="124"/>
    </row>
    <row r="392" spans="1:1">
      <c r="A392" s="124"/>
    </row>
    <row r="393" spans="1:1">
      <c r="A393" s="124"/>
    </row>
    <row r="394" spans="1:1">
      <c r="A394" s="124"/>
    </row>
    <row r="395" spans="1:1">
      <c r="A395" s="124"/>
    </row>
    <row r="396" spans="1:1">
      <c r="A396" s="124"/>
    </row>
    <row r="397" spans="1:1">
      <c r="A397" s="124"/>
    </row>
    <row r="398" spans="1:1">
      <c r="A398" s="124"/>
    </row>
    <row r="399" spans="1:1">
      <c r="A399" s="124"/>
    </row>
    <row r="400" spans="1:1">
      <c r="A400" s="124"/>
    </row>
    <row r="401" spans="1:1">
      <c r="A401" s="124"/>
    </row>
    <row r="402" spans="1:1">
      <c r="A402" s="124"/>
    </row>
    <row r="403" spans="1:1">
      <c r="A403" s="124"/>
    </row>
    <row r="404" spans="1:1">
      <c r="A404" s="124"/>
    </row>
    <row r="405" spans="1:1">
      <c r="A405" s="124"/>
    </row>
    <row r="406" spans="1:1">
      <c r="A406" s="124"/>
    </row>
    <row r="407" spans="1:1">
      <c r="A407" s="124"/>
    </row>
    <row r="408" spans="1:1">
      <c r="A408" s="124"/>
    </row>
    <row r="409" spans="1:1">
      <c r="A409" s="124"/>
    </row>
    <row r="410" spans="1:1">
      <c r="A410" s="124"/>
    </row>
    <row r="411" spans="1:1">
      <c r="A411" s="124"/>
    </row>
    <row r="412" spans="1:1">
      <c r="A412" s="124"/>
    </row>
    <row r="413" spans="1:1">
      <c r="A413" s="124"/>
    </row>
    <row r="414" spans="1:1">
      <c r="A414" s="124"/>
    </row>
    <row r="415" spans="1:1">
      <c r="A415" s="124"/>
    </row>
    <row r="416" spans="1:1">
      <c r="A416" s="124"/>
    </row>
    <row r="417" spans="1:1">
      <c r="A417" s="124"/>
    </row>
    <row r="418" spans="1:1">
      <c r="A418" s="124"/>
    </row>
    <row r="419" spans="1:1">
      <c r="A419" s="124"/>
    </row>
    <row r="420" spans="1:1">
      <c r="A420" s="124"/>
    </row>
    <row r="421" spans="1:1">
      <c r="A421" s="124"/>
    </row>
    <row r="422" spans="1:1">
      <c r="A422" s="124"/>
    </row>
    <row r="423" spans="1:1">
      <c r="A423" s="124"/>
    </row>
    <row r="424" spans="1:1">
      <c r="A424" s="124"/>
    </row>
    <row r="425" spans="1:1">
      <c r="A425" s="124"/>
    </row>
    <row r="426" spans="1:1">
      <c r="A426" s="124"/>
    </row>
    <row r="427" spans="1:1">
      <c r="A427" s="124"/>
    </row>
    <row r="428" spans="1:1">
      <c r="A428" s="124"/>
    </row>
    <row r="429" spans="1:1">
      <c r="A429" s="124"/>
    </row>
    <row r="430" spans="1:1">
      <c r="A430" s="124"/>
    </row>
    <row r="431" spans="1:1">
      <c r="A431" s="124"/>
    </row>
    <row r="432" spans="1:1">
      <c r="A432" s="124"/>
    </row>
    <row r="433" spans="1:1">
      <c r="A433" s="124"/>
    </row>
    <row r="434" spans="1:1">
      <c r="A434" s="124"/>
    </row>
    <row r="435" spans="1:1">
      <c r="A435" s="124"/>
    </row>
    <row r="436" spans="1:1">
      <c r="A436" s="124"/>
    </row>
    <row r="437" spans="1:1">
      <c r="A437" s="124"/>
    </row>
    <row r="438" spans="1:1">
      <c r="A438" s="124"/>
    </row>
    <row r="439" spans="1:1">
      <c r="A439" s="124"/>
    </row>
    <row r="440" spans="1:1">
      <c r="A440" s="124"/>
    </row>
    <row r="441" spans="1:1">
      <c r="A441" s="124"/>
    </row>
    <row r="442" spans="1:1">
      <c r="A442" s="124"/>
    </row>
    <row r="443" spans="1:1">
      <c r="A443" s="124"/>
    </row>
    <row r="444" spans="1:1">
      <c r="A444" s="124"/>
    </row>
    <row r="445" spans="1:1">
      <c r="A445" s="124"/>
    </row>
    <row r="446" spans="1:1">
      <c r="A446" s="124"/>
    </row>
    <row r="447" spans="1:1">
      <c r="A447" s="124"/>
    </row>
    <row r="448" spans="1:1">
      <c r="A448" s="124"/>
    </row>
    <row r="449" spans="1:1">
      <c r="A449" s="124"/>
    </row>
    <row r="450" spans="1:1">
      <c r="A450" s="124"/>
    </row>
    <row r="451" spans="1:1">
      <c r="A451" s="124"/>
    </row>
    <row r="452" spans="1:1">
      <c r="A452" s="124"/>
    </row>
    <row r="453" spans="1:1">
      <c r="A453" s="124"/>
    </row>
    <row r="454" spans="1:1">
      <c r="A454" s="124"/>
    </row>
    <row r="455" spans="1:1">
      <c r="A455" s="124"/>
    </row>
    <row r="456" spans="1:1">
      <c r="A456" s="124"/>
    </row>
    <row r="457" spans="1:1">
      <c r="A457" s="124"/>
    </row>
    <row r="458" spans="1:1">
      <c r="A458" s="124"/>
    </row>
    <row r="459" spans="1:1">
      <c r="A459" s="124"/>
    </row>
    <row r="460" spans="1:1">
      <c r="A460" s="124"/>
    </row>
    <row r="461" spans="1:1">
      <c r="A461" s="124"/>
    </row>
    <row r="462" spans="1:1">
      <c r="A462" s="124"/>
    </row>
    <row r="463" spans="1:1">
      <c r="A463" s="124"/>
    </row>
    <row r="464" spans="1:1">
      <c r="A464" s="124"/>
    </row>
    <row r="465" spans="1:1">
      <c r="A465" s="124"/>
    </row>
    <row r="466" spans="1:1">
      <c r="A466" s="124"/>
    </row>
    <row r="467" spans="1:1">
      <c r="A467" s="124"/>
    </row>
    <row r="468" spans="1:1">
      <c r="A468" s="124"/>
    </row>
    <row r="469" spans="1:1">
      <c r="A469" s="124"/>
    </row>
    <row r="470" spans="1:1">
      <c r="A470" s="124"/>
    </row>
    <row r="471" spans="1:1">
      <c r="A471" s="124"/>
    </row>
    <row r="472" spans="1:1">
      <c r="A472" s="124"/>
    </row>
    <row r="473" spans="1:1">
      <c r="A473" s="124"/>
    </row>
    <row r="474" spans="1:1">
      <c r="A474" s="124"/>
    </row>
    <row r="475" spans="1:1">
      <c r="A475" s="124"/>
    </row>
    <row r="476" spans="1:1">
      <c r="A476" s="124"/>
    </row>
    <row r="477" spans="1:1">
      <c r="A477" s="124"/>
    </row>
    <row r="478" spans="1:1">
      <c r="A478" s="124"/>
    </row>
    <row r="479" spans="1:1">
      <c r="A479" s="124"/>
    </row>
    <row r="480" spans="1:1">
      <c r="A480" s="124"/>
    </row>
    <row r="481" spans="1:1">
      <c r="A481" s="124"/>
    </row>
    <row r="482" spans="1:1">
      <c r="A482" s="124"/>
    </row>
    <row r="483" spans="1:1">
      <c r="A483" s="124"/>
    </row>
    <row r="484" spans="1:1">
      <c r="A484" s="124"/>
    </row>
    <row r="485" spans="1:1">
      <c r="A485" s="124"/>
    </row>
    <row r="486" spans="1:1">
      <c r="A486" s="124"/>
    </row>
    <row r="487" spans="1:1">
      <c r="A487" s="124"/>
    </row>
    <row r="488" spans="1:1">
      <c r="A488" s="124"/>
    </row>
  </sheetData>
  <mergeCells count="3">
    <mergeCell ref="A1:B1"/>
    <mergeCell ref="A2:B2"/>
    <mergeCell ref="A3:B3"/>
  </mergeCells>
  <hyperlinks>
    <hyperlink ref="A294" location="'indice cap.4'!A1" display="regresar al índice"/>
  </hyperlinks>
  <printOptions horizontalCentered="1"/>
  <pageMargins left="0.70866141732283472" right="0.70866141732283472" top="0.35433070866141736" bottom="0.35433070866141736" header="0.31496062992125984" footer="0.31496062992125984"/>
  <pageSetup paperSize="9" scale="70" orientation="portrait" verticalDpi="599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91"/>
  <sheetViews>
    <sheetView showGridLines="0" workbookViewId="0">
      <selection activeCell="A3" sqref="A3:B3"/>
    </sheetView>
  </sheetViews>
  <sheetFormatPr baseColWidth="10" defaultRowHeight="12.75"/>
  <cols>
    <col min="1" max="1" width="45.7109375" style="92" customWidth="1"/>
    <col min="2" max="2" width="16.140625" style="92" customWidth="1"/>
    <col min="3" max="16384" width="11.42578125" style="92"/>
  </cols>
  <sheetData>
    <row r="1" spans="1:3">
      <c r="A1" s="292" t="s">
        <v>1522</v>
      </c>
      <c r="B1" s="292"/>
    </row>
    <row r="2" spans="1:3">
      <c r="A2" s="292" t="s">
        <v>1497</v>
      </c>
      <c r="B2" s="292"/>
    </row>
    <row r="3" spans="1:3">
      <c r="A3" s="335" t="s">
        <v>1525</v>
      </c>
      <c r="B3" s="335"/>
    </row>
    <row r="4" spans="1:3">
      <c r="A4" s="118"/>
    </row>
    <row r="5" spans="1:3">
      <c r="A5" s="126" t="s">
        <v>295</v>
      </c>
      <c r="B5" s="104">
        <v>43.208999999999996</v>
      </c>
    </row>
    <row r="6" spans="1:3">
      <c r="A6" s="118"/>
      <c r="B6" s="103"/>
    </row>
    <row r="7" spans="1:3">
      <c r="A7" s="126" t="s">
        <v>296</v>
      </c>
      <c r="B7" s="104">
        <v>5.5085000000000006</v>
      </c>
    </row>
    <row r="8" spans="1:3">
      <c r="A8" s="136" t="s">
        <v>473</v>
      </c>
      <c r="B8" s="105">
        <v>2.6920999999999999</v>
      </c>
      <c r="C8" s="134"/>
    </row>
    <row r="9" spans="1:3">
      <c r="A9" s="136" t="s">
        <v>474</v>
      </c>
      <c r="B9" s="105">
        <v>0.16930000000000001</v>
      </c>
      <c r="C9" s="134"/>
    </row>
    <row r="10" spans="1:3">
      <c r="A10" s="136" t="s">
        <v>475</v>
      </c>
      <c r="B10" s="105">
        <v>0.44429999999999997</v>
      </c>
      <c r="C10" s="134"/>
    </row>
    <row r="11" spans="1:3">
      <c r="A11" s="136" t="s">
        <v>477</v>
      </c>
      <c r="B11" s="105">
        <v>2.2027999999999999</v>
      </c>
      <c r="C11" s="134"/>
    </row>
    <row r="12" spans="1:3">
      <c r="A12" s="123"/>
      <c r="B12" s="103"/>
      <c r="C12" s="134"/>
    </row>
    <row r="13" spans="1:3">
      <c r="A13" s="126" t="s">
        <v>478</v>
      </c>
      <c r="B13" s="104">
        <v>7.0530999999999997</v>
      </c>
      <c r="C13" s="134"/>
    </row>
    <row r="14" spans="1:3">
      <c r="A14" s="136" t="s">
        <v>479</v>
      </c>
      <c r="B14" s="105">
        <v>1.7839</v>
      </c>
      <c r="C14" s="134"/>
    </row>
    <row r="15" spans="1:3">
      <c r="A15" s="136" t="s">
        <v>302</v>
      </c>
      <c r="B15" s="105">
        <v>2.5878999999999999</v>
      </c>
      <c r="C15" s="134"/>
    </row>
    <row r="16" spans="1:3">
      <c r="A16" s="136" t="s">
        <v>481</v>
      </c>
      <c r="B16" s="105">
        <v>2.6812999999999998</v>
      </c>
      <c r="C16" s="134"/>
    </row>
    <row r="17" spans="1:3">
      <c r="A17" s="123"/>
      <c r="B17" s="103"/>
      <c r="C17" s="134"/>
    </row>
    <row r="18" spans="1:3">
      <c r="A18" s="126" t="s">
        <v>304</v>
      </c>
      <c r="B18" s="104">
        <v>1.9813000000000001</v>
      </c>
    </row>
    <row r="19" spans="1:3">
      <c r="A19" s="136" t="s">
        <v>652</v>
      </c>
      <c r="B19" s="105">
        <v>1.3594999999999999</v>
      </c>
    </row>
    <row r="20" spans="1:3">
      <c r="A20" s="136" t="s">
        <v>483</v>
      </c>
      <c r="B20" s="105">
        <v>0.27239999999999998</v>
      </c>
    </row>
    <row r="21" spans="1:3">
      <c r="A21" s="136" t="s">
        <v>484</v>
      </c>
      <c r="B21" s="105">
        <v>3.78E-2</v>
      </c>
    </row>
    <row r="22" spans="1:3">
      <c r="A22" s="136" t="s">
        <v>485</v>
      </c>
      <c r="B22" s="105">
        <v>0.31159999999999999</v>
      </c>
    </row>
    <row r="23" spans="1:3">
      <c r="A23" s="123"/>
      <c r="B23" s="103"/>
    </row>
    <row r="24" spans="1:3">
      <c r="A24" s="126" t="s">
        <v>307</v>
      </c>
      <c r="B24" s="104">
        <v>1.3889</v>
      </c>
    </row>
    <row r="25" spans="1:3">
      <c r="A25" s="136" t="s">
        <v>488</v>
      </c>
      <c r="B25" s="105">
        <v>1.0592999999999999</v>
      </c>
    </row>
    <row r="26" spans="1:3">
      <c r="A26" s="136" t="s">
        <v>309</v>
      </c>
      <c r="B26" s="105">
        <v>0.3296</v>
      </c>
    </row>
    <row r="27" spans="1:3">
      <c r="A27" s="123"/>
      <c r="B27" s="103"/>
    </row>
    <row r="28" spans="1:3">
      <c r="A28" s="126" t="s">
        <v>310</v>
      </c>
      <c r="B28" s="104">
        <v>4.5133000000000001</v>
      </c>
    </row>
    <row r="29" spans="1:3">
      <c r="A29" s="136" t="s">
        <v>312</v>
      </c>
      <c r="B29" s="105">
        <v>0.79880000000000007</v>
      </c>
    </row>
    <row r="30" spans="1:3">
      <c r="A30" s="136" t="s">
        <v>311</v>
      </c>
      <c r="B30" s="105">
        <v>2.4662000000000002</v>
      </c>
    </row>
    <row r="31" spans="1:3">
      <c r="A31" s="136" t="s">
        <v>653</v>
      </c>
      <c r="B31" s="105">
        <v>3.8600000000000002E-2</v>
      </c>
    </row>
    <row r="32" spans="1:3">
      <c r="A32" s="136" t="s">
        <v>313</v>
      </c>
      <c r="B32" s="105">
        <v>1.016</v>
      </c>
    </row>
    <row r="33" spans="1:2">
      <c r="A33" s="136" t="s">
        <v>654</v>
      </c>
      <c r="B33" s="105">
        <v>0.19369999999999998</v>
      </c>
    </row>
    <row r="34" spans="1:2">
      <c r="A34" s="123"/>
      <c r="B34" s="103"/>
    </row>
    <row r="35" spans="1:2">
      <c r="A35" s="126" t="s">
        <v>314</v>
      </c>
      <c r="B35" s="104">
        <v>2.5705999999999998</v>
      </c>
    </row>
    <row r="36" spans="1:2">
      <c r="A36" s="136" t="s">
        <v>489</v>
      </c>
      <c r="B36" s="105">
        <v>0.2702</v>
      </c>
    </row>
    <row r="37" spans="1:2">
      <c r="A37" s="136" t="s">
        <v>160</v>
      </c>
      <c r="B37" s="105">
        <v>0.2039</v>
      </c>
    </row>
    <row r="38" spans="1:2">
      <c r="A38" s="136" t="s">
        <v>159</v>
      </c>
      <c r="B38" s="105">
        <v>0.48919999999999997</v>
      </c>
    </row>
    <row r="39" spans="1:2">
      <c r="A39" s="136" t="s">
        <v>317</v>
      </c>
      <c r="B39" s="105">
        <v>3.4099999999999998E-2</v>
      </c>
    </row>
    <row r="40" spans="1:2">
      <c r="A40" s="136" t="s">
        <v>490</v>
      </c>
      <c r="B40" s="105">
        <v>0.1129</v>
      </c>
    </row>
    <row r="41" spans="1:2">
      <c r="A41" s="136" t="s">
        <v>491</v>
      </c>
      <c r="B41" s="105">
        <v>0.17899999999999999</v>
      </c>
    </row>
    <row r="42" spans="1:2">
      <c r="A42" s="136" t="s">
        <v>319</v>
      </c>
      <c r="B42" s="105">
        <v>0.21250000000000002</v>
      </c>
    </row>
    <row r="43" spans="1:2">
      <c r="A43" s="136" t="s">
        <v>492</v>
      </c>
      <c r="B43" s="105">
        <v>0.1726</v>
      </c>
    </row>
    <row r="44" spans="1:2">
      <c r="A44" s="136" t="s">
        <v>321</v>
      </c>
      <c r="B44" s="105">
        <v>4.1500000000000002E-2</v>
      </c>
    </row>
    <row r="45" spans="1:2">
      <c r="A45" s="136" t="s">
        <v>493</v>
      </c>
      <c r="B45" s="105">
        <v>0.21299999999999999</v>
      </c>
    </row>
    <row r="46" spans="1:2">
      <c r="A46" s="136" t="s">
        <v>494</v>
      </c>
      <c r="B46" s="105">
        <v>0.57819999999999994</v>
      </c>
    </row>
    <row r="47" spans="1:2">
      <c r="A47" s="136" t="s">
        <v>655</v>
      </c>
      <c r="B47" s="105">
        <v>6.3500000000000001E-2</v>
      </c>
    </row>
    <row r="48" spans="1:2">
      <c r="A48" s="123"/>
      <c r="B48" s="103"/>
    </row>
    <row r="49" spans="1:2">
      <c r="A49" s="126" t="s">
        <v>324</v>
      </c>
      <c r="B49" s="104">
        <v>1.4028</v>
      </c>
    </row>
    <row r="50" spans="1:2">
      <c r="A50" s="136" t="s">
        <v>325</v>
      </c>
      <c r="B50" s="105">
        <v>1.0392999999999999</v>
      </c>
    </row>
    <row r="51" spans="1:2">
      <c r="A51" s="136" t="s">
        <v>163</v>
      </c>
      <c r="B51" s="105">
        <v>0.15859999999999999</v>
      </c>
    </row>
    <row r="52" spans="1:2">
      <c r="A52" s="136" t="s">
        <v>323</v>
      </c>
      <c r="B52" s="105">
        <v>0.2049</v>
      </c>
    </row>
    <row r="53" spans="1:2">
      <c r="A53" s="123"/>
      <c r="B53" s="103"/>
    </row>
    <row r="54" spans="1:2">
      <c r="A54" s="126" t="s">
        <v>326</v>
      </c>
      <c r="B54" s="104">
        <v>0.41190000000000004</v>
      </c>
    </row>
    <row r="55" spans="1:2">
      <c r="A55" s="136" t="s">
        <v>496</v>
      </c>
      <c r="B55" s="105">
        <v>8.2000000000000007E-3</v>
      </c>
    </row>
    <row r="56" spans="1:2">
      <c r="A56" s="136" t="s">
        <v>497</v>
      </c>
      <c r="B56" s="105">
        <v>1.1299999999999999E-2</v>
      </c>
    </row>
    <row r="57" spans="1:2">
      <c r="A57" s="136" t="s">
        <v>498</v>
      </c>
      <c r="B57" s="105">
        <v>0.16270000000000001</v>
      </c>
    </row>
    <row r="58" spans="1:2">
      <c r="A58" s="136" t="s">
        <v>328</v>
      </c>
      <c r="B58" s="105">
        <v>3.27E-2</v>
      </c>
    </row>
    <row r="59" spans="1:2">
      <c r="A59" s="136" t="s">
        <v>329</v>
      </c>
      <c r="B59" s="105">
        <v>0.19700000000000001</v>
      </c>
    </row>
    <row r="60" spans="1:2">
      <c r="A60" s="123"/>
      <c r="B60" s="103"/>
    </row>
    <row r="61" spans="1:2">
      <c r="A61" s="126" t="s">
        <v>330</v>
      </c>
      <c r="B61" s="104">
        <v>2.9284999999999997</v>
      </c>
    </row>
    <row r="62" spans="1:2">
      <c r="A62" s="136" t="s">
        <v>499</v>
      </c>
      <c r="B62" s="105">
        <v>4.6199999999999998E-2</v>
      </c>
    </row>
    <row r="63" spans="1:2">
      <c r="A63" s="136" t="s">
        <v>334</v>
      </c>
      <c r="B63" s="105">
        <v>0.32519999999999999</v>
      </c>
    </row>
    <row r="64" spans="1:2">
      <c r="A64" s="136" t="s">
        <v>501</v>
      </c>
      <c r="B64" s="105">
        <v>0.21020000000000003</v>
      </c>
    </row>
    <row r="65" spans="1:2">
      <c r="A65" s="136" t="s">
        <v>502</v>
      </c>
      <c r="B65" s="105">
        <v>5.1299999999999998E-2</v>
      </c>
    </row>
    <row r="66" spans="1:2">
      <c r="A66" s="136" t="s">
        <v>332</v>
      </c>
      <c r="B66" s="105">
        <v>0.4738</v>
      </c>
    </row>
    <row r="67" spans="1:2">
      <c r="A67" s="136" t="s">
        <v>333</v>
      </c>
      <c r="B67" s="105">
        <v>0.2404</v>
      </c>
    </row>
    <row r="68" spans="1:2">
      <c r="A68" s="136" t="s">
        <v>503</v>
      </c>
      <c r="B68" s="105">
        <v>0.1147</v>
      </c>
    </row>
    <row r="69" spans="1:2">
      <c r="A69" s="136" t="s">
        <v>335</v>
      </c>
      <c r="B69" s="105">
        <v>0.12039999999999999</v>
      </c>
    </row>
    <row r="70" spans="1:2">
      <c r="A70" s="136" t="s">
        <v>504</v>
      </c>
      <c r="B70" s="105">
        <v>0.20990000000000003</v>
      </c>
    </row>
    <row r="71" spans="1:2">
      <c r="A71" s="136" t="s">
        <v>505</v>
      </c>
      <c r="B71" s="105">
        <v>0.64270000000000005</v>
      </c>
    </row>
    <row r="72" spans="1:2">
      <c r="A72" s="136" t="s">
        <v>506</v>
      </c>
      <c r="B72" s="105">
        <v>0.36859999999999998</v>
      </c>
    </row>
    <row r="73" spans="1:2">
      <c r="A73" s="136" t="s">
        <v>656</v>
      </c>
      <c r="B73" s="105">
        <v>4.7899999999999998E-2</v>
      </c>
    </row>
    <row r="74" spans="1:2">
      <c r="A74" s="136" t="s">
        <v>657</v>
      </c>
      <c r="B74" s="105">
        <v>7.7200000000000005E-2</v>
      </c>
    </row>
    <row r="75" spans="1:2">
      <c r="A75" s="123"/>
      <c r="B75" s="103">
        <v>0</v>
      </c>
    </row>
    <row r="76" spans="1:2">
      <c r="A76" s="126" t="s">
        <v>507</v>
      </c>
      <c r="B76" s="104">
        <v>2.24E-2</v>
      </c>
    </row>
    <row r="77" spans="1:2">
      <c r="A77" s="136" t="s">
        <v>508</v>
      </c>
      <c r="B77" s="105">
        <v>1.2199999999999999E-2</v>
      </c>
    </row>
    <row r="78" spans="1:2">
      <c r="A78" s="136" t="s">
        <v>511</v>
      </c>
      <c r="B78" s="105">
        <v>3.1999999999999997E-3</v>
      </c>
    </row>
    <row r="79" spans="1:2">
      <c r="A79" s="136" t="s">
        <v>512</v>
      </c>
      <c r="B79" s="105">
        <v>6.9999999999999993E-3</v>
      </c>
    </row>
    <row r="80" spans="1:2">
      <c r="A80" s="123"/>
      <c r="B80" s="103"/>
    </row>
    <row r="81" spans="1:2">
      <c r="A81" s="126" t="s">
        <v>338</v>
      </c>
      <c r="B81" s="104">
        <v>1.6191</v>
      </c>
    </row>
    <row r="82" spans="1:2">
      <c r="A82" s="136" t="s">
        <v>340</v>
      </c>
      <c r="B82" s="105">
        <v>0.26350000000000001</v>
      </c>
    </row>
    <row r="83" spans="1:2">
      <c r="A83" s="136" t="s">
        <v>339</v>
      </c>
      <c r="B83" s="105">
        <v>1.1200999999999999</v>
      </c>
    </row>
    <row r="84" spans="1:2">
      <c r="A84" s="136" t="s">
        <v>184</v>
      </c>
      <c r="B84" s="105">
        <v>1.9E-2</v>
      </c>
    </row>
    <row r="85" spans="1:2">
      <c r="A85" s="136" t="s">
        <v>515</v>
      </c>
      <c r="B85" s="105">
        <v>0.13060000000000002</v>
      </c>
    </row>
    <row r="86" spans="1:2">
      <c r="A86" s="136" t="s">
        <v>349</v>
      </c>
      <c r="B86" s="105">
        <v>8.589999999999999E-2</v>
      </c>
    </row>
    <row r="87" spans="1:2">
      <c r="A87" s="123"/>
      <c r="B87" s="103"/>
    </row>
    <row r="88" spans="1:2">
      <c r="A88" s="126" t="s">
        <v>658</v>
      </c>
      <c r="B88" s="104">
        <v>1.2679</v>
      </c>
    </row>
    <row r="89" spans="1:2">
      <c r="A89" s="136" t="s">
        <v>189</v>
      </c>
      <c r="B89" s="105">
        <v>0.1171</v>
      </c>
    </row>
    <row r="90" spans="1:2">
      <c r="A90" s="136" t="s">
        <v>518</v>
      </c>
      <c r="B90" s="105">
        <v>0.2802</v>
      </c>
    </row>
    <row r="91" spans="1:2">
      <c r="A91" s="136" t="s">
        <v>519</v>
      </c>
      <c r="B91" s="105">
        <v>2.7300000000000001E-2</v>
      </c>
    </row>
    <row r="92" spans="1:2">
      <c r="A92" s="136" t="s">
        <v>659</v>
      </c>
      <c r="B92" s="105">
        <v>0.67070000000000007</v>
      </c>
    </row>
    <row r="93" spans="1:2">
      <c r="A93" s="136" t="s">
        <v>660</v>
      </c>
      <c r="B93" s="105">
        <v>0.1726</v>
      </c>
    </row>
    <row r="94" spans="1:2">
      <c r="A94" s="123"/>
      <c r="B94" s="103"/>
    </row>
    <row r="95" spans="1:2">
      <c r="A95" s="126" t="s">
        <v>521</v>
      </c>
      <c r="B95" s="104">
        <v>1.3599999999999999E-2</v>
      </c>
    </row>
    <row r="96" spans="1:2">
      <c r="A96" s="136" t="s">
        <v>522</v>
      </c>
      <c r="B96" s="105">
        <v>1.3599999999999999E-2</v>
      </c>
    </row>
    <row r="97" spans="1:2">
      <c r="A97" s="123"/>
      <c r="B97" s="103"/>
    </row>
    <row r="98" spans="1:2">
      <c r="A98" s="126" t="s">
        <v>346</v>
      </c>
      <c r="B98" s="104">
        <v>0.23449999999999999</v>
      </c>
    </row>
    <row r="99" spans="1:2">
      <c r="A99" s="136" t="s">
        <v>524</v>
      </c>
      <c r="B99" s="105">
        <v>5.1000000000000004E-2</v>
      </c>
    </row>
    <row r="100" spans="1:2">
      <c r="A100" s="136" t="s">
        <v>152</v>
      </c>
      <c r="B100" s="105">
        <v>4.4000000000000003E-3</v>
      </c>
    </row>
    <row r="101" spans="1:2">
      <c r="A101" s="136" t="s">
        <v>525</v>
      </c>
      <c r="B101" s="105">
        <v>8.8400000000000006E-2</v>
      </c>
    </row>
    <row r="102" spans="1:2">
      <c r="A102" s="136" t="s">
        <v>661</v>
      </c>
      <c r="B102" s="105">
        <v>9.0700000000000003E-2</v>
      </c>
    </row>
    <row r="103" spans="1:2">
      <c r="A103" s="123"/>
      <c r="B103" s="103"/>
    </row>
    <row r="104" spans="1:2">
      <c r="A104" s="126" t="s">
        <v>182</v>
      </c>
      <c r="B104" s="104">
        <v>4.1500000000000002E-2</v>
      </c>
    </row>
    <row r="105" spans="1:2">
      <c r="A105" s="136" t="s">
        <v>662</v>
      </c>
      <c r="B105" s="105">
        <v>7.6000000000000009E-3</v>
      </c>
    </row>
    <row r="106" spans="1:2">
      <c r="A106" s="136" t="s">
        <v>527</v>
      </c>
      <c r="B106" s="105">
        <v>2.3900000000000001E-2</v>
      </c>
    </row>
    <row r="107" spans="1:2">
      <c r="A107" s="136" t="s">
        <v>528</v>
      </c>
      <c r="B107" s="105">
        <v>7.1999999999999998E-3</v>
      </c>
    </row>
    <row r="108" spans="1:2">
      <c r="A108" s="136" t="s">
        <v>529</v>
      </c>
      <c r="B108" s="105">
        <v>2.8E-3</v>
      </c>
    </row>
    <row r="109" spans="1:2">
      <c r="A109" s="123"/>
      <c r="B109" s="103"/>
    </row>
    <row r="110" spans="1:2">
      <c r="A110" s="126" t="s">
        <v>350</v>
      </c>
      <c r="B110" s="104">
        <v>0.73009999999999997</v>
      </c>
    </row>
    <row r="111" spans="1:2">
      <c r="A111" s="136" t="s">
        <v>663</v>
      </c>
      <c r="B111" s="105">
        <v>0.53779999999999994</v>
      </c>
    </row>
    <row r="112" spans="1:2">
      <c r="A112" s="136" t="s">
        <v>532</v>
      </c>
      <c r="B112" s="105">
        <v>2.6100000000000002E-2</v>
      </c>
    </row>
    <row r="113" spans="1:2">
      <c r="A113" s="136" t="s">
        <v>664</v>
      </c>
      <c r="B113" s="105">
        <v>0.16620000000000001</v>
      </c>
    </row>
    <row r="114" spans="1:2">
      <c r="A114" s="123"/>
      <c r="B114" s="103"/>
    </row>
    <row r="115" spans="1:2">
      <c r="A115" s="126" t="s">
        <v>534</v>
      </c>
      <c r="B115" s="104">
        <v>1.0019</v>
      </c>
    </row>
    <row r="116" spans="1:2">
      <c r="A116" s="136" t="s">
        <v>535</v>
      </c>
      <c r="B116" s="105">
        <v>1.0019</v>
      </c>
    </row>
    <row r="117" spans="1:2">
      <c r="A117" s="123"/>
      <c r="B117" s="103"/>
    </row>
    <row r="118" spans="1:2">
      <c r="A118" s="126" t="s">
        <v>536</v>
      </c>
      <c r="B118" s="104">
        <v>10.5191</v>
      </c>
    </row>
    <row r="119" spans="1:2">
      <c r="A119" s="136" t="s">
        <v>537</v>
      </c>
      <c r="B119" s="105">
        <v>1.097</v>
      </c>
    </row>
    <row r="120" spans="1:2">
      <c r="A120" s="136" t="s">
        <v>539</v>
      </c>
      <c r="B120" s="105">
        <v>0.55530000000000002</v>
      </c>
    </row>
    <row r="121" spans="1:2">
      <c r="A121" s="136" t="s">
        <v>540</v>
      </c>
      <c r="B121" s="105">
        <v>8.8667999999999996</v>
      </c>
    </row>
    <row r="122" spans="1:2">
      <c r="A122" s="123"/>
      <c r="B122" s="103"/>
    </row>
    <row r="123" spans="1:2">
      <c r="A123" s="126" t="s">
        <v>358</v>
      </c>
      <c r="B123" s="104">
        <v>17.736599999999999</v>
      </c>
    </row>
    <row r="124" spans="1:2">
      <c r="A124" s="118"/>
      <c r="B124" s="135"/>
    </row>
    <row r="125" spans="1:2">
      <c r="A125" s="126" t="s">
        <v>359</v>
      </c>
      <c r="B125" s="104">
        <v>8.6981000000000002</v>
      </c>
    </row>
    <row r="126" spans="1:2">
      <c r="A126" s="136" t="s">
        <v>359</v>
      </c>
      <c r="B126" s="105">
        <v>8.6981000000000002</v>
      </c>
    </row>
    <row r="127" spans="1:2">
      <c r="A127" s="123"/>
      <c r="B127" s="103"/>
    </row>
    <row r="128" spans="1:2">
      <c r="A128" s="126" t="s">
        <v>361</v>
      </c>
      <c r="B128" s="104">
        <v>1.6556000000000002</v>
      </c>
    </row>
    <row r="129" spans="1:2">
      <c r="A129" s="136" t="s">
        <v>363</v>
      </c>
      <c r="B129" s="105">
        <v>1.2142999999999999</v>
      </c>
    </row>
    <row r="130" spans="1:2">
      <c r="A130" s="136" t="s">
        <v>362</v>
      </c>
      <c r="B130" s="105">
        <v>0.44130000000000003</v>
      </c>
    </row>
    <row r="131" spans="1:2">
      <c r="A131" s="123"/>
      <c r="B131" s="103"/>
    </row>
    <row r="132" spans="1:2">
      <c r="A132" s="126" t="s">
        <v>364</v>
      </c>
      <c r="B132" s="104">
        <v>3.9522000000000004</v>
      </c>
    </row>
    <row r="133" spans="1:2">
      <c r="A133" s="136" t="s">
        <v>366</v>
      </c>
      <c r="B133" s="105">
        <v>1.3731</v>
      </c>
    </row>
    <row r="134" spans="1:2">
      <c r="A134" s="136" t="s">
        <v>543</v>
      </c>
      <c r="B134" s="105">
        <v>0.63879999999999992</v>
      </c>
    </row>
    <row r="135" spans="1:2">
      <c r="A135" s="136" t="s">
        <v>544</v>
      </c>
      <c r="B135" s="105">
        <v>0.78770000000000007</v>
      </c>
    </row>
    <row r="136" spans="1:2">
      <c r="A136" s="136" t="s">
        <v>545</v>
      </c>
      <c r="B136" s="105">
        <v>0.75819999999999999</v>
      </c>
    </row>
    <row r="137" spans="1:2">
      <c r="A137" s="136" t="s">
        <v>665</v>
      </c>
      <c r="B137" s="105">
        <v>0.1976</v>
      </c>
    </row>
    <row r="138" spans="1:2">
      <c r="A138" s="136" t="s">
        <v>666</v>
      </c>
      <c r="B138" s="105">
        <v>0.1968</v>
      </c>
    </row>
    <row r="139" spans="1:2">
      <c r="A139" s="123"/>
      <c r="B139" s="103"/>
    </row>
    <row r="140" spans="1:2">
      <c r="A140" s="126" t="s">
        <v>372</v>
      </c>
      <c r="B140" s="104">
        <v>0.87950000000000006</v>
      </c>
    </row>
    <row r="141" spans="1:2">
      <c r="A141" s="136" t="s">
        <v>546</v>
      </c>
      <c r="B141" s="105">
        <v>0.32339999999999997</v>
      </c>
    </row>
    <row r="142" spans="1:2">
      <c r="A142" s="136" t="s">
        <v>547</v>
      </c>
      <c r="B142" s="105">
        <v>4.8099999999999997E-2</v>
      </c>
    </row>
    <row r="143" spans="1:2">
      <c r="A143" s="136" t="s">
        <v>548</v>
      </c>
      <c r="B143" s="105">
        <v>0.20230000000000001</v>
      </c>
    </row>
    <row r="144" spans="1:2">
      <c r="A144" s="136" t="s">
        <v>549</v>
      </c>
      <c r="B144" s="105">
        <v>0.24429999999999999</v>
      </c>
    </row>
    <row r="145" spans="1:2">
      <c r="A145" s="136" t="s">
        <v>550</v>
      </c>
      <c r="B145" s="105">
        <v>6.1399999999999996E-2</v>
      </c>
    </row>
    <row r="146" spans="1:2">
      <c r="A146" s="123"/>
      <c r="B146" s="103"/>
    </row>
    <row r="147" spans="1:2">
      <c r="A147" s="126" t="s">
        <v>551</v>
      </c>
      <c r="B147" s="104">
        <v>1.3299999999999998</v>
      </c>
    </row>
    <row r="148" spans="1:2">
      <c r="A148" s="136" t="s">
        <v>552</v>
      </c>
      <c r="B148" s="105">
        <v>0.1807</v>
      </c>
    </row>
    <row r="149" spans="1:2">
      <c r="A149" s="136" t="s">
        <v>553</v>
      </c>
      <c r="B149" s="105">
        <v>0.15690000000000001</v>
      </c>
    </row>
    <row r="150" spans="1:2">
      <c r="A150" s="136" t="s">
        <v>554</v>
      </c>
      <c r="B150" s="105">
        <v>0.1036</v>
      </c>
    </row>
    <row r="151" spans="1:2">
      <c r="A151" s="136" t="s">
        <v>556</v>
      </c>
      <c r="B151" s="105">
        <v>0.10139999999999999</v>
      </c>
    </row>
    <row r="152" spans="1:2">
      <c r="A152" s="136" t="s">
        <v>557</v>
      </c>
      <c r="B152" s="105">
        <v>0.62790000000000001</v>
      </c>
    </row>
    <row r="153" spans="1:2">
      <c r="A153" s="136" t="s">
        <v>559</v>
      </c>
      <c r="B153" s="105">
        <v>4.2299999999999997E-2</v>
      </c>
    </row>
    <row r="154" spans="1:2">
      <c r="A154" s="136" t="s">
        <v>262</v>
      </c>
      <c r="B154" s="105">
        <v>0.11720000000000001</v>
      </c>
    </row>
    <row r="155" spans="1:2">
      <c r="A155" s="123"/>
      <c r="B155" s="103"/>
    </row>
    <row r="156" spans="1:2">
      <c r="A156" s="126" t="s">
        <v>387</v>
      </c>
      <c r="B156" s="104">
        <v>0.92549999999999999</v>
      </c>
    </row>
    <row r="157" spans="1:2">
      <c r="A157" s="136" t="s">
        <v>560</v>
      </c>
      <c r="B157" s="105">
        <v>0.30920000000000003</v>
      </c>
    </row>
    <row r="158" spans="1:2">
      <c r="A158" s="136" t="s">
        <v>561</v>
      </c>
      <c r="B158" s="105">
        <v>0.17169999999999999</v>
      </c>
    </row>
    <row r="159" spans="1:2">
      <c r="A159" s="136" t="s">
        <v>562</v>
      </c>
      <c r="B159" s="105">
        <v>0.2409</v>
      </c>
    </row>
    <row r="160" spans="1:2">
      <c r="A160" s="136" t="s">
        <v>563</v>
      </c>
      <c r="B160" s="105">
        <v>0.13639999999999999</v>
      </c>
    </row>
    <row r="161" spans="1:2">
      <c r="A161" s="136" t="s">
        <v>667</v>
      </c>
      <c r="B161" s="105">
        <v>6.7299999999999999E-2</v>
      </c>
    </row>
    <row r="162" spans="1:2">
      <c r="A162" s="123"/>
      <c r="B162" s="103"/>
    </row>
    <row r="163" spans="1:2">
      <c r="A163" s="126" t="s">
        <v>395</v>
      </c>
      <c r="B163" s="104">
        <v>0.2049</v>
      </c>
    </row>
    <row r="164" spans="1:2">
      <c r="A164" s="136" t="s">
        <v>565</v>
      </c>
      <c r="B164" s="105">
        <v>0.11379999999999998</v>
      </c>
    </row>
    <row r="165" spans="1:2">
      <c r="A165" s="136" t="s">
        <v>566</v>
      </c>
      <c r="B165" s="105">
        <v>3.8600000000000002E-2</v>
      </c>
    </row>
    <row r="166" spans="1:2">
      <c r="A166" s="136" t="s">
        <v>568</v>
      </c>
      <c r="B166" s="105">
        <v>5.2499999999999998E-2</v>
      </c>
    </row>
    <row r="167" spans="1:2">
      <c r="A167" s="123"/>
      <c r="B167" s="103"/>
    </row>
    <row r="168" spans="1:2">
      <c r="A168" s="126" t="s">
        <v>571</v>
      </c>
      <c r="B168" s="104">
        <v>9.0799999999999992E-2</v>
      </c>
    </row>
    <row r="169" spans="1:2">
      <c r="A169" s="136" t="s">
        <v>572</v>
      </c>
      <c r="B169" s="105">
        <v>5.1599999999999993E-2</v>
      </c>
    </row>
    <row r="170" spans="1:2">
      <c r="A170" s="136" t="s">
        <v>573</v>
      </c>
      <c r="B170" s="105">
        <v>3.9199999999999999E-2</v>
      </c>
    </row>
    <row r="171" spans="1:2">
      <c r="A171" s="123"/>
      <c r="B171" s="103"/>
    </row>
    <row r="172" spans="1:2">
      <c r="A172" s="126" t="s">
        <v>400</v>
      </c>
      <c r="B172" s="104">
        <v>12.026299999999999</v>
      </c>
    </row>
    <row r="173" spans="1:2">
      <c r="A173" s="118"/>
      <c r="B173" s="103"/>
    </row>
    <row r="174" spans="1:2">
      <c r="A174" s="126" t="s">
        <v>574</v>
      </c>
      <c r="B174" s="104">
        <v>0.75939999999999996</v>
      </c>
    </row>
    <row r="175" spans="1:2">
      <c r="A175" s="136" t="s">
        <v>668</v>
      </c>
      <c r="B175" s="105">
        <v>0.25110000000000005</v>
      </c>
    </row>
    <row r="176" spans="1:2">
      <c r="A176" s="136" t="s">
        <v>579</v>
      </c>
      <c r="B176" s="105">
        <v>7.8899999999999998E-2</v>
      </c>
    </row>
    <row r="177" spans="1:2">
      <c r="A177" s="136" t="s">
        <v>580</v>
      </c>
      <c r="B177" s="105">
        <v>8.2299999999999998E-2</v>
      </c>
    </row>
    <row r="178" spans="1:2">
      <c r="A178" s="136" t="s">
        <v>581</v>
      </c>
      <c r="B178" s="105">
        <v>0.1265</v>
      </c>
    </row>
    <row r="179" spans="1:2">
      <c r="A179" s="136" t="s">
        <v>669</v>
      </c>
      <c r="B179" s="105">
        <v>9.0700000000000003E-2</v>
      </c>
    </row>
    <row r="180" spans="1:2">
      <c r="A180" s="136" t="s">
        <v>670</v>
      </c>
      <c r="B180" s="105">
        <v>0.12990000000000002</v>
      </c>
    </row>
    <row r="181" spans="1:2">
      <c r="A181" s="123"/>
      <c r="B181" s="103"/>
    </row>
    <row r="182" spans="1:2">
      <c r="A182" s="126" t="s">
        <v>583</v>
      </c>
      <c r="B182" s="104">
        <v>5.3733000000000004</v>
      </c>
    </row>
    <row r="183" spans="1:2">
      <c r="A183" s="136" t="s">
        <v>584</v>
      </c>
      <c r="B183" s="105">
        <v>0.62309999999999999</v>
      </c>
    </row>
    <row r="184" spans="1:2">
      <c r="A184" s="136" t="s">
        <v>585</v>
      </c>
      <c r="B184" s="105">
        <v>0.45450000000000002</v>
      </c>
    </row>
    <row r="185" spans="1:2">
      <c r="A185" s="136" t="s">
        <v>671</v>
      </c>
      <c r="B185" s="105">
        <v>0.21059999999999998</v>
      </c>
    </row>
    <row r="186" spans="1:2">
      <c r="A186" s="136" t="s">
        <v>588</v>
      </c>
      <c r="B186" s="105">
        <v>1.1435</v>
      </c>
    </row>
    <row r="187" spans="1:2">
      <c r="A187" s="136" t="s">
        <v>589</v>
      </c>
      <c r="B187" s="105">
        <v>0.42880000000000001</v>
      </c>
    </row>
    <row r="188" spans="1:2">
      <c r="A188" s="136" t="s">
        <v>590</v>
      </c>
      <c r="B188" s="105">
        <v>0.873</v>
      </c>
    </row>
    <row r="189" spans="1:2">
      <c r="A189" s="136" t="s">
        <v>672</v>
      </c>
      <c r="B189" s="105">
        <v>0.16639999999999999</v>
      </c>
    </row>
    <row r="190" spans="1:2">
      <c r="A190" s="136" t="s">
        <v>673</v>
      </c>
      <c r="B190" s="105">
        <v>0.12</v>
      </c>
    </row>
    <row r="191" spans="1:2">
      <c r="A191" s="136" t="s">
        <v>674</v>
      </c>
      <c r="B191" s="105">
        <v>0.2107</v>
      </c>
    </row>
    <row r="192" spans="1:2">
      <c r="A192" s="136" t="s">
        <v>675</v>
      </c>
      <c r="B192" s="105">
        <v>0.32219999999999999</v>
      </c>
    </row>
    <row r="193" spans="1:2">
      <c r="A193" s="136" t="s">
        <v>676</v>
      </c>
      <c r="B193" s="105">
        <v>0.2329</v>
      </c>
    </row>
    <row r="194" spans="1:2">
      <c r="A194" s="136" t="s">
        <v>677</v>
      </c>
      <c r="B194" s="105">
        <v>0.58760000000000001</v>
      </c>
    </row>
    <row r="195" spans="1:2">
      <c r="A195" s="123"/>
      <c r="B195" s="103"/>
    </row>
    <row r="196" spans="1:2">
      <c r="A196" s="126" t="s">
        <v>591</v>
      </c>
      <c r="B196" s="104">
        <v>4.7290000000000001</v>
      </c>
    </row>
    <row r="197" spans="1:2">
      <c r="A197" s="136" t="s">
        <v>593</v>
      </c>
      <c r="B197" s="105">
        <v>0.57389999999999997</v>
      </c>
    </row>
    <row r="198" spans="1:2">
      <c r="A198" s="136" t="s">
        <v>594</v>
      </c>
      <c r="B198" s="105">
        <v>0.33340000000000003</v>
      </c>
    </row>
    <row r="199" spans="1:2">
      <c r="A199" s="136" t="s">
        <v>595</v>
      </c>
      <c r="B199" s="105">
        <v>0.20230000000000001</v>
      </c>
    </row>
    <row r="200" spans="1:2">
      <c r="A200" s="136" t="s">
        <v>678</v>
      </c>
      <c r="B200" s="105">
        <v>0.1283</v>
      </c>
    </row>
    <row r="201" spans="1:2">
      <c r="A201" s="136" t="s">
        <v>597</v>
      </c>
      <c r="B201" s="105">
        <v>0.68190000000000006</v>
      </c>
    </row>
    <row r="202" spans="1:2">
      <c r="A202" s="136" t="s">
        <v>599</v>
      </c>
      <c r="B202" s="105">
        <v>0.49360000000000004</v>
      </c>
    </row>
    <row r="203" spans="1:2">
      <c r="A203" s="136" t="s">
        <v>223</v>
      </c>
      <c r="B203" s="105">
        <v>0.93440000000000001</v>
      </c>
    </row>
    <row r="204" spans="1:2">
      <c r="A204" s="136" t="s">
        <v>679</v>
      </c>
      <c r="B204" s="105">
        <v>0.18329999999999999</v>
      </c>
    </row>
    <row r="205" spans="1:2">
      <c r="A205" s="136" t="s">
        <v>680</v>
      </c>
      <c r="B205" s="105">
        <v>0.2268</v>
      </c>
    </row>
    <row r="206" spans="1:2">
      <c r="A206" s="136" t="s">
        <v>681</v>
      </c>
      <c r="B206" s="105">
        <v>0.123</v>
      </c>
    </row>
    <row r="207" spans="1:2">
      <c r="A207" s="136" t="s">
        <v>682</v>
      </c>
      <c r="B207" s="105">
        <v>8.1699999999999995E-2</v>
      </c>
    </row>
    <row r="208" spans="1:2">
      <c r="A208" s="136" t="s">
        <v>683</v>
      </c>
      <c r="B208" s="105">
        <v>0.29630000000000001</v>
      </c>
    </row>
    <row r="209" spans="1:2">
      <c r="A209" s="136" t="s">
        <v>684</v>
      </c>
      <c r="B209" s="105">
        <v>0.24489999999999998</v>
      </c>
    </row>
    <row r="210" spans="1:2">
      <c r="A210" s="136" t="s">
        <v>685</v>
      </c>
      <c r="B210" s="105">
        <v>0.22520000000000001</v>
      </c>
    </row>
    <row r="211" spans="1:2">
      <c r="A211" s="123"/>
      <c r="B211" s="103"/>
    </row>
    <row r="212" spans="1:2">
      <c r="A212" s="126" t="s">
        <v>600</v>
      </c>
      <c r="B212" s="104">
        <v>0.20910000000000001</v>
      </c>
    </row>
    <row r="213" spans="1:2">
      <c r="A213" s="136" t="s">
        <v>603</v>
      </c>
      <c r="B213" s="105">
        <v>7.3700000000000002E-2</v>
      </c>
    </row>
    <row r="214" spans="1:2">
      <c r="A214" s="136" t="s">
        <v>609</v>
      </c>
      <c r="B214" s="105">
        <v>0.13539999999999999</v>
      </c>
    </row>
    <row r="215" spans="1:2">
      <c r="A215" s="123"/>
      <c r="B215" s="103"/>
    </row>
    <row r="216" spans="1:2">
      <c r="A216" s="126" t="s">
        <v>610</v>
      </c>
      <c r="B216" s="104">
        <v>0.9554999999999999</v>
      </c>
    </row>
    <row r="217" spans="1:2">
      <c r="A217" s="136" t="s">
        <v>611</v>
      </c>
      <c r="B217" s="105">
        <v>1.5699999999999999E-2</v>
      </c>
    </row>
    <row r="218" spans="1:2">
      <c r="A218" s="136" t="s">
        <v>409</v>
      </c>
      <c r="B218" s="105">
        <v>0.65269999999999995</v>
      </c>
    </row>
    <row r="219" spans="1:2">
      <c r="A219" s="136" t="s">
        <v>612</v>
      </c>
      <c r="B219" s="105">
        <v>7.5399999999999995E-2</v>
      </c>
    </row>
    <row r="220" spans="1:2">
      <c r="A220" s="136" t="s">
        <v>613</v>
      </c>
      <c r="B220" s="105">
        <v>5.0000000000000001E-4</v>
      </c>
    </row>
    <row r="221" spans="1:2">
      <c r="A221" s="136" t="s">
        <v>614</v>
      </c>
      <c r="B221" s="105">
        <v>8.0699999999999994E-2</v>
      </c>
    </row>
    <row r="222" spans="1:2">
      <c r="A222" s="136" t="s">
        <v>686</v>
      </c>
      <c r="B222" s="105">
        <v>0.1305</v>
      </c>
    </row>
    <row r="223" spans="1:2">
      <c r="A223" s="123"/>
      <c r="B223" s="103"/>
    </row>
    <row r="224" spans="1:2">
      <c r="A224" s="126" t="s">
        <v>259</v>
      </c>
      <c r="B224" s="104">
        <v>27.028099999999998</v>
      </c>
    </row>
    <row r="225" spans="1:2">
      <c r="A225" s="118"/>
      <c r="B225" s="103"/>
    </row>
    <row r="226" spans="1:2">
      <c r="A226" s="126" t="s">
        <v>615</v>
      </c>
      <c r="B226" s="104">
        <v>3.4243999999999994</v>
      </c>
    </row>
    <row r="227" spans="1:2">
      <c r="A227" s="136" t="s">
        <v>616</v>
      </c>
      <c r="B227" s="105">
        <v>0.7581</v>
      </c>
    </row>
    <row r="228" spans="1:2">
      <c r="A228" s="136" t="s">
        <v>617</v>
      </c>
      <c r="B228" s="105">
        <v>2.1399999999999997</v>
      </c>
    </row>
    <row r="229" spans="1:2">
      <c r="A229" s="136" t="s">
        <v>687</v>
      </c>
      <c r="B229" s="105">
        <v>0.28869999999999996</v>
      </c>
    </row>
    <row r="230" spans="1:2">
      <c r="A230" s="136" t="s">
        <v>688</v>
      </c>
      <c r="B230" s="105">
        <v>0.23760000000000001</v>
      </c>
    </row>
    <row r="231" spans="1:2">
      <c r="A231" s="123"/>
      <c r="B231" s="103"/>
    </row>
    <row r="232" spans="1:2">
      <c r="A232" s="126" t="s">
        <v>444</v>
      </c>
      <c r="B232" s="104">
        <v>3.8491999999999997</v>
      </c>
    </row>
    <row r="233" spans="1:2">
      <c r="A233" s="136" t="s">
        <v>276</v>
      </c>
      <c r="B233" s="105">
        <v>0.41660000000000003</v>
      </c>
    </row>
    <row r="234" spans="1:2">
      <c r="A234" s="136" t="s">
        <v>618</v>
      </c>
      <c r="B234" s="105">
        <v>0.28449999999999998</v>
      </c>
    </row>
    <row r="235" spans="1:2">
      <c r="A235" s="136" t="s">
        <v>620</v>
      </c>
      <c r="B235" s="105">
        <v>0.57999999999999996</v>
      </c>
    </row>
    <row r="236" spans="1:2">
      <c r="A236" s="136" t="s">
        <v>621</v>
      </c>
      <c r="B236" s="105">
        <v>0.70069999999999999</v>
      </c>
    </row>
    <row r="237" spans="1:2">
      <c r="A237" s="136" t="s">
        <v>622</v>
      </c>
      <c r="B237" s="105">
        <v>0.27230000000000004</v>
      </c>
    </row>
    <row r="238" spans="1:2">
      <c r="A238" s="136" t="s">
        <v>623</v>
      </c>
      <c r="B238" s="105">
        <v>0.53290000000000004</v>
      </c>
    </row>
    <row r="239" spans="1:2">
      <c r="A239" s="136" t="s">
        <v>624</v>
      </c>
      <c r="B239" s="105">
        <v>7.9899999999999999E-2</v>
      </c>
    </row>
    <row r="240" spans="1:2">
      <c r="A240" s="136" t="s">
        <v>689</v>
      </c>
      <c r="B240" s="105">
        <v>0.18680000000000002</v>
      </c>
    </row>
    <row r="241" spans="1:2">
      <c r="A241" s="136" t="s">
        <v>690</v>
      </c>
      <c r="B241" s="105">
        <v>0.376</v>
      </c>
    </row>
    <row r="242" spans="1:2">
      <c r="A242" s="136" t="s">
        <v>691</v>
      </c>
      <c r="B242" s="105">
        <v>0.32889999999999997</v>
      </c>
    </row>
    <row r="243" spans="1:2">
      <c r="A243" s="136" t="s">
        <v>692</v>
      </c>
      <c r="B243" s="105">
        <v>9.06E-2</v>
      </c>
    </row>
    <row r="244" spans="1:2">
      <c r="A244" s="123"/>
      <c r="B244" s="103"/>
    </row>
    <row r="245" spans="1:2">
      <c r="A245" s="126" t="s">
        <v>625</v>
      </c>
      <c r="B245" s="104">
        <v>4.0545</v>
      </c>
    </row>
    <row r="246" spans="1:2">
      <c r="A246" s="136" t="s">
        <v>627</v>
      </c>
      <c r="B246" s="105">
        <v>7.9500000000000001E-2</v>
      </c>
    </row>
    <row r="247" spans="1:2">
      <c r="A247" s="136" t="s">
        <v>628</v>
      </c>
      <c r="B247" s="105">
        <v>0.18959999999999999</v>
      </c>
    </row>
    <row r="248" spans="1:2">
      <c r="A248" s="136" t="s">
        <v>693</v>
      </c>
      <c r="B248" s="105">
        <v>0.1008</v>
      </c>
    </row>
    <row r="249" spans="1:2">
      <c r="A249" s="136" t="s">
        <v>630</v>
      </c>
      <c r="B249" s="105">
        <v>0.73709999999999998</v>
      </c>
    </row>
    <row r="250" spans="1:2">
      <c r="A250" s="136" t="s">
        <v>631</v>
      </c>
      <c r="B250" s="105">
        <v>5.3200000000000004E-2</v>
      </c>
    </row>
    <row r="251" spans="1:2">
      <c r="A251" s="136" t="s">
        <v>633</v>
      </c>
      <c r="B251" s="105">
        <v>0.90369999999999995</v>
      </c>
    </row>
    <row r="252" spans="1:2">
      <c r="A252" s="136" t="s">
        <v>694</v>
      </c>
      <c r="B252" s="105">
        <v>0.183</v>
      </c>
    </row>
    <row r="253" spans="1:2">
      <c r="A253" s="136" t="s">
        <v>695</v>
      </c>
      <c r="B253" s="105">
        <v>0.61120000000000008</v>
      </c>
    </row>
    <row r="254" spans="1:2">
      <c r="A254" s="136" t="s">
        <v>696</v>
      </c>
      <c r="B254" s="105">
        <v>0.23809999999999998</v>
      </c>
    </row>
    <row r="255" spans="1:2">
      <c r="A255" s="136" t="s">
        <v>697</v>
      </c>
      <c r="B255" s="105">
        <v>0.57250000000000001</v>
      </c>
    </row>
    <row r="256" spans="1:2">
      <c r="A256" s="136" t="s">
        <v>698</v>
      </c>
      <c r="B256" s="105">
        <v>1.7100000000000001E-2</v>
      </c>
    </row>
    <row r="257" spans="1:2">
      <c r="A257" s="136" t="s">
        <v>699</v>
      </c>
      <c r="B257" s="105">
        <v>0.36870000000000003</v>
      </c>
    </row>
    <row r="258" spans="1:2">
      <c r="A258" s="123"/>
      <c r="B258" s="103"/>
    </row>
    <row r="259" spans="1:2">
      <c r="A259" s="126" t="s">
        <v>634</v>
      </c>
      <c r="B259" s="104">
        <v>0.36849999999999999</v>
      </c>
    </row>
    <row r="260" spans="1:2">
      <c r="A260" s="136" t="s">
        <v>286</v>
      </c>
      <c r="B260" s="105">
        <v>0.36849999999999999</v>
      </c>
    </row>
    <row r="261" spans="1:2">
      <c r="A261" s="123"/>
      <c r="B261" s="103"/>
    </row>
    <row r="262" spans="1:2">
      <c r="A262" s="126" t="s">
        <v>21</v>
      </c>
      <c r="B262" s="104">
        <v>4.758</v>
      </c>
    </row>
    <row r="263" spans="1:2">
      <c r="A263" s="136" t="s">
        <v>637</v>
      </c>
      <c r="B263" s="105">
        <v>0.7863</v>
      </c>
    </row>
    <row r="264" spans="1:2">
      <c r="A264" s="136" t="s">
        <v>641</v>
      </c>
      <c r="B264" s="105">
        <v>0.81480000000000008</v>
      </c>
    </row>
    <row r="265" spans="1:2">
      <c r="A265" s="136" t="s">
        <v>642</v>
      </c>
      <c r="B265" s="105">
        <v>0.92920000000000003</v>
      </c>
    </row>
    <row r="266" spans="1:2">
      <c r="A266" s="136" t="s">
        <v>700</v>
      </c>
      <c r="B266" s="105">
        <v>0.27560000000000001</v>
      </c>
    </row>
    <row r="267" spans="1:2">
      <c r="A267" s="136" t="s">
        <v>701</v>
      </c>
      <c r="B267" s="105">
        <v>1.1237000000000001</v>
      </c>
    </row>
    <row r="268" spans="1:2">
      <c r="A268" s="136" t="s">
        <v>702</v>
      </c>
      <c r="B268" s="105">
        <v>0.48269999999999996</v>
      </c>
    </row>
    <row r="269" spans="1:2">
      <c r="A269" s="136" t="s">
        <v>703</v>
      </c>
      <c r="B269" s="105">
        <v>0.34570000000000001</v>
      </c>
    </row>
    <row r="270" spans="1:2">
      <c r="A270" s="123"/>
      <c r="B270" s="103"/>
    </row>
    <row r="271" spans="1:2">
      <c r="A271" s="126" t="s">
        <v>19</v>
      </c>
      <c r="B271" s="104">
        <v>4.0796999999999999</v>
      </c>
    </row>
    <row r="272" spans="1:2">
      <c r="A272" s="136" t="s">
        <v>643</v>
      </c>
      <c r="B272" s="105">
        <v>2.6339000000000001</v>
      </c>
    </row>
    <row r="273" spans="1:2">
      <c r="A273" s="136" t="s">
        <v>644</v>
      </c>
      <c r="B273" s="105">
        <v>0.70140000000000002</v>
      </c>
    </row>
    <row r="274" spans="1:2">
      <c r="A274" s="136" t="s">
        <v>704</v>
      </c>
      <c r="B274" s="105">
        <v>0.74440000000000006</v>
      </c>
    </row>
    <row r="275" spans="1:2">
      <c r="A275" s="123"/>
      <c r="B275" s="103"/>
    </row>
    <row r="276" spans="1:2">
      <c r="A276" s="126" t="s">
        <v>29</v>
      </c>
      <c r="B276" s="104">
        <v>0.73340000000000005</v>
      </c>
    </row>
    <row r="277" spans="1:2">
      <c r="A277" s="136" t="s">
        <v>646</v>
      </c>
      <c r="B277" s="105">
        <v>1.5E-3</v>
      </c>
    </row>
    <row r="278" spans="1:2">
      <c r="A278" s="136" t="s">
        <v>647</v>
      </c>
      <c r="B278" s="105">
        <v>6.9999999999999999E-4</v>
      </c>
    </row>
    <row r="279" spans="1:2">
      <c r="A279" s="136" t="s">
        <v>467</v>
      </c>
      <c r="B279" s="105">
        <v>0.73119999999999996</v>
      </c>
    </row>
    <row r="280" spans="1:2">
      <c r="A280" s="123"/>
      <c r="B280" s="103"/>
    </row>
    <row r="281" spans="1:2">
      <c r="A281" s="126" t="s">
        <v>648</v>
      </c>
      <c r="B281" s="104">
        <v>5.7604000000000006</v>
      </c>
    </row>
    <row r="282" spans="1:2">
      <c r="A282" s="136" t="s">
        <v>705</v>
      </c>
      <c r="B282" s="105">
        <v>3.4058999999999999</v>
      </c>
    </row>
    <row r="283" spans="1:2">
      <c r="A283" s="136" t="s">
        <v>650</v>
      </c>
      <c r="B283" s="105">
        <v>1.4394</v>
      </c>
    </row>
    <row r="284" spans="1:2">
      <c r="A284" s="136" t="s">
        <v>706</v>
      </c>
      <c r="B284" s="105">
        <v>0.27779999999999999</v>
      </c>
    </row>
    <row r="285" spans="1:2">
      <c r="A285" s="136" t="s">
        <v>707</v>
      </c>
      <c r="B285" s="105">
        <v>0.38159999999999999</v>
      </c>
    </row>
    <row r="286" spans="1:2" ht="15" customHeight="1">
      <c r="A286" s="137" t="s">
        <v>708</v>
      </c>
      <c r="B286" s="105">
        <v>0.25569999999999998</v>
      </c>
    </row>
    <row r="287" spans="1:2">
      <c r="A287" s="108"/>
      <c r="B287" s="138"/>
    </row>
    <row r="288" spans="1:2">
      <c r="B288" s="103"/>
    </row>
    <row r="289" spans="1:1">
      <c r="A289" s="19"/>
    </row>
    <row r="290" spans="1:1">
      <c r="A290" s="19"/>
    </row>
    <row r="291" spans="1:1">
      <c r="A291" s="19" t="s">
        <v>1009</v>
      </c>
    </row>
  </sheetData>
  <mergeCells count="3">
    <mergeCell ref="A1:B1"/>
    <mergeCell ref="A2:B2"/>
    <mergeCell ref="A3:B3"/>
  </mergeCells>
  <hyperlinks>
    <hyperlink ref="A289" location="'indice cap.4'!A1" display="regresar al índice"/>
    <hyperlink ref="A291" location="'indice cap.4'!A1" display="regresar al índice"/>
  </hyperlinks>
  <printOptions horizontalCentered="1"/>
  <pageMargins left="0.70866141732283472" right="0.70866141732283472" top="0.15748031496062992" bottom="0.15748031496062992" header="0.31496062992125984" footer="0.31496062992125984"/>
  <pageSetup paperSize="9" orientation="portrait" verticalDpi="599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411"/>
  <sheetViews>
    <sheetView showGridLines="0" workbookViewId="0">
      <selection sqref="A1:B3"/>
    </sheetView>
  </sheetViews>
  <sheetFormatPr baseColWidth="10" defaultRowHeight="12.75"/>
  <cols>
    <col min="1" max="1" width="45.7109375" style="10" customWidth="1"/>
    <col min="2" max="2" width="17.28515625" style="10" customWidth="1"/>
    <col min="3" max="3" width="16.42578125" style="92" customWidth="1"/>
    <col min="4" max="4" width="10.5703125" style="92" customWidth="1"/>
    <col min="5" max="5" width="11.42578125" style="26"/>
    <col min="6" max="16384" width="11.42578125" style="92"/>
  </cols>
  <sheetData>
    <row r="1" spans="1:5">
      <c r="A1" s="292" t="s">
        <v>1523</v>
      </c>
      <c r="B1" s="292"/>
      <c r="C1" s="12"/>
      <c r="D1" s="12"/>
    </row>
    <row r="2" spans="1:5">
      <c r="A2" s="292" t="s">
        <v>1497</v>
      </c>
      <c r="B2" s="292"/>
      <c r="C2" s="12"/>
      <c r="D2" s="12"/>
    </row>
    <row r="3" spans="1:5">
      <c r="A3" s="335" t="s">
        <v>1298</v>
      </c>
      <c r="B3" s="335"/>
      <c r="C3" s="101"/>
      <c r="D3" s="101"/>
    </row>
    <row r="4" spans="1:5">
      <c r="A4" s="118"/>
      <c r="C4" s="118"/>
    </row>
    <row r="5" spans="1:5">
      <c r="A5" s="126" t="s">
        <v>295</v>
      </c>
      <c r="B5" s="104">
        <v>32.253568900000005</v>
      </c>
      <c r="E5" s="92"/>
    </row>
    <row r="6" spans="1:5">
      <c r="A6" s="118"/>
      <c r="B6" s="139"/>
      <c r="E6" s="92"/>
    </row>
    <row r="7" spans="1:5">
      <c r="A7" s="126" t="s">
        <v>296</v>
      </c>
      <c r="B7" s="104">
        <v>4.3121656999999995</v>
      </c>
      <c r="E7" s="92"/>
    </row>
    <row r="8" spans="1:5">
      <c r="A8" s="144" t="s">
        <v>709</v>
      </c>
      <c r="B8" s="145">
        <v>1.5957175000000001</v>
      </c>
      <c r="E8" s="92"/>
    </row>
    <row r="9" spans="1:5">
      <c r="A9" s="144" t="s">
        <v>710</v>
      </c>
      <c r="B9" s="145">
        <v>0.15527669999999999</v>
      </c>
      <c r="E9" s="92"/>
    </row>
    <row r="10" spans="1:5">
      <c r="A10" s="144" t="s">
        <v>711</v>
      </c>
      <c r="B10" s="145">
        <v>6.5043999999999991E-2</v>
      </c>
      <c r="E10" s="92"/>
    </row>
    <row r="11" spans="1:5">
      <c r="A11" s="144" t="s">
        <v>712</v>
      </c>
      <c r="B11" s="145">
        <v>0.2587467</v>
      </c>
      <c r="E11" s="92"/>
    </row>
    <row r="12" spans="1:5">
      <c r="A12" s="144" t="s">
        <v>713</v>
      </c>
      <c r="B12" s="145">
        <v>0.13022809999999999</v>
      </c>
      <c r="E12" s="92"/>
    </row>
    <row r="13" spans="1:5">
      <c r="A13" s="144" t="s">
        <v>714</v>
      </c>
      <c r="B13" s="145">
        <v>0.1000828</v>
      </c>
      <c r="E13" s="92"/>
    </row>
    <row r="14" spans="1:5">
      <c r="A14" s="144" t="s">
        <v>715</v>
      </c>
      <c r="B14" s="145">
        <v>4.0603399999999998E-2</v>
      </c>
      <c r="E14" s="92"/>
    </row>
    <row r="15" spans="1:5">
      <c r="A15" s="144" t="s">
        <v>716</v>
      </c>
      <c r="B15" s="145">
        <v>6.3040399999999996E-2</v>
      </c>
      <c r="E15" s="92"/>
    </row>
    <row r="16" spans="1:5">
      <c r="A16" s="144" t="s">
        <v>717</v>
      </c>
      <c r="B16" s="145">
        <v>1.8707431999999999</v>
      </c>
      <c r="E16" s="92"/>
    </row>
    <row r="17" spans="1:5">
      <c r="A17" s="144" t="s">
        <v>718</v>
      </c>
      <c r="B17" s="145">
        <v>3.2682900000000001E-2</v>
      </c>
      <c r="E17" s="92"/>
    </row>
    <row r="18" spans="1:5">
      <c r="A18" s="120"/>
      <c r="B18" s="139"/>
      <c r="E18" s="92"/>
    </row>
    <row r="19" spans="1:5">
      <c r="A19" s="126" t="s">
        <v>478</v>
      </c>
      <c r="B19" s="104">
        <v>5.4601256000000005</v>
      </c>
      <c r="E19" s="92"/>
    </row>
    <row r="20" spans="1:5">
      <c r="A20" s="144" t="s">
        <v>719</v>
      </c>
      <c r="B20" s="145">
        <v>8.4437600000000002E-2</v>
      </c>
      <c r="E20" s="92"/>
    </row>
    <row r="21" spans="1:5">
      <c r="A21" s="144" t="s">
        <v>720</v>
      </c>
      <c r="B21" s="145">
        <v>0.75088699999999997</v>
      </c>
      <c r="E21" s="92"/>
    </row>
    <row r="22" spans="1:5">
      <c r="A22" s="144" t="s">
        <v>721</v>
      </c>
      <c r="B22" s="145">
        <v>7.84971E-2</v>
      </c>
      <c r="E22" s="92"/>
    </row>
    <row r="23" spans="1:5">
      <c r="A23" s="144" t="s">
        <v>722</v>
      </c>
      <c r="B23" s="145">
        <v>1.4616952999999999</v>
      </c>
      <c r="E23" s="92"/>
    </row>
    <row r="24" spans="1:5">
      <c r="A24" s="144" t="s">
        <v>723</v>
      </c>
      <c r="B24" s="145">
        <v>0.10680830000000001</v>
      </c>
      <c r="E24" s="92"/>
    </row>
    <row r="25" spans="1:5">
      <c r="A25" s="144" t="s">
        <v>724</v>
      </c>
      <c r="B25" s="145">
        <v>4.6158100000000001E-2</v>
      </c>
      <c r="E25" s="92"/>
    </row>
    <row r="26" spans="1:5">
      <c r="A26" s="144" t="s">
        <v>725</v>
      </c>
      <c r="B26" s="145">
        <v>9.4949699999999998E-2</v>
      </c>
      <c r="E26" s="92"/>
    </row>
    <row r="27" spans="1:5">
      <c r="A27" s="144" t="s">
        <v>726</v>
      </c>
      <c r="B27" s="145">
        <v>0.1920559</v>
      </c>
      <c r="E27" s="92"/>
    </row>
    <row r="28" spans="1:5">
      <c r="A28" s="144" t="s">
        <v>727</v>
      </c>
      <c r="B28" s="145">
        <v>0.87364629999999999</v>
      </c>
      <c r="E28" s="92"/>
    </row>
    <row r="29" spans="1:5">
      <c r="A29" s="144" t="s">
        <v>728</v>
      </c>
      <c r="B29" s="145">
        <v>1.6191948</v>
      </c>
      <c r="E29" s="92"/>
    </row>
    <row r="30" spans="1:5">
      <c r="A30" s="144" t="s">
        <v>729</v>
      </c>
      <c r="B30" s="145">
        <v>7.4372399999999991E-2</v>
      </c>
      <c r="E30" s="92"/>
    </row>
    <row r="31" spans="1:5">
      <c r="A31" s="144" t="s">
        <v>730</v>
      </c>
      <c r="B31" s="145">
        <v>7.7423099999999995E-2</v>
      </c>
      <c r="E31" s="92"/>
    </row>
    <row r="32" spans="1:5">
      <c r="A32" s="120"/>
      <c r="B32" s="139"/>
      <c r="E32" s="92"/>
    </row>
    <row r="33" spans="1:5">
      <c r="A33" s="126" t="s">
        <v>304</v>
      </c>
      <c r="B33" s="104">
        <v>1.5115637000000002</v>
      </c>
      <c r="E33" s="92"/>
    </row>
    <row r="34" spans="1:5">
      <c r="A34" s="144" t="s">
        <v>731</v>
      </c>
      <c r="B34" s="145">
        <v>0.34355079999999999</v>
      </c>
      <c r="E34" s="92"/>
    </row>
    <row r="35" spans="1:5">
      <c r="A35" s="144" t="s">
        <v>732</v>
      </c>
      <c r="B35" s="145">
        <v>0.21554040000000002</v>
      </c>
      <c r="E35" s="92"/>
    </row>
    <row r="36" spans="1:5">
      <c r="A36" s="144" t="s">
        <v>733</v>
      </c>
      <c r="B36" s="145">
        <v>0.90592940000000011</v>
      </c>
      <c r="E36" s="92"/>
    </row>
    <row r="37" spans="1:5">
      <c r="A37" s="144" t="s">
        <v>734</v>
      </c>
      <c r="B37" s="145">
        <v>4.6543099999999997E-2</v>
      </c>
      <c r="E37" s="92"/>
    </row>
    <row r="38" spans="1:5">
      <c r="A38" s="120"/>
      <c r="B38" s="139"/>
      <c r="E38" s="92"/>
    </row>
    <row r="39" spans="1:5">
      <c r="A39" s="126" t="s">
        <v>307</v>
      </c>
      <c r="B39" s="104">
        <v>0.65434380000000003</v>
      </c>
      <c r="E39" s="92"/>
    </row>
    <row r="40" spans="1:5">
      <c r="A40" s="144" t="s">
        <v>735</v>
      </c>
      <c r="B40" s="145">
        <v>0.65434380000000003</v>
      </c>
      <c r="E40" s="92"/>
    </row>
    <row r="41" spans="1:5">
      <c r="A41" s="120"/>
      <c r="B41" s="139"/>
      <c r="E41" s="92"/>
    </row>
    <row r="42" spans="1:5">
      <c r="A42" s="126" t="s">
        <v>310</v>
      </c>
      <c r="B42" s="104">
        <v>4.3072435000000002</v>
      </c>
      <c r="E42" s="92"/>
    </row>
    <row r="43" spans="1:5">
      <c r="A43" s="144" t="s">
        <v>736</v>
      </c>
      <c r="B43" s="145">
        <v>0.62090270000000003</v>
      </c>
      <c r="E43" s="92"/>
    </row>
    <row r="44" spans="1:5">
      <c r="A44" s="144" t="s">
        <v>737</v>
      </c>
      <c r="B44" s="145">
        <v>0.32342489999999996</v>
      </c>
      <c r="E44" s="92"/>
    </row>
    <row r="45" spans="1:5">
      <c r="A45" s="144" t="s">
        <v>738</v>
      </c>
      <c r="B45" s="145">
        <v>1.9683781</v>
      </c>
      <c r="E45" s="92"/>
    </row>
    <row r="46" spans="1:5">
      <c r="A46" s="144" t="s">
        <v>739</v>
      </c>
      <c r="B46" s="145">
        <v>0.14463150000000002</v>
      </c>
      <c r="E46" s="92"/>
    </row>
    <row r="47" spans="1:5">
      <c r="A47" s="144" t="s">
        <v>740</v>
      </c>
      <c r="B47" s="145">
        <v>0.50004389999999999</v>
      </c>
      <c r="E47" s="92"/>
    </row>
    <row r="48" spans="1:5">
      <c r="A48" s="144" t="s">
        <v>741</v>
      </c>
      <c r="B48" s="145">
        <v>0.48583139999999997</v>
      </c>
      <c r="E48" s="92"/>
    </row>
    <row r="49" spans="1:5">
      <c r="A49" s="144" t="s">
        <v>742</v>
      </c>
      <c r="B49" s="145">
        <v>0.26403100000000002</v>
      </c>
      <c r="E49" s="92"/>
    </row>
    <row r="50" spans="1:5">
      <c r="A50" s="120"/>
      <c r="B50" s="139"/>
      <c r="E50" s="92"/>
    </row>
    <row r="51" spans="1:5">
      <c r="A51" s="126" t="s">
        <v>314</v>
      </c>
      <c r="B51" s="104">
        <v>2.2728097000000003</v>
      </c>
      <c r="E51" s="92"/>
    </row>
    <row r="52" spans="1:5">
      <c r="A52" s="144" t="s">
        <v>743</v>
      </c>
      <c r="B52" s="145">
        <v>0.1369428</v>
      </c>
      <c r="E52" s="92"/>
    </row>
    <row r="53" spans="1:5">
      <c r="A53" s="144" t="s">
        <v>744</v>
      </c>
      <c r="B53" s="145">
        <v>0.16829060000000001</v>
      </c>
      <c r="E53" s="92"/>
    </row>
    <row r="54" spans="1:5">
      <c r="A54" s="144" t="s">
        <v>745</v>
      </c>
      <c r="B54" s="145">
        <v>8.1545499999999993E-2</v>
      </c>
      <c r="E54" s="92"/>
    </row>
    <row r="55" spans="1:5">
      <c r="A55" s="144" t="s">
        <v>746</v>
      </c>
      <c r="B55" s="145">
        <v>0.1554586</v>
      </c>
      <c r="E55" s="92"/>
    </row>
    <row r="56" spans="1:5">
      <c r="A56" s="144" t="s">
        <v>747</v>
      </c>
      <c r="B56" s="145">
        <v>0.3741236</v>
      </c>
      <c r="E56" s="92"/>
    </row>
    <row r="57" spans="1:5">
      <c r="A57" s="144" t="s">
        <v>748</v>
      </c>
      <c r="B57" s="145">
        <v>0.22976920000000001</v>
      </c>
      <c r="E57" s="92"/>
    </row>
    <row r="58" spans="1:5">
      <c r="A58" s="144" t="s">
        <v>749</v>
      </c>
      <c r="B58" s="145">
        <v>8.6147500000000002E-2</v>
      </c>
      <c r="E58" s="92"/>
    </row>
    <row r="59" spans="1:5">
      <c r="A59" s="144" t="s">
        <v>750</v>
      </c>
      <c r="B59" s="145">
        <v>6.5584000000000003E-2</v>
      </c>
      <c r="E59" s="92"/>
    </row>
    <row r="60" spans="1:5">
      <c r="A60" s="144" t="s">
        <v>751</v>
      </c>
      <c r="B60" s="145">
        <v>6.3964300000000002E-2</v>
      </c>
      <c r="E60" s="92"/>
    </row>
    <row r="61" spans="1:5">
      <c r="A61" s="144" t="s">
        <v>752</v>
      </c>
      <c r="B61" s="145">
        <v>0.16355890000000001</v>
      </c>
      <c r="E61" s="92"/>
    </row>
    <row r="62" spans="1:5">
      <c r="A62" s="144" t="s">
        <v>753</v>
      </c>
      <c r="B62" s="145">
        <v>9.5569600000000005E-2</v>
      </c>
      <c r="E62" s="92"/>
    </row>
    <row r="63" spans="1:5">
      <c r="A63" s="144" t="s">
        <v>754</v>
      </c>
      <c r="B63" s="145">
        <v>0.16431410000000002</v>
      </c>
      <c r="E63" s="92"/>
    </row>
    <row r="64" spans="1:5">
      <c r="A64" s="144" t="s">
        <v>755</v>
      </c>
      <c r="B64" s="145">
        <v>0.487541</v>
      </c>
      <c r="E64" s="92"/>
    </row>
    <row r="65" spans="1:5">
      <c r="A65" s="120"/>
      <c r="B65" s="139"/>
      <c r="E65" s="92"/>
    </row>
    <row r="66" spans="1:5">
      <c r="A66" s="126" t="s">
        <v>324</v>
      </c>
      <c r="B66" s="104">
        <v>1.0619278999999999</v>
      </c>
      <c r="E66" s="92"/>
    </row>
    <row r="67" spans="1:5">
      <c r="A67" s="144" t="s">
        <v>756</v>
      </c>
      <c r="B67" s="145">
        <v>4.1431599999999999E-2</v>
      </c>
      <c r="E67" s="92"/>
    </row>
    <row r="68" spans="1:5">
      <c r="A68" s="144" t="s">
        <v>757</v>
      </c>
      <c r="B68" s="145">
        <v>0.70994000000000002</v>
      </c>
      <c r="E68" s="92"/>
    </row>
    <row r="69" spans="1:5">
      <c r="A69" s="144" t="s">
        <v>758</v>
      </c>
      <c r="B69" s="145">
        <v>4.3670599999999997E-2</v>
      </c>
      <c r="E69" s="92"/>
    </row>
    <row r="70" spans="1:5">
      <c r="A70" s="144" t="s">
        <v>759</v>
      </c>
      <c r="B70" s="145">
        <v>0.10767439999999999</v>
      </c>
      <c r="E70" s="92"/>
    </row>
    <row r="71" spans="1:5">
      <c r="A71" s="144" t="s">
        <v>760</v>
      </c>
      <c r="B71" s="145">
        <v>0.1592113</v>
      </c>
      <c r="E71" s="92"/>
    </row>
    <row r="72" spans="1:5">
      <c r="A72" s="120"/>
      <c r="B72" s="139"/>
      <c r="E72" s="92"/>
    </row>
    <row r="73" spans="1:5">
      <c r="A73" s="126" t="s">
        <v>326</v>
      </c>
      <c r="B73" s="104">
        <v>0.3781254</v>
      </c>
      <c r="E73" s="92"/>
    </row>
    <row r="74" spans="1:5">
      <c r="A74" s="144" t="s">
        <v>761</v>
      </c>
      <c r="B74" s="145">
        <v>0.12018239999999999</v>
      </c>
      <c r="E74" s="92"/>
    </row>
    <row r="75" spans="1:5">
      <c r="A75" s="144" t="s">
        <v>762</v>
      </c>
      <c r="B75" s="145">
        <v>0.1269884</v>
      </c>
      <c r="E75" s="92"/>
    </row>
    <row r="76" spans="1:5">
      <c r="A76" s="144" t="s">
        <v>763</v>
      </c>
      <c r="B76" s="145">
        <v>0.1309546</v>
      </c>
      <c r="E76" s="92"/>
    </row>
    <row r="77" spans="1:5">
      <c r="A77" s="120"/>
      <c r="B77" s="139"/>
      <c r="E77" s="92"/>
    </row>
    <row r="78" spans="1:5">
      <c r="A78" s="126" t="s">
        <v>330</v>
      </c>
      <c r="B78" s="104">
        <v>2.4723691999999997</v>
      </c>
      <c r="E78" s="92"/>
    </row>
    <row r="79" spans="1:5">
      <c r="A79" s="144" t="s">
        <v>764</v>
      </c>
      <c r="B79" s="145">
        <v>0.1090216</v>
      </c>
      <c r="E79" s="92"/>
    </row>
    <row r="80" spans="1:5">
      <c r="A80" s="144" t="s">
        <v>765</v>
      </c>
      <c r="B80" s="145">
        <v>0.1392967</v>
      </c>
      <c r="E80" s="92"/>
    </row>
    <row r="81" spans="1:5">
      <c r="A81" s="144" t="s">
        <v>766</v>
      </c>
      <c r="B81" s="145">
        <v>0.1760921</v>
      </c>
      <c r="E81" s="92"/>
    </row>
    <row r="82" spans="1:5">
      <c r="A82" s="144" t="s">
        <v>767</v>
      </c>
      <c r="B82" s="145">
        <v>6.6547200000000001E-2</v>
      </c>
      <c r="E82" s="92"/>
    </row>
    <row r="83" spans="1:5">
      <c r="A83" s="144" t="s">
        <v>768</v>
      </c>
      <c r="B83" s="145">
        <v>0.26608729999999997</v>
      </c>
      <c r="E83" s="92"/>
    </row>
    <row r="84" spans="1:5">
      <c r="A84" s="144" t="s">
        <v>769</v>
      </c>
      <c r="B84" s="145">
        <v>3.9295699999999996E-2</v>
      </c>
      <c r="E84" s="92"/>
    </row>
    <row r="85" spans="1:5">
      <c r="A85" s="144" t="s">
        <v>770</v>
      </c>
      <c r="B85" s="145">
        <v>8.6212799999999992E-2</v>
      </c>
      <c r="E85" s="92"/>
    </row>
    <row r="86" spans="1:5">
      <c r="A86" s="144" t="s">
        <v>771</v>
      </c>
      <c r="B86" s="145">
        <v>9.2289800000000005E-2</v>
      </c>
      <c r="E86" s="92"/>
    </row>
    <row r="87" spans="1:5">
      <c r="A87" s="144" t="s">
        <v>772</v>
      </c>
      <c r="B87" s="145">
        <v>0.24070459999999999</v>
      </c>
      <c r="E87" s="92"/>
    </row>
    <row r="88" spans="1:5">
      <c r="A88" s="144" t="s">
        <v>773</v>
      </c>
      <c r="B88" s="145">
        <v>0.10877300000000001</v>
      </c>
      <c r="E88" s="92"/>
    </row>
    <row r="89" spans="1:5">
      <c r="A89" s="144" t="s">
        <v>774</v>
      </c>
      <c r="B89" s="145">
        <v>0.1144372</v>
      </c>
      <c r="E89" s="92"/>
    </row>
    <row r="90" spans="1:5">
      <c r="A90" s="144" t="s">
        <v>775</v>
      </c>
      <c r="B90" s="145">
        <v>8.2803000000000002E-2</v>
      </c>
      <c r="E90" s="92"/>
    </row>
    <row r="91" spans="1:5">
      <c r="A91" s="144" t="s">
        <v>776</v>
      </c>
      <c r="B91" s="145">
        <v>9.3729399999999991E-2</v>
      </c>
      <c r="E91" s="92"/>
    </row>
    <row r="92" spans="1:5">
      <c r="A92" s="144" t="s">
        <v>777</v>
      </c>
      <c r="B92" s="145">
        <v>0.29507689999999998</v>
      </c>
      <c r="E92" s="92"/>
    </row>
    <row r="93" spans="1:5">
      <c r="A93" s="144" t="s">
        <v>778</v>
      </c>
      <c r="B93" s="145">
        <v>7.6080599999999998E-2</v>
      </c>
      <c r="E93" s="92"/>
    </row>
    <row r="94" spans="1:5">
      <c r="A94" s="144" t="s">
        <v>779</v>
      </c>
      <c r="B94" s="145">
        <v>0.32550960000000001</v>
      </c>
      <c r="E94" s="92"/>
    </row>
    <row r="95" spans="1:5">
      <c r="A95" s="144" t="s">
        <v>780</v>
      </c>
      <c r="B95" s="145">
        <v>0.16041169999999999</v>
      </c>
      <c r="E95" s="92"/>
    </row>
    <row r="96" spans="1:5">
      <c r="A96" s="120"/>
      <c r="B96" s="139"/>
      <c r="E96" s="92"/>
    </row>
    <row r="97" spans="1:5">
      <c r="A97" s="126" t="s">
        <v>507</v>
      </c>
      <c r="B97" s="104">
        <v>0.15589839999999999</v>
      </c>
      <c r="E97" s="92"/>
    </row>
    <row r="98" spans="1:5">
      <c r="A98" s="144" t="s">
        <v>781</v>
      </c>
      <c r="B98" s="145">
        <v>1.8712300000000001E-2</v>
      </c>
      <c r="E98" s="92"/>
    </row>
    <row r="99" spans="1:5">
      <c r="A99" s="144" t="s">
        <v>782</v>
      </c>
      <c r="B99" s="145">
        <v>9.6020599999999998E-2</v>
      </c>
      <c r="E99" s="92"/>
    </row>
    <row r="100" spans="1:5">
      <c r="A100" s="144" t="s">
        <v>783</v>
      </c>
      <c r="B100" s="145">
        <v>4.1165500000000001E-2</v>
      </c>
      <c r="E100" s="92"/>
    </row>
    <row r="101" spans="1:5">
      <c r="A101" s="120"/>
      <c r="B101" s="139"/>
      <c r="E101" s="92"/>
    </row>
    <row r="102" spans="1:5">
      <c r="A102" s="126" t="s">
        <v>338</v>
      </c>
      <c r="B102" s="104">
        <v>1.0895664999999999</v>
      </c>
      <c r="E102" s="92"/>
    </row>
    <row r="103" spans="1:5">
      <c r="A103" s="144" t="s">
        <v>784</v>
      </c>
      <c r="B103" s="145">
        <v>0.22154769999999999</v>
      </c>
      <c r="E103" s="92"/>
    </row>
    <row r="104" spans="1:5">
      <c r="A104" s="144" t="s">
        <v>785</v>
      </c>
      <c r="B104" s="145">
        <v>0.59084250000000005</v>
      </c>
      <c r="E104" s="92"/>
    </row>
    <row r="105" spans="1:5">
      <c r="A105" s="144" t="s">
        <v>786</v>
      </c>
      <c r="B105" s="145">
        <v>1.7562299999999999E-2</v>
      </c>
      <c r="E105" s="92"/>
    </row>
    <row r="106" spans="1:5">
      <c r="A106" s="144" t="s">
        <v>787</v>
      </c>
      <c r="B106" s="145">
        <v>0.11812010000000001</v>
      </c>
      <c r="E106" s="92"/>
    </row>
    <row r="107" spans="1:5">
      <c r="A107" s="144" t="s">
        <v>788</v>
      </c>
      <c r="B107" s="145">
        <v>1.6364E-2</v>
      </c>
      <c r="E107" s="92"/>
    </row>
    <row r="108" spans="1:5">
      <c r="A108" s="144" t="s">
        <v>789</v>
      </c>
      <c r="B108" s="145">
        <v>1.7195200000000001E-2</v>
      </c>
      <c r="E108" s="92"/>
    </row>
    <row r="109" spans="1:5">
      <c r="A109" s="144" t="s">
        <v>790</v>
      </c>
      <c r="B109" s="145">
        <v>7.9247100000000001E-2</v>
      </c>
      <c r="E109" s="92"/>
    </row>
    <row r="110" spans="1:5">
      <c r="A110" s="144" t="s">
        <v>791</v>
      </c>
      <c r="B110" s="145">
        <v>2.8687599999999997E-2</v>
      </c>
      <c r="E110" s="92"/>
    </row>
    <row r="111" spans="1:5">
      <c r="A111" s="120"/>
      <c r="B111" s="139"/>
      <c r="E111" s="92"/>
    </row>
    <row r="112" spans="1:5">
      <c r="A112" s="126" t="s">
        <v>658</v>
      </c>
      <c r="B112" s="104">
        <v>1.2834519999999998</v>
      </c>
      <c r="E112" s="92"/>
    </row>
    <row r="113" spans="1:5">
      <c r="A113" s="144" t="s">
        <v>792</v>
      </c>
      <c r="B113" s="145">
        <v>7.3044600000000001E-2</v>
      </c>
      <c r="E113" s="92"/>
    </row>
    <row r="114" spans="1:5">
      <c r="A114" s="144" t="s">
        <v>793</v>
      </c>
      <c r="B114" s="145">
        <v>0.23903029999999997</v>
      </c>
      <c r="E114" s="92"/>
    </row>
    <row r="115" spans="1:5">
      <c r="A115" s="144" t="s">
        <v>794</v>
      </c>
      <c r="B115" s="145">
        <v>0.97137709999999999</v>
      </c>
      <c r="E115" s="92"/>
    </row>
    <row r="116" spans="1:5">
      <c r="A116" s="120"/>
      <c r="B116" s="139"/>
      <c r="E116" s="92"/>
    </row>
    <row r="117" spans="1:5">
      <c r="A117" s="126" t="s">
        <v>346</v>
      </c>
      <c r="B117" s="104">
        <v>0.79308489999999998</v>
      </c>
      <c r="E117" s="92"/>
    </row>
    <row r="118" spans="1:5">
      <c r="A118" s="144" t="s">
        <v>795</v>
      </c>
      <c r="B118" s="145">
        <v>3.7349899999999998E-2</v>
      </c>
      <c r="E118" s="92"/>
    </row>
    <row r="119" spans="1:5">
      <c r="A119" s="144" t="s">
        <v>796</v>
      </c>
      <c r="B119" s="145">
        <v>0.16719239999999999</v>
      </c>
      <c r="E119" s="92"/>
    </row>
    <row r="120" spans="1:5">
      <c r="A120" s="144" t="s">
        <v>797</v>
      </c>
      <c r="B120" s="145">
        <v>0.58854260000000003</v>
      </c>
      <c r="E120" s="92"/>
    </row>
    <row r="121" spans="1:5">
      <c r="A121" s="120"/>
      <c r="B121" s="139"/>
      <c r="E121" s="92"/>
    </row>
    <row r="122" spans="1:5">
      <c r="A122" s="126" t="s">
        <v>182</v>
      </c>
      <c r="B122" s="104">
        <v>0.1030153</v>
      </c>
      <c r="E122" s="92"/>
    </row>
    <row r="123" spans="1:5">
      <c r="A123" s="144" t="s">
        <v>798</v>
      </c>
      <c r="B123" s="145">
        <v>2.9061700000000003E-2</v>
      </c>
      <c r="E123" s="92"/>
    </row>
    <row r="124" spans="1:5">
      <c r="A124" s="144" t="s">
        <v>799</v>
      </c>
      <c r="B124" s="145">
        <v>6.0644200000000002E-2</v>
      </c>
      <c r="E124" s="92"/>
    </row>
    <row r="125" spans="1:5">
      <c r="A125" s="144" t="s">
        <v>800</v>
      </c>
      <c r="B125" s="145">
        <v>1.3309399999999999E-2</v>
      </c>
      <c r="E125" s="92"/>
    </row>
    <row r="126" spans="1:5">
      <c r="A126" s="120"/>
      <c r="B126" s="139"/>
      <c r="E126" s="92"/>
    </row>
    <row r="127" spans="1:5">
      <c r="A127" s="126" t="s">
        <v>350</v>
      </c>
      <c r="B127" s="104">
        <v>0.52255980000000002</v>
      </c>
      <c r="E127" s="92"/>
    </row>
    <row r="128" spans="1:5">
      <c r="A128" s="144" t="s">
        <v>801</v>
      </c>
      <c r="B128" s="145">
        <v>0.11940710000000002</v>
      </c>
      <c r="E128" s="92"/>
    </row>
    <row r="129" spans="1:5">
      <c r="A129" s="144" t="s">
        <v>802</v>
      </c>
      <c r="B129" s="145">
        <v>0.246279</v>
      </c>
      <c r="E129" s="92"/>
    </row>
    <row r="130" spans="1:5">
      <c r="A130" s="144" t="s">
        <v>803</v>
      </c>
      <c r="B130" s="145">
        <v>0.1568737</v>
      </c>
      <c r="E130" s="92"/>
    </row>
    <row r="131" spans="1:5">
      <c r="A131" s="120"/>
      <c r="B131" s="139"/>
      <c r="E131" s="92"/>
    </row>
    <row r="132" spans="1:5">
      <c r="A132" s="126" t="s">
        <v>534</v>
      </c>
      <c r="B132" s="104">
        <v>0.2523203</v>
      </c>
      <c r="E132" s="92"/>
    </row>
    <row r="133" spans="1:5">
      <c r="A133" s="144" t="s">
        <v>804</v>
      </c>
      <c r="B133" s="145">
        <v>0.2523203</v>
      </c>
      <c r="E133" s="92"/>
    </row>
    <row r="134" spans="1:5">
      <c r="A134" s="120"/>
      <c r="B134" s="139"/>
      <c r="E134" s="92"/>
    </row>
    <row r="135" spans="1:5">
      <c r="A135" s="126" t="s">
        <v>536</v>
      </c>
      <c r="B135" s="104">
        <v>5.6229972000000004</v>
      </c>
      <c r="E135" s="92"/>
    </row>
    <row r="136" spans="1:5">
      <c r="A136" s="144" t="s">
        <v>805</v>
      </c>
      <c r="B136" s="145">
        <v>4.5064447000000003</v>
      </c>
      <c r="E136" s="92"/>
    </row>
    <row r="137" spans="1:5">
      <c r="A137" s="144" t="s">
        <v>806</v>
      </c>
      <c r="B137" s="145">
        <v>1.1165525000000001</v>
      </c>
      <c r="E137" s="92"/>
    </row>
    <row r="138" spans="1:5">
      <c r="A138" s="74"/>
      <c r="B138" s="140"/>
      <c r="C138" s="142"/>
      <c r="D138" s="142"/>
      <c r="E138" s="92"/>
    </row>
    <row r="139" spans="1:5">
      <c r="A139" s="126" t="s">
        <v>358</v>
      </c>
      <c r="B139" s="104">
        <v>16.251021100000003</v>
      </c>
      <c r="E139" s="92"/>
    </row>
    <row r="140" spans="1:5">
      <c r="A140" s="118"/>
      <c r="B140" s="135"/>
      <c r="E140" s="92"/>
    </row>
    <row r="141" spans="1:5">
      <c r="A141" s="126" t="s">
        <v>359</v>
      </c>
      <c r="B141" s="104">
        <v>4.3830219000000001</v>
      </c>
      <c r="E141" s="92"/>
    </row>
    <row r="142" spans="1:5">
      <c r="A142" s="144" t="s">
        <v>807</v>
      </c>
      <c r="B142" s="145">
        <v>1.5885259999999999</v>
      </c>
      <c r="E142" s="92"/>
    </row>
    <row r="143" spans="1:5">
      <c r="A143" s="144" t="s">
        <v>808</v>
      </c>
      <c r="B143" s="145">
        <v>1.554819</v>
      </c>
      <c r="E143" s="92"/>
    </row>
    <row r="144" spans="1:5">
      <c r="A144" s="144" t="s">
        <v>809</v>
      </c>
      <c r="B144" s="145">
        <v>1.2396769000000001</v>
      </c>
      <c r="E144" s="92"/>
    </row>
    <row r="145" spans="1:5">
      <c r="A145" s="120"/>
      <c r="B145" s="139"/>
      <c r="E145" s="92"/>
    </row>
    <row r="146" spans="1:5">
      <c r="A146" s="126" t="s">
        <v>361</v>
      </c>
      <c r="B146" s="104">
        <v>3.6132507999999999</v>
      </c>
      <c r="E146" s="92"/>
    </row>
    <row r="147" spans="1:5">
      <c r="A147" s="144" t="s">
        <v>810</v>
      </c>
      <c r="B147" s="145">
        <v>3.1747631999999997</v>
      </c>
      <c r="E147" s="92"/>
    </row>
    <row r="148" spans="1:5">
      <c r="A148" s="144" t="s">
        <v>811</v>
      </c>
      <c r="B148" s="145">
        <v>0.43848760000000003</v>
      </c>
      <c r="E148" s="92"/>
    </row>
    <row r="149" spans="1:5">
      <c r="A149" s="120"/>
      <c r="B149" s="139"/>
      <c r="E149" s="92"/>
    </row>
    <row r="150" spans="1:5">
      <c r="A150" s="126" t="s">
        <v>364</v>
      </c>
      <c r="B150" s="104">
        <v>4.5686676999999998</v>
      </c>
      <c r="E150" s="92"/>
    </row>
    <row r="151" spans="1:5">
      <c r="A151" s="144" t="s">
        <v>812</v>
      </c>
      <c r="B151" s="145">
        <v>4.2760600000000003E-2</v>
      </c>
      <c r="E151" s="92"/>
    </row>
    <row r="152" spans="1:5">
      <c r="A152" s="144" t="s">
        <v>813</v>
      </c>
      <c r="B152" s="145">
        <v>0.2951377</v>
      </c>
      <c r="E152" s="92"/>
    </row>
    <row r="153" spans="1:5">
      <c r="A153" s="144" t="s">
        <v>814</v>
      </c>
      <c r="B153" s="145">
        <v>8.3703899999999998E-2</v>
      </c>
      <c r="E153" s="92"/>
    </row>
    <row r="154" spans="1:5">
      <c r="A154" s="144" t="s">
        <v>815</v>
      </c>
      <c r="B154" s="145">
        <v>0.26656940000000001</v>
      </c>
      <c r="E154" s="92"/>
    </row>
    <row r="155" spans="1:5">
      <c r="A155" s="144" t="s">
        <v>816</v>
      </c>
      <c r="B155" s="145">
        <v>6.2412599999999999E-2</v>
      </c>
      <c r="E155" s="92"/>
    </row>
    <row r="156" spans="1:5">
      <c r="A156" s="144" t="s">
        <v>817</v>
      </c>
      <c r="B156" s="145">
        <v>0.7628026</v>
      </c>
      <c r="E156" s="92"/>
    </row>
    <row r="157" spans="1:5">
      <c r="A157" s="144" t="s">
        <v>818</v>
      </c>
      <c r="B157" s="145">
        <v>5.4557300000000003E-2</v>
      </c>
      <c r="E157" s="92"/>
    </row>
    <row r="158" spans="1:5">
      <c r="A158" s="144" t="s">
        <v>819</v>
      </c>
      <c r="B158" s="145">
        <v>2.0168999999999999E-3</v>
      </c>
      <c r="E158" s="92"/>
    </row>
    <row r="159" spans="1:5">
      <c r="A159" s="144" t="s">
        <v>820</v>
      </c>
      <c r="B159" s="145">
        <v>0.13056319999999999</v>
      </c>
      <c r="E159" s="92"/>
    </row>
    <row r="160" spans="1:5">
      <c r="A160" s="144" t="s">
        <v>821</v>
      </c>
      <c r="B160" s="145">
        <v>4.5429999999999993E-3</v>
      </c>
      <c r="E160" s="92"/>
    </row>
    <row r="161" spans="1:5">
      <c r="A161" s="144" t="s">
        <v>822</v>
      </c>
      <c r="B161" s="145">
        <v>8.8832700000000001E-2</v>
      </c>
      <c r="E161" s="92"/>
    </row>
    <row r="162" spans="1:5">
      <c r="A162" s="144" t="s">
        <v>823</v>
      </c>
      <c r="B162" s="145">
        <v>0.47530250000000002</v>
      </c>
      <c r="E162" s="92"/>
    </row>
    <row r="163" spans="1:5">
      <c r="A163" s="144" t="s">
        <v>824</v>
      </c>
      <c r="B163" s="145">
        <v>5.8918E-3</v>
      </c>
      <c r="E163" s="92"/>
    </row>
    <row r="164" spans="1:5">
      <c r="A164" s="144" t="s">
        <v>825</v>
      </c>
      <c r="B164" s="145">
        <v>0.20046890000000001</v>
      </c>
      <c r="E164" s="92"/>
    </row>
    <row r="165" spans="1:5">
      <c r="A165" s="144" t="s">
        <v>826</v>
      </c>
      <c r="B165" s="145">
        <v>1.1173899999999999E-2</v>
      </c>
      <c r="E165" s="92"/>
    </row>
    <row r="166" spans="1:5">
      <c r="A166" s="144" t="s">
        <v>827</v>
      </c>
      <c r="B166" s="145">
        <v>6.7405799999999988E-2</v>
      </c>
      <c r="E166" s="92"/>
    </row>
    <row r="167" spans="1:5">
      <c r="A167" s="144" t="s">
        <v>828</v>
      </c>
      <c r="B167" s="145">
        <v>1.9703695999999999</v>
      </c>
      <c r="E167" s="92"/>
    </row>
    <row r="168" spans="1:5">
      <c r="A168" s="144" t="s">
        <v>829</v>
      </c>
      <c r="B168" s="145">
        <v>4.4155300000000001E-2</v>
      </c>
      <c r="E168" s="92"/>
    </row>
    <row r="169" spans="1:5">
      <c r="A169" s="120"/>
      <c r="B169" s="139"/>
      <c r="E169" s="92"/>
    </row>
    <row r="170" spans="1:5">
      <c r="A170" s="126" t="s">
        <v>372</v>
      </c>
      <c r="B170" s="104">
        <v>0.71263779999999999</v>
      </c>
      <c r="E170" s="92"/>
    </row>
    <row r="171" spans="1:5">
      <c r="A171" s="144" t="s">
        <v>830</v>
      </c>
      <c r="B171" s="145">
        <v>8.3256800000000006E-2</v>
      </c>
      <c r="E171" s="92"/>
    </row>
    <row r="172" spans="1:5">
      <c r="A172" s="144" t="s">
        <v>831</v>
      </c>
      <c r="B172" s="145">
        <v>7.8501799999999997E-2</v>
      </c>
      <c r="E172" s="92"/>
    </row>
    <row r="173" spans="1:5">
      <c r="A173" s="144" t="s">
        <v>832</v>
      </c>
      <c r="B173" s="145">
        <v>0.1490919</v>
      </c>
      <c r="E173" s="92"/>
    </row>
    <row r="174" spans="1:5">
      <c r="A174" s="144" t="s">
        <v>833</v>
      </c>
      <c r="B174" s="145">
        <v>0.28171220000000002</v>
      </c>
      <c r="E174" s="92"/>
    </row>
    <row r="175" spans="1:5">
      <c r="A175" s="144" t="s">
        <v>834</v>
      </c>
      <c r="B175" s="145">
        <v>2.8501100000000001E-2</v>
      </c>
      <c r="E175" s="92"/>
    </row>
    <row r="176" spans="1:5">
      <c r="A176" s="144" t="s">
        <v>835</v>
      </c>
      <c r="B176" s="145">
        <v>9.1573999999999989E-2</v>
      </c>
      <c r="E176" s="92"/>
    </row>
    <row r="177" spans="1:5">
      <c r="A177" s="120"/>
      <c r="B177" s="139"/>
      <c r="E177" s="92"/>
    </row>
    <row r="178" spans="1:5">
      <c r="A178" s="126" t="s">
        <v>551</v>
      </c>
      <c r="B178" s="104">
        <v>0.71940110000000002</v>
      </c>
      <c r="E178" s="92"/>
    </row>
    <row r="179" spans="1:5">
      <c r="A179" s="144" t="s">
        <v>836</v>
      </c>
      <c r="B179" s="145">
        <v>0.2767541</v>
      </c>
      <c r="E179" s="92"/>
    </row>
    <row r="180" spans="1:5">
      <c r="A180" s="144" t="s">
        <v>837</v>
      </c>
      <c r="B180" s="145">
        <v>8.9371000000000006E-2</v>
      </c>
      <c r="E180" s="92"/>
    </row>
    <row r="181" spans="1:5">
      <c r="A181" s="144" t="s">
        <v>838</v>
      </c>
      <c r="B181" s="145">
        <v>0.11061260000000001</v>
      </c>
      <c r="E181" s="92"/>
    </row>
    <row r="182" spans="1:5">
      <c r="A182" s="144" t="s">
        <v>839</v>
      </c>
      <c r="B182" s="145">
        <v>0.1317835</v>
      </c>
      <c r="E182" s="92"/>
    </row>
    <row r="183" spans="1:5">
      <c r="A183" s="144" t="s">
        <v>840</v>
      </c>
      <c r="B183" s="145">
        <v>1.0671000000000001E-3</v>
      </c>
      <c r="E183" s="92"/>
    </row>
    <row r="184" spans="1:5">
      <c r="A184" s="144" t="s">
        <v>841</v>
      </c>
      <c r="B184" s="145">
        <v>6.7430199999999996E-2</v>
      </c>
      <c r="E184" s="92"/>
    </row>
    <row r="185" spans="1:5">
      <c r="A185" s="144" t="s">
        <v>842</v>
      </c>
      <c r="B185" s="145">
        <v>4.2382599999999999E-2</v>
      </c>
      <c r="E185" s="92"/>
    </row>
    <row r="186" spans="1:5">
      <c r="A186" s="120"/>
      <c r="B186" s="139"/>
      <c r="E186" s="92"/>
    </row>
    <row r="187" spans="1:5">
      <c r="A187" s="126" t="s">
        <v>387</v>
      </c>
      <c r="B187" s="104">
        <v>1.2114963999999999</v>
      </c>
      <c r="E187" s="92"/>
    </row>
    <row r="188" spans="1:5">
      <c r="A188" s="144" t="s">
        <v>843</v>
      </c>
      <c r="B188" s="145">
        <v>0.22735730000000001</v>
      </c>
      <c r="E188" s="92"/>
    </row>
    <row r="189" spans="1:5">
      <c r="A189" s="144" t="s">
        <v>844</v>
      </c>
      <c r="B189" s="145">
        <v>0.297711</v>
      </c>
      <c r="E189" s="92"/>
    </row>
    <row r="190" spans="1:5">
      <c r="A190" s="144" t="s">
        <v>845</v>
      </c>
      <c r="B190" s="145">
        <v>0.24168580000000001</v>
      </c>
      <c r="E190" s="92"/>
    </row>
    <row r="191" spans="1:5">
      <c r="A191" s="144" t="s">
        <v>846</v>
      </c>
      <c r="B191" s="145">
        <v>0.44474229999999998</v>
      </c>
      <c r="E191" s="92"/>
    </row>
    <row r="192" spans="1:5">
      <c r="A192" s="120"/>
      <c r="B192" s="139"/>
      <c r="E192" s="92"/>
    </row>
    <row r="193" spans="1:20">
      <c r="A193" s="126" t="s">
        <v>395</v>
      </c>
      <c r="B193" s="104">
        <v>0.27957500000000002</v>
      </c>
      <c r="E193" s="92"/>
    </row>
    <row r="194" spans="1:20">
      <c r="A194" s="144" t="s">
        <v>847</v>
      </c>
      <c r="B194" s="145">
        <v>0.19342319999999999</v>
      </c>
      <c r="E194" s="92"/>
    </row>
    <row r="195" spans="1:20">
      <c r="A195" s="144" t="s">
        <v>848</v>
      </c>
      <c r="B195" s="145">
        <v>8.6151800000000001E-2</v>
      </c>
      <c r="E195" s="92"/>
    </row>
    <row r="196" spans="1:20">
      <c r="A196" s="120"/>
      <c r="B196" s="139"/>
      <c r="E196" s="92"/>
    </row>
    <row r="197" spans="1:20">
      <c r="A197" s="126" t="s">
        <v>571</v>
      </c>
      <c r="B197" s="104">
        <v>0.76297039999999994</v>
      </c>
      <c r="E197" s="92"/>
    </row>
    <row r="198" spans="1:20">
      <c r="A198" s="144" t="s">
        <v>849</v>
      </c>
      <c r="B198" s="145">
        <v>0.22011620000000001</v>
      </c>
      <c r="E198" s="92"/>
    </row>
    <row r="199" spans="1:20">
      <c r="A199" s="144" t="s">
        <v>850</v>
      </c>
      <c r="B199" s="145">
        <v>0.54285419999999995</v>
      </c>
      <c r="E199" s="92"/>
    </row>
    <row r="200" spans="1:20">
      <c r="A200" s="74"/>
      <c r="B200" s="140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</row>
    <row r="201" spans="1:20">
      <c r="A201" s="126" t="s">
        <v>400</v>
      </c>
      <c r="B201" s="104">
        <v>8.9725024999999992</v>
      </c>
      <c r="E201" s="92"/>
    </row>
    <row r="202" spans="1:20">
      <c r="A202" s="118"/>
      <c r="B202" s="139"/>
      <c r="E202" s="92"/>
    </row>
    <row r="203" spans="1:20">
      <c r="A203" s="126" t="s">
        <v>574</v>
      </c>
      <c r="B203" s="104">
        <v>0.3659268</v>
      </c>
      <c r="E203" s="92"/>
    </row>
    <row r="204" spans="1:20">
      <c r="A204" s="144" t="s">
        <v>851</v>
      </c>
      <c r="B204" s="145">
        <v>0.14718000000000001</v>
      </c>
      <c r="E204" s="92"/>
    </row>
    <row r="205" spans="1:20">
      <c r="A205" s="144" t="s">
        <v>852</v>
      </c>
      <c r="B205" s="145">
        <v>0.1196316</v>
      </c>
      <c r="E205" s="92"/>
    </row>
    <row r="206" spans="1:20">
      <c r="A206" s="144" t="s">
        <v>853</v>
      </c>
      <c r="B206" s="145">
        <v>5.02026E-2</v>
      </c>
      <c r="E206" s="92"/>
    </row>
    <row r="207" spans="1:20">
      <c r="A207" s="144" t="s">
        <v>854</v>
      </c>
      <c r="B207" s="145">
        <v>4.8912600000000001E-2</v>
      </c>
      <c r="E207" s="92"/>
    </row>
    <row r="208" spans="1:20">
      <c r="A208" s="120"/>
      <c r="B208" s="139"/>
      <c r="E208" s="92"/>
    </row>
    <row r="209" spans="1:5">
      <c r="A209" s="126" t="s">
        <v>583</v>
      </c>
      <c r="B209" s="104">
        <v>4.8685848999999992</v>
      </c>
      <c r="E209" s="92"/>
    </row>
    <row r="210" spans="1:5">
      <c r="A210" s="144" t="s">
        <v>855</v>
      </c>
      <c r="B210" s="145">
        <v>0.5994543</v>
      </c>
      <c r="E210" s="92"/>
    </row>
    <row r="211" spans="1:5">
      <c r="A211" s="144" t="s">
        <v>856</v>
      </c>
      <c r="B211" s="145">
        <v>0.2175289</v>
      </c>
      <c r="E211" s="92"/>
    </row>
    <row r="212" spans="1:5">
      <c r="A212" s="144" t="s">
        <v>857</v>
      </c>
      <c r="B212" s="145">
        <v>9.6276399999999998E-2</v>
      </c>
      <c r="E212" s="92"/>
    </row>
    <row r="213" spans="1:5">
      <c r="A213" s="144" t="s">
        <v>858</v>
      </c>
      <c r="B213" s="145">
        <v>0.19641359999999999</v>
      </c>
      <c r="E213" s="92"/>
    </row>
    <row r="214" spans="1:5">
      <c r="A214" s="144" t="s">
        <v>859</v>
      </c>
      <c r="B214" s="145">
        <v>6.5950999999999996E-2</v>
      </c>
      <c r="E214" s="92"/>
    </row>
    <row r="215" spans="1:5">
      <c r="A215" s="144" t="s">
        <v>860</v>
      </c>
      <c r="B215" s="145">
        <v>0.4478722</v>
      </c>
      <c r="E215" s="92"/>
    </row>
    <row r="216" spans="1:5">
      <c r="A216" s="144" t="s">
        <v>861</v>
      </c>
      <c r="B216" s="145">
        <v>3.9859499999999999E-2</v>
      </c>
      <c r="E216" s="92"/>
    </row>
    <row r="217" spans="1:5">
      <c r="A217" s="144" t="s">
        <v>862</v>
      </c>
      <c r="B217" s="145">
        <v>0.31351380000000001</v>
      </c>
      <c r="E217" s="92"/>
    </row>
    <row r="218" spans="1:5">
      <c r="A218" s="144" t="s">
        <v>863</v>
      </c>
      <c r="B218" s="145">
        <v>0.1532666</v>
      </c>
      <c r="E218" s="92"/>
    </row>
    <row r="219" spans="1:5">
      <c r="A219" s="144" t="s">
        <v>864</v>
      </c>
      <c r="B219" s="145">
        <v>0.19149840000000001</v>
      </c>
      <c r="E219" s="92"/>
    </row>
    <row r="220" spans="1:5">
      <c r="A220" s="144" t="s">
        <v>865</v>
      </c>
      <c r="B220" s="145">
        <v>7.656460000000001E-2</v>
      </c>
      <c r="E220" s="92"/>
    </row>
    <row r="221" spans="1:5">
      <c r="A221" s="144" t="s">
        <v>866</v>
      </c>
      <c r="B221" s="145">
        <v>7.2839100000000004E-2</v>
      </c>
      <c r="E221" s="92"/>
    </row>
    <row r="222" spans="1:5">
      <c r="A222" s="144" t="s">
        <v>867</v>
      </c>
      <c r="B222" s="145">
        <v>8.9874800000000005E-2</v>
      </c>
      <c r="E222" s="92"/>
    </row>
    <row r="223" spans="1:5">
      <c r="A223" s="144" t="s">
        <v>868</v>
      </c>
      <c r="B223" s="145">
        <v>0.14658939999999998</v>
      </c>
      <c r="E223" s="92"/>
    </row>
    <row r="224" spans="1:5">
      <c r="A224" s="144" t="s">
        <v>869</v>
      </c>
      <c r="B224" s="145">
        <v>0.27254850000000003</v>
      </c>
      <c r="E224" s="92"/>
    </row>
    <row r="225" spans="1:5">
      <c r="A225" s="144" t="s">
        <v>870</v>
      </c>
      <c r="B225" s="145">
        <v>4.5128799999999997E-2</v>
      </c>
      <c r="E225" s="92"/>
    </row>
    <row r="226" spans="1:5">
      <c r="A226" s="144" t="s">
        <v>871</v>
      </c>
      <c r="B226" s="145">
        <v>0.24559590000000001</v>
      </c>
      <c r="E226" s="92"/>
    </row>
    <row r="227" spans="1:5">
      <c r="A227" s="144" t="s">
        <v>872</v>
      </c>
      <c r="B227" s="145">
        <v>5.7438300000000005E-2</v>
      </c>
      <c r="E227" s="92"/>
    </row>
    <row r="228" spans="1:5">
      <c r="A228" s="144" t="s">
        <v>873</v>
      </c>
      <c r="B228" s="145">
        <v>0.57638120000000004</v>
      </c>
      <c r="E228" s="92"/>
    </row>
    <row r="229" spans="1:5">
      <c r="A229" s="144" t="s">
        <v>874</v>
      </c>
      <c r="B229" s="145">
        <v>0.20050559999999998</v>
      </c>
      <c r="E229" s="92"/>
    </row>
    <row r="230" spans="1:5">
      <c r="A230" s="144" t="s">
        <v>875</v>
      </c>
      <c r="B230" s="145">
        <v>0.47910200000000003</v>
      </c>
      <c r="E230" s="92"/>
    </row>
    <row r="231" spans="1:5">
      <c r="A231" s="144" t="s">
        <v>876</v>
      </c>
      <c r="B231" s="145">
        <v>6.3499300000000009E-2</v>
      </c>
      <c r="E231" s="92"/>
    </row>
    <row r="232" spans="1:5">
      <c r="A232" s="144" t="s">
        <v>877</v>
      </c>
      <c r="B232" s="145">
        <v>0.22088269999999999</v>
      </c>
      <c r="E232" s="92"/>
    </row>
    <row r="233" spans="1:5">
      <c r="A233" s="120"/>
      <c r="B233" s="139"/>
      <c r="E233" s="92"/>
    </row>
    <row r="234" spans="1:5">
      <c r="A234" s="126" t="s">
        <v>591</v>
      </c>
      <c r="B234" s="104">
        <v>3.3342506000000003</v>
      </c>
      <c r="E234" s="92"/>
    </row>
    <row r="235" spans="1:5">
      <c r="A235" s="144" t="s">
        <v>878</v>
      </c>
      <c r="B235" s="145">
        <v>0.62410599999999994</v>
      </c>
      <c r="E235" s="92"/>
    </row>
    <row r="236" spans="1:5">
      <c r="A236" s="144" t="s">
        <v>879</v>
      </c>
      <c r="B236" s="145">
        <v>0.52771000000000001</v>
      </c>
      <c r="E236" s="92"/>
    </row>
    <row r="237" spans="1:5">
      <c r="A237" s="144" t="s">
        <v>880</v>
      </c>
      <c r="B237" s="145">
        <v>7.3345900000000006E-2</v>
      </c>
      <c r="E237" s="92"/>
    </row>
    <row r="238" spans="1:5">
      <c r="A238" s="144" t="s">
        <v>881</v>
      </c>
      <c r="B238" s="145">
        <v>0.2217729</v>
      </c>
      <c r="E238" s="92"/>
    </row>
    <row r="239" spans="1:5">
      <c r="A239" s="144" t="s">
        <v>882</v>
      </c>
      <c r="B239" s="145">
        <v>0.23772009999999999</v>
      </c>
      <c r="E239" s="92"/>
    </row>
    <row r="240" spans="1:5">
      <c r="A240" s="144" t="s">
        <v>883</v>
      </c>
      <c r="B240" s="145">
        <v>7.5610499999999997E-2</v>
      </c>
      <c r="E240" s="92"/>
    </row>
    <row r="241" spans="1:5">
      <c r="A241" s="144" t="s">
        <v>884</v>
      </c>
      <c r="B241" s="145">
        <v>9.7398100000000001E-2</v>
      </c>
      <c r="E241" s="92"/>
    </row>
    <row r="242" spans="1:5">
      <c r="A242" s="144" t="s">
        <v>885</v>
      </c>
      <c r="B242" s="145">
        <v>0.11528330000000001</v>
      </c>
      <c r="E242" s="92"/>
    </row>
    <row r="243" spans="1:5">
      <c r="A243" s="144" t="s">
        <v>886</v>
      </c>
      <c r="B243" s="145">
        <v>9.8549999999999999E-2</v>
      </c>
      <c r="E243" s="92"/>
    </row>
    <row r="244" spans="1:5">
      <c r="A244" s="144" t="s">
        <v>887</v>
      </c>
      <c r="B244" s="145">
        <v>5.38024E-2</v>
      </c>
      <c r="E244" s="92"/>
    </row>
    <row r="245" spans="1:5">
      <c r="A245" s="144" t="s">
        <v>888</v>
      </c>
      <c r="B245" s="145">
        <v>0.11163580000000001</v>
      </c>
      <c r="E245" s="92"/>
    </row>
    <row r="246" spans="1:5">
      <c r="A246" s="144" t="s">
        <v>889</v>
      </c>
      <c r="B246" s="145">
        <v>4.5487099999999996E-2</v>
      </c>
      <c r="E246" s="92"/>
    </row>
    <row r="247" spans="1:5">
      <c r="A247" s="144" t="s">
        <v>890</v>
      </c>
      <c r="B247" s="145">
        <v>0.23337539999999998</v>
      </c>
      <c r="E247" s="92"/>
    </row>
    <row r="248" spans="1:5">
      <c r="A248" s="144" t="s">
        <v>891</v>
      </c>
      <c r="B248" s="145">
        <v>7.1053900000000003E-2</v>
      </c>
      <c r="E248" s="92"/>
    </row>
    <row r="249" spans="1:5">
      <c r="A249" s="144" t="s">
        <v>892</v>
      </c>
      <c r="B249" s="145">
        <v>4.1848700000000003E-2</v>
      </c>
      <c r="E249" s="92"/>
    </row>
    <row r="250" spans="1:5">
      <c r="A250" s="144" t="s">
        <v>893</v>
      </c>
      <c r="B250" s="145">
        <v>0.48194009999999998</v>
      </c>
      <c r="E250" s="92"/>
    </row>
    <row r="251" spans="1:5">
      <c r="A251" s="144" t="s">
        <v>894</v>
      </c>
      <c r="B251" s="145">
        <v>0.22361040000000001</v>
      </c>
      <c r="E251" s="92"/>
    </row>
    <row r="252" spans="1:5">
      <c r="A252" s="120"/>
      <c r="B252" s="139"/>
      <c r="E252" s="92"/>
    </row>
    <row r="253" spans="1:5">
      <c r="A253" s="126" t="s">
        <v>600</v>
      </c>
      <c r="B253" s="104">
        <v>0.20708770000000001</v>
      </c>
      <c r="E253" s="92"/>
    </row>
    <row r="254" spans="1:5">
      <c r="A254" s="144" t="s">
        <v>895</v>
      </c>
      <c r="B254" s="145">
        <v>0.20708770000000001</v>
      </c>
      <c r="E254" s="92"/>
    </row>
    <row r="255" spans="1:5">
      <c r="A255" s="120"/>
      <c r="B255" s="139"/>
      <c r="E255" s="92"/>
    </row>
    <row r="256" spans="1:5">
      <c r="A256" s="126" t="s">
        <v>610</v>
      </c>
      <c r="B256" s="104">
        <v>0.19665249999999998</v>
      </c>
      <c r="E256" s="92"/>
    </row>
    <row r="257" spans="1:5">
      <c r="A257" s="144" t="s">
        <v>896</v>
      </c>
      <c r="B257" s="145">
        <v>0.14102209999999998</v>
      </c>
      <c r="E257" s="92"/>
    </row>
    <row r="258" spans="1:5">
      <c r="A258" s="144" t="s">
        <v>897</v>
      </c>
      <c r="B258" s="145">
        <v>5.5630399999999997E-2</v>
      </c>
      <c r="E258" s="92"/>
    </row>
    <row r="259" spans="1:5">
      <c r="A259" s="74"/>
      <c r="B259" s="140"/>
      <c r="C259" s="142"/>
      <c r="D259" s="142"/>
      <c r="E259" s="92"/>
    </row>
    <row r="260" spans="1:5">
      <c r="A260" s="126" t="s">
        <v>898</v>
      </c>
      <c r="B260" s="104">
        <v>42.522907499999995</v>
      </c>
      <c r="E260" s="92"/>
    </row>
    <row r="261" spans="1:5">
      <c r="A261" s="118"/>
      <c r="B261" s="139"/>
      <c r="E261" s="92"/>
    </row>
    <row r="262" spans="1:5">
      <c r="A262" s="126" t="s">
        <v>615</v>
      </c>
      <c r="B262" s="104">
        <v>6.0295945000000009</v>
      </c>
      <c r="E262" s="92"/>
    </row>
    <row r="263" spans="1:5">
      <c r="A263" s="144" t="s">
        <v>899</v>
      </c>
      <c r="B263" s="145">
        <v>0.1602297</v>
      </c>
      <c r="E263" s="92"/>
    </row>
    <row r="264" spans="1:5">
      <c r="A264" s="144" t="s">
        <v>900</v>
      </c>
      <c r="B264" s="145">
        <v>4.9612099999999999E-2</v>
      </c>
      <c r="E264" s="92"/>
    </row>
    <row r="265" spans="1:5">
      <c r="A265" s="144" t="s">
        <v>901</v>
      </c>
      <c r="B265" s="145">
        <v>6.9852600000000001E-2</v>
      </c>
      <c r="E265" s="92"/>
    </row>
    <row r="266" spans="1:5">
      <c r="A266" s="144" t="s">
        <v>902</v>
      </c>
      <c r="B266" s="145">
        <v>0.2029791</v>
      </c>
      <c r="E266" s="92"/>
    </row>
    <row r="267" spans="1:5">
      <c r="A267" s="144" t="s">
        <v>903</v>
      </c>
      <c r="B267" s="145">
        <v>0.43442419999999998</v>
      </c>
      <c r="E267" s="92"/>
    </row>
    <row r="268" spans="1:5">
      <c r="A268" s="144" t="s">
        <v>904</v>
      </c>
      <c r="B268" s="145">
        <v>2.1281700000000001E-2</v>
      </c>
      <c r="E268" s="92"/>
    </row>
    <row r="269" spans="1:5">
      <c r="A269" s="144" t="s">
        <v>905</v>
      </c>
      <c r="B269" s="145">
        <v>6.9852600000000001E-2</v>
      </c>
      <c r="E269" s="92"/>
    </row>
    <row r="270" spans="1:5">
      <c r="A270" s="144" t="s">
        <v>906</v>
      </c>
      <c r="B270" s="145">
        <v>0.2029791</v>
      </c>
      <c r="E270" s="92"/>
    </row>
    <row r="271" spans="1:5">
      <c r="A271" s="144" t="s">
        <v>907</v>
      </c>
      <c r="B271" s="145">
        <v>0.36733109999999997</v>
      </c>
      <c r="E271" s="92"/>
    </row>
    <row r="272" spans="1:5">
      <c r="A272" s="144" t="s">
        <v>908</v>
      </c>
      <c r="B272" s="145">
        <v>2.1281700000000001E-2</v>
      </c>
      <c r="E272" s="92"/>
    </row>
    <row r="273" spans="1:5">
      <c r="A273" s="144" t="s">
        <v>909</v>
      </c>
      <c r="B273" s="145">
        <v>9.6818500000000002E-2</v>
      </c>
      <c r="E273" s="92"/>
    </row>
    <row r="274" spans="1:5">
      <c r="A274" s="144" t="s">
        <v>910</v>
      </c>
      <c r="B274" s="145">
        <v>0.1602297</v>
      </c>
      <c r="E274" s="92"/>
    </row>
    <row r="275" spans="1:5">
      <c r="A275" s="144" t="s">
        <v>911</v>
      </c>
      <c r="B275" s="145">
        <v>0.27867370000000002</v>
      </c>
      <c r="E275" s="92"/>
    </row>
    <row r="276" spans="1:5">
      <c r="A276" s="144" t="s">
        <v>912</v>
      </c>
      <c r="B276" s="145">
        <v>9.6818500000000002E-2</v>
      </c>
      <c r="E276" s="92"/>
    </row>
    <row r="277" spans="1:5">
      <c r="A277" s="144" t="s">
        <v>913</v>
      </c>
      <c r="B277" s="145">
        <v>8.4907399999999994E-2</v>
      </c>
      <c r="E277" s="92"/>
    </row>
    <row r="278" spans="1:5">
      <c r="A278" s="144" t="s">
        <v>914</v>
      </c>
      <c r="B278" s="145">
        <v>0.55685719999999994</v>
      </c>
      <c r="E278" s="92"/>
    </row>
    <row r="279" spans="1:5">
      <c r="A279" s="144" t="s">
        <v>915</v>
      </c>
      <c r="B279" s="145">
        <v>0.49112069999999997</v>
      </c>
      <c r="E279" s="92"/>
    </row>
    <row r="280" spans="1:5">
      <c r="A280" s="144" t="s">
        <v>916</v>
      </c>
      <c r="B280" s="145">
        <v>9.6818500000000002E-2</v>
      </c>
      <c r="E280" s="92"/>
    </row>
    <row r="281" spans="1:5">
      <c r="A281" s="144" t="s">
        <v>917</v>
      </c>
      <c r="B281" s="145">
        <v>4.4808899999999999E-2</v>
      </c>
      <c r="E281" s="92"/>
    </row>
    <row r="282" spans="1:5">
      <c r="A282" s="144" t="s">
        <v>918</v>
      </c>
      <c r="B282" s="145">
        <v>4.9612099999999999E-2</v>
      </c>
      <c r="E282" s="92"/>
    </row>
    <row r="283" spans="1:5">
      <c r="A283" s="144" t="s">
        <v>919</v>
      </c>
      <c r="B283" s="145">
        <v>0.1602297</v>
      </c>
      <c r="E283" s="92"/>
    </row>
    <row r="284" spans="1:5">
      <c r="A284" s="144" t="s">
        <v>920</v>
      </c>
      <c r="B284" s="145">
        <v>2.9655000000000001E-2</v>
      </c>
      <c r="E284" s="92"/>
    </row>
    <row r="285" spans="1:5">
      <c r="A285" s="144" t="s">
        <v>921</v>
      </c>
      <c r="B285" s="145">
        <v>1.4409139</v>
      </c>
      <c r="E285" s="92"/>
    </row>
    <row r="286" spans="1:5">
      <c r="A286" s="144" t="s">
        <v>922</v>
      </c>
      <c r="B286" s="145">
        <v>0.1602297</v>
      </c>
      <c r="E286" s="92"/>
    </row>
    <row r="287" spans="1:5">
      <c r="A287" s="144" t="s">
        <v>923</v>
      </c>
      <c r="B287" s="145">
        <v>0.2029791</v>
      </c>
      <c r="E287" s="92"/>
    </row>
    <row r="288" spans="1:5">
      <c r="A288" s="144" t="s">
        <v>924</v>
      </c>
      <c r="B288" s="145">
        <v>4.4808899999999999E-2</v>
      </c>
      <c r="E288" s="92"/>
    </row>
    <row r="289" spans="1:5">
      <c r="A289" s="144" t="s">
        <v>925</v>
      </c>
      <c r="B289" s="145">
        <v>0.3644365</v>
      </c>
      <c r="E289" s="92"/>
    </row>
    <row r="290" spans="1:5">
      <c r="A290" s="144" t="s">
        <v>926</v>
      </c>
      <c r="B290" s="145">
        <v>6.9852600000000001E-2</v>
      </c>
      <c r="E290" s="92"/>
    </row>
    <row r="291" spans="1:5">
      <c r="A291" s="120"/>
      <c r="B291" s="139"/>
      <c r="E291" s="92"/>
    </row>
    <row r="292" spans="1:5">
      <c r="A292" s="126" t="s">
        <v>444</v>
      </c>
      <c r="B292" s="104">
        <v>5.2485255999999998</v>
      </c>
      <c r="E292" s="92"/>
    </row>
    <row r="293" spans="1:5">
      <c r="A293" s="144" t="s">
        <v>927</v>
      </c>
      <c r="B293" s="145">
        <v>5.2081199999999994E-2</v>
      </c>
      <c r="E293" s="92"/>
    </row>
    <row r="294" spans="1:5">
      <c r="A294" s="144" t="s">
        <v>928</v>
      </c>
      <c r="B294" s="145">
        <v>0.1843022</v>
      </c>
      <c r="E294" s="92"/>
    </row>
    <row r="295" spans="1:5">
      <c r="A295" s="144" t="s">
        <v>929</v>
      </c>
      <c r="B295" s="145">
        <v>0.19722720000000002</v>
      </c>
      <c r="E295" s="92"/>
    </row>
    <row r="296" spans="1:5">
      <c r="A296" s="144" t="s">
        <v>930</v>
      </c>
      <c r="B296" s="145">
        <v>0.78617989999999993</v>
      </c>
      <c r="E296" s="92"/>
    </row>
    <row r="297" spans="1:5">
      <c r="A297" s="144" t="s">
        <v>931</v>
      </c>
      <c r="B297" s="145">
        <v>0.18801779999999998</v>
      </c>
      <c r="E297" s="92"/>
    </row>
    <row r="298" spans="1:5">
      <c r="A298" s="144" t="s">
        <v>932</v>
      </c>
      <c r="B298" s="145">
        <v>0.43165699999999996</v>
      </c>
      <c r="E298" s="92"/>
    </row>
    <row r="299" spans="1:5">
      <c r="A299" s="144" t="s">
        <v>933</v>
      </c>
      <c r="B299" s="145">
        <v>4.8548900000000006E-2</v>
      </c>
      <c r="E299" s="92"/>
    </row>
    <row r="300" spans="1:5">
      <c r="A300" s="144" t="s">
        <v>934</v>
      </c>
      <c r="B300" s="145">
        <v>0.4169697</v>
      </c>
      <c r="E300" s="92"/>
    </row>
    <row r="301" spans="1:5">
      <c r="A301" s="144" t="s">
        <v>935</v>
      </c>
      <c r="B301" s="145">
        <v>0.15362780000000001</v>
      </c>
      <c r="E301" s="92"/>
    </row>
    <row r="302" spans="1:5">
      <c r="A302" s="144" t="s">
        <v>936</v>
      </c>
      <c r="B302" s="145">
        <v>0.22623169999999998</v>
      </c>
      <c r="E302" s="92"/>
    </row>
    <row r="303" spans="1:5">
      <c r="A303" s="144" t="s">
        <v>937</v>
      </c>
      <c r="B303" s="145">
        <v>0.39779869999999995</v>
      </c>
      <c r="E303" s="92"/>
    </row>
    <row r="304" spans="1:5">
      <c r="A304" s="144" t="s">
        <v>938</v>
      </c>
      <c r="B304" s="145">
        <v>0.68528469999999997</v>
      </c>
      <c r="E304" s="92"/>
    </row>
    <row r="305" spans="1:5">
      <c r="A305" s="144" t="s">
        <v>939</v>
      </c>
      <c r="B305" s="145">
        <v>0.46516300000000005</v>
      </c>
      <c r="E305" s="92"/>
    </row>
    <row r="306" spans="1:5">
      <c r="A306" s="144" t="s">
        <v>940</v>
      </c>
      <c r="B306" s="145">
        <v>0.53221099999999999</v>
      </c>
      <c r="E306" s="92"/>
    </row>
    <row r="307" spans="1:5">
      <c r="A307" s="144" t="s">
        <v>941</v>
      </c>
      <c r="B307" s="145">
        <v>6.9112000000000002E-3</v>
      </c>
      <c r="E307" s="92"/>
    </row>
    <row r="308" spans="1:5">
      <c r="A308" s="144" t="s">
        <v>942</v>
      </c>
      <c r="B308" s="145">
        <v>0.17259860000000002</v>
      </c>
      <c r="E308" s="92"/>
    </row>
    <row r="309" spans="1:5">
      <c r="A309" s="144" t="s">
        <v>943</v>
      </c>
      <c r="B309" s="145">
        <v>0.30371500000000001</v>
      </c>
      <c r="E309" s="92"/>
    </row>
    <row r="310" spans="1:5">
      <c r="A310" s="120"/>
      <c r="B310" s="139"/>
      <c r="E310" s="92"/>
    </row>
    <row r="311" spans="1:5">
      <c r="A311" s="126" t="s">
        <v>625</v>
      </c>
      <c r="B311" s="104">
        <v>6.1234878999999998</v>
      </c>
      <c r="E311" s="92"/>
    </row>
    <row r="312" spans="1:5">
      <c r="A312" s="144" t="s">
        <v>944</v>
      </c>
      <c r="B312" s="145">
        <v>5.7747699999999999E-2</v>
      </c>
      <c r="E312" s="92"/>
    </row>
    <row r="313" spans="1:5">
      <c r="A313" s="144" t="s">
        <v>945</v>
      </c>
      <c r="B313" s="145">
        <v>0.10581270000000001</v>
      </c>
      <c r="E313" s="92"/>
    </row>
    <row r="314" spans="1:5">
      <c r="A314" s="144" t="s">
        <v>946</v>
      </c>
      <c r="B314" s="145">
        <v>0.10918639999999999</v>
      </c>
      <c r="E314" s="92"/>
    </row>
    <row r="315" spans="1:5">
      <c r="A315" s="144" t="s">
        <v>947</v>
      </c>
      <c r="B315" s="145">
        <v>8.8484999999999994E-2</v>
      </c>
      <c r="E315" s="92"/>
    </row>
    <row r="316" spans="1:5">
      <c r="A316" s="144" t="s">
        <v>948</v>
      </c>
      <c r="B316" s="145">
        <v>7.3846200000000001E-2</v>
      </c>
      <c r="E316" s="92"/>
    </row>
    <row r="317" spans="1:5">
      <c r="A317" s="144" t="s">
        <v>949</v>
      </c>
      <c r="B317" s="145">
        <v>8.8484999999999994E-2</v>
      </c>
      <c r="E317" s="92"/>
    </row>
    <row r="318" spans="1:5">
      <c r="A318" s="144" t="s">
        <v>950</v>
      </c>
      <c r="B318" s="145">
        <v>0.29355380000000003</v>
      </c>
      <c r="E318" s="92"/>
    </row>
    <row r="319" spans="1:5">
      <c r="A319" s="144" t="s">
        <v>951</v>
      </c>
      <c r="B319" s="145">
        <v>9.9494800000000008E-2</v>
      </c>
      <c r="E319" s="92"/>
    </row>
    <row r="320" spans="1:5">
      <c r="A320" s="144" t="s">
        <v>952</v>
      </c>
      <c r="B320" s="145">
        <v>0.70036670000000001</v>
      </c>
      <c r="E320" s="92"/>
    </row>
    <row r="321" spans="1:5">
      <c r="A321" s="144" t="s">
        <v>953</v>
      </c>
      <c r="B321" s="145">
        <v>8.8484999999999994E-2</v>
      </c>
      <c r="E321" s="92"/>
    </row>
    <row r="322" spans="1:5">
      <c r="A322" s="144" t="s">
        <v>954</v>
      </c>
      <c r="B322" s="145">
        <v>8.8484999999999994E-2</v>
      </c>
      <c r="E322" s="92"/>
    </row>
    <row r="323" spans="1:5">
      <c r="A323" s="144" t="s">
        <v>955</v>
      </c>
      <c r="B323" s="145">
        <v>3.8285899999999998E-2</v>
      </c>
      <c r="E323" s="92"/>
    </row>
    <row r="324" spans="1:5">
      <c r="A324" s="144" t="s">
        <v>956</v>
      </c>
      <c r="B324" s="145">
        <v>0.22295190000000001</v>
      </c>
      <c r="E324" s="92"/>
    </row>
    <row r="325" spans="1:5">
      <c r="A325" s="144" t="s">
        <v>957</v>
      </c>
      <c r="B325" s="145">
        <v>0.1916041</v>
      </c>
      <c r="E325" s="92"/>
    </row>
    <row r="326" spans="1:5">
      <c r="A326" s="144" t="s">
        <v>958</v>
      </c>
      <c r="B326" s="145">
        <v>0.25075840000000005</v>
      </c>
      <c r="E326" s="92"/>
    </row>
    <row r="327" spans="1:5">
      <c r="A327" s="144" t="s">
        <v>959</v>
      </c>
      <c r="B327" s="145">
        <v>0.42550690000000002</v>
      </c>
      <c r="E327" s="92"/>
    </row>
    <row r="328" spans="1:5">
      <c r="A328" s="144" t="s">
        <v>960</v>
      </c>
      <c r="B328" s="145">
        <v>8.8484999999999994E-2</v>
      </c>
      <c r="E328" s="92"/>
    </row>
    <row r="329" spans="1:5">
      <c r="A329" s="144" t="s">
        <v>961</v>
      </c>
      <c r="B329" s="145">
        <v>0.21332519999999999</v>
      </c>
      <c r="E329" s="92"/>
    </row>
    <row r="330" spans="1:5">
      <c r="A330" s="144" t="s">
        <v>962</v>
      </c>
      <c r="B330" s="145">
        <v>8.8484999999999994E-2</v>
      </c>
      <c r="E330" s="92"/>
    </row>
    <row r="331" spans="1:5">
      <c r="A331" s="144" t="s">
        <v>963</v>
      </c>
      <c r="B331" s="145">
        <v>8.8484999999999994E-2</v>
      </c>
      <c r="E331" s="92"/>
    </row>
    <row r="332" spans="1:5">
      <c r="A332" s="144" t="s">
        <v>964</v>
      </c>
      <c r="B332" s="145">
        <v>0.16981599999999999</v>
      </c>
      <c r="E332" s="92"/>
    </row>
    <row r="333" spans="1:5">
      <c r="A333" s="144" t="s">
        <v>965</v>
      </c>
      <c r="B333" s="145">
        <v>0.13704669999999999</v>
      </c>
      <c r="E333" s="92"/>
    </row>
    <row r="334" spans="1:5">
      <c r="A334" s="144" t="s">
        <v>966</v>
      </c>
      <c r="B334" s="145">
        <v>8.8484999999999994E-2</v>
      </c>
      <c r="E334" s="92"/>
    </row>
    <row r="335" spans="1:5">
      <c r="A335" s="144" t="s">
        <v>967</v>
      </c>
      <c r="B335" s="145">
        <v>0.3771061</v>
      </c>
      <c r="E335" s="92"/>
    </row>
    <row r="336" spans="1:5">
      <c r="A336" s="144" t="s">
        <v>968</v>
      </c>
      <c r="B336" s="145">
        <v>9.6315799999999993E-2</v>
      </c>
      <c r="E336" s="92"/>
    </row>
    <row r="337" spans="1:5">
      <c r="A337" s="144" t="s">
        <v>969</v>
      </c>
      <c r="B337" s="145">
        <v>4.4316899999999999E-2</v>
      </c>
      <c r="E337" s="92"/>
    </row>
    <row r="338" spans="1:5">
      <c r="A338" s="144" t="s">
        <v>970</v>
      </c>
      <c r="B338" s="145">
        <v>7.6251899999999997E-2</v>
      </c>
      <c r="E338" s="92"/>
    </row>
    <row r="339" spans="1:5">
      <c r="A339" s="144" t="s">
        <v>971</v>
      </c>
      <c r="B339" s="145">
        <v>0.11849910000000001</v>
      </c>
      <c r="E339" s="92"/>
    </row>
    <row r="340" spans="1:5">
      <c r="A340" s="144" t="s">
        <v>972</v>
      </c>
      <c r="B340" s="145">
        <v>0.48601529999999998</v>
      </c>
      <c r="E340" s="92"/>
    </row>
    <row r="341" spans="1:5">
      <c r="A341" s="144" t="s">
        <v>973</v>
      </c>
      <c r="B341" s="145">
        <v>0.61992029999999998</v>
      </c>
      <c r="E341" s="92"/>
    </row>
    <row r="342" spans="1:5">
      <c r="A342" s="144" t="s">
        <v>974</v>
      </c>
      <c r="B342" s="145">
        <v>0.50787910000000003</v>
      </c>
      <c r="E342" s="92"/>
    </row>
    <row r="343" spans="1:5">
      <c r="A343" s="120"/>
      <c r="B343" s="139"/>
      <c r="E343" s="92"/>
    </row>
    <row r="344" spans="1:5">
      <c r="A344" s="126" t="s">
        <v>634</v>
      </c>
      <c r="B344" s="104">
        <v>0.3641334</v>
      </c>
      <c r="E344" s="92"/>
    </row>
    <row r="345" spans="1:5">
      <c r="A345" s="144" t="s">
        <v>975</v>
      </c>
      <c r="B345" s="145">
        <v>0.3641334</v>
      </c>
      <c r="E345" s="92"/>
    </row>
    <row r="346" spans="1:5">
      <c r="A346" s="120"/>
      <c r="B346" s="139"/>
      <c r="E346" s="92"/>
    </row>
    <row r="347" spans="1:5">
      <c r="A347" s="126" t="s">
        <v>21</v>
      </c>
      <c r="B347" s="104">
        <v>6.7832774999999996</v>
      </c>
      <c r="E347" s="92"/>
    </row>
    <row r="348" spans="1:5">
      <c r="A348" s="144" t="s">
        <v>976</v>
      </c>
      <c r="B348" s="145">
        <v>0.4071689</v>
      </c>
      <c r="E348" s="92"/>
    </row>
    <row r="349" spans="1:5">
      <c r="A349" s="144" t="s">
        <v>977</v>
      </c>
      <c r="B349" s="145">
        <v>1.6245549000000001</v>
      </c>
      <c r="E349" s="92"/>
    </row>
    <row r="350" spans="1:5">
      <c r="A350" s="144" t="s">
        <v>978</v>
      </c>
      <c r="B350" s="145">
        <v>1.9842624</v>
      </c>
      <c r="E350" s="92"/>
    </row>
    <row r="351" spans="1:5">
      <c r="A351" s="144" t="s">
        <v>979</v>
      </c>
      <c r="B351" s="145">
        <v>1.1594564000000001</v>
      </c>
      <c r="E351" s="92"/>
    </row>
    <row r="352" spans="1:5">
      <c r="A352" s="144" t="s">
        <v>980</v>
      </c>
      <c r="B352" s="145">
        <v>5.3707099999999994E-2</v>
      </c>
      <c r="E352" s="92"/>
    </row>
    <row r="353" spans="1:5">
      <c r="A353" s="144" t="s">
        <v>981</v>
      </c>
      <c r="B353" s="145">
        <v>0.25434849999999998</v>
      </c>
      <c r="E353" s="92"/>
    </row>
    <row r="354" spans="1:5">
      <c r="A354" s="144" t="s">
        <v>982</v>
      </c>
      <c r="B354" s="145">
        <v>0.32146420000000003</v>
      </c>
      <c r="E354" s="92"/>
    </row>
    <row r="355" spans="1:5">
      <c r="A355" s="144" t="s">
        <v>983</v>
      </c>
      <c r="B355" s="145">
        <v>0.72780479999999992</v>
      </c>
      <c r="E355" s="92"/>
    </row>
    <row r="356" spans="1:5">
      <c r="A356" s="144" t="s">
        <v>984</v>
      </c>
      <c r="B356" s="145">
        <v>0.12653449999999999</v>
      </c>
      <c r="E356" s="92"/>
    </row>
    <row r="357" spans="1:5">
      <c r="A357" s="144" t="s">
        <v>985</v>
      </c>
      <c r="B357" s="145">
        <v>0.12397580000000001</v>
      </c>
      <c r="E357" s="92"/>
    </row>
    <row r="358" spans="1:5">
      <c r="A358" s="120"/>
      <c r="B358" s="139"/>
      <c r="E358" s="92"/>
    </row>
    <row r="359" spans="1:5">
      <c r="A359" s="126" t="s">
        <v>19</v>
      </c>
      <c r="B359" s="104">
        <v>6.2146302000000002</v>
      </c>
      <c r="E359" s="92"/>
    </row>
    <row r="360" spans="1:5">
      <c r="A360" s="144" t="s">
        <v>986</v>
      </c>
      <c r="B360" s="145">
        <v>0.81728939999999994</v>
      </c>
      <c r="E360" s="92"/>
    </row>
    <row r="361" spans="1:5">
      <c r="A361" s="144" t="s">
        <v>987</v>
      </c>
      <c r="B361" s="145">
        <v>0.6917432</v>
      </c>
      <c r="E361" s="92"/>
    </row>
    <row r="362" spans="1:5">
      <c r="A362" s="144" t="s">
        <v>988</v>
      </c>
      <c r="B362" s="145">
        <v>0.50745770000000001</v>
      </c>
      <c r="E362" s="92"/>
    </row>
    <row r="363" spans="1:5">
      <c r="A363" s="144" t="s">
        <v>989</v>
      </c>
      <c r="B363" s="145">
        <v>3.3908195000000001</v>
      </c>
      <c r="E363" s="92"/>
    </row>
    <row r="364" spans="1:5">
      <c r="A364" s="144" t="s">
        <v>990</v>
      </c>
      <c r="B364" s="145">
        <v>0.80732040000000005</v>
      </c>
      <c r="E364" s="92"/>
    </row>
    <row r="365" spans="1:5">
      <c r="A365" s="120"/>
      <c r="B365" s="139"/>
      <c r="E365" s="92"/>
    </row>
    <row r="366" spans="1:5">
      <c r="A366" s="126" t="s">
        <v>29</v>
      </c>
      <c r="B366" s="104">
        <v>4.3741105999999998</v>
      </c>
      <c r="E366" s="92"/>
    </row>
    <row r="367" spans="1:5">
      <c r="A367" s="144" t="s">
        <v>991</v>
      </c>
      <c r="B367" s="145">
        <v>0.15033080000000001</v>
      </c>
      <c r="E367" s="92"/>
    </row>
    <row r="368" spans="1:5">
      <c r="A368" s="144" t="s">
        <v>992</v>
      </c>
      <c r="B368" s="145">
        <v>0.77329150000000002</v>
      </c>
      <c r="E368" s="92"/>
    </row>
    <row r="369" spans="1:5">
      <c r="A369" s="144" t="s">
        <v>993</v>
      </c>
      <c r="B369" s="145">
        <v>0.39260600000000001</v>
      </c>
      <c r="E369" s="92"/>
    </row>
    <row r="370" spans="1:5">
      <c r="A370" s="144" t="s">
        <v>994</v>
      </c>
      <c r="B370" s="145">
        <v>4.4613699999999999E-2</v>
      </c>
      <c r="E370" s="92"/>
    </row>
    <row r="371" spans="1:5">
      <c r="A371" s="144" t="s">
        <v>995</v>
      </c>
      <c r="B371" s="145">
        <v>4.1951800000000004E-2</v>
      </c>
      <c r="E371" s="92"/>
    </row>
    <row r="372" spans="1:5">
      <c r="A372" s="144" t="s">
        <v>996</v>
      </c>
      <c r="B372" s="145">
        <v>2.9713168000000003</v>
      </c>
      <c r="E372" s="92"/>
    </row>
    <row r="373" spans="1:5">
      <c r="A373" s="120"/>
      <c r="B373" s="139"/>
      <c r="E373" s="92"/>
    </row>
    <row r="374" spans="1:5">
      <c r="A374" s="126" t="s">
        <v>648</v>
      </c>
      <c r="B374" s="104">
        <v>7.3851477999999995</v>
      </c>
      <c r="E374" s="92"/>
    </row>
    <row r="375" spans="1:5">
      <c r="A375" s="131" t="s">
        <v>997</v>
      </c>
      <c r="B375" s="145">
        <v>6.1622000000000003E-2</v>
      </c>
      <c r="E375" s="92"/>
    </row>
    <row r="376" spans="1:5">
      <c r="A376" s="131" t="s">
        <v>998</v>
      </c>
      <c r="B376" s="145">
        <v>0.44334379999999995</v>
      </c>
      <c r="E376" s="92"/>
    </row>
    <row r="377" spans="1:5">
      <c r="A377" s="131" t="s">
        <v>999</v>
      </c>
      <c r="B377" s="145">
        <v>6.8330799999999997E-2</v>
      </c>
      <c r="E377" s="92"/>
    </row>
    <row r="378" spans="1:5">
      <c r="A378" s="144" t="s">
        <v>1000</v>
      </c>
      <c r="B378" s="145">
        <v>2.6668685999999999</v>
      </c>
      <c r="E378" s="92"/>
    </row>
    <row r="379" spans="1:5">
      <c r="A379" s="144" t="s">
        <v>1001</v>
      </c>
      <c r="B379" s="145">
        <v>7.3335299999999992E-2</v>
      </c>
      <c r="E379" s="92"/>
    </row>
    <row r="380" spans="1:5">
      <c r="A380" s="144" t="s">
        <v>1002</v>
      </c>
      <c r="B380" s="145">
        <v>0.1043229</v>
      </c>
      <c r="E380" s="92"/>
    </row>
    <row r="381" spans="1:5">
      <c r="A381" s="131" t="s">
        <v>1003</v>
      </c>
      <c r="B381" s="145">
        <v>0.4305504</v>
      </c>
      <c r="E381" s="92"/>
    </row>
    <row r="382" spans="1:5">
      <c r="A382" s="131" t="s">
        <v>1004</v>
      </c>
      <c r="B382" s="145">
        <v>0.1615134</v>
      </c>
      <c r="E382" s="92"/>
    </row>
    <row r="383" spans="1:5">
      <c r="A383" s="144" t="s">
        <v>1005</v>
      </c>
      <c r="B383" s="145">
        <v>1.7834223999999999</v>
      </c>
      <c r="E383" s="92"/>
    </row>
    <row r="384" spans="1:5">
      <c r="A384" s="131" t="s">
        <v>1006</v>
      </c>
      <c r="B384" s="145">
        <v>1.0968758999999999</v>
      </c>
      <c r="E384" s="92"/>
    </row>
    <row r="385" spans="1:5">
      <c r="A385" s="131" t="s">
        <v>1007</v>
      </c>
      <c r="B385" s="145">
        <v>0.22000650000000002</v>
      </c>
      <c r="E385" s="92"/>
    </row>
    <row r="386" spans="1:5">
      <c r="A386" s="144" t="s">
        <v>1008</v>
      </c>
      <c r="B386" s="145">
        <v>0.27495580000000003</v>
      </c>
      <c r="E386" s="92"/>
    </row>
    <row r="387" spans="1:5">
      <c r="A387" s="17"/>
      <c r="B387" s="146"/>
      <c r="E387" s="92"/>
    </row>
    <row r="388" spans="1:5">
      <c r="A388" s="19"/>
      <c r="B388" s="141"/>
      <c r="C388" s="143"/>
      <c r="E388" s="92"/>
    </row>
    <row r="389" spans="1:5">
      <c r="E389" s="92"/>
    </row>
    <row r="390" spans="1:5">
      <c r="A390" s="19"/>
      <c r="E390" s="92"/>
    </row>
    <row r="391" spans="1:5">
      <c r="A391" s="19" t="s">
        <v>1009</v>
      </c>
      <c r="E391" s="92"/>
    </row>
    <row r="392" spans="1:5">
      <c r="E392" s="92"/>
    </row>
    <row r="393" spans="1:5">
      <c r="E393" s="92"/>
    </row>
    <row r="394" spans="1:5">
      <c r="E394" s="92"/>
    </row>
    <row r="395" spans="1:5">
      <c r="E395" s="92"/>
    </row>
    <row r="396" spans="1:5">
      <c r="E396" s="92"/>
    </row>
    <row r="397" spans="1:5">
      <c r="E397" s="92"/>
    </row>
    <row r="398" spans="1:5">
      <c r="E398" s="92"/>
    </row>
    <row r="399" spans="1:5">
      <c r="E399" s="92"/>
    </row>
    <row r="400" spans="1:5">
      <c r="E400" s="92"/>
    </row>
    <row r="401" spans="5:5">
      <c r="E401" s="92"/>
    </row>
    <row r="402" spans="5:5">
      <c r="E402" s="92"/>
    </row>
    <row r="403" spans="5:5">
      <c r="E403" s="92"/>
    </row>
    <row r="404" spans="5:5">
      <c r="E404" s="92"/>
    </row>
    <row r="405" spans="5:5">
      <c r="E405" s="92"/>
    </row>
    <row r="406" spans="5:5">
      <c r="E406" s="92"/>
    </row>
    <row r="407" spans="5:5">
      <c r="E407" s="92"/>
    </row>
    <row r="408" spans="5:5">
      <c r="E408" s="92"/>
    </row>
    <row r="409" spans="5:5">
      <c r="E409" s="92"/>
    </row>
    <row r="410" spans="5:5">
      <c r="E410" s="92"/>
    </row>
    <row r="411" spans="5:5">
      <c r="E411" s="92"/>
    </row>
  </sheetData>
  <mergeCells count="3">
    <mergeCell ref="A1:B1"/>
    <mergeCell ref="A2:B2"/>
    <mergeCell ref="A3:B3"/>
  </mergeCells>
  <hyperlinks>
    <hyperlink ref="A388" location="'indice cap.4'!A1" display="regresar al índice"/>
    <hyperlink ref="A391" location="'indice cap.4'!A1" display="regresar al índice"/>
  </hyperlinks>
  <printOptions horizontalCentered="1"/>
  <pageMargins left="0.70866141732283472" right="0.70866141732283472" top="0.35433070866141736" bottom="0.35433070866141736" header="0.31496062992125984" footer="0.31496062992125984"/>
  <pageSetup paperSize="9" scale="70" orientation="portrait" verticalDpi="599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51"/>
  <sheetViews>
    <sheetView showGridLines="0" workbookViewId="0">
      <selection sqref="A1:B1"/>
    </sheetView>
  </sheetViews>
  <sheetFormatPr baseColWidth="10" defaultRowHeight="12.75"/>
  <cols>
    <col min="1" max="1" width="45.7109375" style="11" customWidth="1"/>
    <col min="2" max="2" width="17.28515625" style="11" customWidth="1"/>
    <col min="3" max="16384" width="11.42578125" style="92"/>
  </cols>
  <sheetData>
    <row r="1" spans="1:2">
      <c r="A1" s="292" t="s">
        <v>1524</v>
      </c>
      <c r="B1" s="292"/>
    </row>
    <row r="2" spans="1:2">
      <c r="A2" s="292" t="s">
        <v>1497</v>
      </c>
      <c r="B2" s="292"/>
    </row>
    <row r="3" spans="1:2">
      <c r="A3" s="335" t="s">
        <v>1299</v>
      </c>
      <c r="B3" s="335"/>
    </row>
    <row r="4" spans="1:2">
      <c r="A4" s="147"/>
    </row>
    <row r="5" spans="1:2">
      <c r="A5" s="126" t="s">
        <v>295</v>
      </c>
      <c r="B5" s="104">
        <v>30.674751483899275</v>
      </c>
    </row>
    <row r="6" spans="1:2">
      <c r="A6" s="118"/>
      <c r="B6" s="139"/>
    </row>
    <row r="7" spans="1:2">
      <c r="A7" s="126" t="s">
        <v>296</v>
      </c>
      <c r="B7" s="104">
        <v>3.9444214830619244</v>
      </c>
    </row>
    <row r="8" spans="1:2">
      <c r="A8" s="144" t="s">
        <v>1028</v>
      </c>
      <c r="B8" s="145">
        <v>1.54674253815909</v>
      </c>
    </row>
    <row r="9" spans="1:2">
      <c r="A9" s="144" t="s">
        <v>710</v>
      </c>
      <c r="B9" s="145">
        <v>7.84284538693759E-2</v>
      </c>
    </row>
    <row r="10" spans="1:2">
      <c r="A10" s="144" t="s">
        <v>1029</v>
      </c>
      <c r="B10" s="145">
        <v>4.9191259268280295E-2</v>
      </c>
    </row>
    <row r="11" spans="1:2">
      <c r="A11" s="144" t="s">
        <v>711</v>
      </c>
      <c r="B11" s="145">
        <v>9.5312935329071299E-2</v>
      </c>
    </row>
    <row r="12" spans="1:2">
      <c r="A12" s="144" t="s">
        <v>713</v>
      </c>
      <c r="B12" s="145">
        <v>0.17875600029512501</v>
      </c>
    </row>
    <row r="13" spans="1:2">
      <c r="A13" s="144" t="s">
        <v>1030</v>
      </c>
      <c r="B13" s="145">
        <v>4.3877345433740604E-2</v>
      </c>
    </row>
    <row r="14" spans="1:2">
      <c r="A14" s="144" t="s">
        <v>714</v>
      </c>
      <c r="B14" s="145">
        <v>7.21598259396522E-2</v>
      </c>
    </row>
    <row r="15" spans="1:2">
      <c r="A15" s="144" t="s">
        <v>717</v>
      </c>
      <c r="B15" s="145">
        <v>1.57796527900869</v>
      </c>
    </row>
    <row r="16" spans="1:2">
      <c r="A16" s="144" t="s">
        <v>1031</v>
      </c>
      <c r="B16" s="145">
        <v>5.3690335787332802E-2</v>
      </c>
    </row>
    <row r="17" spans="1:2">
      <c r="A17" s="144" t="s">
        <v>1032</v>
      </c>
      <c r="B17" s="145">
        <v>1.7813256746245201E-2</v>
      </c>
    </row>
    <row r="18" spans="1:2">
      <c r="A18" s="144" t="s">
        <v>1033</v>
      </c>
      <c r="B18" s="145">
        <v>0.23048425322532198</v>
      </c>
    </row>
    <row r="19" spans="1:2">
      <c r="A19" s="150"/>
      <c r="B19" s="149"/>
    </row>
    <row r="20" spans="1:2">
      <c r="A20" s="126" t="s">
        <v>478</v>
      </c>
      <c r="B20" s="104">
        <v>4.4705202280433802</v>
      </c>
    </row>
    <row r="21" spans="1:2">
      <c r="A21" s="144" t="s">
        <v>1034</v>
      </c>
      <c r="B21" s="145">
        <v>1.0277691349565801</v>
      </c>
    </row>
    <row r="22" spans="1:2">
      <c r="A22" s="144" t="s">
        <v>719</v>
      </c>
      <c r="B22" s="145">
        <v>0.16451896628159599</v>
      </c>
    </row>
    <row r="23" spans="1:2">
      <c r="A23" s="144" t="s">
        <v>1035</v>
      </c>
      <c r="B23" s="145">
        <v>4.05216783974678E-2</v>
      </c>
    </row>
    <row r="24" spans="1:2">
      <c r="A24" s="144" t="s">
        <v>1036</v>
      </c>
      <c r="B24" s="145">
        <v>1.2317997185575301E-2</v>
      </c>
    </row>
    <row r="25" spans="1:2">
      <c r="A25" s="144" t="s">
        <v>720</v>
      </c>
      <c r="B25" s="145">
        <v>0.43132969686195705</v>
      </c>
    </row>
    <row r="26" spans="1:2">
      <c r="A26" s="144" t="s">
        <v>721</v>
      </c>
      <c r="B26" s="145">
        <v>7.2119167448105106E-2</v>
      </c>
    </row>
    <row r="27" spans="1:2">
      <c r="A27" s="144" t="s">
        <v>1037</v>
      </c>
      <c r="B27" s="145">
        <v>8.7353279492398905E-2</v>
      </c>
    </row>
    <row r="28" spans="1:2">
      <c r="A28" s="144" t="s">
        <v>723</v>
      </c>
      <c r="B28" s="145">
        <v>0.119581828308631</v>
      </c>
    </row>
    <row r="29" spans="1:2">
      <c r="A29" s="144" t="s">
        <v>725</v>
      </c>
      <c r="B29" s="145">
        <v>5.9421767509808397E-2</v>
      </c>
    </row>
    <row r="30" spans="1:2">
      <c r="A30" s="144" t="s">
        <v>1038</v>
      </c>
      <c r="B30" s="145">
        <v>8.3883155198125392E-2</v>
      </c>
    </row>
    <row r="31" spans="1:2">
      <c r="A31" s="144" t="s">
        <v>726</v>
      </c>
      <c r="B31" s="145">
        <v>0.12484225855528401</v>
      </c>
    </row>
    <row r="32" spans="1:2">
      <c r="A32" s="144" t="s">
        <v>727</v>
      </c>
      <c r="B32" s="145">
        <v>1.12676857364664</v>
      </c>
    </row>
    <row r="33" spans="1:2">
      <c r="A33" s="144" t="s">
        <v>728</v>
      </c>
      <c r="B33" s="145">
        <v>0.9593698699973211</v>
      </c>
    </row>
    <row r="34" spans="1:2">
      <c r="A34" s="144" t="s">
        <v>1039</v>
      </c>
      <c r="B34" s="145">
        <v>0.10053024231876199</v>
      </c>
    </row>
    <row r="35" spans="1:2">
      <c r="A35" s="144" t="s">
        <v>1040</v>
      </c>
      <c r="B35" s="145">
        <v>6.0192611885128103E-2</v>
      </c>
    </row>
    <row r="36" spans="1:2">
      <c r="A36" s="150"/>
      <c r="B36" s="149"/>
    </row>
    <row r="37" spans="1:2">
      <c r="A37" s="126" t="s">
        <v>304</v>
      </c>
      <c r="B37" s="104">
        <v>1.2598001030626382</v>
      </c>
    </row>
    <row r="38" spans="1:2">
      <c r="A38" s="144" t="s">
        <v>731</v>
      </c>
      <c r="B38" s="145">
        <v>0.35092973368866298</v>
      </c>
    </row>
    <row r="39" spans="1:2">
      <c r="A39" s="144" t="s">
        <v>1041</v>
      </c>
      <c r="B39" s="145">
        <v>0.15369185221902501</v>
      </c>
    </row>
    <row r="40" spans="1:2">
      <c r="A40" s="144" t="s">
        <v>1042</v>
      </c>
      <c r="B40" s="145">
        <v>0.11951221696020201</v>
      </c>
    </row>
    <row r="41" spans="1:2">
      <c r="A41" s="144" t="s">
        <v>1043</v>
      </c>
      <c r="B41" s="145">
        <v>0.58948414101326096</v>
      </c>
    </row>
    <row r="42" spans="1:2">
      <c r="A42" s="144" t="s">
        <v>734</v>
      </c>
      <c r="B42" s="145">
        <v>4.6182159181487499E-2</v>
      </c>
    </row>
    <row r="43" spans="1:2">
      <c r="A43" s="150"/>
      <c r="B43" s="149"/>
    </row>
    <row r="44" spans="1:2">
      <c r="A44" s="126" t="s">
        <v>307</v>
      </c>
      <c r="B44" s="104">
        <v>0.51882108186244269</v>
      </c>
    </row>
    <row r="45" spans="1:2">
      <c r="A45" s="144" t="s">
        <v>735</v>
      </c>
      <c r="B45" s="145">
        <v>0.47040656912257894</v>
      </c>
    </row>
    <row r="46" spans="1:2">
      <c r="A46" s="144" t="s">
        <v>1044</v>
      </c>
      <c r="B46" s="145">
        <v>4.8414512739863698E-2</v>
      </c>
    </row>
    <row r="47" spans="1:2">
      <c r="A47" s="150"/>
      <c r="B47" s="149"/>
    </row>
    <row r="48" spans="1:2">
      <c r="A48" s="126" t="s">
        <v>310</v>
      </c>
      <c r="B48" s="104">
        <v>3.6251444962416577</v>
      </c>
    </row>
    <row r="49" spans="1:2">
      <c r="A49" s="144" t="s">
        <v>736</v>
      </c>
      <c r="B49" s="145">
        <v>0.60671978556399697</v>
      </c>
    </row>
    <row r="50" spans="1:2">
      <c r="A50" s="144" t="s">
        <v>1045</v>
      </c>
      <c r="B50" s="145">
        <v>7.3433371985268895E-3</v>
      </c>
    </row>
    <row r="51" spans="1:2">
      <c r="A51" s="144" t="s">
        <v>1046</v>
      </c>
      <c r="B51" s="145">
        <v>1.1071550381859201</v>
      </c>
    </row>
    <row r="52" spans="1:2">
      <c r="A52" s="144" t="s">
        <v>1047</v>
      </c>
      <c r="B52" s="145">
        <v>0.26666060844386802</v>
      </c>
    </row>
    <row r="53" spans="1:2">
      <c r="A53" s="144" t="s">
        <v>737</v>
      </c>
      <c r="B53" s="145">
        <v>5.59971245041197E-2</v>
      </c>
    </row>
    <row r="54" spans="1:2">
      <c r="A54" s="144" t="s">
        <v>1048</v>
      </c>
      <c r="B54" s="145">
        <v>0.184323005439852</v>
      </c>
    </row>
    <row r="55" spans="1:2">
      <c r="A55" s="144" t="s">
        <v>739</v>
      </c>
      <c r="B55" s="145">
        <v>7.13209031157888E-2</v>
      </c>
    </row>
    <row r="56" spans="1:2">
      <c r="A56" s="144" t="s">
        <v>1049</v>
      </c>
      <c r="B56" s="145">
        <v>1.9965760521596102E-2</v>
      </c>
    </row>
    <row r="57" spans="1:2">
      <c r="A57" s="144" t="s">
        <v>1050</v>
      </c>
      <c r="B57" s="145">
        <v>3.72752256372463E-2</v>
      </c>
    </row>
    <row r="58" spans="1:2">
      <c r="A58" s="144" t="s">
        <v>1051</v>
      </c>
      <c r="B58" s="145">
        <v>0.213280361129046</v>
      </c>
    </row>
    <row r="59" spans="1:2">
      <c r="A59" s="144" t="s">
        <v>741</v>
      </c>
      <c r="B59" s="145">
        <v>0.67559439393101106</v>
      </c>
    </row>
    <row r="60" spans="1:2">
      <c r="A60" s="144" t="s">
        <v>742</v>
      </c>
      <c r="B60" s="145">
        <v>0.37950895257068601</v>
      </c>
    </row>
    <row r="61" spans="1:2">
      <c r="A61" s="150"/>
      <c r="B61" s="149"/>
    </row>
    <row r="62" spans="1:2">
      <c r="A62" s="126" t="s">
        <v>314</v>
      </c>
      <c r="B62" s="104">
        <v>1.6615406812948603</v>
      </c>
    </row>
    <row r="63" spans="1:2">
      <c r="A63" s="144" t="s">
        <v>743</v>
      </c>
      <c r="B63" s="145">
        <v>8.3794301098535889E-2</v>
      </c>
    </row>
    <row r="64" spans="1:2">
      <c r="A64" s="144" t="s">
        <v>1052</v>
      </c>
      <c r="B64" s="145">
        <v>1.8725420965400398E-2</v>
      </c>
    </row>
    <row r="65" spans="1:2">
      <c r="A65" s="144" t="s">
        <v>744</v>
      </c>
      <c r="B65" s="145">
        <v>9.2489571403066198E-2</v>
      </c>
    </row>
    <row r="66" spans="1:2">
      <c r="A66" s="144" t="s">
        <v>745</v>
      </c>
      <c r="B66" s="145">
        <v>6.6206978863456598E-2</v>
      </c>
    </row>
    <row r="67" spans="1:2">
      <c r="A67" s="144" t="s">
        <v>746</v>
      </c>
      <c r="B67" s="145">
        <v>8.9191647620136399E-2</v>
      </c>
    </row>
    <row r="68" spans="1:2">
      <c r="A68" s="144" t="s">
        <v>747</v>
      </c>
      <c r="B68" s="145">
        <v>0.29162216580567396</v>
      </c>
    </row>
    <row r="69" spans="1:2">
      <c r="A69" s="144" t="s">
        <v>1053</v>
      </c>
      <c r="B69" s="145">
        <v>0.17354080879848299</v>
      </c>
    </row>
    <row r="70" spans="1:2">
      <c r="A70" s="144" t="s">
        <v>749</v>
      </c>
      <c r="B70" s="145">
        <v>4.0501375523729802E-2</v>
      </c>
    </row>
    <row r="71" spans="1:2">
      <c r="A71" s="144" t="s">
        <v>750</v>
      </c>
      <c r="B71" s="145">
        <v>3.8073526336638699E-2</v>
      </c>
    </row>
    <row r="72" spans="1:2">
      <c r="A72" s="144" t="s">
        <v>751</v>
      </c>
      <c r="B72" s="145">
        <v>8.8153123276615106E-2</v>
      </c>
    </row>
    <row r="73" spans="1:2">
      <c r="A73" s="144" t="s">
        <v>752</v>
      </c>
      <c r="B73" s="145">
        <v>0.115789871342693</v>
      </c>
    </row>
    <row r="74" spans="1:2">
      <c r="A74" s="144" t="s">
        <v>753</v>
      </c>
      <c r="B74" s="145">
        <v>4.8619037076453098E-2</v>
      </c>
    </row>
    <row r="75" spans="1:2">
      <c r="A75" s="144" t="s">
        <v>1054</v>
      </c>
      <c r="B75" s="145">
        <v>5.0305448606790204E-2</v>
      </c>
    </row>
    <row r="76" spans="1:2">
      <c r="A76" s="144" t="s">
        <v>754</v>
      </c>
      <c r="B76" s="145">
        <v>0.136650548250942</v>
      </c>
    </row>
    <row r="77" spans="1:2">
      <c r="A77" s="144" t="s">
        <v>755</v>
      </c>
      <c r="B77" s="145">
        <v>0.32787685632624602</v>
      </c>
    </row>
    <row r="78" spans="1:2">
      <c r="A78" s="147"/>
      <c r="B78" s="148"/>
    </row>
    <row r="79" spans="1:2">
      <c r="A79" s="126" t="s">
        <v>324</v>
      </c>
      <c r="B79" s="104">
        <v>0.77852361527580816</v>
      </c>
    </row>
    <row r="80" spans="1:2">
      <c r="A80" s="144" t="s">
        <v>756</v>
      </c>
      <c r="B80" s="145">
        <v>2.9580333934887803E-2</v>
      </c>
    </row>
    <row r="81" spans="1:2">
      <c r="A81" s="144" t="s">
        <v>1055</v>
      </c>
      <c r="B81" s="145">
        <v>0.46369722117513296</v>
      </c>
    </row>
    <row r="82" spans="1:2">
      <c r="A82" s="144" t="s">
        <v>758</v>
      </c>
      <c r="B82" s="145">
        <v>2.9187187931257297E-2</v>
      </c>
    </row>
    <row r="83" spans="1:2">
      <c r="A83" s="144" t="s">
        <v>1056</v>
      </c>
      <c r="B83" s="145">
        <v>0.125385943581276</v>
      </c>
    </row>
    <row r="84" spans="1:2">
      <c r="A84" s="144" t="s">
        <v>760</v>
      </c>
      <c r="B84" s="145">
        <v>0.130672928653254</v>
      </c>
    </row>
    <row r="85" spans="1:2">
      <c r="A85" s="150"/>
      <c r="B85" s="149"/>
    </row>
    <row r="86" spans="1:2">
      <c r="A86" s="126" t="s">
        <v>326</v>
      </c>
      <c r="B86" s="104">
        <v>0.37504914800673578</v>
      </c>
    </row>
    <row r="87" spans="1:2">
      <c r="A87" s="144" t="s">
        <v>1057</v>
      </c>
      <c r="B87" s="145">
        <v>1.13006906380013E-2</v>
      </c>
    </row>
    <row r="88" spans="1:2">
      <c r="A88" s="144" t="s">
        <v>761</v>
      </c>
      <c r="B88" s="145">
        <v>5.2416044695720893E-2</v>
      </c>
    </row>
    <row r="89" spans="1:2">
      <c r="A89" s="144" t="s">
        <v>1058</v>
      </c>
      <c r="B89" s="145">
        <v>8.0171974785470002E-2</v>
      </c>
    </row>
    <row r="90" spans="1:2">
      <c r="A90" s="144" t="s">
        <v>763</v>
      </c>
      <c r="B90" s="145">
        <v>0.10779020396382999</v>
      </c>
    </row>
    <row r="91" spans="1:2">
      <c r="A91" s="144" t="s">
        <v>1059</v>
      </c>
      <c r="B91" s="145">
        <v>4.5650883954415702E-2</v>
      </c>
    </row>
    <row r="92" spans="1:2">
      <c r="A92" s="144" t="s">
        <v>1060</v>
      </c>
      <c r="B92" s="145">
        <v>1.4412231081332902E-2</v>
      </c>
    </row>
    <row r="93" spans="1:2">
      <c r="A93" s="144" t="s">
        <v>1061</v>
      </c>
      <c r="B93" s="145">
        <v>6.3307118887965003E-2</v>
      </c>
    </row>
    <row r="94" spans="1:2">
      <c r="A94" s="150"/>
      <c r="B94" s="149"/>
    </row>
    <row r="95" spans="1:2">
      <c r="A95" s="126" t="s">
        <v>330</v>
      </c>
      <c r="B95" s="104">
        <v>2.0930293848077057</v>
      </c>
    </row>
    <row r="96" spans="1:2">
      <c r="A96" s="144" t="s">
        <v>764</v>
      </c>
      <c r="B96" s="145">
        <v>6.3729623651248693E-2</v>
      </c>
    </row>
    <row r="97" spans="1:2">
      <c r="A97" s="144" t="s">
        <v>1062</v>
      </c>
      <c r="B97" s="145">
        <v>0.11439472484638299</v>
      </c>
    </row>
    <row r="98" spans="1:2">
      <c r="A98" s="144" t="s">
        <v>1063</v>
      </c>
      <c r="B98" s="145">
        <v>6.9052834531277696E-2</v>
      </c>
    </row>
    <row r="99" spans="1:2">
      <c r="A99" s="144" t="s">
        <v>1064</v>
      </c>
      <c r="B99" s="145">
        <v>4.36747386149271E-2</v>
      </c>
    </row>
    <row r="100" spans="1:2">
      <c r="A100" s="144" t="s">
        <v>766</v>
      </c>
      <c r="B100" s="145">
        <v>0.14482269361045499</v>
      </c>
    </row>
    <row r="101" spans="1:2">
      <c r="A101" s="144" t="s">
        <v>767</v>
      </c>
      <c r="B101" s="145">
        <v>8.1960177035128298E-2</v>
      </c>
    </row>
    <row r="102" spans="1:2">
      <c r="A102" s="144" t="s">
        <v>768</v>
      </c>
      <c r="B102" s="145">
        <v>0.20423183681998699</v>
      </c>
    </row>
    <row r="103" spans="1:2">
      <c r="A103" s="144" t="s">
        <v>1065</v>
      </c>
      <c r="B103" s="145">
        <v>3.7103677290301396E-2</v>
      </c>
    </row>
    <row r="104" spans="1:2">
      <c r="A104" s="144" t="s">
        <v>770</v>
      </c>
      <c r="B104" s="145">
        <v>5.68106915184039E-2</v>
      </c>
    </row>
    <row r="105" spans="1:2">
      <c r="A105" s="144" t="s">
        <v>771</v>
      </c>
      <c r="B105" s="145">
        <v>6.7395023219196604E-2</v>
      </c>
    </row>
    <row r="106" spans="1:2">
      <c r="A106" s="144" t="s">
        <v>772</v>
      </c>
      <c r="B106" s="145">
        <v>0.21047335538634798</v>
      </c>
    </row>
    <row r="107" spans="1:2">
      <c r="A107" s="144" t="s">
        <v>773</v>
      </c>
      <c r="B107" s="145">
        <v>6.7231375606220597E-2</v>
      </c>
    </row>
    <row r="108" spans="1:2">
      <c r="A108" s="144" t="s">
        <v>774</v>
      </c>
      <c r="B108" s="145">
        <v>0.11695647887264499</v>
      </c>
    </row>
    <row r="109" spans="1:2">
      <c r="A109" s="144" t="s">
        <v>775</v>
      </c>
      <c r="B109" s="145">
        <v>7.7383115496787697E-2</v>
      </c>
    </row>
    <row r="110" spans="1:2">
      <c r="A110" s="144" t="s">
        <v>776</v>
      </c>
      <c r="B110" s="145">
        <v>8.4276782208167603E-2</v>
      </c>
    </row>
    <row r="111" spans="1:2">
      <c r="A111" s="144" t="s">
        <v>777</v>
      </c>
      <c r="B111" s="145">
        <v>0.28954660347183797</v>
      </c>
    </row>
    <row r="112" spans="1:2">
      <c r="A112" s="144" t="s">
        <v>1066</v>
      </c>
      <c r="B112" s="145">
        <v>6.3411729592145194E-2</v>
      </c>
    </row>
    <row r="113" spans="1:2">
      <c r="A113" s="144" t="s">
        <v>779</v>
      </c>
      <c r="B113" s="145">
        <v>0.18879790687679301</v>
      </c>
    </row>
    <row r="114" spans="1:2">
      <c r="A114" s="144" t="s">
        <v>1067</v>
      </c>
      <c r="B114" s="145">
        <v>0.11177601615945201</v>
      </c>
    </row>
    <row r="115" spans="1:2">
      <c r="A115" s="150"/>
      <c r="B115" s="149"/>
    </row>
    <row r="116" spans="1:2">
      <c r="A116" s="126" t="s">
        <v>507</v>
      </c>
      <c r="B116" s="104">
        <v>0.34375129370560503</v>
      </c>
    </row>
    <row r="117" spans="1:2">
      <c r="A117" s="144" t="s">
        <v>782</v>
      </c>
      <c r="B117" s="145">
        <v>0.34375129370560503</v>
      </c>
    </row>
    <row r="118" spans="1:2">
      <c r="A118" s="150"/>
      <c r="B118" s="149"/>
    </row>
    <row r="119" spans="1:2">
      <c r="A119" s="126" t="s">
        <v>338</v>
      </c>
      <c r="B119" s="104">
        <v>1.5201715547755035</v>
      </c>
    </row>
    <row r="120" spans="1:2">
      <c r="A120" s="144" t="s">
        <v>1068</v>
      </c>
      <c r="B120" s="145">
        <v>0.85062839399272594</v>
      </c>
    </row>
    <row r="121" spans="1:2">
      <c r="A121" s="144" t="s">
        <v>1069</v>
      </c>
      <c r="B121" s="145">
        <v>4.2769253739723699E-2</v>
      </c>
    </row>
    <row r="122" spans="1:2">
      <c r="A122" s="144" t="s">
        <v>1070</v>
      </c>
      <c r="B122" s="145">
        <v>0.42974573335790606</v>
      </c>
    </row>
    <row r="123" spans="1:2">
      <c r="A123" s="144" t="s">
        <v>1071</v>
      </c>
      <c r="B123" s="145">
        <v>4.5254034103435099E-2</v>
      </c>
    </row>
    <row r="124" spans="1:2">
      <c r="A124" s="144" t="s">
        <v>1072</v>
      </c>
      <c r="B124" s="145">
        <v>1.7858815624048899E-2</v>
      </c>
    </row>
    <row r="125" spans="1:2">
      <c r="A125" s="144" t="s">
        <v>789</v>
      </c>
      <c r="B125" s="145">
        <v>2.4677759132606298E-2</v>
      </c>
    </row>
    <row r="126" spans="1:2">
      <c r="A126" s="144" t="s">
        <v>1073</v>
      </c>
      <c r="B126" s="145">
        <v>1.00738887517129E-2</v>
      </c>
    </row>
    <row r="127" spans="1:2">
      <c r="A127" s="144" t="s">
        <v>790</v>
      </c>
      <c r="B127" s="145">
        <v>3.31646691148543E-2</v>
      </c>
    </row>
    <row r="128" spans="1:2">
      <c r="A128" s="144" t="s">
        <v>791</v>
      </c>
      <c r="B128" s="145">
        <v>3.2666635923054702E-2</v>
      </c>
    </row>
    <row r="129" spans="1:2">
      <c r="A129" s="144" t="s">
        <v>1074</v>
      </c>
      <c r="B129" s="145">
        <v>3.3332371035435703E-2</v>
      </c>
    </row>
    <row r="130" spans="1:2">
      <c r="A130" s="147"/>
      <c r="B130" s="148"/>
    </row>
    <row r="131" spans="1:2">
      <c r="A131" s="126" t="s">
        <v>658</v>
      </c>
      <c r="B131" s="104">
        <v>1.284573148528058</v>
      </c>
    </row>
    <row r="132" spans="1:2">
      <c r="A132" s="144" t="s">
        <v>1075</v>
      </c>
      <c r="B132" s="145">
        <v>0.18422954341362199</v>
      </c>
    </row>
    <row r="133" spans="1:2">
      <c r="A133" s="144" t="s">
        <v>1076</v>
      </c>
      <c r="B133" s="145">
        <v>2.7810875648109901E-2</v>
      </c>
    </row>
    <row r="134" spans="1:2">
      <c r="A134" s="144" t="s">
        <v>793</v>
      </c>
      <c r="B134" s="145">
        <v>0.129545155859176</v>
      </c>
    </row>
    <row r="135" spans="1:2">
      <c r="A135" s="144" t="s">
        <v>1077</v>
      </c>
      <c r="B135" s="145">
        <v>5.3986827682275404E-2</v>
      </c>
    </row>
    <row r="136" spans="1:2">
      <c r="A136" s="144" t="s">
        <v>1078</v>
      </c>
      <c r="B136" s="145">
        <v>0.85392794689469598</v>
      </c>
    </row>
    <row r="137" spans="1:2">
      <c r="A137" s="144" t="s">
        <v>1079</v>
      </c>
      <c r="B137" s="145">
        <v>3.5072799030178896E-2</v>
      </c>
    </row>
    <row r="138" spans="1:2">
      <c r="A138" s="150"/>
      <c r="B138" s="149"/>
    </row>
    <row r="139" spans="1:2">
      <c r="A139" s="126" t="s">
        <v>346</v>
      </c>
      <c r="B139" s="104">
        <v>0.38064870441666249</v>
      </c>
    </row>
    <row r="140" spans="1:2">
      <c r="A140" s="144" t="s">
        <v>1080</v>
      </c>
      <c r="B140" s="145">
        <v>4.4547125459657395E-2</v>
      </c>
    </row>
    <row r="141" spans="1:2">
      <c r="A141" s="144" t="s">
        <v>1081</v>
      </c>
      <c r="B141" s="145">
        <v>0.239454988329841</v>
      </c>
    </row>
    <row r="142" spans="1:2">
      <c r="A142" s="144" t="s">
        <v>1082</v>
      </c>
      <c r="B142" s="145">
        <v>9.6646590627164103E-2</v>
      </c>
    </row>
    <row r="143" spans="1:2">
      <c r="A143" s="150"/>
      <c r="B143" s="149"/>
    </row>
    <row r="144" spans="1:2">
      <c r="A144" s="126" t="s">
        <v>182</v>
      </c>
      <c r="B144" s="104">
        <v>0.42591060460899488</v>
      </c>
    </row>
    <row r="145" spans="1:2">
      <c r="A145" s="144" t="s">
        <v>798</v>
      </c>
      <c r="B145" s="145">
        <v>4.7793559685408396E-2</v>
      </c>
    </row>
    <row r="146" spans="1:2">
      <c r="A146" s="144" t="s">
        <v>1083</v>
      </c>
      <c r="B146" s="145">
        <v>7.7005478331920799E-2</v>
      </c>
    </row>
    <row r="147" spans="1:2">
      <c r="A147" s="144" t="s">
        <v>1084</v>
      </c>
      <c r="B147" s="145">
        <v>9.4233833266509706E-2</v>
      </c>
    </row>
    <row r="148" spans="1:2">
      <c r="A148" s="144" t="s">
        <v>799</v>
      </c>
      <c r="B148" s="145">
        <v>0.20687773332515599</v>
      </c>
    </row>
    <row r="149" spans="1:2">
      <c r="A149" s="150"/>
      <c r="B149" s="149"/>
    </row>
    <row r="150" spans="1:2">
      <c r="A150" s="126" t="s">
        <v>350</v>
      </c>
      <c r="B150" s="104">
        <v>0.46153006400791241</v>
      </c>
    </row>
    <row r="151" spans="1:2">
      <c r="A151" s="144" t="s">
        <v>801</v>
      </c>
      <c r="B151" s="145">
        <v>4.3260323255572698E-2</v>
      </c>
    </row>
    <row r="152" spans="1:2">
      <c r="A152" s="144" t="s">
        <v>1085</v>
      </c>
      <c r="B152" s="145">
        <v>0.37700643940475803</v>
      </c>
    </row>
    <row r="153" spans="1:2">
      <c r="A153" s="144" t="s">
        <v>803</v>
      </c>
      <c r="B153" s="145">
        <v>4.1263301347581702E-2</v>
      </c>
    </row>
    <row r="154" spans="1:2">
      <c r="A154" s="150"/>
      <c r="B154" s="149"/>
    </row>
    <row r="155" spans="1:2">
      <c r="A155" s="126" t="s">
        <v>534</v>
      </c>
      <c r="B155" s="104">
        <v>0.43482829619880536</v>
      </c>
    </row>
    <row r="156" spans="1:2">
      <c r="A156" s="144" t="s">
        <v>1086</v>
      </c>
      <c r="B156" s="145">
        <v>7.8619103275193308E-3</v>
      </c>
    </row>
    <row r="157" spans="1:2">
      <c r="A157" s="144" t="s">
        <v>1087</v>
      </c>
      <c r="B157" s="145">
        <v>0.42696638587128605</v>
      </c>
    </row>
    <row r="158" spans="1:2">
      <c r="A158" s="150"/>
      <c r="B158" s="149"/>
    </row>
    <row r="159" spans="1:2">
      <c r="A159" s="126" t="s">
        <v>536</v>
      </c>
      <c r="B159" s="104">
        <v>7.0964875960005811</v>
      </c>
    </row>
    <row r="160" spans="1:2">
      <c r="A160" s="144" t="s">
        <v>1088</v>
      </c>
      <c r="B160" s="145">
        <v>1.43678804769844</v>
      </c>
    </row>
    <row r="161" spans="1:2">
      <c r="A161" s="144" t="s">
        <v>1089</v>
      </c>
      <c r="B161" s="145">
        <v>4.8204075548527099</v>
      </c>
    </row>
    <row r="162" spans="1:2">
      <c r="A162" s="144" t="s">
        <v>1090</v>
      </c>
      <c r="B162" s="145">
        <v>1.23940710608576E-2</v>
      </c>
    </row>
    <row r="163" spans="1:2">
      <c r="A163" s="144" t="s">
        <v>1091</v>
      </c>
      <c r="B163" s="145">
        <v>0.15663524081925201</v>
      </c>
    </row>
    <row r="164" spans="1:2">
      <c r="A164" s="144" t="s">
        <v>1092</v>
      </c>
      <c r="B164" s="145">
        <v>0.59208284016457102</v>
      </c>
    </row>
    <row r="165" spans="1:2">
      <c r="A165" s="144" t="s">
        <v>1093</v>
      </c>
      <c r="B165" s="145">
        <v>5.4352004572590304E-2</v>
      </c>
    </row>
    <row r="166" spans="1:2">
      <c r="A166" s="144" t="s">
        <v>1094</v>
      </c>
      <c r="B166" s="145">
        <v>2.3827836832161501E-2</v>
      </c>
    </row>
    <row r="167" spans="1:2">
      <c r="A167" s="150"/>
      <c r="B167" s="149"/>
    </row>
    <row r="168" spans="1:2">
      <c r="A168" s="126" t="s">
        <v>358</v>
      </c>
      <c r="B168" s="104">
        <v>14.185756292637233</v>
      </c>
    </row>
    <row r="169" spans="1:2">
      <c r="A169" s="150"/>
      <c r="B169" s="149"/>
    </row>
    <row r="170" spans="1:2">
      <c r="A170" s="126" t="s">
        <v>359</v>
      </c>
      <c r="B170" s="104">
        <v>5.9587904685093482</v>
      </c>
    </row>
    <row r="171" spans="1:2">
      <c r="A171" s="144" t="s">
        <v>1095</v>
      </c>
      <c r="B171" s="145">
        <v>1.8519433022776099</v>
      </c>
    </row>
    <row r="172" spans="1:2">
      <c r="A172" s="144" t="s">
        <v>1096</v>
      </c>
      <c r="B172" s="145">
        <v>1.31111845464342</v>
      </c>
    </row>
    <row r="173" spans="1:2">
      <c r="A173" s="144" t="s">
        <v>1097</v>
      </c>
      <c r="B173" s="145">
        <v>0.66932537284274296</v>
      </c>
    </row>
    <row r="174" spans="1:2">
      <c r="A174" s="144" t="s">
        <v>1098</v>
      </c>
      <c r="B174" s="145">
        <v>6.7564974618292209E-2</v>
      </c>
    </row>
    <row r="175" spans="1:2">
      <c r="A175" s="144" t="s">
        <v>1099</v>
      </c>
      <c r="B175" s="145">
        <v>2.7555515806831601E-2</v>
      </c>
    </row>
    <row r="176" spans="1:2">
      <c r="A176" s="144" t="s">
        <v>1100</v>
      </c>
      <c r="B176" s="145">
        <v>0.310747397871036</v>
      </c>
    </row>
    <row r="177" spans="1:2">
      <c r="A177" s="144" t="s">
        <v>1101</v>
      </c>
      <c r="B177" s="145">
        <v>0.19549883216525402</v>
      </c>
    </row>
    <row r="178" spans="1:2">
      <c r="A178" s="144" t="s">
        <v>1102</v>
      </c>
      <c r="B178" s="145">
        <v>1.5250366182841602</v>
      </c>
    </row>
    <row r="179" spans="1:2">
      <c r="A179" s="150"/>
      <c r="B179" s="149"/>
    </row>
    <row r="180" spans="1:2">
      <c r="A180" s="126" t="s">
        <v>361</v>
      </c>
      <c r="B180" s="104">
        <v>2.4400294611989337</v>
      </c>
    </row>
    <row r="181" spans="1:2">
      <c r="A181" s="144" t="s">
        <v>1103</v>
      </c>
      <c r="B181" s="145">
        <v>0.35169341202048404</v>
      </c>
    </row>
    <row r="182" spans="1:2">
      <c r="A182" s="144" t="s">
        <v>1104</v>
      </c>
      <c r="B182" s="145">
        <v>2.0883360491784497</v>
      </c>
    </row>
    <row r="183" spans="1:2">
      <c r="A183" s="150"/>
      <c r="B183" s="149"/>
    </row>
    <row r="184" spans="1:2">
      <c r="A184" s="126" t="s">
        <v>364</v>
      </c>
      <c r="B184" s="104">
        <v>3.3701381453451509</v>
      </c>
    </row>
    <row r="185" spans="1:2">
      <c r="A185" s="144" t="s">
        <v>1105</v>
      </c>
      <c r="B185" s="145">
        <v>2.8272927647473401E-2</v>
      </c>
    </row>
    <row r="186" spans="1:2">
      <c r="A186" s="144" t="s">
        <v>1106</v>
      </c>
      <c r="B186" s="145">
        <v>6.3513603795311499E-2</v>
      </c>
    </row>
    <row r="187" spans="1:2">
      <c r="A187" s="144" t="s">
        <v>814</v>
      </c>
      <c r="B187" s="145">
        <v>2.60744741884316E-2</v>
      </c>
    </row>
    <row r="188" spans="1:2">
      <c r="A188" s="144" t="s">
        <v>1107</v>
      </c>
      <c r="B188" s="145">
        <v>0.33991030922430204</v>
      </c>
    </row>
    <row r="189" spans="1:2">
      <c r="A189" s="144" t="s">
        <v>1108</v>
      </c>
      <c r="B189" s="145">
        <v>3.9538721468297899E-2</v>
      </c>
    </row>
    <row r="190" spans="1:2">
      <c r="A190" s="144" t="s">
        <v>1109</v>
      </c>
      <c r="B190" s="145">
        <v>0.57987814297411899</v>
      </c>
    </row>
    <row r="191" spans="1:2">
      <c r="A191" s="144" t="s">
        <v>818</v>
      </c>
      <c r="B191" s="145">
        <v>6.8145194410866999E-2</v>
      </c>
    </row>
    <row r="192" spans="1:2">
      <c r="A192" s="144" t="s">
        <v>819</v>
      </c>
      <c r="B192" s="145">
        <v>2.11092188744611E-2</v>
      </c>
    </row>
    <row r="193" spans="1:17">
      <c r="A193" s="144" t="s">
        <v>820</v>
      </c>
      <c r="B193" s="145">
        <v>6.5569868198380898E-2</v>
      </c>
    </row>
    <row r="194" spans="1:17">
      <c r="A194" s="144" t="s">
        <v>821</v>
      </c>
      <c r="B194" s="145">
        <v>8.6223288467254994E-2</v>
      </c>
    </row>
    <row r="195" spans="1:17">
      <c r="A195" s="144" t="s">
        <v>822</v>
      </c>
      <c r="B195" s="145">
        <v>4.0877158551235297E-2</v>
      </c>
    </row>
    <row r="196" spans="1:17">
      <c r="A196" s="144" t="s">
        <v>1110</v>
      </c>
      <c r="B196" s="145">
        <v>0.25868595272677902</v>
      </c>
    </row>
    <row r="197" spans="1:17">
      <c r="A197" s="144" t="s">
        <v>1111</v>
      </c>
      <c r="B197" s="145">
        <v>0.180611398573604</v>
      </c>
    </row>
    <row r="198" spans="1:17">
      <c r="A198" s="144" t="s">
        <v>825</v>
      </c>
      <c r="B198" s="145">
        <v>0.12201670192824099</v>
      </c>
    </row>
    <row r="199" spans="1:17">
      <c r="A199" s="144" t="s">
        <v>827</v>
      </c>
      <c r="B199" s="145">
        <v>5.0355499188686197E-2</v>
      </c>
    </row>
    <row r="200" spans="1:17">
      <c r="A200" s="144" t="s">
        <v>1112</v>
      </c>
      <c r="B200" s="145">
        <v>0.10074961551925501</v>
      </c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</row>
    <row r="201" spans="1:17">
      <c r="A201" s="144" t="s">
        <v>828</v>
      </c>
      <c r="B201" s="145">
        <v>1.2677545778277699</v>
      </c>
    </row>
    <row r="202" spans="1:17">
      <c r="A202" s="144" t="s">
        <v>829</v>
      </c>
      <c r="B202" s="145">
        <v>3.0851491780681403E-2</v>
      </c>
    </row>
    <row r="203" spans="1:17">
      <c r="A203" s="147"/>
      <c r="B203" s="148"/>
    </row>
    <row r="204" spans="1:17">
      <c r="A204" s="126" t="s">
        <v>372</v>
      </c>
      <c r="B204" s="104">
        <v>0.3438527385036162</v>
      </c>
    </row>
    <row r="205" spans="1:17">
      <c r="A205" s="144" t="s">
        <v>831</v>
      </c>
      <c r="B205" s="145">
        <v>4.1404191905786904E-2</v>
      </c>
    </row>
    <row r="206" spans="1:17">
      <c r="A206" s="144" t="s">
        <v>1113</v>
      </c>
      <c r="B206" s="145">
        <v>6.2976993558423303E-2</v>
      </c>
    </row>
    <row r="207" spans="1:17">
      <c r="A207" s="144" t="s">
        <v>1114</v>
      </c>
      <c r="B207" s="145">
        <v>0.23947155303940598</v>
      </c>
    </row>
    <row r="208" spans="1:17">
      <c r="A208" s="150"/>
      <c r="B208" s="149"/>
    </row>
    <row r="209" spans="1:2">
      <c r="A209" s="126" t="s">
        <v>551</v>
      </c>
      <c r="B209" s="104">
        <v>0.51684107998259932</v>
      </c>
    </row>
    <row r="210" spans="1:2">
      <c r="A210" s="144" t="s">
        <v>1115</v>
      </c>
      <c r="B210" s="145">
        <v>1.67810611614423E-2</v>
      </c>
    </row>
    <row r="211" spans="1:2">
      <c r="A211" s="144" t="s">
        <v>1116</v>
      </c>
      <c r="B211" s="145">
        <v>0.21874051848468698</v>
      </c>
    </row>
    <row r="212" spans="1:2">
      <c r="A212" s="144" t="s">
        <v>1117</v>
      </c>
      <c r="B212" s="145">
        <v>3.2439197213773405E-2</v>
      </c>
    </row>
    <row r="213" spans="1:2">
      <c r="A213" s="144" t="s">
        <v>838</v>
      </c>
      <c r="B213" s="145">
        <v>6.5975121058865896E-2</v>
      </c>
    </row>
    <row r="214" spans="1:2">
      <c r="A214" s="144" t="s">
        <v>1118</v>
      </c>
      <c r="B214" s="145">
        <v>0.154661367872415</v>
      </c>
    </row>
    <row r="215" spans="1:2">
      <c r="A215" s="144" t="s">
        <v>840</v>
      </c>
      <c r="B215" s="145">
        <v>1.7085414065472398E-2</v>
      </c>
    </row>
    <row r="216" spans="1:2">
      <c r="A216" s="144" t="s">
        <v>1119</v>
      </c>
      <c r="B216" s="145">
        <v>1.11584001259433E-2</v>
      </c>
    </row>
    <row r="217" spans="1:2">
      <c r="A217" s="150"/>
      <c r="B217" s="149"/>
    </row>
    <row r="218" spans="1:2">
      <c r="A218" s="126" t="s">
        <v>387</v>
      </c>
      <c r="B218" s="104">
        <v>0.83898896135644052</v>
      </c>
    </row>
    <row r="219" spans="1:2">
      <c r="A219" s="144" t="s">
        <v>1120</v>
      </c>
      <c r="B219" s="145">
        <v>1.4790848433678E-2</v>
      </c>
    </row>
    <row r="220" spans="1:2">
      <c r="A220" s="144" t="s">
        <v>844</v>
      </c>
      <c r="B220" s="145">
        <v>0.17633933136157401</v>
      </c>
    </row>
    <row r="221" spans="1:2">
      <c r="A221" s="144" t="s">
        <v>845</v>
      </c>
      <c r="B221" s="145">
        <v>0.140734114965613</v>
      </c>
    </row>
    <row r="222" spans="1:2">
      <c r="A222" s="144" t="s">
        <v>1121</v>
      </c>
      <c r="B222" s="145">
        <v>0.23879687372212402</v>
      </c>
    </row>
    <row r="223" spans="1:2">
      <c r="A223" s="144" t="s">
        <v>846</v>
      </c>
      <c r="B223" s="145">
        <v>0.228137962800605</v>
      </c>
    </row>
    <row r="224" spans="1:2">
      <c r="A224" s="144" t="s">
        <v>1122</v>
      </c>
      <c r="B224" s="145">
        <v>4.0189830072846398E-2</v>
      </c>
    </row>
    <row r="225" spans="1:2">
      <c r="A225" s="147"/>
      <c r="B225" s="148"/>
    </row>
    <row r="226" spans="1:2">
      <c r="A226" s="126" t="s">
        <v>395</v>
      </c>
      <c r="B226" s="104">
        <v>0.16281901731147699</v>
      </c>
    </row>
    <row r="227" spans="1:2">
      <c r="A227" s="144" t="s">
        <v>1123</v>
      </c>
      <c r="B227" s="145">
        <v>2.20669563647771E-2</v>
      </c>
    </row>
    <row r="228" spans="1:2">
      <c r="A228" s="144" t="s">
        <v>1124</v>
      </c>
      <c r="B228" s="145">
        <v>8.716010769756791E-3</v>
      </c>
    </row>
    <row r="229" spans="1:2">
      <c r="A229" s="144" t="s">
        <v>847</v>
      </c>
      <c r="B229" s="145">
        <v>8.2216716243029397E-2</v>
      </c>
    </row>
    <row r="230" spans="1:2">
      <c r="A230" s="144" t="s">
        <v>1125</v>
      </c>
      <c r="B230" s="145">
        <v>1.0930940614152299E-2</v>
      </c>
    </row>
    <row r="231" spans="1:2">
      <c r="A231" s="144" t="s">
        <v>1126</v>
      </c>
      <c r="B231" s="145">
        <v>3.8888393319761398E-2</v>
      </c>
    </row>
    <row r="232" spans="1:2">
      <c r="A232" s="150"/>
      <c r="B232" s="149"/>
    </row>
    <row r="233" spans="1:2">
      <c r="A233" s="126" t="s">
        <v>571</v>
      </c>
      <c r="B233" s="104">
        <v>0.55429642042966842</v>
      </c>
    </row>
    <row r="234" spans="1:2">
      <c r="A234" s="144" t="s">
        <v>1127</v>
      </c>
      <c r="B234" s="145">
        <v>5.7978323654892396E-2</v>
      </c>
    </row>
    <row r="235" spans="1:2">
      <c r="A235" s="144" t="s">
        <v>1128</v>
      </c>
      <c r="B235" s="145">
        <v>0.21100735241620702</v>
      </c>
    </row>
    <row r="236" spans="1:2">
      <c r="A236" s="144" t="s">
        <v>850</v>
      </c>
      <c r="B236" s="145">
        <v>0.28531074435856901</v>
      </c>
    </row>
    <row r="237" spans="1:2">
      <c r="A237" s="150"/>
      <c r="B237" s="149"/>
    </row>
    <row r="238" spans="1:2">
      <c r="A238" s="126" t="s">
        <v>400</v>
      </c>
      <c r="B238" s="104">
        <v>7.1978494743866932</v>
      </c>
    </row>
    <row r="239" spans="1:2">
      <c r="A239" s="150"/>
      <c r="B239" s="149"/>
    </row>
    <row r="240" spans="1:2">
      <c r="A240" s="126" t="s">
        <v>574</v>
      </c>
      <c r="B240" s="104">
        <v>0.18735427788695228</v>
      </c>
    </row>
    <row r="241" spans="1:2">
      <c r="A241" s="144" t="s">
        <v>1129</v>
      </c>
      <c r="B241" s="145">
        <v>0.10672720321355099</v>
      </c>
    </row>
    <row r="242" spans="1:2">
      <c r="A242" s="144" t="s">
        <v>1130</v>
      </c>
      <c r="B242" s="145">
        <v>8.06270746734013E-2</v>
      </c>
    </row>
    <row r="243" spans="1:2">
      <c r="A243" s="147"/>
      <c r="B243" s="148"/>
    </row>
    <row r="244" spans="1:2">
      <c r="A244" s="126" t="s">
        <v>583</v>
      </c>
      <c r="B244" s="104">
        <v>3.6193144918246678</v>
      </c>
    </row>
    <row r="245" spans="1:2">
      <c r="A245" s="144" t="s">
        <v>1132</v>
      </c>
      <c r="B245" s="145">
        <v>2.67109312776579E-2</v>
      </c>
    </row>
    <row r="246" spans="1:2">
      <c r="A246" s="144" t="s">
        <v>1133</v>
      </c>
      <c r="B246" s="145">
        <v>1.19615481037897E-2</v>
      </c>
    </row>
    <row r="247" spans="1:2">
      <c r="A247" s="144" t="s">
        <v>1134</v>
      </c>
      <c r="B247" s="145">
        <v>0.34823111920787203</v>
      </c>
    </row>
    <row r="248" spans="1:2">
      <c r="A248" s="144" t="s">
        <v>1135</v>
      </c>
      <c r="B248" s="145">
        <v>0.20743359206333101</v>
      </c>
    </row>
    <row r="249" spans="1:2">
      <c r="A249" s="144" t="s">
        <v>1136</v>
      </c>
      <c r="B249" s="145">
        <v>0.26955956866375902</v>
      </c>
    </row>
    <row r="250" spans="1:2">
      <c r="A250" s="144" t="s">
        <v>1137</v>
      </c>
      <c r="B250" s="145">
        <v>0.32605404435181795</v>
      </c>
    </row>
    <row r="251" spans="1:2">
      <c r="A251" s="144" t="s">
        <v>1138</v>
      </c>
      <c r="B251" s="145">
        <v>9.7130900727195005E-2</v>
      </c>
    </row>
    <row r="252" spans="1:2">
      <c r="A252" s="144" t="s">
        <v>1139</v>
      </c>
      <c r="B252" s="145">
        <v>0.170429714365707</v>
      </c>
    </row>
    <row r="253" spans="1:2">
      <c r="A253" s="144" t="s">
        <v>1140</v>
      </c>
      <c r="B253" s="145">
        <v>8.2720284981036493E-2</v>
      </c>
    </row>
    <row r="254" spans="1:2">
      <c r="A254" s="144" t="s">
        <v>1141</v>
      </c>
      <c r="B254" s="145">
        <v>4.6621304101582099E-2</v>
      </c>
    </row>
    <row r="255" spans="1:2">
      <c r="A255" s="144" t="s">
        <v>1142</v>
      </c>
      <c r="B255" s="145">
        <v>1.44535987251496E-2</v>
      </c>
    </row>
    <row r="256" spans="1:2">
      <c r="A256" s="144" t="s">
        <v>1143</v>
      </c>
      <c r="B256" s="145">
        <v>3.3724299466478501E-2</v>
      </c>
    </row>
    <row r="257" spans="1:2">
      <c r="A257" s="144" t="s">
        <v>867</v>
      </c>
      <c r="B257" s="145">
        <v>3.7046615253084503E-2</v>
      </c>
    </row>
    <row r="258" spans="1:2">
      <c r="A258" s="144" t="s">
        <v>1144</v>
      </c>
      <c r="B258" s="145">
        <v>9.42581759693632E-2</v>
      </c>
    </row>
    <row r="259" spans="1:2">
      <c r="A259" s="144" t="s">
        <v>1145</v>
      </c>
      <c r="B259" s="145">
        <v>0.60269334112512196</v>
      </c>
    </row>
    <row r="260" spans="1:2">
      <c r="A260" s="144" t="s">
        <v>1146</v>
      </c>
      <c r="B260" s="145">
        <v>0.15468311759779299</v>
      </c>
    </row>
    <row r="261" spans="1:2">
      <c r="A261" s="144" t="s">
        <v>1147</v>
      </c>
      <c r="B261" s="145">
        <v>0.19180794694348499</v>
      </c>
    </row>
    <row r="262" spans="1:2">
      <c r="A262" s="144" t="s">
        <v>1148</v>
      </c>
      <c r="B262" s="145">
        <v>4.9662213248334301E-2</v>
      </c>
    </row>
    <row r="263" spans="1:2">
      <c r="A263" s="144" t="s">
        <v>871</v>
      </c>
      <c r="B263" s="145">
        <v>9.9862338019935909E-2</v>
      </c>
    </row>
    <row r="264" spans="1:2">
      <c r="A264" s="144" t="s">
        <v>1149</v>
      </c>
      <c r="B264" s="145">
        <v>0.55852650070066501</v>
      </c>
    </row>
    <row r="265" spans="1:2">
      <c r="A265" s="144" t="s">
        <v>1150</v>
      </c>
      <c r="B265" s="145">
        <v>0.195743336931509</v>
      </c>
    </row>
    <row r="266" spans="1:2">
      <c r="A266" s="150"/>
      <c r="B266" s="149"/>
    </row>
    <row r="267" spans="1:2">
      <c r="A267" s="126" t="s">
        <v>591</v>
      </c>
      <c r="B267" s="104">
        <v>2.9503107708845389</v>
      </c>
    </row>
    <row r="268" spans="1:2">
      <c r="A268" s="144" t="s">
        <v>1131</v>
      </c>
      <c r="B268" s="145">
        <v>8.1781167792081402E-2</v>
      </c>
    </row>
    <row r="269" spans="1:2">
      <c r="A269" s="144" t="s">
        <v>1151</v>
      </c>
      <c r="B269" s="145">
        <v>0.53809734082381599</v>
      </c>
    </row>
    <row r="270" spans="1:2">
      <c r="A270" s="144" t="s">
        <v>1152</v>
      </c>
      <c r="B270" s="145">
        <v>0.104865082700001</v>
      </c>
    </row>
    <row r="271" spans="1:2">
      <c r="A271" s="144" t="s">
        <v>1153</v>
      </c>
      <c r="B271" s="145">
        <v>0.52891981958825296</v>
      </c>
    </row>
    <row r="272" spans="1:2">
      <c r="A272" s="144" t="s">
        <v>1154</v>
      </c>
      <c r="B272" s="145">
        <v>7.31583969650305E-2</v>
      </c>
    </row>
    <row r="273" spans="1:2">
      <c r="A273" s="144" t="s">
        <v>1155</v>
      </c>
      <c r="B273" s="145">
        <v>3.2206187796550802E-2</v>
      </c>
    </row>
    <row r="274" spans="1:2">
      <c r="A274" s="144" t="s">
        <v>1156</v>
      </c>
      <c r="B274" s="145">
        <v>5.8012356052837694E-2</v>
      </c>
    </row>
    <row r="275" spans="1:2">
      <c r="A275" s="144" t="s">
        <v>1157</v>
      </c>
      <c r="B275" s="145">
        <v>5.27450124338485E-2</v>
      </c>
    </row>
    <row r="276" spans="1:2">
      <c r="A276" s="144" t="s">
        <v>1158</v>
      </c>
      <c r="B276" s="145">
        <v>0.53551185830669201</v>
      </c>
    </row>
    <row r="277" spans="1:2">
      <c r="A277" s="144" t="s">
        <v>1159</v>
      </c>
      <c r="B277" s="145">
        <v>0.41819194938534199</v>
      </c>
    </row>
    <row r="278" spans="1:2">
      <c r="A278" s="144" t="s">
        <v>1160</v>
      </c>
      <c r="B278" s="145">
        <v>8.3096100896732597E-2</v>
      </c>
    </row>
    <row r="279" spans="1:2">
      <c r="A279" s="144" t="s">
        <v>1161</v>
      </c>
      <c r="B279" s="145">
        <v>4.5307421790800995E-2</v>
      </c>
    </row>
    <row r="280" spans="1:2">
      <c r="A280" s="144" t="s">
        <v>1162</v>
      </c>
      <c r="B280" s="145">
        <v>0.19510061014273899</v>
      </c>
    </row>
    <row r="281" spans="1:2">
      <c r="A281" s="144" t="s">
        <v>1163</v>
      </c>
      <c r="B281" s="145">
        <v>0.20331746620981403</v>
      </c>
    </row>
    <row r="282" spans="1:2">
      <c r="A282" s="150"/>
      <c r="B282" s="149"/>
    </row>
    <row r="283" spans="1:2">
      <c r="A283" s="126" t="s">
        <v>600</v>
      </c>
      <c r="B283" s="104">
        <v>0.30827010397570731</v>
      </c>
    </row>
    <row r="284" spans="1:2">
      <c r="A284" s="144" t="s">
        <v>1164</v>
      </c>
      <c r="B284" s="145">
        <v>6.7438175555709301E-2</v>
      </c>
    </row>
    <row r="285" spans="1:2">
      <c r="A285" s="144" t="s">
        <v>1165</v>
      </c>
      <c r="B285" s="145">
        <v>3.4290909841831599E-2</v>
      </c>
    </row>
    <row r="286" spans="1:2">
      <c r="A286" s="144" t="s">
        <v>1166</v>
      </c>
      <c r="B286" s="145">
        <v>0.178950616909055</v>
      </c>
    </row>
    <row r="287" spans="1:2">
      <c r="A287" s="144" t="s">
        <v>1167</v>
      </c>
      <c r="B287" s="145">
        <v>2.7590401669111399E-2</v>
      </c>
    </row>
    <row r="288" spans="1:2">
      <c r="A288" s="150"/>
      <c r="B288" s="149"/>
    </row>
    <row r="289" spans="1:2">
      <c r="A289" s="126" t="s">
        <v>610</v>
      </c>
      <c r="B289" s="104">
        <v>0.13259982981482618</v>
      </c>
    </row>
    <row r="290" spans="1:2">
      <c r="A290" s="144" t="s">
        <v>1168</v>
      </c>
      <c r="B290" s="145">
        <v>8.1892605103470101E-2</v>
      </c>
    </row>
    <row r="291" spans="1:2">
      <c r="A291" s="144" t="s">
        <v>1169</v>
      </c>
      <c r="B291" s="145">
        <v>5.0707224711356094E-2</v>
      </c>
    </row>
    <row r="292" spans="1:2">
      <c r="A292" s="150"/>
      <c r="B292" s="149"/>
    </row>
    <row r="293" spans="1:2">
      <c r="A293" s="126" t="s">
        <v>898</v>
      </c>
      <c r="B293" s="104">
        <v>47.941642749076799</v>
      </c>
    </row>
    <row r="294" spans="1:2">
      <c r="A294" s="150"/>
      <c r="B294" s="149"/>
    </row>
    <row r="295" spans="1:2">
      <c r="A295" s="126" t="s">
        <v>615</v>
      </c>
      <c r="B295" s="104">
        <v>7.9082896278814552</v>
      </c>
    </row>
    <row r="296" spans="1:2">
      <c r="A296" s="144" t="s">
        <v>1170</v>
      </c>
      <c r="B296" s="145">
        <v>4.3381437815428699E-2</v>
      </c>
    </row>
    <row r="297" spans="1:2">
      <c r="A297" s="144" t="s">
        <v>1171</v>
      </c>
      <c r="B297" s="145">
        <v>0.52939796609724099</v>
      </c>
    </row>
    <row r="298" spans="1:2">
      <c r="A298" s="144" t="s">
        <v>1172</v>
      </c>
      <c r="B298" s="145">
        <v>0.37722726736097001</v>
      </c>
    </row>
    <row r="299" spans="1:2">
      <c r="A299" s="144" t="s">
        <v>1173</v>
      </c>
      <c r="B299" s="145">
        <v>4.7690868243999804E-2</v>
      </c>
    </row>
    <row r="300" spans="1:2">
      <c r="A300" s="144" t="s">
        <v>1174</v>
      </c>
      <c r="B300" s="145">
        <v>4.32242488741474E-2</v>
      </c>
    </row>
    <row r="301" spans="1:2">
      <c r="A301" s="144" t="s">
        <v>1175</v>
      </c>
      <c r="B301" s="145">
        <v>6.0378230523966098E-2</v>
      </c>
    </row>
    <row r="302" spans="1:2">
      <c r="A302" s="144" t="s">
        <v>1176</v>
      </c>
      <c r="B302" s="145">
        <v>0.12200472770481599</v>
      </c>
    </row>
    <row r="303" spans="1:2">
      <c r="A303" s="144" t="s">
        <v>1177</v>
      </c>
      <c r="B303" s="145">
        <v>0.18284214923904402</v>
      </c>
    </row>
    <row r="304" spans="1:2">
      <c r="A304" s="144" t="s">
        <v>1178</v>
      </c>
      <c r="B304" s="145">
        <v>3.2244715009205401E-2</v>
      </c>
    </row>
    <row r="305" spans="1:2">
      <c r="A305" s="144" t="s">
        <v>1179</v>
      </c>
      <c r="B305" s="145">
        <v>0.35662991916410997</v>
      </c>
    </row>
    <row r="306" spans="1:2">
      <c r="A306" s="144" t="s">
        <v>1180</v>
      </c>
      <c r="B306" s="145">
        <v>0.709330463984575</v>
      </c>
    </row>
    <row r="307" spans="1:2">
      <c r="A307" s="144" t="s">
        <v>1181</v>
      </c>
      <c r="B307" s="145">
        <v>0.19492801971951998</v>
      </c>
    </row>
    <row r="308" spans="1:2">
      <c r="A308" s="144" t="s">
        <v>907</v>
      </c>
      <c r="B308" s="145">
        <v>0.45527700489164796</v>
      </c>
    </row>
    <row r="309" spans="1:2">
      <c r="A309" s="144" t="s">
        <v>1182</v>
      </c>
      <c r="B309" s="145">
        <v>0.12833720812868599</v>
      </c>
    </row>
    <row r="310" spans="1:2">
      <c r="A310" s="144" t="s">
        <v>1183</v>
      </c>
      <c r="B310" s="145">
        <v>7.0769584305137606E-2</v>
      </c>
    </row>
    <row r="311" spans="1:2">
      <c r="A311" s="144" t="s">
        <v>1184</v>
      </c>
      <c r="B311" s="145">
        <v>0.9968499285777499</v>
      </c>
    </row>
    <row r="312" spans="1:2">
      <c r="A312" s="144" t="s">
        <v>1185</v>
      </c>
      <c r="B312" s="145">
        <v>0.28662440095156999</v>
      </c>
    </row>
    <row r="313" spans="1:2">
      <c r="A313" s="144" t="s">
        <v>1186</v>
      </c>
      <c r="B313" s="145">
        <v>0.11916011241523999</v>
      </c>
    </row>
    <row r="314" spans="1:2">
      <c r="A314" s="144" t="s">
        <v>1187</v>
      </c>
      <c r="B314" s="145">
        <v>0.20182727827833002</v>
      </c>
    </row>
    <row r="315" spans="1:2">
      <c r="A315" s="144" t="s">
        <v>1188</v>
      </c>
      <c r="B315" s="145">
        <v>6.2288581647543598E-2</v>
      </c>
    </row>
    <row r="316" spans="1:2">
      <c r="A316" s="144" t="s">
        <v>1189</v>
      </c>
      <c r="B316" s="145">
        <v>2.29905482542524E-2</v>
      </c>
    </row>
    <row r="317" spans="1:2">
      <c r="A317" s="144" t="s">
        <v>1190</v>
      </c>
      <c r="B317" s="145">
        <v>3.8712387482836404E-2</v>
      </c>
    </row>
    <row r="318" spans="1:2">
      <c r="A318" s="144" t="s">
        <v>1191</v>
      </c>
      <c r="B318" s="145">
        <v>0.56898563102773903</v>
      </c>
    </row>
    <row r="319" spans="1:2">
      <c r="A319" s="144" t="s">
        <v>1192</v>
      </c>
      <c r="B319" s="145">
        <v>0.58047546566131603</v>
      </c>
    </row>
    <row r="320" spans="1:2">
      <c r="A320" s="144" t="s">
        <v>1193</v>
      </c>
      <c r="B320" s="145">
        <v>0.748688422030925</v>
      </c>
    </row>
    <row r="321" spans="1:2">
      <c r="A321" s="144" t="s">
        <v>1194</v>
      </c>
      <c r="B321" s="145">
        <v>0.70766052688945291</v>
      </c>
    </row>
    <row r="322" spans="1:2">
      <c r="A322" s="144" t="s">
        <v>1195</v>
      </c>
      <c r="B322" s="145">
        <v>0.22036253360200603</v>
      </c>
    </row>
    <row r="323" spans="1:2">
      <c r="A323" s="150"/>
      <c r="B323" s="149"/>
    </row>
    <row r="324" spans="1:2">
      <c r="A324" s="126" t="s">
        <v>444</v>
      </c>
      <c r="B324" s="104">
        <v>8.1667451750173612</v>
      </c>
    </row>
    <row r="325" spans="1:2">
      <c r="A325" s="144" t="s">
        <v>1196</v>
      </c>
      <c r="B325" s="145">
        <v>2.4394178475494101E-2</v>
      </c>
    </row>
    <row r="326" spans="1:2">
      <c r="A326" s="144" t="s">
        <v>1197</v>
      </c>
      <c r="B326" s="145">
        <v>0.123341326811549</v>
      </c>
    </row>
    <row r="327" spans="1:2">
      <c r="A327" s="144" t="s">
        <v>1198</v>
      </c>
      <c r="B327" s="145">
        <v>0.106970449283703</v>
      </c>
    </row>
    <row r="328" spans="1:2">
      <c r="A328" s="144" t="s">
        <v>1199</v>
      </c>
      <c r="B328" s="145">
        <v>0.11994575843525102</v>
      </c>
    </row>
    <row r="329" spans="1:2">
      <c r="A329" s="144" t="s">
        <v>928</v>
      </c>
      <c r="B329" s="145">
        <v>0.24994793050849901</v>
      </c>
    </row>
    <row r="330" spans="1:2">
      <c r="A330" s="144" t="s">
        <v>930</v>
      </c>
      <c r="B330" s="145">
        <v>0.48259227957076001</v>
      </c>
    </row>
    <row r="331" spans="1:2">
      <c r="A331" s="144" t="s">
        <v>1200</v>
      </c>
      <c r="B331" s="145">
        <v>0.16031436165455801</v>
      </c>
    </row>
    <row r="332" spans="1:2">
      <c r="A332" s="144" t="s">
        <v>1201</v>
      </c>
      <c r="B332" s="145">
        <v>0.23543392392718801</v>
      </c>
    </row>
    <row r="333" spans="1:2">
      <c r="A333" s="144" t="s">
        <v>932</v>
      </c>
      <c r="B333" s="145">
        <v>0.42925118288052899</v>
      </c>
    </row>
    <row r="334" spans="1:2">
      <c r="A334" s="144" t="s">
        <v>1202</v>
      </c>
      <c r="B334" s="145">
        <v>0.51537906223340402</v>
      </c>
    </row>
    <row r="335" spans="1:2">
      <c r="A335" s="144" t="s">
        <v>1203</v>
      </c>
      <c r="B335" s="145">
        <v>4.0541067353437099E-2</v>
      </c>
    </row>
    <row r="336" spans="1:2">
      <c r="A336" s="144" t="s">
        <v>1204</v>
      </c>
      <c r="B336" s="145">
        <v>0.73280966406678494</v>
      </c>
    </row>
    <row r="337" spans="1:2">
      <c r="A337" s="144" t="s">
        <v>1205</v>
      </c>
      <c r="B337" s="145">
        <v>0.101199538042824</v>
      </c>
    </row>
    <row r="338" spans="1:2">
      <c r="A338" s="144" t="s">
        <v>1206</v>
      </c>
      <c r="B338" s="145">
        <v>0.29949253535213799</v>
      </c>
    </row>
    <row r="339" spans="1:2">
      <c r="A339" s="144" t="s">
        <v>1207</v>
      </c>
      <c r="B339" s="145">
        <v>9.50943605838694E-2</v>
      </c>
    </row>
    <row r="340" spans="1:2">
      <c r="A340" s="144" t="s">
        <v>935</v>
      </c>
      <c r="B340" s="145">
        <v>0.14382486701750599</v>
      </c>
    </row>
    <row r="341" spans="1:2">
      <c r="A341" s="144" t="s">
        <v>1208</v>
      </c>
      <c r="B341" s="145">
        <v>0.45700353323850595</v>
      </c>
    </row>
    <row r="342" spans="1:2">
      <c r="A342" s="144" t="s">
        <v>938</v>
      </c>
      <c r="B342" s="145">
        <v>0.50792894986721004</v>
      </c>
    </row>
    <row r="343" spans="1:2">
      <c r="A343" s="144" t="s">
        <v>939</v>
      </c>
      <c r="B343" s="145">
        <v>0.35936648545372002</v>
      </c>
    </row>
    <row r="344" spans="1:2">
      <c r="A344" s="144" t="s">
        <v>1209</v>
      </c>
      <c r="B344" s="145">
        <v>0.68202824622262703</v>
      </c>
    </row>
    <row r="345" spans="1:2">
      <c r="A345" s="144" t="s">
        <v>1210</v>
      </c>
      <c r="B345" s="145">
        <v>1.7331941527319698E-2</v>
      </c>
    </row>
    <row r="346" spans="1:2">
      <c r="A346" s="144" t="s">
        <v>1211</v>
      </c>
      <c r="B346" s="145">
        <v>0.17200251182662701</v>
      </c>
    </row>
    <row r="347" spans="1:2">
      <c r="A347" s="144" t="s">
        <v>1212</v>
      </c>
      <c r="B347" s="145">
        <v>0.15903337830622899</v>
      </c>
    </row>
    <row r="348" spans="1:2">
      <c r="A348" s="144" t="s">
        <v>1213</v>
      </c>
      <c r="B348" s="145">
        <v>7.9511535234553593E-2</v>
      </c>
    </row>
    <row r="349" spans="1:2">
      <c r="A349" s="144" t="s">
        <v>1214</v>
      </c>
      <c r="B349" s="145">
        <v>0.73457590320231592</v>
      </c>
    </row>
    <row r="350" spans="1:2">
      <c r="A350" s="144" t="s">
        <v>940</v>
      </c>
      <c r="B350" s="145">
        <v>0.52889085745798803</v>
      </c>
    </row>
    <row r="351" spans="1:2">
      <c r="A351" s="144" t="s">
        <v>1215</v>
      </c>
      <c r="B351" s="145">
        <v>4.9870444840749907E-2</v>
      </c>
    </row>
    <row r="352" spans="1:2">
      <c r="A352" s="144" t="s">
        <v>1216</v>
      </c>
      <c r="B352" s="145">
        <v>6.2922362123270709E-2</v>
      </c>
    </row>
    <row r="353" spans="1:2">
      <c r="A353" s="144" t="s">
        <v>943</v>
      </c>
      <c r="B353" s="145">
        <v>0.29781195708075403</v>
      </c>
    </row>
    <row r="354" spans="1:2">
      <c r="A354" s="144" t="s">
        <v>1217</v>
      </c>
      <c r="B354" s="145">
        <v>0.197934582437997</v>
      </c>
    </row>
    <row r="355" spans="1:2">
      <c r="B355" s="149"/>
    </row>
    <row r="356" spans="1:2">
      <c r="A356" s="126" t="s">
        <v>625</v>
      </c>
      <c r="B356" s="104">
        <v>5.0212233337018786</v>
      </c>
    </row>
    <row r="357" spans="1:2">
      <c r="A357" s="144" t="s">
        <v>1218</v>
      </c>
      <c r="B357" s="145">
        <v>5.2348038891085601E-2</v>
      </c>
    </row>
    <row r="358" spans="1:2">
      <c r="A358" s="144" t="s">
        <v>1219</v>
      </c>
      <c r="B358" s="145">
        <v>0.148669212828031</v>
      </c>
    </row>
    <row r="359" spans="1:2">
      <c r="A359" s="144" t="s">
        <v>1220</v>
      </c>
      <c r="B359" s="145">
        <v>2.4988060505300797E-2</v>
      </c>
    </row>
    <row r="360" spans="1:2">
      <c r="A360" s="144" t="s">
        <v>1221</v>
      </c>
      <c r="B360" s="145">
        <v>0.18273350079716399</v>
      </c>
    </row>
    <row r="361" spans="1:2">
      <c r="A361" s="144" t="s">
        <v>1222</v>
      </c>
      <c r="B361" s="145">
        <v>6.3645632621263701E-2</v>
      </c>
    </row>
    <row r="362" spans="1:2">
      <c r="A362" s="144" t="s">
        <v>948</v>
      </c>
      <c r="B362" s="145">
        <v>8.4956781540689308E-2</v>
      </c>
    </row>
    <row r="363" spans="1:2">
      <c r="A363" s="144" t="s">
        <v>1223</v>
      </c>
      <c r="B363" s="145">
        <v>4.9279033801796802E-2</v>
      </c>
    </row>
    <row r="364" spans="1:2">
      <c r="A364" s="144" t="s">
        <v>1224</v>
      </c>
      <c r="B364" s="145">
        <v>0.20237960584285702</v>
      </c>
    </row>
    <row r="365" spans="1:2">
      <c r="A365" s="144" t="s">
        <v>1225</v>
      </c>
      <c r="B365" s="145">
        <v>0.30092682705847901</v>
      </c>
    </row>
    <row r="366" spans="1:2">
      <c r="A366" s="144" t="s">
        <v>1226</v>
      </c>
      <c r="B366" s="145">
        <v>0.10287352645031299</v>
      </c>
    </row>
    <row r="367" spans="1:2">
      <c r="A367" s="144" t="s">
        <v>1227</v>
      </c>
      <c r="B367" s="145">
        <v>0.193902350861033</v>
      </c>
    </row>
    <row r="368" spans="1:2">
      <c r="A368" s="144" t="s">
        <v>1228</v>
      </c>
      <c r="B368" s="145">
        <v>0.189862862319881</v>
      </c>
    </row>
    <row r="369" spans="1:2">
      <c r="A369" s="144" t="s">
        <v>1229</v>
      </c>
      <c r="B369" s="145">
        <v>0.16873452647158799</v>
      </c>
    </row>
    <row r="370" spans="1:2">
      <c r="A370" s="144" t="s">
        <v>1230</v>
      </c>
      <c r="B370" s="145">
        <v>6.4493902036264303E-2</v>
      </c>
    </row>
    <row r="371" spans="1:2">
      <c r="A371" s="144" t="s">
        <v>1231</v>
      </c>
      <c r="B371" s="145">
        <v>0.59275748606057199</v>
      </c>
    </row>
    <row r="372" spans="1:2">
      <c r="A372" s="144" t="s">
        <v>1232</v>
      </c>
      <c r="B372" s="145">
        <v>9.3161255191338305E-2</v>
      </c>
    </row>
    <row r="373" spans="1:2">
      <c r="A373" s="144" t="s">
        <v>1233</v>
      </c>
      <c r="B373" s="145">
        <v>3.28915153492986E-2</v>
      </c>
    </row>
    <row r="374" spans="1:2">
      <c r="A374" s="144" t="s">
        <v>1234</v>
      </c>
      <c r="B374" s="145">
        <v>2.0380650280708301E-2</v>
      </c>
    </row>
    <row r="375" spans="1:2">
      <c r="A375" s="144" t="s">
        <v>1235</v>
      </c>
      <c r="B375" s="145">
        <v>5.1314763209185002E-2</v>
      </c>
    </row>
    <row r="376" spans="1:2">
      <c r="A376" s="144" t="s">
        <v>1236</v>
      </c>
      <c r="B376" s="145">
        <v>7.0556679873991196E-2</v>
      </c>
    </row>
    <row r="377" spans="1:2">
      <c r="A377" s="144" t="s">
        <v>1237</v>
      </c>
      <c r="B377" s="145">
        <v>0.108126698385188</v>
      </c>
    </row>
    <row r="378" spans="1:2">
      <c r="A378" s="144" t="s">
        <v>1238</v>
      </c>
      <c r="B378" s="145">
        <v>2.7495942806939597E-2</v>
      </c>
    </row>
    <row r="379" spans="1:2">
      <c r="A379" s="144" t="s">
        <v>1239</v>
      </c>
      <c r="B379" s="145">
        <v>1.67303338923721E-2</v>
      </c>
    </row>
    <row r="380" spans="1:2">
      <c r="A380" s="144" t="s">
        <v>965</v>
      </c>
      <c r="B380" s="145">
        <v>0.10465860438544002</v>
      </c>
    </row>
    <row r="381" spans="1:2">
      <c r="A381" s="144" t="s">
        <v>1240</v>
      </c>
      <c r="B381" s="145">
        <v>0.21251037580882598</v>
      </c>
    </row>
    <row r="382" spans="1:2">
      <c r="A382" s="144" t="s">
        <v>1241</v>
      </c>
      <c r="B382" s="145">
        <v>0.34721899600140799</v>
      </c>
    </row>
    <row r="383" spans="1:2">
      <c r="A383" s="144" t="s">
        <v>1242</v>
      </c>
      <c r="B383" s="145">
        <v>0.10230947104013001</v>
      </c>
    </row>
    <row r="384" spans="1:2">
      <c r="A384" s="144" t="s">
        <v>1243</v>
      </c>
      <c r="B384" s="145">
        <v>4.2143446591699198E-2</v>
      </c>
    </row>
    <row r="385" spans="1:2">
      <c r="A385" s="144" t="s">
        <v>1244</v>
      </c>
      <c r="B385" s="145">
        <v>0.17689459653651501</v>
      </c>
    </row>
    <row r="386" spans="1:2">
      <c r="A386" s="144" t="s">
        <v>1245</v>
      </c>
      <c r="B386" s="145">
        <v>9.8693400306339898E-2</v>
      </c>
    </row>
    <row r="387" spans="1:2">
      <c r="A387" s="144" t="s">
        <v>1246</v>
      </c>
      <c r="B387" s="145">
        <v>0.37045268171010104</v>
      </c>
    </row>
    <row r="388" spans="1:2">
      <c r="A388" s="144" t="s">
        <v>1247</v>
      </c>
      <c r="B388" s="145">
        <v>0.72313257424607902</v>
      </c>
    </row>
    <row r="390" spans="1:2">
      <c r="A390" s="126" t="s">
        <v>634</v>
      </c>
      <c r="B390" s="104">
        <v>0.19415654454305301</v>
      </c>
    </row>
    <row r="391" spans="1:2">
      <c r="A391" s="144" t="s">
        <v>975</v>
      </c>
      <c r="B391" s="145">
        <v>0.19415654454305301</v>
      </c>
    </row>
    <row r="393" spans="1:2">
      <c r="A393" s="126" t="s">
        <v>21</v>
      </c>
      <c r="B393" s="104">
        <v>6.014181886147675</v>
      </c>
    </row>
    <row r="394" spans="1:2">
      <c r="A394" s="144" t="s">
        <v>1248</v>
      </c>
      <c r="B394" s="145">
        <v>0.14486646652107601</v>
      </c>
    </row>
    <row r="395" spans="1:2">
      <c r="A395" s="144" t="s">
        <v>1249</v>
      </c>
      <c r="B395" s="145">
        <v>0.46385503485778296</v>
      </c>
    </row>
    <row r="396" spans="1:2">
      <c r="A396" s="144" t="s">
        <v>1250</v>
      </c>
      <c r="B396" s="145">
        <v>0.64445058098243801</v>
      </c>
    </row>
    <row r="397" spans="1:2">
      <c r="A397" s="144" t="s">
        <v>1251</v>
      </c>
      <c r="B397" s="145">
        <v>3.17882944597817E-2</v>
      </c>
    </row>
    <row r="398" spans="1:2">
      <c r="A398" s="144" t="s">
        <v>1252</v>
      </c>
      <c r="B398" s="145">
        <v>0.56299638610161007</v>
      </c>
    </row>
    <row r="399" spans="1:2">
      <c r="A399" s="144" t="s">
        <v>1253</v>
      </c>
      <c r="B399" s="145">
        <v>1.0985261597268301</v>
      </c>
    </row>
    <row r="400" spans="1:2">
      <c r="A400" s="144" t="s">
        <v>1254</v>
      </c>
      <c r="B400" s="145">
        <v>0.36236281035400897</v>
      </c>
    </row>
    <row r="401" spans="1:2">
      <c r="A401" s="144" t="s">
        <v>1255</v>
      </c>
      <c r="B401" s="145">
        <v>0.50281520648522493</v>
      </c>
    </row>
    <row r="402" spans="1:2">
      <c r="A402" s="144" t="s">
        <v>1256</v>
      </c>
      <c r="B402" s="145">
        <v>1.2800603642344701</v>
      </c>
    </row>
    <row r="403" spans="1:2">
      <c r="A403" s="144" t="s">
        <v>1257</v>
      </c>
      <c r="B403" s="145">
        <v>0.16439132139050699</v>
      </c>
    </row>
    <row r="404" spans="1:2">
      <c r="A404" s="144" t="s">
        <v>1258</v>
      </c>
      <c r="B404" s="145">
        <v>0.163101425740518</v>
      </c>
    </row>
    <row r="405" spans="1:2">
      <c r="A405" s="144" t="s">
        <v>984</v>
      </c>
      <c r="B405" s="145">
        <v>0.49588458924647399</v>
      </c>
    </row>
    <row r="406" spans="1:2">
      <c r="A406" s="144" t="s">
        <v>1259</v>
      </c>
      <c r="B406" s="145">
        <v>9.9083246046953385E-2</v>
      </c>
    </row>
    <row r="408" spans="1:2">
      <c r="A408" s="126" t="s">
        <v>19</v>
      </c>
      <c r="B408" s="104">
        <v>5.1465678718468206</v>
      </c>
    </row>
    <row r="409" spans="1:2">
      <c r="A409" s="144" t="s">
        <v>1260</v>
      </c>
      <c r="B409" s="145">
        <v>1.2209545983604801</v>
      </c>
    </row>
    <row r="410" spans="1:2">
      <c r="A410" s="144" t="s">
        <v>987</v>
      </c>
      <c r="B410" s="145">
        <v>0.51910684625423098</v>
      </c>
    </row>
    <row r="411" spans="1:2">
      <c r="A411" s="144" t="s">
        <v>1261</v>
      </c>
      <c r="B411" s="145">
        <v>0.749823852448535</v>
      </c>
    </row>
    <row r="412" spans="1:2">
      <c r="A412" s="144" t="s">
        <v>989</v>
      </c>
      <c r="B412" s="145">
        <v>2.2020174594592197</v>
      </c>
    </row>
    <row r="413" spans="1:2">
      <c r="A413" s="144" t="s">
        <v>990</v>
      </c>
      <c r="B413" s="145">
        <v>0.45466511532435505</v>
      </c>
    </row>
    <row r="415" spans="1:2">
      <c r="A415" s="126" t="s">
        <v>29</v>
      </c>
      <c r="B415" s="104">
        <v>4.8835052635130927</v>
      </c>
    </row>
    <row r="416" spans="1:2">
      <c r="A416" s="144" t="s">
        <v>1262</v>
      </c>
      <c r="B416" s="145">
        <v>1.9444724470381699E-2</v>
      </c>
    </row>
    <row r="417" spans="1:2">
      <c r="A417" s="144" t="s">
        <v>1263</v>
      </c>
      <c r="B417" s="145">
        <v>0.11010154087136501</v>
      </c>
    </row>
    <row r="418" spans="1:2">
      <c r="A418" s="144" t="s">
        <v>1264</v>
      </c>
      <c r="B418" s="145">
        <v>1.38542328526412</v>
      </c>
    </row>
    <row r="419" spans="1:2">
      <c r="A419" s="144" t="s">
        <v>1265</v>
      </c>
      <c r="B419" s="145">
        <v>1.4233903140327899</v>
      </c>
    </row>
    <row r="420" spans="1:2">
      <c r="A420" s="144" t="s">
        <v>1266</v>
      </c>
      <c r="B420" s="145">
        <v>1.4139032564193099</v>
      </c>
    </row>
    <row r="421" spans="1:2">
      <c r="A421" s="144" t="s">
        <v>1267</v>
      </c>
      <c r="B421" s="145">
        <v>0.14171676601106301</v>
      </c>
    </row>
    <row r="422" spans="1:2">
      <c r="A422" s="144" t="s">
        <v>1268</v>
      </c>
      <c r="B422" s="145">
        <v>0.38952537644406399</v>
      </c>
    </row>
    <row r="424" spans="1:2">
      <c r="A424" s="126" t="s">
        <v>648</v>
      </c>
      <c r="B424" s="104">
        <v>10.606973046425457</v>
      </c>
    </row>
    <row r="425" spans="1:2">
      <c r="A425" s="144" t="s">
        <v>1269</v>
      </c>
      <c r="B425" s="145">
        <v>0.29010097712038596</v>
      </c>
    </row>
    <row r="426" spans="1:2">
      <c r="A426" s="144" t="s">
        <v>1270</v>
      </c>
      <c r="B426" s="145">
        <v>0.11723858099380599</v>
      </c>
    </row>
    <row r="427" spans="1:2">
      <c r="A427" s="144" t="s">
        <v>1271</v>
      </c>
      <c r="B427" s="145">
        <v>0.27241696718134401</v>
      </c>
    </row>
    <row r="428" spans="1:2">
      <c r="A428" s="144" t="s">
        <v>1272</v>
      </c>
      <c r="B428" s="145">
        <v>4.6983926725607798E-2</v>
      </c>
    </row>
    <row r="429" spans="1:2">
      <c r="A429" s="144" t="s">
        <v>1000</v>
      </c>
      <c r="B429" s="145">
        <v>5.5916631528151806</v>
      </c>
    </row>
    <row r="430" spans="1:2">
      <c r="A430" s="144" t="s">
        <v>1001</v>
      </c>
      <c r="B430" s="145">
        <v>0.10326230059894199</v>
      </c>
    </row>
    <row r="431" spans="1:2">
      <c r="A431" s="144" t="s">
        <v>1002</v>
      </c>
      <c r="B431" s="145">
        <v>5.4369537319016295E-2</v>
      </c>
    </row>
    <row r="432" spans="1:2">
      <c r="A432" s="144" t="s">
        <v>1273</v>
      </c>
      <c r="B432" s="145">
        <v>0.62668006197860104</v>
      </c>
    </row>
    <row r="433" spans="1:2">
      <c r="A433" s="144" t="s">
        <v>1274</v>
      </c>
      <c r="B433" s="145">
        <v>4.9588293761614194E-2</v>
      </c>
    </row>
    <row r="434" spans="1:2">
      <c r="A434" s="144" t="s">
        <v>1004</v>
      </c>
      <c r="B434" s="145">
        <v>6.0177723488645606E-2</v>
      </c>
    </row>
    <row r="435" spans="1:2">
      <c r="A435" s="144" t="s">
        <v>1275</v>
      </c>
      <c r="B435" s="145">
        <v>3.4131037331387698E-2</v>
      </c>
    </row>
    <row r="436" spans="1:2">
      <c r="A436" s="144" t="s">
        <v>1276</v>
      </c>
      <c r="B436" s="145">
        <v>0.8524539014577609</v>
      </c>
    </row>
    <row r="437" spans="1:2">
      <c r="A437" s="144" t="s">
        <v>1277</v>
      </c>
      <c r="B437" s="145">
        <v>0.993757420666465</v>
      </c>
    </row>
    <row r="438" spans="1:2">
      <c r="A438" s="144" t="s">
        <v>1278</v>
      </c>
      <c r="B438" s="145">
        <v>6.80428724654802E-2</v>
      </c>
    </row>
    <row r="439" spans="1:2">
      <c r="A439" s="144" t="s">
        <v>1279</v>
      </c>
      <c r="B439" s="145">
        <v>7.7112083926917999E-2</v>
      </c>
    </row>
    <row r="440" spans="1:2">
      <c r="A440" s="144" t="s">
        <v>1280</v>
      </c>
      <c r="B440" s="145">
        <v>2.28533130919946E-2</v>
      </c>
    </row>
    <row r="441" spans="1:2">
      <c r="A441" s="144" t="s">
        <v>1007</v>
      </c>
      <c r="B441" s="145">
        <v>5.9617196007077801E-2</v>
      </c>
    </row>
    <row r="442" spans="1:2">
      <c r="A442" s="144" t="s">
        <v>1281</v>
      </c>
      <c r="B442" s="145">
        <v>0.20816895582197098</v>
      </c>
    </row>
    <row r="443" spans="1:2">
      <c r="A443" s="144" t="s">
        <v>1282</v>
      </c>
      <c r="B443" s="145">
        <v>0.36191045796555299</v>
      </c>
    </row>
    <row r="444" spans="1:2">
      <c r="A444" s="144" t="s">
        <v>1283</v>
      </c>
      <c r="B444" s="145">
        <v>4.9973420288962206E-2</v>
      </c>
    </row>
    <row r="445" spans="1:2">
      <c r="A445" s="144" t="s">
        <v>1284</v>
      </c>
      <c r="B445" s="145">
        <v>0.63153053779881296</v>
      </c>
    </row>
    <row r="446" spans="1:2">
      <c r="A446" s="144" t="s">
        <v>1285</v>
      </c>
      <c r="B446" s="145">
        <v>3.49403276199328E-2</v>
      </c>
    </row>
    <row r="447" spans="1:2">
      <c r="A447" s="159"/>
      <c r="B447" s="159"/>
    </row>
    <row r="451" spans="1:1">
      <c r="A451" s="19" t="s">
        <v>1009</v>
      </c>
    </row>
  </sheetData>
  <mergeCells count="3">
    <mergeCell ref="A1:B1"/>
    <mergeCell ref="A2:B2"/>
    <mergeCell ref="A3:B3"/>
  </mergeCells>
  <hyperlinks>
    <hyperlink ref="A451" location="'indice cap.4'!A1" display="regresar al índice"/>
  </hyperlinks>
  <printOptions horizontalCentered="1"/>
  <pageMargins left="0.70866141732283472" right="0.70866141732283472" top="0.15748031496062992" bottom="0.35433070866141736" header="0.31496062992125984" footer="0.31496062992125984"/>
  <pageSetup paperSize="9" scale="70" orientation="portrait" verticalDpi="599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47"/>
  <sheetViews>
    <sheetView showGridLines="0" workbookViewId="0">
      <selection activeCell="C26" sqref="C26"/>
    </sheetView>
  </sheetViews>
  <sheetFormatPr baseColWidth="10" defaultRowHeight="12.75"/>
  <cols>
    <col min="1" max="1" width="11.42578125" style="92"/>
    <col min="2" max="2" width="12.7109375" style="166" customWidth="1"/>
    <col min="3" max="3" width="14.42578125" style="166" customWidth="1"/>
    <col min="4" max="5" width="12.7109375" style="166" customWidth="1"/>
    <col min="6" max="6" width="14" style="166" customWidth="1"/>
    <col min="7" max="10" width="12.7109375" style="166" customWidth="1"/>
    <col min="11" max="16384" width="11.42578125" style="92"/>
  </cols>
  <sheetData>
    <row r="1" spans="1:11">
      <c r="A1" s="292" t="s">
        <v>1313</v>
      </c>
      <c r="B1" s="292"/>
      <c r="C1" s="292"/>
      <c r="D1" s="292"/>
      <c r="E1" s="292"/>
      <c r="F1" s="292"/>
      <c r="G1" s="292"/>
      <c r="H1" s="292"/>
      <c r="I1" s="292"/>
      <c r="J1" s="292"/>
    </row>
    <row r="2" spans="1:11">
      <c r="A2" s="292" t="s">
        <v>1314</v>
      </c>
      <c r="B2" s="292"/>
      <c r="C2" s="292"/>
      <c r="D2" s="292"/>
      <c r="E2" s="292"/>
      <c r="F2" s="292"/>
      <c r="G2" s="292"/>
      <c r="H2" s="292"/>
      <c r="I2" s="292"/>
      <c r="J2" s="292"/>
    </row>
    <row r="4" spans="1:11">
      <c r="A4" s="337" t="s">
        <v>1315</v>
      </c>
      <c r="B4" s="297" t="s">
        <v>1316</v>
      </c>
      <c r="C4" s="297"/>
      <c r="D4" s="297"/>
      <c r="E4" s="297"/>
      <c r="F4" s="297"/>
      <c r="G4" s="297"/>
      <c r="H4" s="297"/>
      <c r="I4" s="297"/>
      <c r="J4" s="339"/>
    </row>
    <row r="5" spans="1:11" ht="25.5">
      <c r="A5" s="338"/>
      <c r="B5" s="161" t="s">
        <v>1317</v>
      </c>
      <c r="C5" s="161" t="s">
        <v>1318</v>
      </c>
      <c r="D5" s="161" t="s">
        <v>1319</v>
      </c>
      <c r="E5" s="161" t="s">
        <v>1320</v>
      </c>
      <c r="F5" s="161" t="s">
        <v>1321</v>
      </c>
      <c r="G5" s="161" t="s">
        <v>1322</v>
      </c>
      <c r="H5" s="161" t="s">
        <v>1323</v>
      </c>
      <c r="I5" s="161" t="s">
        <v>1324</v>
      </c>
      <c r="J5" s="162" t="s">
        <v>1325</v>
      </c>
    </row>
    <row r="7" spans="1:11">
      <c r="A7" s="95">
        <v>2007</v>
      </c>
      <c r="B7" s="163">
        <v>0.95001645376750787</v>
      </c>
      <c r="C7" s="163">
        <v>0.43199902491336395</v>
      </c>
      <c r="D7" s="163">
        <v>0.18242839756231588</v>
      </c>
      <c r="E7" s="163">
        <v>0.23737271617443473</v>
      </c>
      <c r="F7" s="163">
        <v>8.7933050669048482E-2</v>
      </c>
      <c r="G7" s="163">
        <v>1.0283264448266305E-2</v>
      </c>
      <c r="H7" s="163">
        <v>4.9983546232570071E-2</v>
      </c>
      <c r="I7" s="163">
        <v>3.0496204497288092E-2</v>
      </c>
      <c r="J7" s="163">
        <v>1.9487341735281959E-2</v>
      </c>
      <c r="K7" s="164"/>
    </row>
    <row r="8" spans="1:11">
      <c r="A8" s="95">
        <v>2008</v>
      </c>
      <c r="B8" s="163">
        <v>0.94048537014194888</v>
      </c>
      <c r="C8" s="163">
        <v>0.44768522485274587</v>
      </c>
      <c r="D8" s="163">
        <v>0.15002586559320985</v>
      </c>
      <c r="E8" s="163">
        <v>0.25829924629507195</v>
      </c>
      <c r="F8" s="163">
        <v>8.2050635729485247E-2</v>
      </c>
      <c r="G8" s="163">
        <v>2.4243976714180644E-3</v>
      </c>
      <c r="H8" s="163">
        <v>5.9514629858050651E-2</v>
      </c>
      <c r="I8" s="163">
        <v>3.9609669736008345E-2</v>
      </c>
      <c r="J8" s="163">
        <v>1.9904960122042185E-2</v>
      </c>
      <c r="K8" s="164"/>
    </row>
    <row r="9" spans="1:11">
      <c r="A9" s="95">
        <v>2009</v>
      </c>
      <c r="B9" s="163">
        <v>0.93528690027636541</v>
      </c>
      <c r="C9" s="163">
        <v>0.39177208674215108</v>
      </c>
      <c r="D9" s="163">
        <v>0.16363192955041547</v>
      </c>
      <c r="E9" s="163">
        <v>0.27158275301677692</v>
      </c>
      <c r="F9" s="163">
        <v>8.8900507924829994E-2</v>
      </c>
      <c r="G9" s="163">
        <v>1.9399623042216603E-2</v>
      </c>
      <c r="H9" s="163">
        <v>6.471309972361923E-2</v>
      </c>
      <c r="I9" s="163">
        <v>4.498282600424458E-2</v>
      </c>
      <c r="J9" s="163">
        <v>1.9730273719374646E-2</v>
      </c>
      <c r="K9" s="164"/>
    </row>
    <row r="10" spans="1:11">
      <c r="A10" s="95">
        <v>2010</v>
      </c>
      <c r="B10" s="163">
        <v>0.94981141959005211</v>
      </c>
      <c r="C10" s="163">
        <v>0.44677099031073786</v>
      </c>
      <c r="D10" s="163">
        <v>0.13816340960192622</v>
      </c>
      <c r="E10" s="163">
        <v>0.27433454038125243</v>
      </c>
      <c r="F10" s="163">
        <v>8.2189306197716513E-2</v>
      </c>
      <c r="G10" s="163">
        <v>8.3531730983717172E-3</v>
      </c>
      <c r="H10" s="163">
        <v>5.0188580409999517E-2</v>
      </c>
      <c r="I10" s="163">
        <v>3.488877131138949E-2</v>
      </c>
      <c r="J10" s="163">
        <v>1.5299809098610159E-2</v>
      </c>
      <c r="K10" s="164"/>
    </row>
    <row r="11" spans="1:11">
      <c r="A11" s="95">
        <v>2011</v>
      </c>
      <c r="B11" s="163">
        <v>0.95794540273180862</v>
      </c>
      <c r="C11" s="163">
        <v>0.45529296794954222</v>
      </c>
      <c r="D11" s="163">
        <v>0.10733799520538094</v>
      </c>
      <c r="E11" s="163">
        <v>0.31251795554733097</v>
      </c>
      <c r="F11" s="163">
        <v>7.680241047924681E-2</v>
      </c>
      <c r="G11" s="163">
        <v>5.9940735503166368E-3</v>
      </c>
      <c r="H11" s="163">
        <v>4.2054597268202418E-2</v>
      </c>
      <c r="I11" s="163">
        <v>2.9806992758977021E-2</v>
      </c>
      <c r="J11" s="163">
        <v>1.2247604509225497E-2</v>
      </c>
      <c r="K11" s="164"/>
    </row>
    <row r="12" spans="1:11">
      <c r="A12" s="95">
        <v>2012</v>
      </c>
      <c r="B12" s="163">
        <v>0.95878621978488798</v>
      </c>
      <c r="C12" s="163">
        <v>0.46532866077733159</v>
      </c>
      <c r="D12" s="163">
        <v>9.0119229486709293E-2</v>
      </c>
      <c r="E12" s="163">
        <v>0.30123527886332807</v>
      </c>
      <c r="F12" s="163">
        <v>8.0201414069432569E-2</v>
      </c>
      <c r="G12" s="163">
        <v>2.1901636588067448E-2</v>
      </c>
      <c r="H12" s="163">
        <v>4.1213780215140459E-2</v>
      </c>
      <c r="I12" s="163">
        <v>3.1364423864856474E-2</v>
      </c>
      <c r="J12" s="163">
        <v>9.8493563502840709E-3</v>
      </c>
      <c r="K12" s="164"/>
    </row>
    <row r="13" spans="1:11">
      <c r="A13" s="95">
        <v>2013</v>
      </c>
      <c r="B13" s="163">
        <v>0.95847179111743042</v>
      </c>
      <c r="C13" s="163">
        <v>0.47865018162002843</v>
      </c>
      <c r="D13" s="163">
        <v>0.11639158776833382</v>
      </c>
      <c r="E13" s="163">
        <v>0.29041900874610199</v>
      </c>
      <c r="F13" s="163">
        <v>7.0930895743607073E-2</v>
      </c>
      <c r="G13" s="163">
        <v>2.0801172393125375E-3</v>
      </c>
      <c r="H13" s="163">
        <v>4.1528208882605826E-2</v>
      </c>
      <c r="I13" s="163">
        <v>2.9501953327907282E-2</v>
      </c>
      <c r="J13" s="163">
        <v>1.2026255554698471E-2</v>
      </c>
      <c r="K13" s="164"/>
    </row>
    <row r="14" spans="1:11">
      <c r="A14" s="95">
        <v>2014</v>
      </c>
      <c r="B14" s="163">
        <v>0.96199694300733629</v>
      </c>
      <c r="C14" s="163">
        <v>0.49284752644498381</v>
      </c>
      <c r="D14" s="163">
        <v>0.12867760995299626</v>
      </c>
      <c r="E14" s="163">
        <v>0.26751389743206477</v>
      </c>
      <c r="F14" s="163">
        <v>7.0675499576013323E-2</v>
      </c>
      <c r="G14" s="163">
        <v>2.2824096012623754E-3</v>
      </c>
      <c r="H14" s="163">
        <v>3.80030569926883E-2</v>
      </c>
      <c r="I14" s="163">
        <v>3.0153681801379437E-2</v>
      </c>
      <c r="J14" s="163">
        <v>7.8493751913087835E-3</v>
      </c>
      <c r="K14" s="164"/>
    </row>
    <row r="15" spans="1:11">
      <c r="A15" s="95">
        <v>2015</v>
      </c>
      <c r="B15" s="163">
        <v>0.95227165094755861</v>
      </c>
      <c r="C15" s="163">
        <v>0.46503926016872632</v>
      </c>
      <c r="D15" s="163">
        <v>0.14011363144790162</v>
      </c>
      <c r="E15" s="163">
        <v>0.26421249856786677</v>
      </c>
      <c r="F15" s="163">
        <v>7.6556542345455669E-2</v>
      </c>
      <c r="G15" s="163">
        <v>6.3497184175655263E-3</v>
      </c>
      <c r="H15" s="163">
        <v>4.7728349052495476E-2</v>
      </c>
      <c r="I15" s="163">
        <v>3.6665724678661436E-2</v>
      </c>
      <c r="J15" s="163">
        <v>1.1062624373833777E-2</v>
      </c>
      <c r="K15" s="164"/>
    </row>
    <row r="16" spans="1:11">
      <c r="A16" s="95">
        <v>2016</v>
      </c>
      <c r="B16" s="163">
        <v>0.94787397053729228</v>
      </c>
      <c r="C16" s="163">
        <v>0.41189800096993695</v>
      </c>
      <c r="D16" s="163">
        <v>0.19873266926054153</v>
      </c>
      <c r="E16" s="163">
        <v>0.25121479096995269</v>
      </c>
      <c r="F16" s="163">
        <v>8.3933392712759597E-2</v>
      </c>
      <c r="G16" s="163">
        <v>2.0951166240949994E-3</v>
      </c>
      <c r="H16" s="163">
        <v>5.2126029462724918E-2</v>
      </c>
      <c r="I16" s="163">
        <v>4.0840830887482298E-2</v>
      </c>
      <c r="J16" s="163">
        <v>1.1285198575242662E-2</v>
      </c>
      <c r="K16" s="164"/>
    </row>
    <row r="17" spans="1:11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64"/>
    </row>
    <row r="18" spans="1:11">
      <c r="B18" s="165"/>
      <c r="C18" s="165"/>
      <c r="D18" s="165"/>
      <c r="E18" s="165"/>
      <c r="F18" s="165"/>
      <c r="G18" s="165"/>
      <c r="H18" s="165"/>
      <c r="I18" s="165"/>
      <c r="J18" s="165"/>
      <c r="K18" s="164"/>
    </row>
    <row r="19" spans="1:11">
      <c r="A19" s="92" t="s">
        <v>1326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4"/>
    </row>
    <row r="20" spans="1:11">
      <c r="A20" s="19"/>
    </row>
    <row r="21" spans="1:11" ht="15">
      <c r="A21" s="19" t="s">
        <v>1009</v>
      </c>
      <c r="B21"/>
    </row>
    <row r="23" spans="1:11"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1">
      <c r="B24" s="167"/>
      <c r="C24" s="167"/>
      <c r="D24" s="167"/>
      <c r="E24" s="167"/>
      <c r="F24" s="167"/>
      <c r="G24" s="167"/>
      <c r="H24" s="167"/>
      <c r="I24" s="167"/>
      <c r="J24" s="167"/>
    </row>
    <row r="25" spans="1:11">
      <c r="B25" s="167"/>
      <c r="C25" s="167"/>
      <c r="D25" s="167"/>
      <c r="E25" s="167"/>
      <c r="F25" s="167"/>
      <c r="G25" s="167"/>
      <c r="H25" s="167"/>
      <c r="I25" s="167"/>
      <c r="J25" s="167"/>
    </row>
    <row r="26" spans="1:11">
      <c r="B26" s="167"/>
      <c r="C26" s="167"/>
      <c r="D26" s="167"/>
      <c r="E26" s="167"/>
      <c r="F26" s="167"/>
      <c r="G26" s="167"/>
      <c r="H26" s="167"/>
      <c r="I26" s="167"/>
      <c r="J26" s="167"/>
    </row>
    <row r="27" spans="1:11">
      <c r="A27" s="168"/>
      <c r="B27" s="167"/>
      <c r="C27" s="167"/>
      <c r="D27" s="167"/>
      <c r="E27" s="167"/>
      <c r="F27" s="167"/>
      <c r="G27" s="167"/>
      <c r="H27" s="167"/>
      <c r="I27" s="167"/>
      <c r="J27" s="167"/>
    </row>
    <row r="28" spans="1:11">
      <c r="A28" s="168"/>
      <c r="B28" s="167"/>
      <c r="C28" s="167"/>
      <c r="D28" s="167"/>
      <c r="E28" s="167"/>
      <c r="F28" s="167"/>
      <c r="G28" s="167"/>
      <c r="H28" s="167"/>
      <c r="I28" s="167"/>
      <c r="J28" s="167"/>
    </row>
    <row r="29" spans="1:11">
      <c r="A29" s="168"/>
      <c r="B29" s="167"/>
      <c r="C29" s="167"/>
      <c r="D29" s="167"/>
      <c r="E29" s="167"/>
      <c r="F29" s="167"/>
      <c r="G29" s="167"/>
      <c r="H29" s="167"/>
      <c r="I29" s="167"/>
      <c r="J29" s="167"/>
    </row>
    <row r="30" spans="1:11">
      <c r="A30" s="168"/>
      <c r="B30" s="167"/>
      <c r="C30" s="167"/>
      <c r="D30" s="167"/>
      <c r="E30" s="167"/>
      <c r="F30" s="167"/>
      <c r="G30" s="167"/>
      <c r="H30" s="167"/>
      <c r="I30" s="167"/>
      <c r="J30" s="167"/>
    </row>
    <row r="31" spans="1:11">
      <c r="A31" s="168"/>
      <c r="B31" s="167"/>
      <c r="C31" s="167"/>
      <c r="D31" s="167"/>
      <c r="E31" s="167"/>
      <c r="F31" s="167"/>
      <c r="G31" s="167"/>
      <c r="H31" s="167"/>
      <c r="I31" s="167"/>
      <c r="J31" s="167"/>
    </row>
    <row r="32" spans="1:11">
      <c r="A32" s="168"/>
      <c r="B32" s="167"/>
      <c r="C32" s="167"/>
      <c r="D32" s="167"/>
      <c r="E32" s="167"/>
      <c r="F32" s="167"/>
      <c r="G32" s="167"/>
      <c r="H32" s="167"/>
      <c r="I32" s="167"/>
      <c r="J32" s="167"/>
    </row>
    <row r="33" spans="2:10">
      <c r="B33" s="167"/>
      <c r="C33" s="167"/>
      <c r="D33" s="167"/>
      <c r="E33" s="167"/>
      <c r="F33" s="167"/>
      <c r="G33" s="167"/>
      <c r="H33" s="167"/>
      <c r="I33" s="167"/>
      <c r="J33" s="167"/>
    </row>
    <row r="34" spans="2:10">
      <c r="B34" s="167"/>
      <c r="C34" s="167"/>
      <c r="D34" s="167"/>
      <c r="E34" s="167"/>
      <c r="F34" s="167"/>
      <c r="G34" s="167"/>
      <c r="H34" s="167"/>
      <c r="I34" s="167"/>
      <c r="J34" s="167"/>
    </row>
    <row r="35" spans="2:10">
      <c r="B35" s="167"/>
      <c r="C35" s="167"/>
      <c r="D35" s="167"/>
      <c r="E35" s="167"/>
      <c r="F35" s="167"/>
      <c r="G35" s="167"/>
      <c r="H35" s="167"/>
      <c r="I35" s="167"/>
      <c r="J35" s="167"/>
    </row>
    <row r="36" spans="2:10">
      <c r="B36" s="167"/>
      <c r="C36" s="167"/>
      <c r="D36" s="167"/>
      <c r="E36" s="167"/>
      <c r="F36" s="167"/>
      <c r="G36" s="167"/>
      <c r="H36" s="167"/>
      <c r="I36" s="167"/>
      <c r="J36" s="167"/>
    </row>
    <row r="37" spans="2:10">
      <c r="B37" s="167"/>
      <c r="C37" s="167"/>
      <c r="D37" s="167"/>
      <c r="E37" s="167"/>
      <c r="F37" s="167"/>
      <c r="G37" s="167"/>
      <c r="H37" s="167"/>
      <c r="I37" s="167"/>
      <c r="J37" s="167"/>
    </row>
    <row r="38" spans="2:10">
      <c r="B38" s="167"/>
      <c r="C38" s="167"/>
      <c r="D38" s="167"/>
      <c r="E38" s="167"/>
      <c r="F38" s="167"/>
      <c r="G38" s="167"/>
      <c r="H38" s="167"/>
      <c r="I38" s="167"/>
      <c r="J38" s="167"/>
    </row>
    <row r="39" spans="2:10">
      <c r="B39" s="167"/>
      <c r="C39" s="167"/>
      <c r="D39" s="167"/>
      <c r="E39" s="167"/>
      <c r="F39" s="167"/>
      <c r="G39" s="167"/>
      <c r="H39" s="167"/>
      <c r="I39" s="167"/>
      <c r="J39" s="167"/>
    </row>
    <row r="40" spans="2:10">
      <c r="B40" s="167"/>
      <c r="C40" s="167"/>
      <c r="D40" s="167"/>
      <c r="E40" s="167"/>
      <c r="F40" s="167"/>
      <c r="G40" s="167"/>
      <c r="H40" s="167"/>
      <c r="I40" s="167"/>
      <c r="J40" s="167"/>
    </row>
    <row r="41" spans="2:10">
      <c r="B41" s="167"/>
      <c r="C41" s="167"/>
      <c r="D41" s="167"/>
      <c r="E41" s="167"/>
      <c r="F41" s="167"/>
      <c r="G41" s="167"/>
      <c r="H41" s="167"/>
      <c r="I41" s="167"/>
      <c r="J41" s="167"/>
    </row>
    <row r="42" spans="2:10">
      <c r="B42" s="167"/>
      <c r="C42" s="167"/>
      <c r="D42" s="167"/>
      <c r="E42" s="167"/>
      <c r="F42" s="167"/>
      <c r="G42" s="167"/>
      <c r="H42" s="167"/>
      <c r="I42" s="167"/>
      <c r="J42" s="167"/>
    </row>
    <row r="43" spans="2:10">
      <c r="B43" s="167"/>
      <c r="C43" s="167"/>
      <c r="D43" s="167"/>
      <c r="E43" s="167"/>
      <c r="F43" s="167"/>
      <c r="G43" s="167"/>
      <c r="H43" s="167"/>
      <c r="I43" s="167"/>
      <c r="J43" s="167"/>
    </row>
    <row r="44" spans="2:10">
      <c r="B44" s="167"/>
    </row>
    <row r="45" spans="2:10">
      <c r="B45" s="167"/>
    </row>
    <row r="46" spans="2:10">
      <c r="B46" s="167"/>
    </row>
    <row r="47" spans="2:10">
      <c r="B47" s="167"/>
    </row>
  </sheetData>
  <mergeCells count="4">
    <mergeCell ref="A1:J1"/>
    <mergeCell ref="A2:J2"/>
    <mergeCell ref="A4:A5"/>
    <mergeCell ref="B4:J4"/>
  </mergeCells>
  <hyperlinks>
    <hyperlink ref="A21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orientation="landscape" verticalDpi="599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63"/>
  <sheetViews>
    <sheetView showGridLines="0" workbookViewId="0">
      <selection activeCell="A37" sqref="A37"/>
    </sheetView>
  </sheetViews>
  <sheetFormatPr baseColWidth="10" defaultRowHeight="12.75"/>
  <cols>
    <col min="1" max="1" width="11.42578125" style="92"/>
    <col min="2" max="7" width="12.7109375" style="166" customWidth="1"/>
    <col min="8" max="16384" width="11.42578125" style="92"/>
  </cols>
  <sheetData>
    <row r="1" spans="1:8">
      <c r="A1" s="292" t="s">
        <v>1501</v>
      </c>
      <c r="B1" s="292"/>
      <c r="C1" s="292"/>
      <c r="D1" s="292"/>
      <c r="E1" s="292"/>
      <c r="F1" s="292"/>
      <c r="G1" s="292"/>
    </row>
    <row r="2" spans="1:8">
      <c r="A2" s="292" t="s">
        <v>1327</v>
      </c>
      <c r="B2" s="292"/>
      <c r="C2" s="292"/>
      <c r="D2" s="292"/>
      <c r="E2" s="292"/>
      <c r="F2" s="292"/>
      <c r="G2" s="292"/>
    </row>
    <row r="4" spans="1:8">
      <c r="A4" s="337" t="s">
        <v>1315</v>
      </c>
      <c r="B4" s="297" t="s">
        <v>1316</v>
      </c>
      <c r="C4" s="297"/>
      <c r="D4" s="297"/>
      <c r="E4" s="297"/>
      <c r="F4" s="297"/>
      <c r="G4" s="339"/>
    </row>
    <row r="5" spans="1:8" ht="25.5">
      <c r="A5" s="338"/>
      <c r="B5" s="169" t="s">
        <v>1328</v>
      </c>
      <c r="C5" s="169" t="s">
        <v>1329</v>
      </c>
      <c r="D5" s="169" t="s">
        <v>1330</v>
      </c>
      <c r="E5" s="169" t="s">
        <v>1331</v>
      </c>
      <c r="F5" s="169" t="s">
        <v>1332</v>
      </c>
      <c r="G5" s="170" t="s">
        <v>1333</v>
      </c>
    </row>
    <row r="7" spans="1:8">
      <c r="A7" s="95">
        <v>1991</v>
      </c>
      <c r="B7" s="163">
        <v>0.91532870077489914</v>
      </c>
      <c r="C7" s="163"/>
      <c r="D7" s="163">
        <v>0.48730630646399431</v>
      </c>
      <c r="E7" s="163">
        <v>8.4671299225100832E-2</v>
      </c>
      <c r="F7" s="163"/>
      <c r="G7" s="163"/>
      <c r="H7" s="164"/>
    </row>
    <row r="8" spans="1:8">
      <c r="A8" s="95">
        <v>1992</v>
      </c>
      <c r="B8" s="163">
        <v>0.91097498402699628</v>
      </c>
      <c r="C8" s="163"/>
      <c r="D8" s="163">
        <v>0.50727655298352714</v>
      </c>
      <c r="E8" s="163">
        <v>8.9025015973003677E-2</v>
      </c>
      <c r="F8" s="163"/>
      <c r="G8" s="163"/>
      <c r="H8" s="164"/>
    </row>
    <row r="9" spans="1:8">
      <c r="A9" s="95">
        <v>1993</v>
      </c>
      <c r="B9" s="163">
        <v>0.91671485148240928</v>
      </c>
      <c r="C9" s="163">
        <v>0.32417683504608452</v>
      </c>
      <c r="D9" s="163">
        <v>0.50360383228364214</v>
      </c>
      <c r="E9" s="163">
        <v>8.3285148517590682E-2</v>
      </c>
      <c r="F9" s="163">
        <v>6.3659288626124105E-2</v>
      </c>
      <c r="G9" s="163">
        <v>1.9625859891466584E-2</v>
      </c>
      <c r="H9" s="164"/>
    </row>
    <row r="10" spans="1:8">
      <c r="A10" s="95">
        <v>1994</v>
      </c>
      <c r="B10" s="163">
        <v>0.92868051429047516</v>
      </c>
      <c r="C10" s="163">
        <v>0.35771872940810323</v>
      </c>
      <c r="D10" s="163">
        <v>0.48145223093082773</v>
      </c>
      <c r="E10" s="163">
        <v>7.1319485709524899E-2</v>
      </c>
      <c r="F10" s="163">
        <v>5.3829671059834154E-2</v>
      </c>
      <c r="G10" s="163">
        <v>1.7489814649690738E-2</v>
      </c>
      <c r="H10" s="164"/>
    </row>
    <row r="11" spans="1:8">
      <c r="A11" s="95">
        <v>1995</v>
      </c>
      <c r="B11" s="163">
        <v>0.93149694264175598</v>
      </c>
      <c r="C11" s="163">
        <v>0.35997099520216058</v>
      </c>
      <c r="D11" s="163">
        <v>0.48315505454667279</v>
      </c>
      <c r="E11" s="163">
        <v>6.8503057358244038E-2</v>
      </c>
      <c r="F11" s="163">
        <v>5.3814143801174753E-2</v>
      </c>
      <c r="G11" s="163">
        <v>1.4688913557069291E-2</v>
      </c>
      <c r="H11" s="164"/>
    </row>
    <row r="12" spans="1:8">
      <c r="A12" s="95">
        <v>1996</v>
      </c>
      <c r="B12" s="163">
        <v>0.89621201592328237</v>
      </c>
      <c r="C12" s="163">
        <v>0.3541270611418304</v>
      </c>
      <c r="D12" s="163">
        <v>0.45624509842851896</v>
      </c>
      <c r="E12" s="163">
        <v>0.10378798407671766</v>
      </c>
      <c r="F12" s="163">
        <v>8.3248848440928003E-2</v>
      </c>
      <c r="G12" s="163">
        <v>2.0539135635789661E-2</v>
      </c>
      <c r="H12" s="164"/>
    </row>
    <row r="13" spans="1:8">
      <c r="A13" s="95">
        <v>1997</v>
      </c>
      <c r="B13" s="163">
        <v>0.90763409913421322</v>
      </c>
      <c r="C13" s="163">
        <v>0.38840272570180301</v>
      </c>
      <c r="D13" s="163">
        <v>0.42805996781087258</v>
      </c>
      <c r="E13" s="163">
        <v>9.2365900865786749E-2</v>
      </c>
      <c r="F13" s="163">
        <v>7.1356715404839038E-2</v>
      </c>
      <c r="G13" s="163">
        <v>2.100918546094771E-2</v>
      </c>
      <c r="H13" s="164"/>
    </row>
    <row r="14" spans="1:8">
      <c r="A14" s="95">
        <v>1998</v>
      </c>
      <c r="B14" s="163">
        <v>0.8850490551284601</v>
      </c>
      <c r="C14" s="163">
        <v>0.33004361204824961</v>
      </c>
      <c r="D14" s="163">
        <v>0.42295373325648983</v>
      </c>
      <c r="E14" s="163">
        <v>0.11495094487153994</v>
      </c>
      <c r="F14" s="163">
        <v>8.6895208628939208E-2</v>
      </c>
      <c r="G14" s="163">
        <v>2.8055736242600725E-2</v>
      </c>
      <c r="H14" s="164"/>
    </row>
    <row r="15" spans="1:8">
      <c r="A15" s="95">
        <v>1999</v>
      </c>
      <c r="B15" s="163">
        <v>0.8558319876930619</v>
      </c>
      <c r="C15" s="163">
        <v>0.27047754113786121</v>
      </c>
      <c r="D15" s="163">
        <v>0.58535391599225484</v>
      </c>
      <c r="E15" s="163">
        <v>0.1441680123069381</v>
      </c>
      <c r="F15" s="163">
        <v>0.10087009670305533</v>
      </c>
      <c r="G15" s="163">
        <v>4.3297385040936907E-2</v>
      </c>
      <c r="H15" s="164"/>
    </row>
    <row r="16" spans="1:8">
      <c r="A16" s="95">
        <v>2000</v>
      </c>
      <c r="B16" s="163">
        <v>0.91018921864072933</v>
      </c>
      <c r="C16" s="163">
        <v>0.30487693751897282</v>
      </c>
      <c r="D16" s="163">
        <v>0.60531255071774537</v>
      </c>
      <c r="E16" s="163">
        <v>8.9810781359270619E-2</v>
      </c>
      <c r="F16" s="163">
        <v>5.9092205602528161E-2</v>
      </c>
      <c r="G16" s="163">
        <v>3.071830616075362E-2</v>
      </c>
      <c r="H16" s="164"/>
    </row>
    <row r="17" spans="1:8">
      <c r="A17" s="171" t="s">
        <v>1334</v>
      </c>
      <c r="B17" s="163">
        <v>0.89065737383622401</v>
      </c>
      <c r="C17" s="163">
        <v>0.33257496090740879</v>
      </c>
      <c r="D17" s="163">
        <v>0.55808265540108182</v>
      </c>
      <c r="E17" s="163">
        <v>0.10934262616377595</v>
      </c>
      <c r="F17" s="163">
        <v>5.8816012771499226E-2</v>
      </c>
      <c r="G17" s="163">
        <v>5.0526128447743471E-2</v>
      </c>
      <c r="H17" s="164"/>
    </row>
    <row r="18" spans="1:8">
      <c r="A18" s="171">
        <v>2002</v>
      </c>
      <c r="B18" s="163">
        <v>0.90759361372400615</v>
      </c>
      <c r="C18" s="163">
        <v>0.36965395614545293</v>
      </c>
      <c r="D18" s="163">
        <v>0.53792624125341093</v>
      </c>
      <c r="E18" s="163">
        <v>9.2403755624005116E-2</v>
      </c>
      <c r="F18" s="163">
        <v>5.4604969459445735E-2</v>
      </c>
      <c r="G18" s="163">
        <v>3.7799312294957116E-2</v>
      </c>
      <c r="H18" s="164"/>
    </row>
    <row r="19" spans="1:8">
      <c r="A19" s="95">
        <v>2003</v>
      </c>
      <c r="B19" s="163">
        <v>0.8845028214397358</v>
      </c>
      <c r="C19" s="163">
        <v>0.33564412186695952</v>
      </c>
      <c r="D19" s="163">
        <v>0.54885920053863846</v>
      </c>
      <c r="E19" s="163">
        <v>0.11549592614560873</v>
      </c>
      <c r="F19" s="163">
        <v>7.7006468471212494E-2</v>
      </c>
      <c r="G19" s="163">
        <v>3.848995864025842E-2</v>
      </c>
      <c r="H19" s="164"/>
    </row>
    <row r="20" spans="1:8">
      <c r="A20" s="95">
        <v>2004</v>
      </c>
      <c r="B20" s="163">
        <v>0.91421595456580917</v>
      </c>
      <c r="C20" s="163">
        <v>0.37242886691734134</v>
      </c>
      <c r="D20" s="163">
        <v>0.54178732458104395</v>
      </c>
      <c r="E20" s="163">
        <v>8.5783808501614697E-2</v>
      </c>
      <c r="F20" s="163">
        <v>5.8084968760439844E-2</v>
      </c>
      <c r="G20" s="163">
        <v>2.769907667375095E-2</v>
      </c>
      <c r="H20" s="164"/>
    </row>
    <row r="21" spans="1:8">
      <c r="A21" s="95">
        <v>2005</v>
      </c>
      <c r="B21" s="163">
        <v>0.9210533176254605</v>
      </c>
      <c r="C21" s="163">
        <v>0.36140447511960688</v>
      </c>
      <c r="D21" s="163">
        <v>0.5596488425058711</v>
      </c>
      <c r="E21" s="163">
        <v>7.8946682374542401E-2</v>
      </c>
      <c r="F21" s="163">
        <v>5.2519501092267933E-2</v>
      </c>
      <c r="G21" s="163">
        <v>2.6427181282274514E-2</v>
      </c>
      <c r="H21" s="164"/>
    </row>
    <row r="22" spans="1:8">
      <c r="A22" s="95">
        <v>2006</v>
      </c>
      <c r="B22" s="163">
        <v>0.92184383595889996</v>
      </c>
      <c r="C22" s="163">
        <v>0.3550987713177195</v>
      </c>
      <c r="D22" s="163">
        <v>0.56674506464118501</v>
      </c>
      <c r="E22" s="163">
        <v>7.8156164041113294E-2</v>
      </c>
      <c r="F22" s="163">
        <v>4.9307979893980336E-2</v>
      </c>
      <c r="G22" s="163">
        <v>2.8848184147132781E-2</v>
      </c>
      <c r="H22" s="164"/>
    </row>
    <row r="23" spans="1:8">
      <c r="A23" s="171" t="s">
        <v>1335</v>
      </c>
      <c r="B23" s="163">
        <v>0.93934507236710985</v>
      </c>
      <c r="C23" s="163">
        <v>0.4264131863433579</v>
      </c>
      <c r="D23" s="163">
        <v>0.5022807863200025</v>
      </c>
      <c r="E23" s="163">
        <v>6.0654927632895407E-2</v>
      </c>
      <c r="F23" s="163">
        <v>3.9632509835164011E-2</v>
      </c>
      <c r="G23" s="163">
        <v>2.1022417797731442E-2</v>
      </c>
      <c r="H23" s="164"/>
    </row>
    <row r="24" spans="1:8">
      <c r="A24" s="95">
        <v>2008</v>
      </c>
      <c r="B24" s="163">
        <v>0.92690164573677636</v>
      </c>
      <c r="C24" s="163">
        <v>0.43590757648500494</v>
      </c>
      <c r="D24" s="163">
        <v>0.48780265600319833</v>
      </c>
      <c r="E24" s="163">
        <v>7.3098354263217757E-2</v>
      </c>
      <c r="F24" s="163">
        <v>5.2168211429370774E-2</v>
      </c>
      <c r="G24" s="163">
        <v>2.0930142833847115E-2</v>
      </c>
      <c r="H24" s="164"/>
    </row>
    <row r="25" spans="1:8">
      <c r="A25" s="95">
        <v>2009</v>
      </c>
      <c r="B25" s="163">
        <v>0.92072320881315117</v>
      </c>
      <c r="C25" s="163">
        <v>0.38831751066754888</v>
      </c>
      <c r="D25" s="163">
        <v>0.50477658853275731</v>
      </c>
      <c r="E25" s="163">
        <v>7.9276791186848883E-2</v>
      </c>
      <c r="F25" s="163">
        <v>6.0245811740216412E-2</v>
      </c>
      <c r="G25" s="163">
        <v>1.9030979446632467E-2</v>
      </c>
      <c r="H25" s="164"/>
    </row>
    <row r="26" spans="1:8">
      <c r="A26" s="95">
        <v>2010</v>
      </c>
      <c r="B26" s="163">
        <v>0.93891064403206226</v>
      </c>
      <c r="C26" s="163">
        <v>0.45602770653433627</v>
      </c>
      <c r="D26" s="163">
        <v>0.47126994294376179</v>
      </c>
      <c r="E26" s="163">
        <v>6.108935596796003E-2</v>
      </c>
      <c r="F26" s="163">
        <v>4.5115946505151883E-2</v>
      </c>
      <c r="G26" s="163">
        <v>1.5973409462808202E-2</v>
      </c>
      <c r="H26" s="164"/>
    </row>
    <row r="27" spans="1:8">
      <c r="A27" s="95">
        <v>2011</v>
      </c>
      <c r="B27" s="163">
        <v>0.94933294679071922</v>
      </c>
      <c r="C27" s="163">
        <v>0.49901803391630861</v>
      </c>
      <c r="D27" s="163">
        <v>0.44220430620698548</v>
      </c>
      <c r="E27" s="163">
        <v>5.0667053209289055E-2</v>
      </c>
      <c r="F27" s="163">
        <v>3.8763772901939726E-2</v>
      </c>
      <c r="G27" s="163">
        <v>1.1903280307349193E-2</v>
      </c>
      <c r="H27" s="164"/>
    </row>
    <row r="28" spans="1:8">
      <c r="A28" s="95">
        <v>2012</v>
      </c>
      <c r="B28" s="163">
        <v>0.94960015511067042</v>
      </c>
      <c r="C28" s="163">
        <v>0.52067677828753678</v>
      </c>
      <c r="D28" s="163">
        <v>0.39830836373018913</v>
      </c>
      <c r="E28" s="163">
        <v>5.0399844889343029E-2</v>
      </c>
      <c r="F28" s="163">
        <v>3.9929611039590113E-2</v>
      </c>
      <c r="G28" s="163">
        <v>1.0470233849752925E-2</v>
      </c>
      <c r="H28" s="164"/>
    </row>
    <row r="29" spans="1:8">
      <c r="A29" s="95">
        <v>2013</v>
      </c>
      <c r="B29" s="163">
        <v>0.9514239682947534</v>
      </c>
      <c r="C29" s="163">
        <v>0.51506232217516756</v>
      </c>
      <c r="D29" s="163">
        <v>0.43349247513849787</v>
      </c>
      <c r="E29" s="163">
        <v>4.8576031705246721E-2</v>
      </c>
      <c r="F29" s="163">
        <v>3.6823435149951511E-2</v>
      </c>
      <c r="G29" s="163">
        <v>1.1752596555295152E-2</v>
      </c>
      <c r="H29" s="164"/>
    </row>
    <row r="30" spans="1:8">
      <c r="A30" s="95">
        <v>2014</v>
      </c>
      <c r="B30" s="163">
        <v>0.95458354849251337</v>
      </c>
      <c r="C30" s="163">
        <v>0.51398538843153385</v>
      </c>
      <c r="D30" s="163">
        <v>0.4377720161997139</v>
      </c>
      <c r="E30" s="163">
        <v>4.5416451507489339E-2</v>
      </c>
      <c r="F30" s="163">
        <v>3.7050833848957361E-2</v>
      </c>
      <c r="G30" s="163">
        <v>8.3656176585319864E-3</v>
      </c>
      <c r="H30" s="164"/>
    </row>
    <row r="31" spans="1:8">
      <c r="A31" s="108"/>
      <c r="B31" s="108"/>
      <c r="C31" s="108"/>
      <c r="D31" s="108"/>
      <c r="E31" s="108"/>
      <c r="F31" s="108"/>
      <c r="G31" s="108"/>
      <c r="H31" s="164"/>
    </row>
    <row r="32" spans="1:8">
      <c r="B32" s="165"/>
      <c r="C32" s="165"/>
      <c r="D32" s="165"/>
      <c r="E32" s="165"/>
      <c r="F32" s="165"/>
      <c r="G32" s="165"/>
      <c r="H32" s="164"/>
    </row>
    <row r="33" spans="1:8">
      <c r="A33" s="92" t="s">
        <v>1336</v>
      </c>
      <c r="B33" s="165"/>
      <c r="C33" s="165"/>
      <c r="D33" s="165"/>
      <c r="E33" s="165"/>
      <c r="F33" s="165"/>
      <c r="G33" s="165"/>
      <c r="H33" s="164"/>
    </row>
    <row r="34" spans="1:8">
      <c r="A34" s="92" t="s">
        <v>1337</v>
      </c>
      <c r="B34" s="165"/>
      <c r="C34" s="165"/>
      <c r="D34" s="165"/>
      <c r="E34" s="165"/>
      <c r="F34" s="165"/>
      <c r="G34" s="165"/>
      <c r="H34" s="164"/>
    </row>
    <row r="35" spans="1:8">
      <c r="A35" s="92" t="s">
        <v>1338</v>
      </c>
      <c r="B35" s="165"/>
      <c r="C35" s="165"/>
      <c r="D35" s="165"/>
      <c r="E35" s="165"/>
      <c r="F35" s="165"/>
      <c r="G35" s="165"/>
      <c r="H35" s="164"/>
    </row>
    <row r="36" spans="1:8">
      <c r="A36" s="19"/>
    </row>
    <row r="37" spans="1:8">
      <c r="A37" s="19" t="s">
        <v>1009</v>
      </c>
      <c r="B37" s="19"/>
    </row>
    <row r="39" spans="1:8">
      <c r="B39" s="167"/>
      <c r="C39" s="167"/>
      <c r="D39" s="167"/>
      <c r="E39" s="167"/>
      <c r="F39" s="167"/>
      <c r="G39" s="167"/>
    </row>
    <row r="40" spans="1:8">
      <c r="B40" s="167"/>
      <c r="C40" s="167"/>
      <c r="D40" s="167"/>
      <c r="E40" s="167"/>
      <c r="F40" s="167"/>
      <c r="G40" s="167"/>
    </row>
    <row r="41" spans="1:8">
      <c r="B41" s="167"/>
      <c r="C41" s="167"/>
      <c r="D41" s="167"/>
      <c r="E41" s="167"/>
      <c r="F41" s="167"/>
      <c r="G41" s="167"/>
    </row>
    <row r="42" spans="1:8">
      <c r="B42" s="167"/>
      <c r="C42" s="167"/>
      <c r="D42" s="167"/>
      <c r="E42" s="167"/>
      <c r="F42" s="167"/>
      <c r="G42" s="167"/>
    </row>
    <row r="43" spans="1:8">
      <c r="A43" s="168"/>
      <c r="B43" s="167"/>
      <c r="C43" s="167"/>
      <c r="D43" s="167"/>
      <c r="E43" s="167"/>
      <c r="F43" s="167"/>
      <c r="G43" s="167"/>
    </row>
    <row r="44" spans="1:8">
      <c r="A44" s="168"/>
      <c r="B44" s="167"/>
      <c r="C44" s="167"/>
      <c r="D44" s="167"/>
      <c r="E44" s="167"/>
      <c r="F44" s="167"/>
      <c r="G44" s="167"/>
    </row>
    <row r="45" spans="1:8">
      <c r="A45" s="168"/>
      <c r="B45" s="167"/>
      <c r="C45" s="167"/>
      <c r="D45" s="167"/>
      <c r="E45" s="167"/>
      <c r="F45" s="167"/>
      <c r="G45" s="167"/>
    </row>
    <row r="46" spans="1:8">
      <c r="A46" s="168"/>
      <c r="B46" s="167"/>
      <c r="C46" s="167"/>
      <c r="D46" s="167"/>
      <c r="E46" s="167"/>
      <c r="F46" s="167"/>
      <c r="G46" s="167"/>
    </row>
    <row r="47" spans="1:8">
      <c r="A47" s="168"/>
      <c r="B47" s="167"/>
      <c r="C47" s="167"/>
      <c r="D47" s="167"/>
      <c r="E47" s="167"/>
      <c r="F47" s="167"/>
      <c r="G47" s="167"/>
    </row>
    <row r="48" spans="1:8">
      <c r="A48" s="168"/>
      <c r="B48" s="167"/>
      <c r="C48" s="167"/>
      <c r="D48" s="167"/>
      <c r="E48" s="167"/>
      <c r="F48" s="167"/>
      <c r="G48" s="167"/>
    </row>
    <row r="49" spans="1:8">
      <c r="B49" s="167"/>
      <c r="C49" s="167"/>
      <c r="D49" s="167"/>
      <c r="E49" s="167"/>
      <c r="F49" s="167"/>
      <c r="G49" s="167"/>
    </row>
    <row r="50" spans="1:8">
      <c r="B50" s="167"/>
      <c r="C50" s="167"/>
      <c r="D50" s="167"/>
      <c r="E50" s="167"/>
      <c r="F50" s="167"/>
      <c r="G50" s="167"/>
    </row>
    <row r="51" spans="1:8">
      <c r="B51" s="167"/>
      <c r="C51" s="167"/>
      <c r="D51" s="167"/>
      <c r="E51" s="167"/>
      <c r="F51" s="167"/>
      <c r="G51" s="167"/>
    </row>
    <row r="52" spans="1:8">
      <c r="B52" s="167"/>
      <c r="C52" s="167"/>
      <c r="D52" s="167"/>
      <c r="E52" s="167"/>
      <c r="F52" s="167"/>
      <c r="G52" s="167"/>
    </row>
    <row r="53" spans="1:8">
      <c r="B53" s="167"/>
      <c r="C53" s="167"/>
      <c r="D53" s="167"/>
      <c r="E53" s="167"/>
      <c r="F53" s="167"/>
      <c r="G53" s="167"/>
    </row>
    <row r="54" spans="1:8">
      <c r="B54" s="167"/>
      <c r="C54" s="167"/>
      <c r="D54" s="167"/>
      <c r="E54" s="167"/>
      <c r="F54" s="167"/>
      <c r="G54" s="167"/>
    </row>
    <row r="55" spans="1:8">
      <c r="B55" s="167"/>
      <c r="C55" s="167"/>
      <c r="D55" s="167"/>
      <c r="E55" s="167"/>
      <c r="F55" s="167"/>
      <c r="G55" s="167"/>
    </row>
    <row r="56" spans="1:8">
      <c r="B56" s="167"/>
    </row>
    <row r="57" spans="1:8">
      <c r="B57" s="167"/>
    </row>
    <row r="58" spans="1:8">
      <c r="B58" s="167"/>
    </row>
    <row r="59" spans="1:8">
      <c r="B59" s="167"/>
    </row>
    <row r="60" spans="1:8">
      <c r="B60" s="167"/>
    </row>
    <row r="61" spans="1:8" s="166" customFormat="1">
      <c r="A61" s="92"/>
      <c r="B61" s="167"/>
      <c r="H61" s="92"/>
    </row>
    <row r="62" spans="1:8" s="166" customFormat="1">
      <c r="A62" s="92"/>
      <c r="B62" s="167"/>
      <c r="H62" s="92"/>
    </row>
    <row r="63" spans="1:8" s="166" customFormat="1">
      <c r="A63" s="92"/>
      <c r="B63" s="167"/>
      <c r="H63" s="92"/>
    </row>
  </sheetData>
  <mergeCells count="4">
    <mergeCell ref="A1:G1"/>
    <mergeCell ref="A2:G2"/>
    <mergeCell ref="A4:A5"/>
    <mergeCell ref="B4:G4"/>
  </mergeCells>
  <hyperlinks>
    <hyperlink ref="A37:B37" location="'indice cap.4'!A1" display="regresar al índice"/>
    <hyperlink ref="A37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orientation="landscape" verticalDpi="599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56"/>
  <sheetViews>
    <sheetView showGridLines="0" workbookViewId="0">
      <selection activeCell="A56" sqref="A56"/>
    </sheetView>
  </sheetViews>
  <sheetFormatPr baseColWidth="10" defaultRowHeight="12.75"/>
  <cols>
    <col min="1" max="1" width="11.42578125" style="230"/>
    <col min="2" max="2" width="14.42578125" style="229" customWidth="1"/>
    <col min="3" max="3" width="14.85546875" style="229" customWidth="1"/>
    <col min="4" max="4" width="13.28515625" style="229" customWidth="1"/>
    <col min="5" max="5" width="11.42578125" style="229"/>
    <col min="6" max="6" width="13" style="229" customWidth="1"/>
    <col min="7" max="7" width="12.140625" style="229" customWidth="1"/>
    <col min="8" max="16384" width="11.42578125" style="229"/>
  </cols>
  <sheetData>
    <row r="1" spans="1:10" s="228" customFormat="1" ht="18.75" customHeight="1">
      <c r="A1" s="340" t="s">
        <v>1492</v>
      </c>
      <c r="B1" s="340"/>
      <c r="C1" s="340"/>
      <c r="D1" s="340"/>
      <c r="E1" s="340"/>
      <c r="F1" s="340"/>
      <c r="G1" s="340"/>
    </row>
    <row r="2" spans="1:10">
      <c r="A2" s="340" t="s">
        <v>1385</v>
      </c>
      <c r="B2" s="340"/>
      <c r="C2" s="340"/>
      <c r="D2" s="340"/>
      <c r="E2" s="340"/>
      <c r="F2" s="340"/>
      <c r="G2" s="340"/>
    </row>
    <row r="3" spans="1:10">
      <c r="B3" s="230"/>
      <c r="C3" s="230"/>
      <c r="D3" s="230"/>
      <c r="E3" s="230"/>
      <c r="F3" s="230"/>
      <c r="G3" s="230"/>
    </row>
    <row r="4" spans="1:10" ht="23.25" customHeight="1" thickBot="1">
      <c r="A4" s="341" t="s">
        <v>1341</v>
      </c>
      <c r="B4" s="343" t="s">
        <v>1386</v>
      </c>
      <c r="C4" s="343"/>
      <c r="D4" s="343"/>
      <c r="E4" s="343"/>
      <c r="F4" s="344" t="s">
        <v>1387</v>
      </c>
      <c r="G4" s="345" t="s">
        <v>1388</v>
      </c>
    </row>
    <row r="5" spans="1:10" ht="33.75" customHeight="1">
      <c r="A5" s="342"/>
      <c r="B5" s="231" t="s">
        <v>1389</v>
      </c>
      <c r="C5" s="231" t="s">
        <v>1390</v>
      </c>
      <c r="D5" s="231" t="s">
        <v>1391</v>
      </c>
      <c r="E5" s="231" t="s">
        <v>1392</v>
      </c>
      <c r="F5" s="324"/>
      <c r="G5" s="346"/>
    </row>
    <row r="6" spans="1:10">
      <c r="B6" s="228"/>
      <c r="C6" s="228"/>
      <c r="D6" s="228"/>
      <c r="E6" s="228"/>
      <c r="F6" s="228"/>
      <c r="G6" s="228"/>
    </row>
    <row r="7" spans="1:10">
      <c r="A7" s="232">
        <v>1972</v>
      </c>
      <c r="B7" s="233">
        <v>28578</v>
      </c>
      <c r="C7" s="234">
        <v>0</v>
      </c>
      <c r="D7" s="234">
        <v>0</v>
      </c>
      <c r="E7" s="233">
        <v>28578</v>
      </c>
      <c r="F7" s="234">
        <v>0</v>
      </c>
      <c r="G7" s="233">
        <v>28578</v>
      </c>
      <c r="I7" s="235"/>
      <c r="J7" s="235"/>
    </row>
    <row r="8" spans="1:10">
      <c r="A8" s="232">
        <v>1973</v>
      </c>
      <c r="B8" s="233">
        <v>76221</v>
      </c>
      <c r="C8" s="234">
        <v>0</v>
      </c>
      <c r="D8" s="234">
        <v>0</v>
      </c>
      <c r="E8" s="233">
        <v>76221</v>
      </c>
      <c r="F8" s="234">
        <v>0</v>
      </c>
      <c r="G8" s="233">
        <v>76221</v>
      </c>
      <c r="I8" s="235"/>
      <c r="J8" s="235"/>
    </row>
    <row r="9" spans="1:10">
      <c r="A9" s="232">
        <v>1974</v>
      </c>
      <c r="B9" s="233">
        <v>64615</v>
      </c>
      <c r="C9" s="234">
        <v>0</v>
      </c>
      <c r="D9" s="234">
        <v>0</v>
      </c>
      <c r="E9" s="233">
        <v>64615</v>
      </c>
      <c r="F9" s="234">
        <v>0</v>
      </c>
      <c r="G9" s="233">
        <v>64615</v>
      </c>
      <c r="I9" s="235"/>
      <c r="J9" s="235"/>
    </row>
    <row r="10" spans="1:10">
      <c r="A10" s="232">
        <v>1975</v>
      </c>
      <c r="B10" s="233">
        <v>58732</v>
      </c>
      <c r="C10" s="234">
        <v>0</v>
      </c>
      <c r="D10" s="234">
        <v>0</v>
      </c>
      <c r="E10" s="233">
        <v>58732</v>
      </c>
      <c r="F10" s="234">
        <v>0</v>
      </c>
      <c r="G10" s="233">
        <v>58732</v>
      </c>
      <c r="I10" s="235"/>
      <c r="J10" s="235"/>
    </row>
    <row r="11" spans="1:10">
      <c r="A11" s="232">
        <v>1976</v>
      </c>
      <c r="B11" s="233">
        <v>68267</v>
      </c>
      <c r="C11" s="234">
        <v>0</v>
      </c>
      <c r="D11" s="234">
        <v>0</v>
      </c>
      <c r="E11" s="233">
        <v>68267</v>
      </c>
      <c r="F11" s="234">
        <v>0</v>
      </c>
      <c r="G11" s="233">
        <v>68267</v>
      </c>
      <c r="I11" s="235"/>
      <c r="J11" s="235"/>
    </row>
    <row r="12" spans="1:10">
      <c r="A12" s="232">
        <v>1977</v>
      </c>
      <c r="B12" s="233">
        <v>66598</v>
      </c>
      <c r="C12" s="234">
        <v>0</v>
      </c>
      <c r="D12" s="234">
        <v>0</v>
      </c>
      <c r="E12" s="233">
        <v>66598</v>
      </c>
      <c r="F12" s="234">
        <v>0</v>
      </c>
      <c r="G12" s="233">
        <v>66598</v>
      </c>
      <c r="I12" s="235"/>
      <c r="J12" s="235"/>
    </row>
    <row r="13" spans="1:10">
      <c r="A13" s="232">
        <v>1978</v>
      </c>
      <c r="B13" s="233">
        <v>72863</v>
      </c>
      <c r="C13" s="234">
        <v>0</v>
      </c>
      <c r="D13" s="234">
        <v>0</v>
      </c>
      <c r="E13" s="233">
        <v>72863</v>
      </c>
      <c r="F13" s="233">
        <v>791</v>
      </c>
      <c r="G13" s="233">
        <v>73654</v>
      </c>
      <c r="I13" s="235"/>
      <c r="J13" s="235"/>
    </row>
    <row r="14" spans="1:10">
      <c r="A14" s="232">
        <v>1979</v>
      </c>
      <c r="B14" s="233">
        <v>76986</v>
      </c>
      <c r="C14" s="234">
        <v>0</v>
      </c>
      <c r="D14" s="234">
        <v>0</v>
      </c>
      <c r="E14" s="233">
        <v>76986</v>
      </c>
      <c r="F14" s="233">
        <v>1197</v>
      </c>
      <c r="G14" s="233">
        <v>78183</v>
      </c>
      <c r="I14" s="235"/>
      <c r="J14" s="235"/>
    </row>
    <row r="15" spans="1:10">
      <c r="A15" s="232">
        <v>1980</v>
      </c>
      <c r="B15" s="233">
        <v>73146</v>
      </c>
      <c r="C15" s="234">
        <v>0</v>
      </c>
      <c r="D15" s="234">
        <v>0</v>
      </c>
      <c r="E15" s="233">
        <v>73146</v>
      </c>
      <c r="F15" s="233">
        <v>1476</v>
      </c>
      <c r="G15" s="233">
        <v>74622</v>
      </c>
      <c r="I15" s="235"/>
      <c r="J15" s="235"/>
    </row>
    <row r="16" spans="1:10">
      <c r="A16" s="232">
        <v>1981</v>
      </c>
      <c r="B16" s="233">
        <v>75283</v>
      </c>
      <c r="C16" s="234">
        <v>0</v>
      </c>
      <c r="D16" s="234">
        <v>0</v>
      </c>
      <c r="E16" s="233">
        <v>75283</v>
      </c>
      <c r="F16" s="233">
        <v>1415</v>
      </c>
      <c r="G16" s="233">
        <v>76698</v>
      </c>
      <c r="I16" s="235"/>
      <c r="J16" s="235"/>
    </row>
    <row r="17" spans="1:12">
      <c r="A17" s="232">
        <v>1982</v>
      </c>
      <c r="B17" s="233">
        <v>75760</v>
      </c>
      <c r="C17" s="234">
        <v>0</v>
      </c>
      <c r="D17" s="234">
        <v>0</v>
      </c>
      <c r="E17" s="233">
        <v>75760</v>
      </c>
      <c r="F17" s="233">
        <v>1241</v>
      </c>
      <c r="G17" s="233">
        <v>77001</v>
      </c>
      <c r="I17" s="235"/>
      <c r="J17" s="235"/>
    </row>
    <row r="18" spans="1:12">
      <c r="A18" s="232">
        <v>1983</v>
      </c>
      <c r="B18" s="233">
        <v>85003</v>
      </c>
      <c r="C18" s="234">
        <v>0</v>
      </c>
      <c r="D18" s="234">
        <v>0</v>
      </c>
      <c r="E18" s="233">
        <v>85003</v>
      </c>
      <c r="F18" s="233">
        <v>1375</v>
      </c>
      <c r="G18" s="233">
        <v>86378</v>
      </c>
      <c r="I18" s="235"/>
      <c r="J18" s="235"/>
    </row>
    <row r="19" spans="1:12">
      <c r="A19" s="232">
        <v>1984</v>
      </c>
      <c r="B19" s="233">
        <v>92140</v>
      </c>
      <c r="C19" s="234">
        <v>0</v>
      </c>
      <c r="D19" s="234">
        <v>0</v>
      </c>
      <c r="E19" s="233">
        <v>92140</v>
      </c>
      <c r="F19" s="233">
        <v>1524</v>
      </c>
      <c r="G19" s="233">
        <v>93664</v>
      </c>
      <c r="I19" s="235"/>
      <c r="J19" s="235"/>
    </row>
    <row r="20" spans="1:12">
      <c r="A20" s="232">
        <v>1985</v>
      </c>
      <c r="B20" s="233">
        <v>100493</v>
      </c>
      <c r="C20" s="234">
        <v>0</v>
      </c>
      <c r="D20" s="234">
        <v>0</v>
      </c>
      <c r="E20" s="233">
        <v>100493</v>
      </c>
      <c r="F20" s="233">
        <v>1578</v>
      </c>
      <c r="G20" s="233">
        <v>102071</v>
      </c>
      <c r="I20" s="235"/>
      <c r="J20" s="235"/>
    </row>
    <row r="21" spans="1:12">
      <c r="A21" s="232">
        <v>1986</v>
      </c>
      <c r="B21" s="233">
        <v>104466</v>
      </c>
      <c r="C21" s="234">
        <v>0</v>
      </c>
      <c r="D21" s="234">
        <v>0</v>
      </c>
      <c r="E21" s="233">
        <v>104466</v>
      </c>
      <c r="F21" s="233">
        <v>1845</v>
      </c>
      <c r="G21" s="233">
        <v>106311</v>
      </c>
      <c r="I21" s="235"/>
      <c r="J21" s="235"/>
    </row>
    <row r="22" spans="1:12">
      <c r="A22" s="232">
        <v>1987</v>
      </c>
      <c r="B22" s="233">
        <v>61843</v>
      </c>
      <c r="C22" s="234">
        <v>0</v>
      </c>
      <c r="D22" s="234">
        <v>0</v>
      </c>
      <c r="E22" s="233">
        <v>61843</v>
      </c>
      <c r="F22" s="233">
        <v>1272</v>
      </c>
      <c r="G22" s="233">
        <v>63115</v>
      </c>
      <c r="I22" s="235"/>
      <c r="J22" s="235"/>
    </row>
    <row r="23" spans="1:12">
      <c r="A23" s="232">
        <v>1988</v>
      </c>
      <c r="B23" s="233">
        <v>108479</v>
      </c>
      <c r="C23" s="234">
        <v>0</v>
      </c>
      <c r="D23" s="234">
        <v>0</v>
      </c>
      <c r="E23" s="233">
        <v>108479</v>
      </c>
      <c r="F23" s="233">
        <v>2385</v>
      </c>
      <c r="G23" s="233">
        <v>110864</v>
      </c>
      <c r="I23" s="235"/>
      <c r="J23" s="235"/>
    </row>
    <row r="24" spans="1:12">
      <c r="A24" s="232">
        <v>1989</v>
      </c>
      <c r="B24" s="233">
        <v>99623</v>
      </c>
      <c r="C24" s="234">
        <v>0</v>
      </c>
      <c r="D24" s="234">
        <v>0</v>
      </c>
      <c r="E24" s="233">
        <v>99623</v>
      </c>
      <c r="F24" s="233">
        <v>2215</v>
      </c>
      <c r="G24" s="233">
        <v>101838</v>
      </c>
      <c r="I24" s="235"/>
      <c r="J24" s="235"/>
    </row>
    <row r="25" spans="1:12">
      <c r="A25" s="232">
        <v>1990</v>
      </c>
      <c r="B25" s="233">
        <v>102428</v>
      </c>
      <c r="C25" s="234">
        <v>0</v>
      </c>
      <c r="D25" s="234">
        <v>0</v>
      </c>
      <c r="E25" s="233">
        <v>102428</v>
      </c>
      <c r="F25" s="233">
        <v>1866</v>
      </c>
      <c r="G25" s="233">
        <v>104294</v>
      </c>
      <c r="I25" s="235"/>
      <c r="J25" s="235"/>
    </row>
    <row r="26" spans="1:12">
      <c r="A26" s="232">
        <v>1991</v>
      </c>
      <c r="B26" s="233">
        <v>106415</v>
      </c>
      <c r="C26" s="234">
        <v>0</v>
      </c>
      <c r="D26" s="234">
        <v>0</v>
      </c>
      <c r="E26" s="233">
        <v>106415</v>
      </c>
      <c r="F26" s="233">
        <v>2153</v>
      </c>
      <c r="G26" s="233">
        <v>108568</v>
      </c>
      <c r="I26" s="235"/>
      <c r="J26" s="235"/>
    </row>
    <row r="27" spans="1:12">
      <c r="A27" s="232">
        <v>1992</v>
      </c>
      <c r="B27" s="233">
        <v>113957</v>
      </c>
      <c r="C27" s="234">
        <v>0</v>
      </c>
      <c r="D27" s="234">
        <v>0</v>
      </c>
      <c r="E27" s="233">
        <v>113957</v>
      </c>
      <c r="F27" s="233">
        <v>2592</v>
      </c>
      <c r="G27" s="233">
        <v>116549</v>
      </c>
      <c r="I27" s="235"/>
      <c r="J27" s="235"/>
    </row>
    <row r="28" spans="1:12">
      <c r="A28" s="232">
        <v>1993</v>
      </c>
      <c r="B28" s="233">
        <v>116268</v>
      </c>
      <c r="C28" s="234">
        <v>0</v>
      </c>
      <c r="D28" s="234">
        <v>0</v>
      </c>
      <c r="E28" s="233">
        <v>116268</v>
      </c>
      <c r="F28" s="233">
        <v>7544</v>
      </c>
      <c r="G28" s="233">
        <v>123812</v>
      </c>
      <c r="I28" s="235"/>
      <c r="J28" s="235"/>
    </row>
    <row r="29" spans="1:12">
      <c r="A29" s="232">
        <v>1994</v>
      </c>
      <c r="B29" s="233">
        <v>119804</v>
      </c>
      <c r="C29" s="234">
        <v>0</v>
      </c>
      <c r="D29" s="234">
        <v>0</v>
      </c>
      <c r="E29" s="233">
        <v>119804</v>
      </c>
      <c r="F29" s="233">
        <v>18461</v>
      </c>
      <c r="G29" s="233">
        <v>138265</v>
      </c>
      <c r="I29" s="235"/>
      <c r="J29" s="235"/>
    </row>
    <row r="30" spans="1:12">
      <c r="A30" s="232">
        <v>1995</v>
      </c>
      <c r="B30" s="233">
        <v>115709</v>
      </c>
      <c r="C30" s="234">
        <v>0</v>
      </c>
      <c r="D30" s="234">
        <v>0</v>
      </c>
      <c r="E30" s="233">
        <v>115709</v>
      </c>
      <c r="F30" s="233">
        <v>27514</v>
      </c>
      <c r="G30" s="233">
        <v>143223</v>
      </c>
      <c r="I30" s="235"/>
      <c r="J30" s="235"/>
    </row>
    <row r="31" spans="1:12">
      <c r="A31" s="232">
        <v>1996</v>
      </c>
      <c r="B31" s="233">
        <v>112100</v>
      </c>
      <c r="C31" s="234">
        <v>0</v>
      </c>
      <c r="D31" s="234">
        <v>0</v>
      </c>
      <c r="E31" s="233">
        <v>112100</v>
      </c>
      <c r="F31" s="233">
        <v>28471</v>
      </c>
      <c r="G31" s="233">
        <v>140571</v>
      </c>
      <c r="I31" s="235"/>
      <c r="J31" s="235"/>
      <c r="L31" s="235"/>
    </row>
    <row r="32" spans="1:12">
      <c r="A32" s="232">
        <v>1997</v>
      </c>
      <c r="B32" s="233">
        <v>107119</v>
      </c>
      <c r="C32" s="234">
        <v>0</v>
      </c>
      <c r="D32" s="234">
        <v>0</v>
      </c>
      <c r="E32" s="233">
        <v>107119</v>
      </c>
      <c r="F32" s="233">
        <v>35007</v>
      </c>
      <c r="G32" s="233">
        <v>142126</v>
      </c>
      <c r="I32" s="235"/>
      <c r="J32" s="235"/>
      <c r="L32" s="235"/>
    </row>
    <row r="33" spans="1:12">
      <c r="A33" s="232">
        <v>1998</v>
      </c>
      <c r="B33" s="233">
        <v>101711</v>
      </c>
      <c r="C33" s="234">
        <v>0</v>
      </c>
      <c r="D33" s="234">
        <v>0</v>
      </c>
      <c r="E33" s="233">
        <v>101711</v>
      </c>
      <c r="F33" s="233">
        <v>35678</v>
      </c>
      <c r="G33" s="233">
        <v>137389</v>
      </c>
      <c r="I33" s="235"/>
      <c r="J33" s="235"/>
      <c r="L33" s="235"/>
    </row>
    <row r="34" spans="1:12">
      <c r="A34" s="232">
        <v>1999</v>
      </c>
      <c r="B34" s="233">
        <v>90387</v>
      </c>
      <c r="C34" s="234">
        <v>0</v>
      </c>
      <c r="D34" s="234">
        <v>0</v>
      </c>
      <c r="E34" s="233">
        <v>90387</v>
      </c>
      <c r="F34" s="233">
        <v>46749</v>
      </c>
      <c r="G34" s="233">
        <v>137136</v>
      </c>
      <c r="I34" s="235"/>
      <c r="J34" s="235"/>
      <c r="L34" s="235"/>
    </row>
    <row r="35" spans="1:12" s="228" customFormat="1">
      <c r="A35" s="232">
        <v>2000</v>
      </c>
      <c r="B35" s="233">
        <v>85046.674640000012</v>
      </c>
      <c r="C35" s="234">
        <v>0</v>
      </c>
      <c r="D35" s="234">
        <v>0</v>
      </c>
      <c r="E35" s="233">
        <v>85046.674640000012</v>
      </c>
      <c r="F35" s="233">
        <v>61162.455359999993</v>
      </c>
      <c r="G35" s="233">
        <v>146209.13</v>
      </c>
      <c r="I35" s="235"/>
      <c r="J35" s="235"/>
      <c r="L35" s="235"/>
    </row>
    <row r="36" spans="1:12" s="228" customFormat="1">
      <c r="A36" s="232">
        <v>2001</v>
      </c>
      <c r="B36" s="233">
        <v>82929.339000000007</v>
      </c>
      <c r="C36" s="234">
        <v>0</v>
      </c>
      <c r="D36" s="234">
        <v>0</v>
      </c>
      <c r="E36" s="233">
        <v>82929.339000000007</v>
      </c>
      <c r="F36" s="233">
        <v>65817</v>
      </c>
      <c r="G36" s="233">
        <v>148746.33900000001</v>
      </c>
      <c r="I36" s="235"/>
      <c r="J36" s="235"/>
      <c r="L36" s="235"/>
    </row>
    <row r="37" spans="1:12" s="228" customFormat="1">
      <c r="A37" s="232">
        <v>2002</v>
      </c>
      <c r="B37" s="233">
        <v>80137</v>
      </c>
      <c r="C37" s="234">
        <v>0</v>
      </c>
      <c r="D37" s="234">
        <v>0</v>
      </c>
      <c r="E37" s="233">
        <v>80137</v>
      </c>
      <c r="F37" s="233">
        <v>62984</v>
      </c>
      <c r="G37" s="233">
        <v>143121</v>
      </c>
      <c r="I37" s="235"/>
      <c r="J37" s="235"/>
      <c r="L37" s="235"/>
    </row>
    <row r="38" spans="1:12" s="228" customFormat="1">
      <c r="A38" s="232">
        <v>2003</v>
      </c>
      <c r="B38" s="233">
        <v>74514.232999999993</v>
      </c>
      <c r="C38" s="234">
        <v>0</v>
      </c>
      <c r="D38" s="234">
        <v>0</v>
      </c>
      <c r="E38" s="233">
        <v>74514.232999999993</v>
      </c>
      <c r="F38" s="233">
        <v>79004.05780000001</v>
      </c>
      <c r="G38" s="233">
        <v>153518.29080000002</v>
      </c>
      <c r="I38" s="235"/>
      <c r="J38" s="235"/>
      <c r="L38" s="235"/>
    </row>
    <row r="39" spans="1:12" s="228" customFormat="1">
      <c r="A39" s="232">
        <v>2004</v>
      </c>
      <c r="B39" s="233">
        <v>71942.849849999999</v>
      </c>
      <c r="C39" s="234">
        <v>0</v>
      </c>
      <c r="D39" s="234">
        <v>0</v>
      </c>
      <c r="E39" s="233">
        <v>71942.849849999999</v>
      </c>
      <c r="F39" s="233">
        <v>120439.95401999999</v>
      </c>
      <c r="G39" s="233">
        <v>192382.80387</v>
      </c>
      <c r="I39" s="235"/>
      <c r="J39" s="235"/>
      <c r="L39" s="235"/>
    </row>
    <row r="40" spans="1:12" s="228" customFormat="1">
      <c r="A40" s="232">
        <v>2005</v>
      </c>
      <c r="B40" s="233">
        <v>70972.005189999996</v>
      </c>
      <c r="C40" s="234">
        <v>0</v>
      </c>
      <c r="D40" s="234">
        <v>0</v>
      </c>
      <c r="E40" s="233">
        <v>70972.005189999996</v>
      </c>
      <c r="F40" s="233">
        <v>123199.79182999999</v>
      </c>
      <c r="G40" s="233">
        <v>194171.79702</v>
      </c>
      <c r="I40" s="235"/>
      <c r="J40" s="235"/>
      <c r="L40" s="235"/>
    </row>
    <row r="41" spans="1:12" s="228" customFormat="1">
      <c r="A41" s="232">
        <v>2006</v>
      </c>
      <c r="B41" s="233">
        <v>90438.212589999996</v>
      </c>
      <c r="C41" s="234">
        <v>0</v>
      </c>
      <c r="D41" s="234">
        <v>0</v>
      </c>
      <c r="E41" s="233">
        <v>90438.212589999996</v>
      </c>
      <c r="F41" s="233">
        <v>105212.70878</v>
      </c>
      <c r="G41" s="233">
        <v>195650.92137</v>
      </c>
      <c r="I41" s="235"/>
      <c r="J41" s="235"/>
      <c r="L41" s="235"/>
    </row>
    <row r="42" spans="1:12">
      <c r="A42" s="232">
        <v>2007</v>
      </c>
      <c r="B42" s="233">
        <v>94334.437629999986</v>
      </c>
      <c r="C42" s="234">
        <v>0</v>
      </c>
      <c r="D42" s="234">
        <v>0</v>
      </c>
      <c r="E42" s="233">
        <v>94334.437629999986</v>
      </c>
      <c r="F42" s="233">
        <v>92212.693119999996</v>
      </c>
      <c r="G42" s="233">
        <v>186547.13074999998</v>
      </c>
      <c r="I42" s="235"/>
      <c r="J42" s="235"/>
    </row>
    <row r="43" spans="1:12">
      <c r="A43" s="232">
        <v>2008</v>
      </c>
      <c r="B43" s="233">
        <v>62822.057622999986</v>
      </c>
      <c r="C43" s="233">
        <v>34749.086779999998</v>
      </c>
      <c r="D43" s="234">
        <v>0</v>
      </c>
      <c r="E43" s="233">
        <v>97571.144402999984</v>
      </c>
      <c r="F43" s="233">
        <v>87156.736463000008</v>
      </c>
      <c r="G43" s="233">
        <v>184727.88086599999</v>
      </c>
      <c r="I43" s="235"/>
      <c r="J43" s="235"/>
    </row>
    <row r="44" spans="1:12">
      <c r="A44" s="232">
        <v>2009</v>
      </c>
      <c r="B44" s="233">
        <v>63578.461739999984</v>
      </c>
      <c r="C44" s="233">
        <v>36183.010098000006</v>
      </c>
      <c r="D44" s="233">
        <v>3006.4118600000002</v>
      </c>
      <c r="E44" s="233">
        <v>102767.88369799999</v>
      </c>
      <c r="F44" s="233">
        <v>74646.521098333324</v>
      </c>
      <c r="G44" s="233">
        <v>177414.40479633331</v>
      </c>
      <c r="I44" s="235"/>
      <c r="J44" s="235"/>
      <c r="K44" s="235"/>
    </row>
    <row r="45" spans="1:12">
      <c r="A45" s="232">
        <v>2010</v>
      </c>
      <c r="B45" s="233">
        <v>49675.800909000012</v>
      </c>
      <c r="C45" s="233">
        <v>41807.686729999994</v>
      </c>
      <c r="D45" s="233">
        <v>18460.53471</v>
      </c>
      <c r="E45" s="233">
        <v>109944.02234900001</v>
      </c>
      <c r="F45" s="233">
        <v>67477.736353</v>
      </c>
      <c r="G45" s="233">
        <v>177421.75870200002</v>
      </c>
      <c r="I45" s="235"/>
      <c r="J45" s="235"/>
      <c r="K45" s="235"/>
    </row>
    <row r="46" spans="1:12">
      <c r="A46" s="232">
        <v>2011</v>
      </c>
      <c r="B46" s="233">
        <v>55297.310600000012</v>
      </c>
      <c r="C46" s="233">
        <v>57155.767200000002</v>
      </c>
      <c r="D46" s="233">
        <v>18074.676349999998</v>
      </c>
      <c r="E46" s="233">
        <v>130527.75415000001</v>
      </c>
      <c r="F46" s="233">
        <v>51829.172910000008</v>
      </c>
      <c r="G46" s="233">
        <v>182356.92706000002</v>
      </c>
      <c r="I46" s="235"/>
      <c r="J46" s="235"/>
    </row>
    <row r="47" spans="1:12">
      <c r="A47" s="232">
        <v>2012</v>
      </c>
      <c r="B47" s="233">
        <v>58257.656309999991</v>
      </c>
      <c r="C47" s="233">
        <v>54284.796276999994</v>
      </c>
      <c r="D47" s="233">
        <v>21113.629550000001</v>
      </c>
      <c r="E47" s="233">
        <v>133656.08213699999</v>
      </c>
      <c r="F47" s="233">
        <v>50667.20388999999</v>
      </c>
      <c r="G47" s="233">
        <v>184323.28602699999</v>
      </c>
      <c r="I47" s="235"/>
      <c r="J47" s="235"/>
    </row>
    <row r="48" spans="1:12">
      <c r="A48" s="232">
        <v>2013</v>
      </c>
      <c r="B48" s="234">
        <v>0</v>
      </c>
      <c r="C48" s="233">
        <v>119206.52485999999</v>
      </c>
      <c r="D48" s="233">
        <v>25714.910620000002</v>
      </c>
      <c r="E48" s="233">
        <v>144921.43547999999</v>
      </c>
      <c r="F48" s="233">
        <v>47197.61411000001</v>
      </c>
      <c r="G48" s="233">
        <v>192119.04959000001</v>
      </c>
      <c r="I48" s="235"/>
      <c r="J48" s="235"/>
    </row>
    <row r="49" spans="1:10">
      <c r="A49" s="232">
        <v>2014</v>
      </c>
      <c r="B49" s="234">
        <v>0</v>
      </c>
      <c r="C49" s="233">
        <v>131774.67651799999</v>
      </c>
      <c r="D49" s="233">
        <v>26201.26641</v>
      </c>
      <c r="E49" s="233">
        <v>157975.942928</v>
      </c>
      <c r="F49" s="233">
        <v>45166.231619999999</v>
      </c>
      <c r="G49" s="233">
        <v>203142.17454800001</v>
      </c>
      <c r="I49" s="235"/>
      <c r="J49" s="235"/>
    </row>
    <row r="50" spans="1:10">
      <c r="A50" s="232">
        <v>2015</v>
      </c>
      <c r="B50" s="234">
        <v>0</v>
      </c>
      <c r="C50" s="233">
        <v>127277.73855999997</v>
      </c>
      <c r="D50" s="233">
        <v>27029.893640000002</v>
      </c>
      <c r="E50" s="233">
        <v>154307.63219999996</v>
      </c>
      <c r="F50" s="233">
        <v>43921.991919999993</v>
      </c>
      <c r="G50" s="233">
        <v>198229.62411999996</v>
      </c>
      <c r="I50" s="235"/>
      <c r="J50" s="235"/>
    </row>
    <row r="51" spans="1:10">
      <c r="A51" s="232">
        <v>2016</v>
      </c>
      <c r="B51" s="234">
        <v>0</v>
      </c>
      <c r="C51" s="233">
        <v>142668.69666000002</v>
      </c>
      <c r="D51" s="233">
        <v>15449.679600000001</v>
      </c>
      <c r="E51" s="233">
        <v>158118.37626000002</v>
      </c>
      <c r="F51" s="233">
        <v>42593.034489999998</v>
      </c>
      <c r="G51" s="233">
        <v>200711.41075000001</v>
      </c>
      <c r="I51" s="235"/>
      <c r="J51" s="235"/>
    </row>
    <row r="52" spans="1:10">
      <c r="A52" s="236"/>
      <c r="B52" s="237"/>
      <c r="C52" s="237"/>
      <c r="D52" s="237"/>
      <c r="E52" s="237"/>
      <c r="F52" s="237"/>
      <c r="G52" s="237"/>
      <c r="I52" s="235"/>
    </row>
    <row r="54" spans="1:10">
      <c r="A54" s="238"/>
    </row>
    <row r="55" spans="1:10">
      <c r="A55" s="107" t="s">
        <v>1393</v>
      </c>
    </row>
    <row r="56" spans="1:10" ht="15">
      <c r="A56" s="389" t="s">
        <v>1009</v>
      </c>
    </row>
  </sheetData>
  <mergeCells count="6">
    <mergeCell ref="A1:G1"/>
    <mergeCell ref="A2:G2"/>
    <mergeCell ref="A4:A5"/>
    <mergeCell ref="B4:E4"/>
    <mergeCell ref="F4:F5"/>
    <mergeCell ref="G4:G5"/>
  </mergeCells>
  <hyperlinks>
    <hyperlink ref="A56" location="'Indice cap.4'!A1" display="regresar al índice"/>
    <hyperlink ref="A55" location="'indice cap.2'!A1" display="Notas"/>
  </hyperlink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0"/>
  <sheetViews>
    <sheetView showGridLines="0" workbookViewId="0">
      <selection activeCell="A57" sqref="A57"/>
    </sheetView>
  </sheetViews>
  <sheetFormatPr baseColWidth="10" defaultRowHeight="12.75"/>
  <cols>
    <col min="1" max="3" width="11.42578125" style="92"/>
    <col min="4" max="4" width="14.85546875" style="92" customWidth="1"/>
    <col min="5" max="5" width="11.42578125" style="92"/>
    <col min="6" max="6" width="11.42578125" style="92" customWidth="1"/>
    <col min="7" max="7" width="14.28515625" style="92" customWidth="1"/>
    <col min="8" max="9" width="11.42578125" style="92"/>
    <col min="10" max="10" width="13.85546875" style="92" customWidth="1"/>
    <col min="11" max="12" width="11.42578125" style="92"/>
    <col min="13" max="13" width="14.42578125" style="92" customWidth="1"/>
    <col min="14" max="16384" width="11.42578125" style="92"/>
  </cols>
  <sheetData>
    <row r="1" spans="1:16">
      <c r="A1" s="340" t="s">
        <v>1493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spans="1:16">
      <c r="A2" s="340" t="s">
        <v>1385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</row>
    <row r="3" spans="1:16">
      <c r="A3" s="239"/>
      <c r="B3" s="239"/>
      <c r="C3" s="239"/>
      <c r="D3" s="239"/>
      <c r="E3" s="239"/>
      <c r="F3" s="239"/>
      <c r="G3" s="239"/>
      <c r="H3" s="239"/>
      <c r="I3" s="239"/>
      <c r="J3" s="239"/>
      <c r="K3" s="198"/>
      <c r="L3" s="198"/>
      <c r="M3" s="198"/>
    </row>
    <row r="4" spans="1:16" s="240" customFormat="1" ht="21" customHeight="1" thickBot="1">
      <c r="A4" s="349" t="s">
        <v>1341</v>
      </c>
      <c r="B4" s="351" t="s">
        <v>1394</v>
      </c>
      <c r="C4" s="351"/>
      <c r="D4" s="351"/>
      <c r="E4" s="351"/>
      <c r="F4" s="351"/>
      <c r="G4" s="351"/>
      <c r="H4" s="351"/>
      <c r="I4" s="351"/>
      <c r="J4" s="351"/>
      <c r="K4" s="352" t="s">
        <v>1395</v>
      </c>
      <c r="L4" s="352"/>
      <c r="M4" s="353"/>
      <c r="N4" s="352" t="s">
        <v>1498</v>
      </c>
      <c r="O4" s="352"/>
      <c r="P4" s="353"/>
    </row>
    <row r="5" spans="1:16" ht="30" customHeight="1" thickBot="1">
      <c r="A5" s="350"/>
      <c r="B5" s="347" t="s">
        <v>1396</v>
      </c>
      <c r="C5" s="347"/>
      <c r="D5" s="347"/>
      <c r="E5" s="347" t="s">
        <v>1397</v>
      </c>
      <c r="F5" s="347"/>
      <c r="G5" s="347"/>
      <c r="H5" s="347" t="s">
        <v>1398</v>
      </c>
      <c r="I5" s="347"/>
      <c r="J5" s="347"/>
      <c r="K5" s="347" t="s">
        <v>1399</v>
      </c>
      <c r="L5" s="347"/>
      <c r="M5" s="348"/>
      <c r="N5" s="347" t="s">
        <v>1499</v>
      </c>
      <c r="O5" s="347"/>
      <c r="P5" s="348"/>
    </row>
    <row r="6" spans="1:16" ht="27.75" customHeight="1">
      <c r="A6" s="350"/>
      <c r="B6" s="241" t="s">
        <v>1400</v>
      </c>
      <c r="C6" s="241" t="s">
        <v>1401</v>
      </c>
      <c r="D6" s="242" t="s">
        <v>1402</v>
      </c>
      <c r="E6" s="241" t="s">
        <v>1400</v>
      </c>
      <c r="F6" s="241" t="s">
        <v>1401</v>
      </c>
      <c r="G6" s="242" t="s">
        <v>1402</v>
      </c>
      <c r="H6" s="241" t="s">
        <v>1400</v>
      </c>
      <c r="I6" s="241" t="s">
        <v>1401</v>
      </c>
      <c r="J6" s="242" t="s">
        <v>1402</v>
      </c>
      <c r="K6" s="241" t="s">
        <v>1400</v>
      </c>
      <c r="L6" s="241" t="s">
        <v>1401</v>
      </c>
      <c r="M6" s="243" t="s">
        <v>1402</v>
      </c>
      <c r="N6" s="241" t="s">
        <v>1400</v>
      </c>
      <c r="O6" s="241" t="s">
        <v>1401</v>
      </c>
      <c r="P6" s="243" t="s">
        <v>1402</v>
      </c>
    </row>
    <row r="7" spans="1:16">
      <c r="D7" s="244"/>
    </row>
    <row r="8" spans="1:16">
      <c r="A8" s="245">
        <v>1972</v>
      </c>
      <c r="B8" s="246">
        <v>24961.599999999999</v>
      </c>
      <c r="C8" s="246">
        <v>62404</v>
      </c>
      <c r="D8" s="247">
        <v>2.5</v>
      </c>
      <c r="E8" s="248">
        <v>0</v>
      </c>
      <c r="F8" s="249">
        <v>0</v>
      </c>
      <c r="G8" s="248">
        <v>0</v>
      </c>
      <c r="H8" s="250">
        <v>24961.599999999999</v>
      </c>
      <c r="I8" s="250">
        <v>62404</v>
      </c>
      <c r="J8" s="247">
        <v>2.5</v>
      </c>
      <c r="K8" s="248">
        <v>0</v>
      </c>
      <c r="L8" s="248">
        <v>0</v>
      </c>
      <c r="M8" s="249">
        <v>0</v>
      </c>
      <c r="N8" s="248">
        <v>0</v>
      </c>
      <c r="O8" s="248">
        <v>0</v>
      </c>
      <c r="P8" s="249">
        <v>0</v>
      </c>
    </row>
    <row r="9" spans="1:16">
      <c r="A9" s="245">
        <v>1973</v>
      </c>
      <c r="B9" s="246">
        <v>71125.600000000006</v>
      </c>
      <c r="C9" s="246">
        <v>298727.59999999998</v>
      </c>
      <c r="D9" s="247">
        <v>4.2000011247708269</v>
      </c>
      <c r="E9" s="248">
        <v>0</v>
      </c>
      <c r="F9" s="249">
        <v>0</v>
      </c>
      <c r="G9" s="248">
        <v>0</v>
      </c>
      <c r="H9" s="250">
        <v>71125.600000000006</v>
      </c>
      <c r="I9" s="250">
        <v>298727.59999999998</v>
      </c>
      <c r="J9" s="247">
        <v>4.2000011247708269</v>
      </c>
      <c r="K9" s="248">
        <v>0</v>
      </c>
      <c r="L9" s="248">
        <v>0</v>
      </c>
      <c r="M9" s="249">
        <v>0</v>
      </c>
      <c r="N9" s="248">
        <v>0</v>
      </c>
      <c r="O9" s="248">
        <v>0</v>
      </c>
      <c r="P9" s="249">
        <v>0</v>
      </c>
    </row>
    <row r="10" spans="1:16">
      <c r="A10" s="245">
        <v>1974</v>
      </c>
      <c r="B10" s="246">
        <v>59233.1</v>
      </c>
      <c r="C10" s="246">
        <v>772065.9</v>
      </c>
      <c r="D10" s="247">
        <v>13.034365920405991</v>
      </c>
      <c r="E10" s="248">
        <v>0</v>
      </c>
      <c r="F10" s="249">
        <v>0</v>
      </c>
      <c r="G10" s="248">
        <v>0</v>
      </c>
      <c r="H10" s="250">
        <v>59233.1</v>
      </c>
      <c r="I10" s="250">
        <v>772065.9</v>
      </c>
      <c r="J10" s="247">
        <v>13.034365920405991</v>
      </c>
      <c r="K10" s="248">
        <v>0</v>
      </c>
      <c r="L10" s="248">
        <v>0</v>
      </c>
      <c r="M10" s="249">
        <v>0</v>
      </c>
      <c r="N10" s="248">
        <v>0</v>
      </c>
      <c r="O10" s="248">
        <v>0</v>
      </c>
      <c r="P10" s="249">
        <v>0</v>
      </c>
    </row>
    <row r="11" spans="1:16">
      <c r="A11" s="245">
        <v>1975</v>
      </c>
      <c r="B11" s="246">
        <v>52267.900000000009</v>
      </c>
      <c r="C11" s="246">
        <v>601081</v>
      </c>
      <c r="D11" s="247">
        <v>11.500002869830238</v>
      </c>
      <c r="E11" s="248">
        <v>0</v>
      </c>
      <c r="F11" s="249">
        <v>0</v>
      </c>
      <c r="G11" s="248">
        <v>0</v>
      </c>
      <c r="H11" s="250">
        <v>52267.900000000009</v>
      </c>
      <c r="I11" s="250">
        <v>601081</v>
      </c>
      <c r="J11" s="247">
        <v>11.500002869830238</v>
      </c>
      <c r="K11" s="248">
        <v>0</v>
      </c>
      <c r="L11" s="248">
        <v>0</v>
      </c>
      <c r="M11" s="249">
        <v>0</v>
      </c>
      <c r="N11" s="248">
        <v>0</v>
      </c>
      <c r="O11" s="248">
        <v>0</v>
      </c>
      <c r="P11" s="249">
        <v>0</v>
      </c>
    </row>
    <row r="12" spans="1:16">
      <c r="A12" s="245">
        <v>1976</v>
      </c>
      <c r="B12" s="246">
        <v>61336.9</v>
      </c>
      <c r="C12" s="246">
        <v>648647.30000000005</v>
      </c>
      <c r="D12" s="247">
        <v>10.575156227328085</v>
      </c>
      <c r="E12" s="248">
        <v>0</v>
      </c>
      <c r="F12" s="249">
        <v>0</v>
      </c>
      <c r="G12" s="248">
        <v>0</v>
      </c>
      <c r="H12" s="250">
        <v>61336.9</v>
      </c>
      <c r="I12" s="250">
        <v>648647.30000000005</v>
      </c>
      <c r="J12" s="247">
        <v>10.575156227328085</v>
      </c>
      <c r="K12" s="248">
        <v>0</v>
      </c>
      <c r="L12" s="248">
        <v>0</v>
      </c>
      <c r="M12" s="249">
        <v>0</v>
      </c>
      <c r="N12" s="248">
        <v>0</v>
      </c>
      <c r="O12" s="248">
        <v>0</v>
      </c>
      <c r="P12" s="249">
        <v>0</v>
      </c>
    </row>
    <row r="13" spans="1:16">
      <c r="A13" s="245">
        <v>1977</v>
      </c>
      <c r="B13" s="246">
        <v>50453.1</v>
      </c>
      <c r="C13" s="246">
        <v>655890.30000000005</v>
      </c>
      <c r="D13" s="247">
        <v>13.000000000000002</v>
      </c>
      <c r="E13" s="248">
        <v>0</v>
      </c>
      <c r="F13" s="249">
        <v>0</v>
      </c>
      <c r="G13" s="248">
        <v>0</v>
      </c>
      <c r="H13" s="250">
        <v>50453.1</v>
      </c>
      <c r="I13" s="250">
        <v>655890.30000000005</v>
      </c>
      <c r="J13" s="247">
        <v>13.000000000000002</v>
      </c>
      <c r="K13" s="248">
        <v>0</v>
      </c>
      <c r="L13" s="248">
        <v>0</v>
      </c>
      <c r="M13" s="249">
        <v>0</v>
      </c>
      <c r="N13" s="248">
        <v>0</v>
      </c>
      <c r="O13" s="248">
        <v>0</v>
      </c>
      <c r="P13" s="249">
        <v>0</v>
      </c>
    </row>
    <row r="14" spans="1:16">
      <c r="A14" s="245">
        <v>1978</v>
      </c>
      <c r="B14" s="246">
        <v>44487.1</v>
      </c>
      <c r="C14" s="246">
        <v>556088.80000000005</v>
      </c>
      <c r="D14" s="247">
        <v>12.500001123921319</v>
      </c>
      <c r="E14" s="248">
        <v>0</v>
      </c>
      <c r="F14" s="249">
        <v>0</v>
      </c>
      <c r="G14" s="248">
        <v>0</v>
      </c>
      <c r="H14" s="250">
        <v>44487.1</v>
      </c>
      <c r="I14" s="250">
        <v>556088.80000000005</v>
      </c>
      <c r="J14" s="247">
        <v>12.500001123921319</v>
      </c>
      <c r="K14" s="250">
        <v>312</v>
      </c>
      <c r="L14" s="250">
        <v>3900</v>
      </c>
      <c r="M14" s="247">
        <v>12.5</v>
      </c>
      <c r="N14" s="248">
        <v>0</v>
      </c>
      <c r="O14" s="249">
        <v>0</v>
      </c>
      <c r="P14" s="248">
        <v>0</v>
      </c>
    </row>
    <row r="15" spans="1:16">
      <c r="A15" s="245">
        <v>1979</v>
      </c>
      <c r="B15" s="246">
        <v>44447</v>
      </c>
      <c r="C15" s="246">
        <v>953276.2</v>
      </c>
      <c r="D15" s="247">
        <v>21.447481269826984</v>
      </c>
      <c r="E15" s="248">
        <v>0</v>
      </c>
      <c r="F15" s="249">
        <v>0</v>
      </c>
      <c r="G15" s="248">
        <v>0</v>
      </c>
      <c r="H15" s="250">
        <v>44447</v>
      </c>
      <c r="I15" s="250">
        <v>953276.2</v>
      </c>
      <c r="J15" s="247">
        <v>21.447481269826984</v>
      </c>
      <c r="K15" s="250">
        <v>344.2</v>
      </c>
      <c r="L15" s="250">
        <v>8088.7</v>
      </c>
      <c r="M15" s="247">
        <v>23.5</v>
      </c>
      <c r="N15" s="248">
        <v>0</v>
      </c>
      <c r="O15" s="249">
        <v>0</v>
      </c>
      <c r="P15" s="248">
        <v>0</v>
      </c>
    </row>
    <row r="16" spans="1:16">
      <c r="A16" s="245">
        <v>1980</v>
      </c>
      <c r="B16" s="246">
        <v>39187.599999999999</v>
      </c>
      <c r="C16" s="246">
        <v>1361133.9</v>
      </c>
      <c r="D16" s="247">
        <v>34.733790790964491</v>
      </c>
      <c r="E16" s="248">
        <v>0</v>
      </c>
      <c r="F16" s="249">
        <v>0</v>
      </c>
      <c r="G16" s="248">
        <v>0</v>
      </c>
      <c r="H16" s="250">
        <v>39187.599999999999</v>
      </c>
      <c r="I16" s="250">
        <v>1361133.9</v>
      </c>
      <c r="J16" s="247">
        <v>34.733790790964491</v>
      </c>
      <c r="K16" s="250">
        <v>448.7</v>
      </c>
      <c r="L16" s="250">
        <v>15821.2</v>
      </c>
      <c r="M16" s="247">
        <v>35.260084689101852</v>
      </c>
      <c r="N16" s="248">
        <v>0</v>
      </c>
      <c r="O16" s="249">
        <v>0</v>
      </c>
      <c r="P16" s="248">
        <v>0</v>
      </c>
    </row>
    <row r="17" spans="1:16">
      <c r="A17" s="245">
        <v>1981</v>
      </c>
      <c r="B17" s="246">
        <v>45068.9</v>
      </c>
      <c r="C17" s="246">
        <v>1553842.3</v>
      </c>
      <c r="D17" s="247">
        <v>34.477040708781445</v>
      </c>
      <c r="E17" s="248">
        <v>0</v>
      </c>
      <c r="F17" s="249">
        <v>0</v>
      </c>
      <c r="G17" s="248">
        <v>0</v>
      </c>
      <c r="H17" s="250">
        <v>45068.9</v>
      </c>
      <c r="I17" s="250">
        <v>1553842.3</v>
      </c>
      <c r="J17" s="247">
        <v>34.477040708781445</v>
      </c>
      <c r="K17" s="250">
        <v>379.8</v>
      </c>
      <c r="L17" s="250">
        <v>13095.5</v>
      </c>
      <c r="M17" s="247">
        <v>34.479989468141127</v>
      </c>
      <c r="N17" s="248">
        <v>0</v>
      </c>
      <c r="O17" s="249">
        <v>0</v>
      </c>
      <c r="P17" s="248">
        <v>0</v>
      </c>
    </row>
    <row r="18" spans="1:16">
      <c r="A18" s="245">
        <v>1982</v>
      </c>
      <c r="B18" s="246">
        <v>41695.599999999999</v>
      </c>
      <c r="C18" s="246">
        <v>1156257.8</v>
      </c>
      <c r="D18" s="247">
        <v>27.730930841623579</v>
      </c>
      <c r="E18" s="248">
        <v>0</v>
      </c>
      <c r="F18" s="249">
        <v>0</v>
      </c>
      <c r="G18" s="248">
        <v>0</v>
      </c>
      <c r="H18" s="250">
        <v>41695.599999999999</v>
      </c>
      <c r="I18" s="250">
        <v>1156257.8</v>
      </c>
      <c r="J18" s="247">
        <v>27.730930841623579</v>
      </c>
      <c r="K18" s="250">
        <v>430</v>
      </c>
      <c r="L18" s="250">
        <v>14121.2</v>
      </c>
      <c r="M18" s="247">
        <v>32.840000000000003</v>
      </c>
      <c r="N18" s="248">
        <v>0</v>
      </c>
      <c r="O18" s="249">
        <v>0</v>
      </c>
      <c r="P18" s="248">
        <v>0</v>
      </c>
    </row>
    <row r="19" spans="1:16">
      <c r="A19" s="245">
        <v>1983</v>
      </c>
      <c r="B19" s="246">
        <v>58822.7</v>
      </c>
      <c r="C19" s="246">
        <v>1514489.4</v>
      </c>
      <c r="D19" s="247">
        <v>25.746682828227879</v>
      </c>
      <c r="E19" s="248">
        <v>0</v>
      </c>
      <c r="F19" s="249">
        <v>0</v>
      </c>
      <c r="G19" s="248">
        <v>0</v>
      </c>
      <c r="H19" s="250">
        <v>58822.7</v>
      </c>
      <c r="I19" s="250">
        <v>1514489.4</v>
      </c>
      <c r="J19" s="247">
        <v>25.746682828227879</v>
      </c>
      <c r="K19" s="250">
        <v>480</v>
      </c>
      <c r="L19" s="250">
        <v>13478.4</v>
      </c>
      <c r="M19" s="247">
        <v>28.08</v>
      </c>
      <c r="N19" s="248">
        <v>0</v>
      </c>
      <c r="O19" s="249">
        <v>0</v>
      </c>
      <c r="P19" s="248">
        <v>0</v>
      </c>
    </row>
    <row r="20" spans="1:16">
      <c r="A20" s="245">
        <v>1984</v>
      </c>
      <c r="B20" s="246">
        <v>60641.100000000006</v>
      </c>
      <c r="C20" s="246">
        <v>1607359.8</v>
      </c>
      <c r="D20" s="247">
        <v>26.506112191236635</v>
      </c>
      <c r="E20" s="248">
        <v>0</v>
      </c>
      <c r="F20" s="249">
        <v>0</v>
      </c>
      <c r="G20" s="248">
        <v>0</v>
      </c>
      <c r="H20" s="250">
        <v>60641.100000000006</v>
      </c>
      <c r="I20" s="250">
        <v>1607359.8</v>
      </c>
      <c r="J20" s="247">
        <v>26.506112191236635</v>
      </c>
      <c r="K20" s="250">
        <v>704</v>
      </c>
      <c r="L20" s="250">
        <v>19331.8</v>
      </c>
      <c r="M20" s="247">
        <v>27.459943181818179</v>
      </c>
      <c r="N20" s="248">
        <v>0</v>
      </c>
      <c r="O20" s="249">
        <v>0</v>
      </c>
      <c r="P20" s="248">
        <v>0</v>
      </c>
    </row>
    <row r="21" spans="1:16">
      <c r="A21" s="245">
        <v>1985</v>
      </c>
      <c r="B21" s="246">
        <v>68453.8</v>
      </c>
      <c r="C21" s="246">
        <v>1673164.9000000001</v>
      </c>
      <c r="D21" s="247">
        <v>24.44225010152833</v>
      </c>
      <c r="E21" s="248">
        <v>0</v>
      </c>
      <c r="F21" s="249">
        <v>0</v>
      </c>
      <c r="G21" s="248">
        <v>0</v>
      </c>
      <c r="H21" s="250">
        <v>68453.8</v>
      </c>
      <c r="I21" s="250">
        <v>1673164.9000000001</v>
      </c>
      <c r="J21" s="247">
        <v>24.44225010152833</v>
      </c>
      <c r="K21" s="250">
        <v>489.9</v>
      </c>
      <c r="L21" s="250">
        <v>12688.4</v>
      </c>
      <c r="M21" s="247">
        <v>25.899979587670952</v>
      </c>
      <c r="N21" s="248">
        <v>0</v>
      </c>
      <c r="O21" s="249">
        <v>0</v>
      </c>
      <c r="P21" s="248">
        <v>0</v>
      </c>
    </row>
    <row r="22" spans="1:16">
      <c r="A22" s="245">
        <v>1986</v>
      </c>
      <c r="B22" s="246">
        <v>70587.399999999994</v>
      </c>
      <c r="C22" s="246">
        <v>855651.10000000009</v>
      </c>
      <c r="D22" s="247">
        <v>12.121867358763748</v>
      </c>
      <c r="E22" s="248">
        <v>0</v>
      </c>
      <c r="F22" s="249">
        <v>0</v>
      </c>
      <c r="G22" s="248">
        <v>0</v>
      </c>
      <c r="H22" s="250">
        <v>70587.399999999994</v>
      </c>
      <c r="I22" s="250">
        <v>855651.10000000009</v>
      </c>
      <c r="J22" s="247">
        <v>12.121867358763748</v>
      </c>
      <c r="K22" s="250">
        <v>809.9</v>
      </c>
      <c r="L22" s="250">
        <v>10285.700000000001</v>
      </c>
      <c r="M22" s="247">
        <v>12.699962958389927</v>
      </c>
      <c r="N22" s="248">
        <v>0</v>
      </c>
      <c r="O22" s="249">
        <v>0</v>
      </c>
      <c r="P22" s="248">
        <v>0</v>
      </c>
    </row>
    <row r="23" spans="1:16">
      <c r="A23" s="245">
        <v>1987</v>
      </c>
      <c r="B23" s="246">
        <v>45158.5</v>
      </c>
      <c r="C23" s="246">
        <v>644760.5</v>
      </c>
      <c r="D23" s="247">
        <v>14.277721802097059</v>
      </c>
      <c r="E23" s="248">
        <v>0</v>
      </c>
      <c r="F23" s="249">
        <v>0</v>
      </c>
      <c r="G23" s="248">
        <v>0</v>
      </c>
      <c r="H23" s="250">
        <v>45158.5</v>
      </c>
      <c r="I23" s="250">
        <v>644760.5</v>
      </c>
      <c r="J23" s="247">
        <v>14.277721802097059</v>
      </c>
      <c r="K23" s="250">
        <v>240</v>
      </c>
      <c r="L23" s="250">
        <v>3924</v>
      </c>
      <c r="M23" s="247">
        <v>16.350000000000001</v>
      </c>
      <c r="N23" s="248">
        <v>0</v>
      </c>
      <c r="O23" s="249">
        <v>0</v>
      </c>
      <c r="P23" s="248">
        <v>0</v>
      </c>
    </row>
    <row r="24" spans="1:16">
      <c r="A24" s="245">
        <v>1988</v>
      </c>
      <c r="B24" s="246">
        <v>68501.7</v>
      </c>
      <c r="C24" s="246">
        <v>678966.1</v>
      </c>
      <c r="D24" s="247">
        <v>9.9116678856145182</v>
      </c>
      <c r="E24" s="248">
        <v>0</v>
      </c>
      <c r="F24" s="249">
        <v>0</v>
      </c>
      <c r="G24" s="248">
        <v>0</v>
      </c>
      <c r="H24" s="250">
        <v>68501.7</v>
      </c>
      <c r="I24" s="250">
        <v>678966.1</v>
      </c>
      <c r="J24" s="247">
        <v>9.9116678856145182</v>
      </c>
      <c r="K24" s="250">
        <v>500</v>
      </c>
      <c r="L24" s="250">
        <v>6250</v>
      </c>
      <c r="M24" s="247">
        <v>12.5</v>
      </c>
      <c r="N24" s="248">
        <v>0</v>
      </c>
      <c r="O24" s="249">
        <v>0</v>
      </c>
      <c r="P24" s="248">
        <v>0</v>
      </c>
    </row>
    <row r="25" spans="1:16">
      <c r="A25" s="251">
        <v>1989</v>
      </c>
      <c r="B25" s="246">
        <v>63198</v>
      </c>
      <c r="C25" s="246">
        <v>963559.4</v>
      </c>
      <c r="D25" s="247">
        <v>15.246675527706573</v>
      </c>
      <c r="E25" s="248">
        <v>0</v>
      </c>
      <c r="F25" s="249">
        <v>0</v>
      </c>
      <c r="G25" s="248">
        <v>0</v>
      </c>
      <c r="H25" s="250">
        <v>63198</v>
      </c>
      <c r="I25" s="250">
        <v>963559.4</v>
      </c>
      <c r="J25" s="247">
        <v>15.246675527706573</v>
      </c>
      <c r="K25" s="250">
        <v>535</v>
      </c>
      <c r="L25" s="250">
        <v>8677.7000000000007</v>
      </c>
      <c r="M25" s="247">
        <v>16.220000000000002</v>
      </c>
      <c r="N25" s="248">
        <v>0</v>
      </c>
      <c r="O25" s="249">
        <v>0</v>
      </c>
      <c r="P25" s="248">
        <v>0</v>
      </c>
    </row>
    <row r="26" spans="1:16">
      <c r="A26" s="245">
        <v>1990</v>
      </c>
      <c r="B26" s="246">
        <v>61782.5</v>
      </c>
      <c r="C26" s="246">
        <v>1190562.5</v>
      </c>
      <c r="D26" s="247">
        <v>19.270222150285274</v>
      </c>
      <c r="E26" s="248">
        <v>0</v>
      </c>
      <c r="F26" s="249">
        <v>0</v>
      </c>
      <c r="G26" s="248">
        <v>0</v>
      </c>
      <c r="H26" s="250">
        <v>61782.5</v>
      </c>
      <c r="I26" s="250">
        <v>1190562.5</v>
      </c>
      <c r="J26" s="247">
        <v>19.270222150285274</v>
      </c>
      <c r="K26" s="250">
        <v>491.4</v>
      </c>
      <c r="L26" s="250">
        <v>9985.2000000000007</v>
      </c>
      <c r="M26" s="247">
        <v>20.319902319902322</v>
      </c>
      <c r="N26" s="248">
        <v>0</v>
      </c>
      <c r="O26" s="249">
        <v>0</v>
      </c>
      <c r="P26" s="248">
        <v>0</v>
      </c>
    </row>
    <row r="27" spans="1:16">
      <c r="A27" s="245">
        <v>1991</v>
      </c>
      <c r="B27" s="246">
        <v>64774.6</v>
      </c>
      <c r="C27" s="246">
        <v>1046586.8999999999</v>
      </c>
      <c r="D27" s="247">
        <v>16.157365695812864</v>
      </c>
      <c r="E27" s="248">
        <v>0</v>
      </c>
      <c r="F27" s="249">
        <v>0</v>
      </c>
      <c r="G27" s="248">
        <v>0</v>
      </c>
      <c r="H27" s="250">
        <v>64774.6</v>
      </c>
      <c r="I27" s="250">
        <v>1046586.8999999999</v>
      </c>
      <c r="J27" s="247">
        <v>16.157365695812864</v>
      </c>
      <c r="K27" s="250">
        <v>481.5</v>
      </c>
      <c r="L27" s="250">
        <v>7781</v>
      </c>
      <c r="M27" s="247">
        <v>16.159916926272068</v>
      </c>
      <c r="N27" s="248">
        <v>0</v>
      </c>
      <c r="O27" s="249">
        <v>0</v>
      </c>
      <c r="P27" s="248">
        <v>0</v>
      </c>
    </row>
    <row r="28" spans="1:16">
      <c r="A28" s="245">
        <v>1992</v>
      </c>
      <c r="B28" s="246">
        <v>73535.399999999994</v>
      </c>
      <c r="C28" s="246">
        <v>1235996.5</v>
      </c>
      <c r="D28" s="247">
        <v>16.808183541532379</v>
      </c>
      <c r="E28" s="248">
        <v>0</v>
      </c>
      <c r="F28" s="249">
        <v>0</v>
      </c>
      <c r="G28" s="248">
        <v>0</v>
      </c>
      <c r="H28" s="250">
        <v>73535.399999999994</v>
      </c>
      <c r="I28" s="250">
        <v>1235996.5</v>
      </c>
      <c r="J28" s="247">
        <v>16.808183541532379</v>
      </c>
      <c r="K28" s="250">
        <v>847</v>
      </c>
      <c r="L28" s="250">
        <v>58202.5</v>
      </c>
      <c r="M28" s="247">
        <v>68.716056670602129</v>
      </c>
      <c r="N28" s="248">
        <v>0</v>
      </c>
      <c r="O28" s="249">
        <v>0</v>
      </c>
      <c r="P28" s="248">
        <v>0</v>
      </c>
    </row>
    <row r="29" spans="1:16">
      <c r="A29" s="245">
        <v>1993</v>
      </c>
      <c r="B29" s="246">
        <v>79084.7</v>
      </c>
      <c r="C29" s="246">
        <v>1140031.7</v>
      </c>
      <c r="D29" s="247">
        <v>14.415325593951801</v>
      </c>
      <c r="E29" s="248">
        <v>0</v>
      </c>
      <c r="F29" s="249">
        <v>0</v>
      </c>
      <c r="G29" s="248">
        <v>0</v>
      </c>
      <c r="H29" s="250">
        <v>79084.7</v>
      </c>
      <c r="I29" s="250">
        <v>1140031.7</v>
      </c>
      <c r="J29" s="247">
        <v>14.415325593951801</v>
      </c>
      <c r="K29" s="250">
        <v>614.5</v>
      </c>
      <c r="L29" s="250">
        <v>8861.1</v>
      </c>
      <c r="M29" s="247">
        <v>14.420016273393003</v>
      </c>
      <c r="N29" s="248">
        <v>0</v>
      </c>
      <c r="O29" s="249">
        <v>0</v>
      </c>
      <c r="P29" s="248">
        <v>0</v>
      </c>
    </row>
    <row r="30" spans="1:16">
      <c r="A30" s="245">
        <v>1994</v>
      </c>
      <c r="B30" s="246">
        <v>86192.8</v>
      </c>
      <c r="C30" s="246">
        <v>1178926.6000000001</v>
      </c>
      <c r="D30" s="247">
        <v>13.677785151427962</v>
      </c>
      <c r="E30" s="248">
        <v>0</v>
      </c>
      <c r="F30" s="249">
        <v>0</v>
      </c>
      <c r="G30" s="248">
        <v>0</v>
      </c>
      <c r="H30" s="250">
        <v>86192.8</v>
      </c>
      <c r="I30" s="250">
        <v>1178926.6000000001</v>
      </c>
      <c r="J30" s="247">
        <v>13.677785151427962</v>
      </c>
      <c r="K30" s="250">
        <v>616.29999999999995</v>
      </c>
      <c r="L30" s="250">
        <v>8431</v>
      </c>
      <c r="M30" s="247">
        <v>13.680025961382444</v>
      </c>
      <c r="N30" s="248">
        <v>0</v>
      </c>
      <c r="O30" s="249">
        <v>0</v>
      </c>
      <c r="P30" s="248">
        <v>0</v>
      </c>
    </row>
    <row r="31" spans="1:16">
      <c r="A31" s="245">
        <v>1995</v>
      </c>
      <c r="B31" s="246">
        <v>91403.3</v>
      </c>
      <c r="C31" s="246">
        <v>1355305.3</v>
      </c>
      <c r="D31" s="247">
        <v>14.827750201579155</v>
      </c>
      <c r="E31" s="248">
        <v>0</v>
      </c>
      <c r="F31" s="249">
        <v>0</v>
      </c>
      <c r="G31" s="248">
        <v>0</v>
      </c>
      <c r="H31" s="250">
        <v>91403.3</v>
      </c>
      <c r="I31" s="250">
        <v>1355305.3</v>
      </c>
      <c r="J31" s="247">
        <v>14.827750201579155</v>
      </c>
      <c r="K31" s="250">
        <v>2675</v>
      </c>
      <c r="L31" s="250">
        <v>39670.300000000003</v>
      </c>
      <c r="M31" s="247">
        <v>14.830018691588785</v>
      </c>
      <c r="N31" s="248">
        <v>0</v>
      </c>
      <c r="O31" s="249">
        <v>0</v>
      </c>
      <c r="P31" s="248">
        <v>0</v>
      </c>
    </row>
    <row r="32" spans="1:16">
      <c r="A32" s="245">
        <v>1996</v>
      </c>
      <c r="B32" s="246">
        <v>80713.7</v>
      </c>
      <c r="C32" s="246">
        <v>1456227.1</v>
      </c>
      <c r="D32" s="247">
        <v>18.041882604811825</v>
      </c>
      <c r="E32" s="248">
        <v>0</v>
      </c>
      <c r="F32" s="249">
        <v>0</v>
      </c>
      <c r="G32" s="248">
        <v>0</v>
      </c>
      <c r="H32" s="250">
        <v>80713.7</v>
      </c>
      <c r="I32" s="250">
        <v>1456227.1</v>
      </c>
      <c r="J32" s="247">
        <v>18.041882604811825</v>
      </c>
      <c r="K32" s="250">
        <v>3664</v>
      </c>
      <c r="L32" s="250">
        <v>64588.6</v>
      </c>
      <c r="M32" s="247">
        <v>17.627893013100437</v>
      </c>
      <c r="N32" s="248">
        <v>0</v>
      </c>
      <c r="O32" s="249">
        <v>0</v>
      </c>
      <c r="P32" s="248">
        <v>0</v>
      </c>
    </row>
    <row r="33" spans="1:20">
      <c r="A33" s="245">
        <v>1997</v>
      </c>
      <c r="B33" s="246">
        <v>76783.600000000006</v>
      </c>
      <c r="C33" s="246">
        <v>1190927.8</v>
      </c>
      <c r="D33" s="247">
        <v>15.510184466474611</v>
      </c>
      <c r="E33" s="248">
        <v>0</v>
      </c>
      <c r="F33" s="249">
        <v>0</v>
      </c>
      <c r="G33" s="248">
        <v>0</v>
      </c>
      <c r="H33" s="250">
        <v>76783.600000000006</v>
      </c>
      <c r="I33" s="250">
        <v>1190927.8</v>
      </c>
      <c r="J33" s="247">
        <v>15.510184466474611</v>
      </c>
      <c r="K33" s="250">
        <v>14595</v>
      </c>
      <c r="L33" s="250">
        <v>220649</v>
      </c>
      <c r="M33" s="247">
        <v>15.11812264474135</v>
      </c>
      <c r="N33" s="248">
        <v>0</v>
      </c>
      <c r="O33" s="249">
        <v>0</v>
      </c>
      <c r="P33" s="248">
        <v>0</v>
      </c>
    </row>
    <row r="34" spans="1:20">
      <c r="A34" s="245">
        <v>1998</v>
      </c>
      <c r="B34" s="246">
        <v>69029.100000000006</v>
      </c>
      <c r="C34" s="246">
        <v>631265</v>
      </c>
      <c r="D34" s="247">
        <v>9.1449113489818057</v>
      </c>
      <c r="E34" s="248">
        <v>0</v>
      </c>
      <c r="F34" s="249">
        <v>0</v>
      </c>
      <c r="G34" s="248">
        <v>0</v>
      </c>
      <c r="H34" s="250">
        <v>69029.100000000006</v>
      </c>
      <c r="I34" s="250">
        <v>631265</v>
      </c>
      <c r="J34" s="247">
        <v>9.1449113489818057</v>
      </c>
      <c r="K34" s="250">
        <v>16408.099999999999</v>
      </c>
      <c r="L34" s="250">
        <v>150134.29999999999</v>
      </c>
      <c r="M34" s="247">
        <v>9.1500112749190947</v>
      </c>
      <c r="N34" s="248">
        <v>0</v>
      </c>
      <c r="O34" s="249">
        <v>0</v>
      </c>
      <c r="P34" s="248">
        <v>0</v>
      </c>
    </row>
    <row r="35" spans="1:20">
      <c r="A35" s="245">
        <v>1999</v>
      </c>
      <c r="B35" s="246">
        <v>56547.3</v>
      </c>
      <c r="C35" s="246">
        <v>854995.3</v>
      </c>
      <c r="D35" s="247">
        <v>15.120002192854477</v>
      </c>
      <c r="E35" s="248">
        <v>0</v>
      </c>
      <c r="F35" s="249">
        <v>0</v>
      </c>
      <c r="G35" s="248">
        <v>0</v>
      </c>
      <c r="H35" s="250">
        <v>56547.3</v>
      </c>
      <c r="I35" s="250">
        <v>854995.3</v>
      </c>
      <c r="J35" s="247">
        <v>15.120002192854477</v>
      </c>
      <c r="K35" s="250">
        <v>28464.1</v>
      </c>
      <c r="L35" s="250">
        <v>430377.4</v>
      </c>
      <c r="M35" s="247">
        <v>15.12000730745044</v>
      </c>
      <c r="N35" s="248">
        <v>0</v>
      </c>
      <c r="O35" s="249">
        <v>0</v>
      </c>
      <c r="P35" s="248">
        <v>0</v>
      </c>
    </row>
    <row r="36" spans="1:20">
      <c r="A36" s="245">
        <v>2000</v>
      </c>
      <c r="B36" s="246">
        <v>43084.530999999995</v>
      </c>
      <c r="C36" s="246">
        <v>1073752.0008700001</v>
      </c>
      <c r="D36" s="247">
        <v>24.921984200547527</v>
      </c>
      <c r="E36" s="248">
        <v>0</v>
      </c>
      <c r="F36" s="249">
        <v>0</v>
      </c>
      <c r="G36" s="248">
        <v>0</v>
      </c>
      <c r="H36" s="250">
        <v>43084.530999999995</v>
      </c>
      <c r="I36" s="250">
        <v>1073752.0008700001</v>
      </c>
      <c r="J36" s="247">
        <v>24.921984200547527</v>
      </c>
      <c r="K36" s="250">
        <v>43479</v>
      </c>
      <c r="L36" s="250">
        <v>1083493.8999999999</v>
      </c>
      <c r="M36" s="247">
        <v>24.919936061086961</v>
      </c>
      <c r="N36" s="248">
        <v>0</v>
      </c>
      <c r="O36" s="249">
        <v>0</v>
      </c>
      <c r="P36" s="248">
        <v>0</v>
      </c>
      <c r="S36" s="289"/>
    </row>
    <row r="37" spans="1:20">
      <c r="A37" s="245">
        <v>2001</v>
      </c>
      <c r="B37" s="246">
        <v>47378.652000000002</v>
      </c>
      <c r="C37" s="246">
        <v>899866.3049499999</v>
      </c>
      <c r="D37" s="247">
        <v>18.993075297921095</v>
      </c>
      <c r="E37" s="248">
        <v>0</v>
      </c>
      <c r="F37" s="249">
        <v>0</v>
      </c>
      <c r="G37" s="248">
        <v>0</v>
      </c>
      <c r="H37" s="250">
        <v>47378.652000000002</v>
      </c>
      <c r="I37" s="250">
        <v>899866.3049499999</v>
      </c>
      <c r="J37" s="247">
        <v>18.993075297921095</v>
      </c>
      <c r="K37" s="250">
        <v>42543.4</v>
      </c>
      <c r="L37" s="250">
        <v>807902.28200000012</v>
      </c>
      <c r="M37" s="247">
        <v>18.990073242853182</v>
      </c>
      <c r="N37" s="248">
        <v>0</v>
      </c>
      <c r="O37" s="249">
        <v>0</v>
      </c>
      <c r="P37" s="248">
        <v>0</v>
      </c>
      <c r="S37" s="289"/>
    </row>
    <row r="38" spans="1:20">
      <c r="A38" s="245">
        <v>2002</v>
      </c>
      <c r="B38" s="246">
        <v>43727.787999999993</v>
      </c>
      <c r="C38" s="246">
        <v>955240.44592099998</v>
      </c>
      <c r="D38" s="247">
        <v>21.845158184562187</v>
      </c>
      <c r="E38" s="248">
        <v>0</v>
      </c>
      <c r="F38" s="249">
        <v>0</v>
      </c>
      <c r="G38" s="248">
        <v>0</v>
      </c>
      <c r="H38" s="250">
        <v>43727.787999999993</v>
      </c>
      <c r="I38" s="250">
        <v>955240.44592099998</v>
      </c>
      <c r="J38" s="247">
        <v>21.845158184562187</v>
      </c>
      <c r="K38" s="250">
        <v>32993.711000000003</v>
      </c>
      <c r="L38" s="250">
        <v>554773.14100000006</v>
      </c>
      <c r="M38" s="247">
        <v>16.814511741343676</v>
      </c>
      <c r="N38" s="248">
        <v>0</v>
      </c>
      <c r="O38" s="249">
        <v>0</v>
      </c>
      <c r="P38" s="248">
        <v>0</v>
      </c>
      <c r="S38" s="289"/>
    </row>
    <row r="39" spans="1:20">
      <c r="A39" s="245">
        <v>2003</v>
      </c>
      <c r="B39" s="246">
        <v>43038.033999999992</v>
      </c>
      <c r="C39" s="246">
        <v>1130011.9061400001</v>
      </c>
      <c r="D39" s="247">
        <v>26.256122808490748</v>
      </c>
      <c r="E39" s="248">
        <v>0</v>
      </c>
      <c r="F39" s="249">
        <v>0</v>
      </c>
      <c r="G39" s="248">
        <v>0</v>
      </c>
      <c r="H39" s="250">
        <v>43038.033999999992</v>
      </c>
      <c r="I39" s="250">
        <v>1130011.9061400001</v>
      </c>
      <c r="J39" s="247">
        <v>26.256122808490748</v>
      </c>
      <c r="K39" s="250">
        <v>49394.584999999999</v>
      </c>
      <c r="L39" s="250">
        <v>1055869.2250000001</v>
      </c>
      <c r="M39" s="247">
        <v>21.376214113348663</v>
      </c>
      <c r="N39" s="248">
        <v>0</v>
      </c>
      <c r="O39" s="249">
        <v>0</v>
      </c>
      <c r="P39" s="248">
        <v>0</v>
      </c>
      <c r="S39" s="289"/>
    </row>
    <row r="40" spans="1:20">
      <c r="A40" s="245">
        <v>2004</v>
      </c>
      <c r="B40" s="246">
        <v>50420.124000000003</v>
      </c>
      <c r="C40" s="246">
        <v>1622031.95233</v>
      </c>
      <c r="D40" s="247">
        <v>32.170328504745441</v>
      </c>
      <c r="E40" s="248">
        <v>0</v>
      </c>
      <c r="F40" s="249">
        <v>0</v>
      </c>
      <c r="G40" s="248">
        <v>0</v>
      </c>
      <c r="H40" s="250">
        <v>50420.124000000003</v>
      </c>
      <c r="I40" s="250">
        <v>1622031.95233</v>
      </c>
      <c r="J40" s="247">
        <v>32.170328504745441</v>
      </c>
      <c r="K40" s="250">
        <v>78989.376000000004</v>
      </c>
      <c r="L40" s="250">
        <v>2076776.2560000003</v>
      </c>
      <c r="M40" s="247">
        <v>26.291842791617952</v>
      </c>
      <c r="N40" s="248">
        <v>0</v>
      </c>
      <c r="O40" s="249">
        <v>0</v>
      </c>
      <c r="P40" s="248">
        <v>0</v>
      </c>
      <c r="S40" s="289"/>
    </row>
    <row r="41" spans="1:20">
      <c r="A41" s="245">
        <v>2005</v>
      </c>
      <c r="B41" s="246">
        <v>53696.721000000005</v>
      </c>
      <c r="C41" s="246">
        <v>2300128.3849200001</v>
      </c>
      <c r="D41" s="247">
        <v>42.835546418560639</v>
      </c>
      <c r="E41" s="248">
        <v>0</v>
      </c>
      <c r="F41" s="249">
        <v>0</v>
      </c>
      <c r="G41" s="248">
        <v>0</v>
      </c>
      <c r="H41" s="250">
        <v>53696.721000000005</v>
      </c>
      <c r="I41" s="250">
        <v>2300128.3849200001</v>
      </c>
      <c r="J41" s="247">
        <v>42.835546418560639</v>
      </c>
      <c r="K41" s="250">
        <v>77897.981000000014</v>
      </c>
      <c r="L41" s="250">
        <v>2842065.56</v>
      </c>
      <c r="M41" s="247">
        <v>36.484457280093039</v>
      </c>
      <c r="N41" s="248">
        <v>0</v>
      </c>
      <c r="O41" s="249">
        <v>0</v>
      </c>
      <c r="P41" s="248">
        <v>0</v>
      </c>
      <c r="S41" s="289"/>
    </row>
    <row r="42" spans="1:20">
      <c r="A42" s="245">
        <v>2006</v>
      </c>
      <c r="B42" s="246">
        <v>55662.862999999998</v>
      </c>
      <c r="C42" s="246">
        <v>2938887.0085900002</v>
      </c>
      <c r="D42" s="247">
        <v>52.797985051361806</v>
      </c>
      <c r="E42" s="246">
        <v>16302.237819999998</v>
      </c>
      <c r="F42" s="246">
        <v>791556.07154344209</v>
      </c>
      <c r="G42" s="247">
        <v>48.555056077782218</v>
      </c>
      <c r="H42" s="250">
        <v>71965.100819999992</v>
      </c>
      <c r="I42" s="250">
        <v>3730443.0801334423</v>
      </c>
      <c r="J42" s="247">
        <v>51.836835321944079</v>
      </c>
      <c r="K42" s="250">
        <v>65403.048000000017</v>
      </c>
      <c r="L42" s="250">
        <v>2982640.8049999997</v>
      </c>
      <c r="M42" s="247">
        <v>45.604003119242989</v>
      </c>
      <c r="N42" s="248">
        <v>0</v>
      </c>
      <c r="O42" s="249">
        <v>0</v>
      </c>
      <c r="P42" s="248">
        <v>0</v>
      </c>
      <c r="S42" s="289"/>
    </row>
    <row r="43" spans="1:20">
      <c r="A43" s="245">
        <v>2007</v>
      </c>
      <c r="B43" s="246">
        <v>43772.460999999996</v>
      </c>
      <c r="C43" s="246">
        <v>2725492.3873600001</v>
      </c>
      <c r="D43" s="247">
        <v>62.265002357532524</v>
      </c>
      <c r="E43" s="246">
        <v>22834.627560000001</v>
      </c>
      <c r="F43" s="246">
        <v>1286408.80055</v>
      </c>
      <c r="G43" s="247">
        <v>56.335878357106864</v>
      </c>
      <c r="H43" s="250">
        <v>66607.088560000004</v>
      </c>
      <c r="I43" s="250">
        <v>4011901.1879099999</v>
      </c>
      <c r="J43" s="247">
        <v>60.232345755453025</v>
      </c>
      <c r="K43" s="250">
        <v>57491.161200000002</v>
      </c>
      <c r="L43" s="250">
        <v>3416454.9418000001</v>
      </c>
      <c r="M43" s="247">
        <v>59.425742505267053</v>
      </c>
      <c r="N43" s="248">
        <v>0</v>
      </c>
      <c r="O43" s="249">
        <v>0</v>
      </c>
      <c r="P43" s="248">
        <v>0</v>
      </c>
      <c r="S43" s="289"/>
    </row>
    <row r="44" spans="1:20">
      <c r="A44" s="245">
        <v>2008</v>
      </c>
      <c r="B44" s="246">
        <v>54316.538210000006</v>
      </c>
      <c r="C44" s="246">
        <v>4560368.4386399994</v>
      </c>
      <c r="D44" s="247">
        <v>83.959114275813832</v>
      </c>
      <c r="E44" s="246">
        <v>23163.781950000004</v>
      </c>
      <c r="F44" s="246">
        <v>1900305.35176</v>
      </c>
      <c r="G44" s="247">
        <v>82.037784497449024</v>
      </c>
      <c r="H44" s="250">
        <v>77480.320160000003</v>
      </c>
      <c r="I44" s="250">
        <v>6460673.7903999994</v>
      </c>
      <c r="J44" s="247">
        <v>83.384706943110785</v>
      </c>
      <c r="K44" s="250">
        <v>49915.139230000008</v>
      </c>
      <c r="L44" s="250">
        <v>4107273.6170699997</v>
      </c>
      <c r="M44" s="247">
        <v>82.285127927709866</v>
      </c>
      <c r="N44" s="248">
        <v>0</v>
      </c>
      <c r="O44" s="249">
        <v>0</v>
      </c>
      <c r="P44" s="248">
        <v>0</v>
      </c>
      <c r="S44" s="289"/>
    </row>
    <row r="45" spans="1:20">
      <c r="A45" s="245">
        <v>2009</v>
      </c>
      <c r="B45" s="246">
        <v>61514.355250000008</v>
      </c>
      <c r="C45" s="246">
        <v>3342795.1185495602</v>
      </c>
      <c r="D45" s="247">
        <v>54.341707800791099</v>
      </c>
      <c r="E45" s="246">
        <v>21955.753080000002</v>
      </c>
      <c r="F45" s="246">
        <v>1116945.6518204398</v>
      </c>
      <c r="G45" s="247">
        <v>50.872573022234029</v>
      </c>
      <c r="H45" s="250">
        <v>83470.108330000017</v>
      </c>
      <c r="I45" s="250">
        <v>4459740.77037</v>
      </c>
      <c r="J45" s="247">
        <v>53.429195907334446</v>
      </c>
      <c r="K45" s="250">
        <v>36087.563759999997</v>
      </c>
      <c r="L45" s="250">
        <v>1824390.3041000001</v>
      </c>
      <c r="M45" s="247">
        <v>50.554543283472682</v>
      </c>
      <c r="N45" s="248">
        <v>0</v>
      </c>
      <c r="O45" s="249">
        <v>0</v>
      </c>
      <c r="P45" s="248">
        <v>0</v>
      </c>
      <c r="S45" s="289"/>
    </row>
    <row r="46" spans="1:20">
      <c r="A46" s="245">
        <v>2010</v>
      </c>
      <c r="B46" s="246">
        <v>71127.88281000001</v>
      </c>
      <c r="C46" s="246">
        <v>5190270.2148460001</v>
      </c>
      <c r="D46" s="247">
        <v>72.970964547201305</v>
      </c>
      <c r="E46" s="246">
        <v>22113.865399999999</v>
      </c>
      <c r="F46" s="246">
        <v>1538307.449144</v>
      </c>
      <c r="G46" s="247">
        <v>69.563028503555969</v>
      </c>
      <c r="H46" s="250">
        <v>93241.20431999999</v>
      </c>
      <c r="I46" s="250">
        <v>6699831.537378693</v>
      </c>
      <c r="J46" s="247">
        <v>71.854836992293087</v>
      </c>
      <c r="K46" s="250">
        <v>31222.703070000003</v>
      </c>
      <c r="L46" s="250">
        <v>2223960.6908400003</v>
      </c>
      <c r="M46" s="247">
        <v>71.228960729440132</v>
      </c>
      <c r="N46" s="248">
        <v>0</v>
      </c>
      <c r="O46" s="249">
        <v>0</v>
      </c>
      <c r="P46" s="248">
        <v>0</v>
      </c>
      <c r="S46" s="289"/>
      <c r="T46" s="290"/>
    </row>
    <row r="47" spans="1:20">
      <c r="A47" s="245">
        <v>2011</v>
      </c>
      <c r="B47" s="246">
        <v>71131.904040000009</v>
      </c>
      <c r="C47" s="246">
        <v>7033456.9794141082</v>
      </c>
      <c r="D47" s="247">
        <v>98.879076475429983</v>
      </c>
      <c r="E47" s="246">
        <v>34467.441269999996</v>
      </c>
      <c r="F47" s="246">
        <v>3278174.9203058928</v>
      </c>
      <c r="G47" s="247">
        <v>95.109320550556006</v>
      </c>
      <c r="H47" s="250">
        <v>105599.34531</v>
      </c>
      <c r="I47" s="250">
        <v>10311631.899720002</v>
      </c>
      <c r="J47" s="247">
        <v>97.648634747203445</v>
      </c>
      <c r="K47" s="248">
        <v>0</v>
      </c>
      <c r="L47" s="249">
        <v>0</v>
      </c>
      <c r="M47" s="248">
        <v>0</v>
      </c>
      <c r="N47" s="250">
        <v>15720.757859999998</v>
      </c>
      <c r="O47" s="250">
        <v>1450847.5467400001</v>
      </c>
      <c r="P47" s="247">
        <v>92.288651708805105</v>
      </c>
      <c r="S47" s="289"/>
    </row>
    <row r="48" spans="1:20">
      <c r="A48" s="245">
        <v>2012</v>
      </c>
      <c r="B48" s="246">
        <v>75977.843389999995</v>
      </c>
      <c r="C48" s="246">
        <v>7559018.7732766978</v>
      </c>
      <c r="D48" s="247">
        <v>99.489778019569272</v>
      </c>
      <c r="E48" s="246">
        <v>36343.232000000004</v>
      </c>
      <c r="F48" s="246">
        <v>3504917.2289570295</v>
      </c>
      <c r="G48" s="247">
        <v>96.439337837565716</v>
      </c>
      <c r="H48" s="250">
        <v>112321.07539</v>
      </c>
      <c r="I48" s="250">
        <v>11063936.002233727</v>
      </c>
      <c r="J48" s="247">
        <v>98.502760624554654</v>
      </c>
      <c r="K48" s="248">
        <v>0</v>
      </c>
      <c r="L48" s="249">
        <v>0</v>
      </c>
      <c r="M48" s="248">
        <v>0</v>
      </c>
      <c r="N48" s="250">
        <v>17194.845789999999</v>
      </c>
      <c r="O48" s="250">
        <v>1647292.7250999999</v>
      </c>
      <c r="P48" s="247">
        <v>95.801541067499159</v>
      </c>
      <c r="S48" s="289"/>
    </row>
    <row r="49" spans="1:19">
      <c r="A49" s="245">
        <v>2013</v>
      </c>
      <c r="B49" s="246">
        <v>82671.155889999995</v>
      </c>
      <c r="C49" s="246">
        <v>8048646.8163541984</v>
      </c>
      <c r="D49" s="247">
        <v>97.357376096972814</v>
      </c>
      <c r="E49" s="246">
        <v>41460.898679999998</v>
      </c>
      <c r="F49" s="246">
        <v>3852257.1715170913</v>
      </c>
      <c r="G49" s="247">
        <v>92.913016701573611</v>
      </c>
      <c r="H49" s="250">
        <v>124132.05456999999</v>
      </c>
      <c r="I49" s="250">
        <v>11900903.987871289</v>
      </c>
      <c r="J49" s="247">
        <v>95.872931686313024</v>
      </c>
      <c r="K49" s="248">
        <v>0</v>
      </c>
      <c r="L49" s="249">
        <v>0</v>
      </c>
      <c r="M49" s="248">
        <v>0</v>
      </c>
      <c r="N49" s="250">
        <v>16112.981689999999</v>
      </c>
      <c r="O49" s="250">
        <v>1510854.6107699999</v>
      </c>
      <c r="P49" s="247">
        <v>93.766296011349837</v>
      </c>
      <c r="S49" s="289"/>
    </row>
    <row r="50" spans="1:19">
      <c r="A50" s="245">
        <v>2014</v>
      </c>
      <c r="B50" s="246">
        <v>90014.088860000003</v>
      </c>
      <c r="C50" s="246">
        <v>7723895.5528612472</v>
      </c>
      <c r="D50" s="247">
        <v>85.807629124306473</v>
      </c>
      <c r="E50" s="246">
        <v>48640.10089999999</v>
      </c>
      <c r="F50" s="246">
        <v>3967980.0242771981</v>
      </c>
      <c r="G50" s="247">
        <v>81.578367455179333</v>
      </c>
      <c r="H50" s="250">
        <v>138654.18975999998</v>
      </c>
      <c r="I50" s="250">
        <v>11691875.577138446</v>
      </c>
      <c r="J50" s="247">
        <v>84.32399769077449</v>
      </c>
      <c r="K50" s="248">
        <v>0</v>
      </c>
      <c r="L50" s="249">
        <v>0</v>
      </c>
      <c r="M50" s="248">
        <v>0</v>
      </c>
      <c r="N50" s="250">
        <v>16003.91956</v>
      </c>
      <c r="O50" s="250">
        <v>1321147.38647</v>
      </c>
      <c r="P50" s="247">
        <v>82.551488809782541</v>
      </c>
      <c r="S50" s="289"/>
    </row>
    <row r="51" spans="1:19">
      <c r="A51" s="245">
        <v>2015</v>
      </c>
      <c r="B51" s="246">
        <v>91666.381259999995</v>
      </c>
      <c r="C51" s="246">
        <v>3982129.0539315632</v>
      </c>
      <c r="D51" s="247">
        <v>43.441543117500864</v>
      </c>
      <c r="E51" s="246">
        <v>39698.575720000008</v>
      </c>
      <c r="F51" s="246">
        <v>1556998.8957192807</v>
      </c>
      <c r="G51" s="247">
        <v>39.220522839434516</v>
      </c>
      <c r="H51" s="250">
        <v>131364.95698000002</v>
      </c>
      <c r="I51" s="250">
        <v>5539127.9496508436</v>
      </c>
      <c r="J51" s="247">
        <v>42.165948035092505</v>
      </c>
      <c r="K51" s="248">
        <v>0</v>
      </c>
      <c r="L51" s="249">
        <v>0</v>
      </c>
      <c r="M51" s="248">
        <v>0</v>
      </c>
      <c r="N51" s="250">
        <v>20400.13982</v>
      </c>
      <c r="O51" s="250">
        <v>816106.30994000018</v>
      </c>
      <c r="P51" s="247">
        <v>40.004937080867528</v>
      </c>
      <c r="S51" s="289"/>
    </row>
    <row r="52" spans="1:19">
      <c r="A52" s="245">
        <v>2016</v>
      </c>
      <c r="B52" s="246">
        <v>81532.407980000004</v>
      </c>
      <c r="C52" s="246">
        <v>3030671.359990349</v>
      </c>
      <c r="D52" s="247">
        <v>37.171370686534566</v>
      </c>
      <c r="E52" s="246">
        <v>44469.291870000001</v>
      </c>
      <c r="F52" s="246">
        <v>1410458.3713622086</v>
      </c>
      <c r="G52" s="247">
        <v>31.71758110035784</v>
      </c>
      <c r="H52" s="250">
        <v>126001.69985</v>
      </c>
      <c r="I52" s="250">
        <v>4441129.7313525574</v>
      </c>
      <c r="J52" s="247">
        <v>35.246585852726952</v>
      </c>
      <c r="K52" s="248">
        <v>0</v>
      </c>
      <c r="L52" s="249">
        <v>0</v>
      </c>
      <c r="M52" s="248">
        <v>0</v>
      </c>
      <c r="N52" s="250">
        <v>18557.685020000001</v>
      </c>
      <c r="O52" s="250">
        <v>612806.47800999996</v>
      </c>
      <c r="P52" s="247">
        <v>33.021709192152244</v>
      </c>
      <c r="S52" s="289"/>
    </row>
    <row r="53" spans="1:19">
      <c r="A53" s="108"/>
      <c r="B53" s="252"/>
      <c r="C53" s="252"/>
      <c r="D53" s="252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</row>
    <row r="55" spans="1:19">
      <c r="B55" s="253"/>
      <c r="C55" s="253"/>
      <c r="D55" s="253"/>
    </row>
    <row r="56" spans="1:19">
      <c r="A56" s="107" t="s">
        <v>1393</v>
      </c>
    </row>
    <row r="57" spans="1:19" ht="15">
      <c r="A57" s="389" t="s">
        <v>1009</v>
      </c>
    </row>
    <row r="60" spans="1:19">
      <c r="A60" s="254"/>
    </row>
  </sheetData>
  <mergeCells count="11">
    <mergeCell ref="A1:P1"/>
    <mergeCell ref="A2:P2"/>
    <mergeCell ref="B5:D5"/>
    <mergeCell ref="E5:G5"/>
    <mergeCell ref="H5:J5"/>
    <mergeCell ref="K5:M5"/>
    <mergeCell ref="N5:P5"/>
    <mergeCell ref="A4:A6"/>
    <mergeCell ref="B4:J4"/>
    <mergeCell ref="K4:M4"/>
    <mergeCell ref="N4:P4"/>
  </mergeCells>
  <hyperlinks>
    <hyperlink ref="A56" location="'indice cap.2'!A1" display="Notas"/>
    <hyperlink ref="A57" location="'Indice cap.4'!A1" display="regresar al índice"/>
  </hyperlink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57"/>
  <sheetViews>
    <sheetView showGridLines="0" workbookViewId="0">
      <selection activeCell="A55" sqref="A55"/>
    </sheetView>
  </sheetViews>
  <sheetFormatPr baseColWidth="10" defaultRowHeight="12.75"/>
  <cols>
    <col min="1" max="1" width="11.42578125" style="92"/>
    <col min="2" max="5" width="15.7109375" style="92" customWidth="1"/>
    <col min="6" max="16384" width="11.42578125" style="92"/>
  </cols>
  <sheetData>
    <row r="1" spans="1:5" ht="20.25" customHeight="1">
      <c r="A1" s="354" t="s">
        <v>1500</v>
      </c>
      <c r="B1" s="355"/>
      <c r="C1" s="355"/>
      <c r="D1" s="355"/>
      <c r="E1" s="355"/>
    </row>
    <row r="2" spans="1:5">
      <c r="A2" s="356" t="s">
        <v>1385</v>
      </c>
      <c r="B2" s="357"/>
      <c r="C2" s="357"/>
      <c r="D2" s="357"/>
      <c r="E2" s="357"/>
    </row>
    <row r="3" spans="1:5">
      <c r="A3" s="239"/>
      <c r="B3" s="239"/>
      <c r="C3" s="239"/>
      <c r="D3" s="239"/>
      <c r="E3" s="239"/>
    </row>
    <row r="4" spans="1:5" ht="36.75" customHeight="1">
      <c r="A4" s="255" t="s">
        <v>1341</v>
      </c>
      <c r="B4" s="256" t="s">
        <v>1403</v>
      </c>
      <c r="C4" s="256" t="s">
        <v>1404</v>
      </c>
      <c r="D4" s="256" t="s">
        <v>1405</v>
      </c>
      <c r="E4" s="257" t="s">
        <v>1392</v>
      </c>
    </row>
    <row r="5" spans="1:5">
      <c r="A5" s="239"/>
      <c r="B5" s="244"/>
      <c r="C5" s="244"/>
      <c r="D5" s="244"/>
      <c r="E5" s="258"/>
    </row>
    <row r="6" spans="1:5">
      <c r="A6" s="245">
        <v>1972</v>
      </c>
      <c r="B6" s="246">
        <v>27408</v>
      </c>
      <c r="C6" s="249">
        <v>0</v>
      </c>
      <c r="D6" s="248">
        <v>0</v>
      </c>
      <c r="E6" s="246">
        <v>27408</v>
      </c>
    </row>
    <row r="7" spans="1:5">
      <c r="A7" s="245">
        <v>1973</v>
      </c>
      <c r="B7" s="246">
        <v>75152</v>
      </c>
      <c r="C7" s="249">
        <v>0</v>
      </c>
      <c r="D7" s="248">
        <v>0</v>
      </c>
      <c r="E7" s="246">
        <v>75152</v>
      </c>
    </row>
    <row r="8" spans="1:5">
      <c r="A8" s="245">
        <v>1974</v>
      </c>
      <c r="B8" s="246">
        <v>63695</v>
      </c>
      <c r="C8" s="249">
        <v>0</v>
      </c>
      <c r="D8" s="248">
        <v>0</v>
      </c>
      <c r="E8" s="246">
        <v>63695</v>
      </c>
    </row>
    <row r="9" spans="1:5">
      <c r="A9" s="245">
        <v>1975</v>
      </c>
      <c r="B9" s="246">
        <v>57957</v>
      </c>
      <c r="C9" s="249">
        <v>0</v>
      </c>
      <c r="D9" s="248">
        <v>0</v>
      </c>
      <c r="E9" s="246">
        <v>57957</v>
      </c>
    </row>
    <row r="10" spans="1:5">
      <c r="A10" s="245">
        <v>1976</v>
      </c>
      <c r="B10" s="246">
        <v>67373</v>
      </c>
      <c r="C10" s="249">
        <v>0</v>
      </c>
      <c r="D10" s="248">
        <v>0</v>
      </c>
      <c r="E10" s="246">
        <v>67373</v>
      </c>
    </row>
    <row r="11" spans="1:5">
      <c r="A11" s="245">
        <v>1977</v>
      </c>
      <c r="B11" s="246">
        <v>65909</v>
      </c>
      <c r="C11" s="249">
        <v>0</v>
      </c>
      <c r="D11" s="248">
        <v>0</v>
      </c>
      <c r="E11" s="246">
        <v>65909</v>
      </c>
    </row>
    <row r="12" spans="1:5">
      <c r="A12" s="245">
        <v>1978</v>
      </c>
      <c r="B12" s="246">
        <v>72994</v>
      </c>
      <c r="C12" s="249">
        <v>0</v>
      </c>
      <c r="D12" s="248">
        <v>0</v>
      </c>
      <c r="E12" s="246">
        <v>72994</v>
      </c>
    </row>
    <row r="13" spans="1:5">
      <c r="A13" s="245">
        <v>1979</v>
      </c>
      <c r="B13" s="246">
        <v>77518</v>
      </c>
      <c r="C13" s="249">
        <v>0</v>
      </c>
      <c r="D13" s="248">
        <v>0</v>
      </c>
      <c r="E13" s="246">
        <v>77518</v>
      </c>
    </row>
    <row r="14" spans="1:5">
      <c r="A14" s="245">
        <v>1980</v>
      </c>
      <c r="B14" s="246">
        <v>74014</v>
      </c>
      <c r="C14" s="249">
        <v>0</v>
      </c>
      <c r="D14" s="248">
        <v>0</v>
      </c>
      <c r="E14" s="246">
        <v>74014</v>
      </c>
    </row>
    <row r="15" spans="1:5">
      <c r="A15" s="245">
        <v>1981</v>
      </c>
      <c r="B15" s="246">
        <v>76228</v>
      </c>
      <c r="C15" s="249">
        <v>0</v>
      </c>
      <c r="D15" s="248">
        <v>0</v>
      </c>
      <c r="E15" s="246">
        <v>76228</v>
      </c>
    </row>
    <row r="16" spans="1:5">
      <c r="A16" s="245">
        <v>1982</v>
      </c>
      <c r="B16" s="246">
        <v>76379</v>
      </c>
      <c r="C16" s="249">
        <v>0</v>
      </c>
      <c r="D16" s="248">
        <v>0</v>
      </c>
      <c r="E16" s="246">
        <v>76379</v>
      </c>
    </row>
    <row r="17" spans="1:5">
      <c r="A17" s="245">
        <v>1983</v>
      </c>
      <c r="B17" s="246">
        <v>86171</v>
      </c>
      <c r="C17" s="249">
        <v>0</v>
      </c>
      <c r="D17" s="248">
        <v>0</v>
      </c>
      <c r="E17" s="246">
        <v>86171</v>
      </c>
    </row>
    <row r="18" spans="1:5">
      <c r="A18" s="245">
        <v>1984</v>
      </c>
      <c r="B18" s="246">
        <v>93161</v>
      </c>
      <c r="C18" s="249">
        <v>0</v>
      </c>
      <c r="D18" s="248">
        <v>0</v>
      </c>
      <c r="E18" s="246">
        <v>93161</v>
      </c>
    </row>
    <row r="19" spans="1:5">
      <c r="A19" s="245">
        <v>1985</v>
      </c>
      <c r="B19" s="246">
        <v>101688</v>
      </c>
      <c r="C19" s="249">
        <v>0</v>
      </c>
      <c r="D19" s="248">
        <v>0</v>
      </c>
      <c r="E19" s="246">
        <v>101688</v>
      </c>
    </row>
    <row r="20" spans="1:5">
      <c r="A20" s="245">
        <v>1986</v>
      </c>
      <c r="B20" s="246">
        <v>106277</v>
      </c>
      <c r="C20" s="249">
        <v>0</v>
      </c>
      <c r="D20" s="248">
        <v>0</v>
      </c>
      <c r="E20" s="246">
        <v>106277</v>
      </c>
    </row>
    <row r="21" spans="1:5">
      <c r="A21" s="245">
        <v>1987</v>
      </c>
      <c r="B21" s="246">
        <v>56941</v>
      </c>
      <c r="C21" s="246">
        <v>5502</v>
      </c>
      <c r="D21" s="248">
        <v>0</v>
      </c>
      <c r="E21" s="246">
        <v>62443</v>
      </c>
    </row>
    <row r="22" spans="1:5">
      <c r="A22" s="245">
        <v>1988</v>
      </c>
      <c r="B22" s="246">
        <v>106926</v>
      </c>
      <c r="C22" s="246">
        <v>2408</v>
      </c>
      <c r="D22" s="248">
        <v>0</v>
      </c>
      <c r="E22" s="246">
        <v>109334</v>
      </c>
    </row>
    <row r="23" spans="1:5">
      <c r="A23" s="251">
        <v>1989</v>
      </c>
      <c r="B23" s="246">
        <v>99682</v>
      </c>
      <c r="C23" s="246">
        <v>109</v>
      </c>
      <c r="D23" s="248">
        <v>0</v>
      </c>
      <c r="E23" s="246">
        <v>99791</v>
      </c>
    </row>
    <row r="24" spans="1:5">
      <c r="A24" s="245">
        <v>1990</v>
      </c>
      <c r="B24" s="246">
        <v>102045</v>
      </c>
      <c r="C24" s="246">
        <v>158</v>
      </c>
      <c r="D24" s="248">
        <v>0</v>
      </c>
      <c r="E24" s="246">
        <v>102203</v>
      </c>
    </row>
    <row r="25" spans="1:5">
      <c r="A25" s="245">
        <v>1991</v>
      </c>
      <c r="B25" s="246">
        <v>104726</v>
      </c>
      <c r="C25" s="246">
        <v>2587</v>
      </c>
      <c r="D25" s="248">
        <v>0</v>
      </c>
      <c r="E25" s="246">
        <v>107313</v>
      </c>
    </row>
    <row r="26" spans="1:5">
      <c r="A26" s="245">
        <v>1992</v>
      </c>
      <c r="B26" s="246">
        <v>112332</v>
      </c>
      <c r="C26" s="246">
        <v>874</v>
      </c>
      <c r="D26" s="248">
        <v>0</v>
      </c>
      <c r="E26" s="246">
        <v>113206</v>
      </c>
    </row>
    <row r="27" spans="1:5">
      <c r="A27" s="245">
        <v>1993</v>
      </c>
      <c r="B27" s="246">
        <v>115165</v>
      </c>
      <c r="C27" s="246">
        <v>4577</v>
      </c>
      <c r="D27" s="248">
        <v>0</v>
      </c>
      <c r="E27" s="246">
        <v>119742</v>
      </c>
    </row>
    <row r="28" spans="1:5">
      <c r="A28" s="245">
        <v>1994</v>
      </c>
      <c r="B28" s="246">
        <v>122274</v>
      </c>
      <c r="C28" s="246">
        <v>8175</v>
      </c>
      <c r="D28" s="248">
        <v>0</v>
      </c>
      <c r="E28" s="246">
        <v>130449</v>
      </c>
    </row>
    <row r="29" spans="1:5">
      <c r="A29" s="245">
        <v>1995</v>
      </c>
      <c r="B29" s="246">
        <v>121284</v>
      </c>
      <c r="C29" s="246">
        <v>12347</v>
      </c>
      <c r="D29" s="248">
        <v>0</v>
      </c>
      <c r="E29" s="246">
        <v>133631</v>
      </c>
    </row>
    <row r="30" spans="1:5">
      <c r="A30" s="245">
        <v>1996</v>
      </c>
      <c r="B30" s="246">
        <v>116960</v>
      </c>
      <c r="C30" s="246">
        <v>13735</v>
      </c>
      <c r="D30" s="248">
        <v>0</v>
      </c>
      <c r="E30" s="246">
        <v>130695</v>
      </c>
    </row>
    <row r="31" spans="1:5">
      <c r="A31" s="245">
        <v>1997</v>
      </c>
      <c r="B31" s="246">
        <v>115536</v>
      </c>
      <c r="C31" s="246">
        <v>15397</v>
      </c>
      <c r="D31" s="248">
        <v>0</v>
      </c>
      <c r="E31" s="246">
        <v>130933</v>
      </c>
    </row>
    <row r="32" spans="1:5">
      <c r="A32" s="245">
        <v>1998</v>
      </c>
      <c r="B32" s="246">
        <v>113845</v>
      </c>
      <c r="C32" s="246">
        <v>13660</v>
      </c>
      <c r="D32" s="248">
        <v>0</v>
      </c>
      <c r="E32" s="246">
        <v>127505</v>
      </c>
    </row>
    <row r="33" spans="1:5">
      <c r="A33" s="245">
        <v>1999</v>
      </c>
      <c r="B33" s="246">
        <v>116800</v>
      </c>
      <c r="C33" s="246">
        <v>12555</v>
      </c>
      <c r="D33" s="248">
        <v>0</v>
      </c>
      <c r="E33" s="246">
        <v>129355</v>
      </c>
    </row>
    <row r="34" spans="1:5">
      <c r="A34" s="245">
        <v>2000</v>
      </c>
      <c r="B34" s="246">
        <v>129528.71400000001</v>
      </c>
      <c r="C34" s="246">
        <v>9746.7450000000008</v>
      </c>
      <c r="D34" s="248">
        <v>0</v>
      </c>
      <c r="E34" s="246">
        <v>139275.459</v>
      </c>
    </row>
    <row r="35" spans="1:5">
      <c r="A35" s="245">
        <v>2001</v>
      </c>
      <c r="B35" s="246">
        <v>134868</v>
      </c>
      <c r="C35" s="246">
        <v>6061.5559999999996</v>
      </c>
      <c r="D35" s="248">
        <v>0</v>
      </c>
      <c r="E35" s="246">
        <v>140929.55600000001</v>
      </c>
    </row>
    <row r="36" spans="1:5">
      <c r="A36" s="245">
        <v>2002</v>
      </c>
      <c r="B36" s="246">
        <v>131375.64000000001</v>
      </c>
      <c r="C36" s="246">
        <v>2260.4189999999999</v>
      </c>
      <c r="D36" s="248">
        <v>0</v>
      </c>
      <c r="E36" s="246">
        <v>133636.05900000001</v>
      </c>
    </row>
    <row r="37" spans="1:5">
      <c r="A37" s="245">
        <v>2003</v>
      </c>
      <c r="B37" s="246">
        <v>119986.91800000001</v>
      </c>
      <c r="C37" s="246">
        <v>2489.0549999999998</v>
      </c>
      <c r="D37" s="246">
        <v>18190.038</v>
      </c>
      <c r="E37" s="246">
        <v>140666.011</v>
      </c>
    </row>
    <row r="38" spans="1:5">
      <c r="A38" s="245">
        <v>2004</v>
      </c>
      <c r="B38" s="246">
        <v>118435.94</v>
      </c>
      <c r="C38" s="249">
        <v>0</v>
      </c>
      <c r="D38" s="246">
        <v>63958.614999999998</v>
      </c>
      <c r="E38" s="246">
        <v>182394.55499999999</v>
      </c>
    </row>
    <row r="39" spans="1:5">
      <c r="A39" s="245">
        <v>2005</v>
      </c>
      <c r="B39" s="246">
        <v>120915.757</v>
      </c>
      <c r="C39" s="249">
        <v>0</v>
      </c>
      <c r="D39" s="246">
        <v>57730.139000000003</v>
      </c>
      <c r="E39" s="246">
        <v>178645.89600000001</v>
      </c>
    </row>
    <row r="40" spans="1:5">
      <c r="A40" s="245">
        <v>2006</v>
      </c>
      <c r="B40" s="246">
        <v>126158.72199999999</v>
      </c>
      <c r="C40" s="249">
        <v>0</v>
      </c>
      <c r="D40" s="246">
        <v>57879.366000000002</v>
      </c>
      <c r="E40" s="246">
        <v>184038.08799999999</v>
      </c>
    </row>
    <row r="41" spans="1:5">
      <c r="A41" s="245">
        <v>2007</v>
      </c>
      <c r="B41" s="246">
        <v>121118.52686999999</v>
      </c>
      <c r="C41" s="249">
        <v>0</v>
      </c>
      <c r="D41" s="246">
        <v>53901.484680000001</v>
      </c>
      <c r="E41" s="246">
        <v>175020.01155</v>
      </c>
    </row>
    <row r="42" spans="1:5">
      <c r="A42" s="245">
        <v>2008</v>
      </c>
      <c r="B42" s="246">
        <v>126542.10494999999</v>
      </c>
      <c r="C42" s="249">
        <v>0</v>
      </c>
      <c r="D42" s="246">
        <v>48512.798510000001</v>
      </c>
      <c r="E42" s="246">
        <v>175054.90346</v>
      </c>
    </row>
    <row r="43" spans="1:5">
      <c r="A43" s="245">
        <v>2009</v>
      </c>
      <c r="B43" s="246">
        <v>128296.93114999999</v>
      </c>
      <c r="C43" s="249">
        <v>0</v>
      </c>
      <c r="D43" s="246">
        <v>41116.317189999994</v>
      </c>
      <c r="E43" s="246">
        <v>169413.24833999999</v>
      </c>
    </row>
    <row r="44" spans="1:5">
      <c r="A44" s="245">
        <v>2010</v>
      </c>
      <c r="B44" s="246">
        <v>127657.62299999999</v>
      </c>
      <c r="C44" s="249">
        <v>0</v>
      </c>
      <c r="D44" s="246">
        <v>41525.985059999999</v>
      </c>
      <c r="E44" s="246">
        <v>169183.60806</v>
      </c>
    </row>
    <row r="45" spans="1:5">
      <c r="A45" s="245">
        <v>2011</v>
      </c>
      <c r="B45" s="246">
        <v>125986.85422999998</v>
      </c>
      <c r="C45" s="249">
        <v>0</v>
      </c>
      <c r="D45" s="246">
        <v>48065.566089999993</v>
      </c>
      <c r="E45" s="246">
        <v>174052.42031999998</v>
      </c>
    </row>
    <row r="46" spans="1:5">
      <c r="A46" s="245">
        <v>2012</v>
      </c>
      <c r="B46" s="246">
        <v>129016.04313999999</v>
      </c>
      <c r="C46" s="249">
        <v>0</v>
      </c>
      <c r="D46" s="246">
        <v>48379.309030000004</v>
      </c>
      <c r="E46" s="246">
        <v>177395.35217</v>
      </c>
    </row>
    <row r="47" spans="1:5">
      <c r="A47" s="245">
        <v>2013</v>
      </c>
      <c r="B47" s="246">
        <v>131972.43973999997</v>
      </c>
      <c r="C47" s="249">
        <v>0</v>
      </c>
      <c r="D47" s="246">
        <v>53334.15812</v>
      </c>
      <c r="E47" s="246">
        <v>185306.59785999998</v>
      </c>
    </row>
    <row r="48" spans="1:5">
      <c r="A48" s="245">
        <v>2014</v>
      </c>
      <c r="B48" s="246">
        <v>132530.35294000001</v>
      </c>
      <c r="C48" s="249">
        <v>0</v>
      </c>
      <c r="D48" s="246">
        <v>59104.016500000005</v>
      </c>
      <c r="E48" s="246">
        <v>191634.36944000001</v>
      </c>
    </row>
    <row r="49" spans="1:5">
      <c r="A49" s="245">
        <v>2015</v>
      </c>
      <c r="B49" s="246">
        <v>133668.52631000002</v>
      </c>
      <c r="C49" s="249">
        <v>0</v>
      </c>
      <c r="D49" s="246">
        <v>62059.06106</v>
      </c>
      <c r="E49" s="246">
        <v>195727.58737000002</v>
      </c>
    </row>
    <row r="50" spans="1:5">
      <c r="A50" s="245">
        <v>2016</v>
      </c>
      <c r="B50" s="246">
        <v>132890.95673000001</v>
      </c>
      <c r="C50" s="249">
        <v>0</v>
      </c>
      <c r="D50" s="246">
        <v>61172.387889999998</v>
      </c>
      <c r="E50" s="246">
        <v>194063.34461999999</v>
      </c>
    </row>
    <row r="51" spans="1:5">
      <c r="A51" s="259"/>
      <c r="B51" s="252"/>
      <c r="C51" s="260"/>
      <c r="D51" s="252"/>
      <c r="E51" s="252"/>
    </row>
    <row r="52" spans="1:5">
      <c r="B52" s="253"/>
      <c r="C52" s="253"/>
    </row>
    <row r="53" spans="1:5">
      <c r="A53" s="238"/>
      <c r="B53" s="253"/>
      <c r="C53" s="253"/>
    </row>
    <row r="54" spans="1:5">
      <c r="A54" s="107" t="s">
        <v>1393</v>
      </c>
      <c r="B54" s="253"/>
      <c r="C54" s="253"/>
    </row>
    <row r="55" spans="1:5" ht="15">
      <c r="A55" s="389" t="s">
        <v>1009</v>
      </c>
      <c r="B55" s="253"/>
      <c r="C55" s="253"/>
    </row>
    <row r="56" spans="1:5">
      <c r="B56" s="253"/>
      <c r="C56" s="253"/>
    </row>
    <row r="57" spans="1:5">
      <c r="A57" s="254"/>
    </row>
  </sheetData>
  <mergeCells count="2">
    <mergeCell ref="A1:E1"/>
    <mergeCell ref="A2:E2"/>
  </mergeCells>
  <hyperlinks>
    <hyperlink ref="A54" location="'indice cap.2'!A1" display="Notas"/>
    <hyperlink ref="A55" location="'Indice cap.4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61"/>
  <sheetViews>
    <sheetView showGridLines="0" workbookViewId="0">
      <selection activeCell="A56" sqref="A56"/>
    </sheetView>
  </sheetViews>
  <sheetFormatPr baseColWidth="10" defaultRowHeight="12.75"/>
  <cols>
    <col min="1" max="1" width="11.42578125" style="92"/>
    <col min="2" max="9" width="10.7109375" style="92" customWidth="1"/>
    <col min="10" max="10" width="11.85546875" style="92" customWidth="1"/>
    <col min="11" max="16" width="10.7109375" style="92" customWidth="1"/>
    <col min="17" max="17" width="12.85546875" style="92" customWidth="1"/>
    <col min="18" max="24" width="10.7109375" style="92" customWidth="1"/>
    <col min="25" max="25" width="14.42578125" style="92" customWidth="1"/>
    <col min="26" max="16384" width="11.42578125" style="92"/>
  </cols>
  <sheetData>
    <row r="1" spans="1:28" s="262" customFormat="1">
      <c r="A1" s="340" t="s">
        <v>1494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261"/>
    </row>
    <row r="2" spans="1:28" s="262" customFormat="1">
      <c r="A2" s="361" t="s">
        <v>1406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261"/>
    </row>
    <row r="3" spans="1:28" s="262" customFormat="1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1"/>
    </row>
    <row r="4" spans="1:28" s="264" customFormat="1" ht="13.5" thickBot="1">
      <c r="A4" s="362" t="s">
        <v>1341</v>
      </c>
      <c r="B4" s="351" t="s">
        <v>1407</v>
      </c>
      <c r="C4" s="351"/>
      <c r="D4" s="351"/>
      <c r="E4" s="351"/>
      <c r="F4" s="351"/>
      <c r="G4" s="351"/>
      <c r="H4" s="364" t="s">
        <v>1408</v>
      </c>
      <c r="I4" s="351" t="s">
        <v>1409</v>
      </c>
      <c r="J4" s="365" t="s">
        <v>1410</v>
      </c>
      <c r="K4" s="351" t="s">
        <v>1411</v>
      </c>
      <c r="L4" s="364" t="s">
        <v>1412</v>
      </c>
      <c r="M4" s="351" t="s">
        <v>1413</v>
      </c>
      <c r="N4" s="365" t="s">
        <v>1414</v>
      </c>
      <c r="O4" s="351" t="s">
        <v>1415</v>
      </c>
      <c r="P4" s="351" t="s">
        <v>1416</v>
      </c>
      <c r="Q4" s="351" t="s">
        <v>1417</v>
      </c>
      <c r="R4" s="351" t="s">
        <v>1418</v>
      </c>
      <c r="S4" s="351" t="s">
        <v>1419</v>
      </c>
      <c r="T4" s="351" t="s">
        <v>1420</v>
      </c>
      <c r="U4" s="351" t="s">
        <v>1421</v>
      </c>
      <c r="V4" s="351" t="s">
        <v>1422</v>
      </c>
      <c r="W4" s="351" t="s">
        <v>1423</v>
      </c>
      <c r="X4" s="351" t="s">
        <v>1424</v>
      </c>
      <c r="Y4" s="367" t="s">
        <v>1392</v>
      </c>
      <c r="Z4" s="261"/>
      <c r="AA4" s="262"/>
      <c r="AB4" s="262"/>
    </row>
    <row r="5" spans="1:28" s="264" customFormat="1" ht="38.25">
      <c r="A5" s="363"/>
      <c r="B5" s="241" t="s">
        <v>1425</v>
      </c>
      <c r="C5" s="241" t="s">
        <v>1426</v>
      </c>
      <c r="D5" s="241" t="s">
        <v>1427</v>
      </c>
      <c r="E5" s="241" t="s">
        <v>1428</v>
      </c>
      <c r="F5" s="241" t="s">
        <v>1429</v>
      </c>
      <c r="G5" s="241" t="s">
        <v>1392</v>
      </c>
      <c r="H5" s="359"/>
      <c r="I5" s="359"/>
      <c r="J5" s="366"/>
      <c r="K5" s="358"/>
      <c r="L5" s="359"/>
      <c r="M5" s="359"/>
      <c r="N5" s="366"/>
      <c r="O5" s="369"/>
      <c r="P5" s="369"/>
      <c r="Q5" s="369"/>
      <c r="R5" s="359"/>
      <c r="S5" s="359"/>
      <c r="T5" s="359"/>
      <c r="U5" s="359"/>
      <c r="V5" s="360"/>
      <c r="W5" s="358"/>
      <c r="X5" s="358"/>
      <c r="Y5" s="368"/>
      <c r="Z5" s="261"/>
      <c r="AA5" s="262"/>
      <c r="AB5" s="262"/>
    </row>
    <row r="6" spans="1:28" s="264" customFormat="1">
      <c r="A6" s="265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2"/>
      <c r="AB6" s="262"/>
    </row>
    <row r="7" spans="1:28" s="262" customFormat="1">
      <c r="A7" s="245">
        <v>1972</v>
      </c>
      <c r="B7" s="266">
        <v>0</v>
      </c>
      <c r="C7" s="266">
        <v>0</v>
      </c>
      <c r="D7" s="266">
        <v>0</v>
      </c>
      <c r="E7" s="266">
        <v>2301.9639999999999</v>
      </c>
      <c r="F7" s="266">
        <v>1270.0840000000001</v>
      </c>
      <c r="G7" s="266">
        <v>3572.0479999999998</v>
      </c>
      <c r="H7" s="266">
        <v>50.405999999999999</v>
      </c>
      <c r="I7" s="266">
        <v>0</v>
      </c>
      <c r="J7" s="266">
        <v>0</v>
      </c>
      <c r="K7" s="266">
        <v>417.11</v>
      </c>
      <c r="L7" s="266">
        <v>2234.6799999999998</v>
      </c>
      <c r="M7" s="266">
        <v>0</v>
      </c>
      <c r="N7" s="266">
        <v>2877.665</v>
      </c>
      <c r="O7" s="266">
        <v>0</v>
      </c>
      <c r="P7" s="266">
        <v>0</v>
      </c>
      <c r="Q7" s="266">
        <v>0</v>
      </c>
      <c r="R7" s="266">
        <v>796.91499999999996</v>
      </c>
      <c r="S7" s="266">
        <v>159.32599999999999</v>
      </c>
      <c r="T7" s="266">
        <v>0</v>
      </c>
      <c r="U7" s="266">
        <v>11.401</v>
      </c>
      <c r="V7" s="266">
        <v>0</v>
      </c>
      <c r="W7" s="266">
        <v>0</v>
      </c>
      <c r="X7" s="266">
        <v>0</v>
      </c>
      <c r="Y7" s="266">
        <v>10119.550999999999</v>
      </c>
      <c r="Z7" s="265"/>
    </row>
    <row r="8" spans="1:28" s="262" customFormat="1">
      <c r="A8" s="245">
        <v>1973</v>
      </c>
      <c r="B8" s="266">
        <v>0</v>
      </c>
      <c r="C8" s="266">
        <v>0</v>
      </c>
      <c r="D8" s="266">
        <v>0</v>
      </c>
      <c r="E8" s="266">
        <v>2790.085</v>
      </c>
      <c r="F8" s="266">
        <v>1273.307</v>
      </c>
      <c r="G8" s="266">
        <v>4063.3919999999998</v>
      </c>
      <c r="H8" s="266">
        <v>49.991999999999997</v>
      </c>
      <c r="I8" s="266">
        <v>0</v>
      </c>
      <c r="J8" s="266">
        <v>0</v>
      </c>
      <c r="K8" s="266">
        <v>399.50900000000001</v>
      </c>
      <c r="L8" s="266">
        <v>2606.1709999999998</v>
      </c>
      <c r="M8" s="266">
        <v>0</v>
      </c>
      <c r="N8" s="266">
        <v>3013.32</v>
      </c>
      <c r="O8" s="266">
        <v>0</v>
      </c>
      <c r="P8" s="266">
        <v>0</v>
      </c>
      <c r="Q8" s="266">
        <v>0</v>
      </c>
      <c r="R8" s="266">
        <v>911.38400000000001</v>
      </c>
      <c r="S8" s="266">
        <v>169.58699999999999</v>
      </c>
      <c r="T8" s="266">
        <v>0</v>
      </c>
      <c r="U8" s="266">
        <v>16.433</v>
      </c>
      <c r="V8" s="266">
        <v>0</v>
      </c>
      <c r="W8" s="266">
        <v>0</v>
      </c>
      <c r="X8" s="266">
        <v>0</v>
      </c>
      <c r="Y8" s="266">
        <v>11229.788</v>
      </c>
      <c r="Z8" s="265"/>
    </row>
    <row r="9" spans="1:28" s="262" customFormat="1">
      <c r="A9" s="245">
        <v>1974</v>
      </c>
      <c r="B9" s="266">
        <v>0</v>
      </c>
      <c r="C9" s="266">
        <v>0</v>
      </c>
      <c r="D9" s="266">
        <v>0</v>
      </c>
      <c r="E9" s="266">
        <v>3544.2249999999999</v>
      </c>
      <c r="F9" s="266">
        <v>1254.1890000000001</v>
      </c>
      <c r="G9" s="266">
        <v>4798.4139999999998</v>
      </c>
      <c r="H9" s="266">
        <v>63.186999999999998</v>
      </c>
      <c r="I9" s="266">
        <v>0</v>
      </c>
      <c r="J9" s="266">
        <v>0</v>
      </c>
      <c r="K9" s="266">
        <v>564.64599999999996</v>
      </c>
      <c r="L9" s="266">
        <v>2869.1950000000002</v>
      </c>
      <c r="M9" s="266">
        <v>0</v>
      </c>
      <c r="N9" s="266">
        <v>3067.1239999999998</v>
      </c>
      <c r="O9" s="266">
        <v>0</v>
      </c>
      <c r="P9" s="266">
        <v>0</v>
      </c>
      <c r="Q9" s="266">
        <v>0</v>
      </c>
      <c r="R9" s="266">
        <v>918.42100000000005</v>
      </c>
      <c r="S9" s="266">
        <v>86.451999999999998</v>
      </c>
      <c r="T9" s="266">
        <v>0</v>
      </c>
      <c r="U9" s="266">
        <v>15.186</v>
      </c>
      <c r="V9" s="266">
        <v>0</v>
      </c>
      <c r="W9" s="266">
        <v>0</v>
      </c>
      <c r="X9" s="266">
        <v>0</v>
      </c>
      <c r="Y9" s="266">
        <v>12382.624999999998</v>
      </c>
      <c r="Z9" s="265"/>
    </row>
    <row r="10" spans="1:28" s="262" customFormat="1">
      <c r="A10" s="245">
        <v>1975</v>
      </c>
      <c r="B10" s="266">
        <v>0</v>
      </c>
      <c r="C10" s="266">
        <v>0</v>
      </c>
      <c r="D10" s="266">
        <v>0</v>
      </c>
      <c r="E10" s="266">
        <v>4280.4759999999997</v>
      </c>
      <c r="F10" s="266">
        <v>1368.4659999999999</v>
      </c>
      <c r="G10" s="266">
        <v>5648.9419999999991</v>
      </c>
      <c r="H10" s="266">
        <v>52.768000000000001</v>
      </c>
      <c r="I10" s="266">
        <v>0</v>
      </c>
      <c r="J10" s="266">
        <v>0</v>
      </c>
      <c r="K10" s="266">
        <v>1429.0060000000001</v>
      </c>
      <c r="L10" s="266">
        <v>3046.8539999999998</v>
      </c>
      <c r="M10" s="266">
        <v>0</v>
      </c>
      <c r="N10" s="266">
        <v>3410.8</v>
      </c>
      <c r="O10" s="266">
        <v>0</v>
      </c>
      <c r="P10" s="266">
        <v>0</v>
      </c>
      <c r="Q10" s="266">
        <v>0</v>
      </c>
      <c r="R10" s="266">
        <v>460.839</v>
      </c>
      <c r="S10" s="266">
        <v>127.254</v>
      </c>
      <c r="T10" s="266">
        <v>0</v>
      </c>
      <c r="U10" s="266">
        <v>15.53</v>
      </c>
      <c r="V10" s="266">
        <v>0</v>
      </c>
      <c r="W10" s="266">
        <v>0</v>
      </c>
      <c r="X10" s="266">
        <v>0</v>
      </c>
      <c r="Y10" s="266">
        <v>14191.993</v>
      </c>
      <c r="Z10" s="265"/>
    </row>
    <row r="11" spans="1:28" s="262" customFormat="1">
      <c r="A11" s="245">
        <v>1976</v>
      </c>
      <c r="B11" s="266">
        <v>0</v>
      </c>
      <c r="C11" s="266">
        <v>0</v>
      </c>
      <c r="D11" s="266">
        <v>0</v>
      </c>
      <c r="E11" s="266">
        <v>4833.45</v>
      </c>
      <c r="F11" s="266">
        <v>1212.867</v>
      </c>
      <c r="G11" s="266">
        <v>6046.317</v>
      </c>
      <c r="H11" s="266">
        <v>40.087000000000003</v>
      </c>
      <c r="I11" s="266">
        <v>0</v>
      </c>
      <c r="J11" s="266">
        <v>0</v>
      </c>
      <c r="K11" s="266">
        <v>1914.2829999999999</v>
      </c>
      <c r="L11" s="266">
        <v>2787.0509999999999</v>
      </c>
      <c r="M11" s="266">
        <v>0</v>
      </c>
      <c r="N11" s="266">
        <v>3604.8739999999998</v>
      </c>
      <c r="O11" s="266">
        <v>0</v>
      </c>
      <c r="P11" s="266">
        <v>0</v>
      </c>
      <c r="Q11" s="266">
        <v>0</v>
      </c>
      <c r="R11" s="266">
        <v>453.97699999999998</v>
      </c>
      <c r="S11" s="266">
        <v>131.626</v>
      </c>
      <c r="T11" s="266">
        <v>0</v>
      </c>
      <c r="U11" s="266">
        <v>19.940000000000001</v>
      </c>
      <c r="V11" s="266">
        <v>0</v>
      </c>
      <c r="W11" s="266">
        <v>0</v>
      </c>
      <c r="X11" s="266">
        <v>0</v>
      </c>
      <c r="Y11" s="266">
        <v>14998.155000000001</v>
      </c>
      <c r="Z11" s="265"/>
    </row>
    <row r="12" spans="1:28" s="262" customFormat="1">
      <c r="A12" s="245">
        <v>1977</v>
      </c>
      <c r="B12" s="266">
        <v>0</v>
      </c>
      <c r="C12" s="266">
        <v>0</v>
      </c>
      <c r="D12" s="266">
        <v>0</v>
      </c>
      <c r="E12" s="266">
        <v>5297.134</v>
      </c>
      <c r="F12" s="266">
        <v>811.03200000000004</v>
      </c>
      <c r="G12" s="266">
        <v>6108.1660000000002</v>
      </c>
      <c r="H12" s="266">
        <v>227.93299999999999</v>
      </c>
      <c r="I12" s="266">
        <v>0</v>
      </c>
      <c r="J12" s="266">
        <v>0</v>
      </c>
      <c r="K12" s="266">
        <v>2448.4059999999999</v>
      </c>
      <c r="L12" s="266">
        <v>3127.1570000000002</v>
      </c>
      <c r="M12" s="266">
        <v>0</v>
      </c>
      <c r="N12" s="266">
        <v>6432.5110000000004</v>
      </c>
      <c r="O12" s="266">
        <v>0</v>
      </c>
      <c r="P12" s="266">
        <v>0</v>
      </c>
      <c r="Q12" s="266">
        <v>0</v>
      </c>
      <c r="R12" s="266">
        <v>433.25700000000001</v>
      </c>
      <c r="S12" s="266">
        <v>97.91</v>
      </c>
      <c r="T12" s="266">
        <v>208.01</v>
      </c>
      <c r="U12" s="266">
        <v>30.959</v>
      </c>
      <c r="V12" s="266">
        <v>0</v>
      </c>
      <c r="W12" s="266">
        <v>0</v>
      </c>
      <c r="X12" s="266">
        <v>0</v>
      </c>
      <c r="Y12" s="266">
        <v>19114.309000000001</v>
      </c>
      <c r="Z12" s="265"/>
    </row>
    <row r="13" spans="1:28" s="262" customFormat="1">
      <c r="A13" s="245">
        <v>1978</v>
      </c>
      <c r="B13" s="266">
        <v>0</v>
      </c>
      <c r="C13" s="266">
        <v>0</v>
      </c>
      <c r="D13" s="266">
        <v>0</v>
      </c>
      <c r="E13" s="266">
        <v>6605.5429999999997</v>
      </c>
      <c r="F13" s="266">
        <v>646.81700000000001</v>
      </c>
      <c r="G13" s="266">
        <v>7252.36</v>
      </c>
      <c r="H13" s="266">
        <v>715.83600000000001</v>
      </c>
      <c r="I13" s="266">
        <v>0</v>
      </c>
      <c r="J13" s="266">
        <v>0</v>
      </c>
      <c r="K13" s="266">
        <v>2659.7370000000001</v>
      </c>
      <c r="L13" s="266">
        <v>4440.2489999999998</v>
      </c>
      <c r="M13" s="266">
        <v>0</v>
      </c>
      <c r="N13" s="266">
        <v>12824.587</v>
      </c>
      <c r="O13" s="266">
        <v>0</v>
      </c>
      <c r="P13" s="266">
        <v>0</v>
      </c>
      <c r="Q13" s="266">
        <v>0</v>
      </c>
      <c r="R13" s="266">
        <v>933.06100000000004</v>
      </c>
      <c r="S13" s="266">
        <v>63.662999999999997</v>
      </c>
      <c r="T13" s="266">
        <v>415.16</v>
      </c>
      <c r="U13" s="266">
        <v>39.662999999999997</v>
      </c>
      <c r="V13" s="266">
        <v>0</v>
      </c>
      <c r="W13" s="266">
        <v>0</v>
      </c>
      <c r="X13" s="266">
        <v>0</v>
      </c>
      <c r="Y13" s="266">
        <v>29344.316000000003</v>
      </c>
      <c r="Z13" s="265"/>
    </row>
    <row r="14" spans="1:28" s="262" customFormat="1">
      <c r="A14" s="245">
        <v>1979</v>
      </c>
      <c r="B14" s="266">
        <v>0</v>
      </c>
      <c r="C14" s="266">
        <v>0</v>
      </c>
      <c r="D14" s="266">
        <v>0</v>
      </c>
      <c r="E14" s="266">
        <v>7448.3530000000001</v>
      </c>
      <c r="F14" s="266">
        <v>670.85299999999995</v>
      </c>
      <c r="G14" s="266">
        <v>8119.2060000000001</v>
      </c>
      <c r="H14" s="266">
        <v>809.95100000000002</v>
      </c>
      <c r="I14" s="266">
        <v>0</v>
      </c>
      <c r="J14" s="266">
        <v>0</v>
      </c>
      <c r="K14" s="266">
        <v>2230.3150000000001</v>
      </c>
      <c r="L14" s="266">
        <v>4998.0510000000004</v>
      </c>
      <c r="M14" s="266">
        <v>0</v>
      </c>
      <c r="N14" s="266">
        <v>13844.319</v>
      </c>
      <c r="O14" s="266">
        <v>0</v>
      </c>
      <c r="P14" s="266">
        <v>0</v>
      </c>
      <c r="Q14" s="266">
        <v>0</v>
      </c>
      <c r="R14" s="266">
        <v>1095.567</v>
      </c>
      <c r="S14" s="266">
        <v>70.180000000000007</v>
      </c>
      <c r="T14" s="266">
        <v>287.291</v>
      </c>
      <c r="U14" s="266">
        <v>41.313000000000002</v>
      </c>
      <c r="V14" s="266">
        <v>0</v>
      </c>
      <c r="W14" s="266">
        <v>0</v>
      </c>
      <c r="X14" s="266">
        <v>0</v>
      </c>
      <c r="Y14" s="266">
        <v>31496.192999999999</v>
      </c>
      <c r="Z14" s="265"/>
    </row>
    <row r="15" spans="1:28" s="262" customFormat="1">
      <c r="A15" s="245">
        <v>1980</v>
      </c>
      <c r="B15" s="266">
        <v>145.71299999999999</v>
      </c>
      <c r="C15" s="266">
        <v>0</v>
      </c>
      <c r="D15" s="266">
        <v>0</v>
      </c>
      <c r="E15" s="266">
        <v>7665.5379999999996</v>
      </c>
      <c r="F15" s="266">
        <v>586.48900000000003</v>
      </c>
      <c r="G15" s="266">
        <v>8397.74</v>
      </c>
      <c r="H15" s="266">
        <v>842.52700000000004</v>
      </c>
      <c r="I15" s="266">
        <v>0</v>
      </c>
      <c r="J15" s="266">
        <v>0</v>
      </c>
      <c r="K15" s="266">
        <v>2272.2159999999999</v>
      </c>
      <c r="L15" s="266">
        <v>5529.2359999999999</v>
      </c>
      <c r="M15" s="266">
        <v>0</v>
      </c>
      <c r="N15" s="266">
        <v>14977.163</v>
      </c>
      <c r="O15" s="266">
        <v>0</v>
      </c>
      <c r="P15" s="266">
        <v>0</v>
      </c>
      <c r="Q15" s="266">
        <v>0</v>
      </c>
      <c r="R15" s="266">
        <v>1071.9069999999999</v>
      </c>
      <c r="S15" s="266">
        <v>79.302000000000007</v>
      </c>
      <c r="T15" s="266">
        <v>304.98099999999999</v>
      </c>
      <c r="U15" s="266">
        <v>49.427999999999997</v>
      </c>
      <c r="V15" s="266">
        <v>0</v>
      </c>
      <c r="W15" s="266">
        <v>0</v>
      </c>
      <c r="X15" s="266">
        <v>0</v>
      </c>
      <c r="Y15" s="266">
        <v>33524.500000000007</v>
      </c>
      <c r="Z15" s="265"/>
    </row>
    <row r="16" spans="1:28" s="262" customFormat="1">
      <c r="A16" s="245">
        <v>1981</v>
      </c>
      <c r="B16" s="266">
        <v>395.577</v>
      </c>
      <c r="C16" s="266">
        <v>0</v>
      </c>
      <c r="D16" s="266">
        <v>0</v>
      </c>
      <c r="E16" s="266">
        <v>6834.7790000000005</v>
      </c>
      <c r="F16" s="266">
        <v>529.05700000000002</v>
      </c>
      <c r="G16" s="266">
        <v>7759.4130000000005</v>
      </c>
      <c r="H16" s="266">
        <v>665.53800000000001</v>
      </c>
      <c r="I16" s="266">
        <v>0</v>
      </c>
      <c r="J16" s="266">
        <v>0</v>
      </c>
      <c r="K16" s="266">
        <v>2206.7260000000001</v>
      </c>
      <c r="L16" s="266">
        <v>4957.7370000000001</v>
      </c>
      <c r="M16" s="266">
        <v>0</v>
      </c>
      <c r="N16" s="266">
        <v>14614.275</v>
      </c>
      <c r="O16" s="266">
        <v>0</v>
      </c>
      <c r="P16" s="266">
        <v>0</v>
      </c>
      <c r="Q16" s="266">
        <v>0</v>
      </c>
      <c r="R16" s="266">
        <v>1094.7619999999999</v>
      </c>
      <c r="S16" s="266">
        <v>62.279000000000003</v>
      </c>
      <c r="T16" s="266">
        <v>305.68400000000003</v>
      </c>
      <c r="U16" s="266">
        <v>48.64</v>
      </c>
      <c r="V16" s="266">
        <v>0</v>
      </c>
      <c r="W16" s="266">
        <v>0</v>
      </c>
      <c r="X16" s="266">
        <v>0</v>
      </c>
      <c r="Y16" s="266">
        <v>31715.053999999996</v>
      </c>
      <c r="Z16" s="265"/>
    </row>
    <row r="17" spans="1:26" s="262" customFormat="1">
      <c r="A17" s="245">
        <v>1982</v>
      </c>
      <c r="B17" s="266">
        <v>559.06899999999996</v>
      </c>
      <c r="C17" s="266">
        <v>0</v>
      </c>
      <c r="D17" s="266">
        <v>0</v>
      </c>
      <c r="E17" s="266">
        <v>7016.2209999999995</v>
      </c>
      <c r="F17" s="266">
        <v>704.50900000000001</v>
      </c>
      <c r="G17" s="266">
        <v>8279.7989999999991</v>
      </c>
      <c r="H17" s="266">
        <v>755.625</v>
      </c>
      <c r="I17" s="266">
        <v>0</v>
      </c>
      <c r="J17" s="266">
        <v>0</v>
      </c>
      <c r="K17" s="266">
        <v>2531.7289999999998</v>
      </c>
      <c r="L17" s="266">
        <v>5151.66</v>
      </c>
      <c r="M17" s="266">
        <v>0</v>
      </c>
      <c r="N17" s="266">
        <v>14491.226000000001</v>
      </c>
      <c r="O17" s="266">
        <v>0</v>
      </c>
      <c r="P17" s="266">
        <v>0</v>
      </c>
      <c r="Q17" s="266">
        <v>0</v>
      </c>
      <c r="R17" s="266">
        <v>1051.808</v>
      </c>
      <c r="S17" s="266">
        <v>65.224000000000004</v>
      </c>
      <c r="T17" s="266">
        <v>343.58499999999998</v>
      </c>
      <c r="U17" s="266">
        <v>56.079000000000001</v>
      </c>
      <c r="V17" s="266">
        <v>0</v>
      </c>
      <c r="W17" s="266">
        <v>0</v>
      </c>
      <c r="X17" s="266">
        <v>45.284999999999997</v>
      </c>
      <c r="Y17" s="266">
        <v>32772.019999999997</v>
      </c>
      <c r="Z17" s="265"/>
    </row>
    <row r="18" spans="1:26" s="262" customFormat="1">
      <c r="A18" s="245">
        <v>1983</v>
      </c>
      <c r="B18" s="266">
        <v>296.72199999999998</v>
      </c>
      <c r="C18" s="266">
        <v>0</v>
      </c>
      <c r="D18" s="266">
        <v>0</v>
      </c>
      <c r="E18" s="266">
        <v>5413.7460000000001</v>
      </c>
      <c r="F18" s="266">
        <v>526.31700000000001</v>
      </c>
      <c r="G18" s="266">
        <v>6236.7849999999999</v>
      </c>
      <c r="H18" s="266">
        <v>642.24599999999998</v>
      </c>
      <c r="I18" s="266">
        <v>0</v>
      </c>
      <c r="J18" s="266">
        <v>0</v>
      </c>
      <c r="K18" s="266">
        <v>2063.069</v>
      </c>
      <c r="L18" s="266">
        <v>4201.0039999999999</v>
      </c>
      <c r="M18" s="266">
        <v>0</v>
      </c>
      <c r="N18" s="266">
        <v>12355.472</v>
      </c>
      <c r="O18" s="266">
        <v>0</v>
      </c>
      <c r="P18" s="266">
        <v>0</v>
      </c>
      <c r="Q18" s="266">
        <v>0</v>
      </c>
      <c r="R18" s="266">
        <v>876.154</v>
      </c>
      <c r="S18" s="266">
        <v>117.679</v>
      </c>
      <c r="T18" s="266">
        <v>265.01100000000002</v>
      </c>
      <c r="U18" s="266">
        <v>51.579000000000001</v>
      </c>
      <c r="V18" s="266">
        <v>0</v>
      </c>
      <c r="W18" s="266">
        <v>0</v>
      </c>
      <c r="X18" s="266">
        <v>74.805999999999997</v>
      </c>
      <c r="Y18" s="266">
        <v>26883.805</v>
      </c>
      <c r="Z18" s="265"/>
    </row>
    <row r="19" spans="1:26" s="262" customFormat="1">
      <c r="A19" s="245">
        <v>1984</v>
      </c>
      <c r="B19" s="266">
        <v>358.75700000000001</v>
      </c>
      <c r="C19" s="266">
        <v>0</v>
      </c>
      <c r="D19" s="266">
        <v>0</v>
      </c>
      <c r="E19" s="266">
        <v>7025.5569999999998</v>
      </c>
      <c r="F19" s="266">
        <v>539.68399999999997</v>
      </c>
      <c r="G19" s="266">
        <v>7923.9979999999996</v>
      </c>
      <c r="H19" s="266">
        <v>1102.577</v>
      </c>
      <c r="I19" s="266">
        <v>0</v>
      </c>
      <c r="J19" s="266">
        <v>0</v>
      </c>
      <c r="K19" s="266">
        <v>2284.277</v>
      </c>
      <c r="L19" s="266">
        <v>5273.491</v>
      </c>
      <c r="M19" s="266">
        <v>0</v>
      </c>
      <c r="N19" s="266">
        <v>13798.981</v>
      </c>
      <c r="O19" s="266">
        <v>0</v>
      </c>
      <c r="P19" s="266">
        <v>0</v>
      </c>
      <c r="Q19" s="266">
        <v>0</v>
      </c>
      <c r="R19" s="266">
        <v>1029.7719999999999</v>
      </c>
      <c r="S19" s="266">
        <v>94.991</v>
      </c>
      <c r="T19" s="266">
        <v>419.27800000000002</v>
      </c>
      <c r="U19" s="266">
        <v>68.296000000000006</v>
      </c>
      <c r="V19" s="266">
        <v>0</v>
      </c>
      <c r="W19" s="266">
        <v>0</v>
      </c>
      <c r="X19" s="266">
        <v>145.506</v>
      </c>
      <c r="Y19" s="266">
        <v>32141.167000000001</v>
      </c>
      <c r="Z19" s="265"/>
    </row>
    <row r="20" spans="1:26" s="262" customFormat="1">
      <c r="A20" s="245">
        <v>1985</v>
      </c>
      <c r="B20" s="266">
        <v>424.75900000000001</v>
      </c>
      <c r="C20" s="266">
        <v>0</v>
      </c>
      <c r="D20" s="266">
        <v>0</v>
      </c>
      <c r="E20" s="266">
        <v>6830.2460000000001</v>
      </c>
      <c r="F20" s="266">
        <v>476.05599999999998</v>
      </c>
      <c r="G20" s="266">
        <v>7731.0609999999997</v>
      </c>
      <c r="H20" s="266">
        <v>1293.2059999999999</v>
      </c>
      <c r="I20" s="266">
        <v>0</v>
      </c>
      <c r="J20" s="266">
        <v>0</v>
      </c>
      <c r="K20" s="266">
        <v>2181.922</v>
      </c>
      <c r="L20" s="266">
        <v>5400.2089999999998</v>
      </c>
      <c r="M20" s="266">
        <v>0</v>
      </c>
      <c r="N20" s="266">
        <v>12422.78</v>
      </c>
      <c r="O20" s="266">
        <v>0</v>
      </c>
      <c r="P20" s="266">
        <v>0</v>
      </c>
      <c r="Q20" s="266">
        <v>0</v>
      </c>
      <c r="R20" s="266">
        <v>1104.4459999999999</v>
      </c>
      <c r="S20" s="266">
        <v>73.756</v>
      </c>
      <c r="T20" s="266">
        <v>574.47</v>
      </c>
      <c r="U20" s="266">
        <v>68.021000000000001</v>
      </c>
      <c r="V20" s="266">
        <v>0</v>
      </c>
      <c r="W20" s="266">
        <v>0</v>
      </c>
      <c r="X20" s="266">
        <v>182.56800000000001</v>
      </c>
      <c r="Y20" s="266">
        <v>31032.439000000002</v>
      </c>
      <c r="Z20" s="265"/>
    </row>
    <row r="21" spans="1:26" s="262" customFormat="1">
      <c r="A21" s="245">
        <v>1986</v>
      </c>
      <c r="B21" s="266">
        <v>605.60400000000004</v>
      </c>
      <c r="C21" s="266">
        <v>0</v>
      </c>
      <c r="D21" s="266">
        <v>0</v>
      </c>
      <c r="E21" s="266">
        <v>7940.0929999999998</v>
      </c>
      <c r="F21" s="266">
        <v>458.40699999999998</v>
      </c>
      <c r="G21" s="266">
        <v>9004.1039999999994</v>
      </c>
      <c r="H21" s="266">
        <v>1633.17</v>
      </c>
      <c r="I21" s="266">
        <v>0</v>
      </c>
      <c r="J21" s="266">
        <v>0</v>
      </c>
      <c r="K21" s="266">
        <v>2231.5970000000002</v>
      </c>
      <c r="L21" s="266">
        <v>6040.6409999999996</v>
      </c>
      <c r="M21" s="266">
        <v>0</v>
      </c>
      <c r="N21" s="266">
        <v>13497.672</v>
      </c>
      <c r="O21" s="266">
        <v>0</v>
      </c>
      <c r="P21" s="266">
        <v>0</v>
      </c>
      <c r="Q21" s="266">
        <v>0</v>
      </c>
      <c r="R21" s="266">
        <v>1229.2909999999999</v>
      </c>
      <c r="S21" s="266">
        <v>89.781999999999996</v>
      </c>
      <c r="T21" s="266">
        <v>639.625</v>
      </c>
      <c r="U21" s="266">
        <v>68.483000000000004</v>
      </c>
      <c r="V21" s="266">
        <v>0</v>
      </c>
      <c r="W21" s="266">
        <v>0</v>
      </c>
      <c r="X21" s="266">
        <v>242.69900000000001</v>
      </c>
      <c r="Y21" s="266">
        <v>34677.063999999998</v>
      </c>
      <c r="Z21" s="265"/>
    </row>
    <row r="22" spans="1:26" s="262" customFormat="1">
      <c r="A22" s="245">
        <v>1987</v>
      </c>
      <c r="B22" s="266">
        <v>507.04899999999998</v>
      </c>
      <c r="C22" s="266">
        <v>0</v>
      </c>
      <c r="D22" s="266">
        <v>0</v>
      </c>
      <c r="E22" s="266">
        <v>6551.652</v>
      </c>
      <c r="F22" s="266">
        <v>95.075000000000003</v>
      </c>
      <c r="G22" s="266">
        <v>7153.7759999999998</v>
      </c>
      <c r="H22" s="266">
        <v>825.79700000000003</v>
      </c>
      <c r="I22" s="266">
        <v>0</v>
      </c>
      <c r="J22" s="266">
        <v>0</v>
      </c>
      <c r="K22" s="266">
        <v>1581.7760000000001</v>
      </c>
      <c r="L22" s="266">
        <v>5918.0259999999998</v>
      </c>
      <c r="M22" s="266">
        <v>0</v>
      </c>
      <c r="N22" s="266">
        <v>11526.99</v>
      </c>
      <c r="O22" s="266">
        <v>0</v>
      </c>
      <c r="P22" s="266">
        <v>0</v>
      </c>
      <c r="Q22" s="266">
        <v>297.798</v>
      </c>
      <c r="R22" s="266">
        <v>1248.7940000000001</v>
      </c>
      <c r="S22" s="266">
        <v>110.89</v>
      </c>
      <c r="T22" s="266">
        <v>492.79700000000003</v>
      </c>
      <c r="U22" s="266">
        <v>69.953000000000003</v>
      </c>
      <c r="V22" s="266">
        <v>0</v>
      </c>
      <c r="W22" s="266">
        <v>0</v>
      </c>
      <c r="X22" s="266">
        <v>95.414000000000001</v>
      </c>
      <c r="Y22" s="266">
        <v>29322.010999999999</v>
      </c>
      <c r="Z22" s="265"/>
    </row>
    <row r="23" spans="1:26" s="262" customFormat="1">
      <c r="A23" s="245">
        <v>1988</v>
      </c>
      <c r="B23" s="266">
        <v>685.58799999999997</v>
      </c>
      <c r="C23" s="266">
        <v>0</v>
      </c>
      <c r="D23" s="266">
        <v>0</v>
      </c>
      <c r="E23" s="266">
        <v>10309.329</v>
      </c>
      <c r="F23" s="266">
        <v>32.835999999999999</v>
      </c>
      <c r="G23" s="266">
        <v>11027.752999999999</v>
      </c>
      <c r="H23" s="266">
        <v>1548.546</v>
      </c>
      <c r="I23" s="266">
        <v>0</v>
      </c>
      <c r="J23" s="266">
        <v>0</v>
      </c>
      <c r="K23" s="266">
        <v>1386.739</v>
      </c>
      <c r="L23" s="266">
        <v>8609.6859999999997</v>
      </c>
      <c r="M23" s="266">
        <v>0</v>
      </c>
      <c r="N23" s="266">
        <v>15011.583000000001</v>
      </c>
      <c r="O23" s="266">
        <v>0</v>
      </c>
      <c r="P23" s="266">
        <v>0</v>
      </c>
      <c r="Q23" s="266">
        <v>1271.8499999999999</v>
      </c>
      <c r="R23" s="266">
        <v>1303.6199999999999</v>
      </c>
      <c r="S23" s="266">
        <v>106.426</v>
      </c>
      <c r="T23" s="266">
        <v>921.16899999999998</v>
      </c>
      <c r="U23" s="266">
        <v>69.885000000000005</v>
      </c>
      <c r="V23" s="266">
        <v>0</v>
      </c>
      <c r="W23" s="266">
        <v>0</v>
      </c>
      <c r="X23" s="266">
        <v>185.82599999999999</v>
      </c>
      <c r="Y23" s="266">
        <v>41443.083000000006</v>
      </c>
      <c r="Z23" s="265"/>
    </row>
    <row r="24" spans="1:26" s="262" customFormat="1">
      <c r="A24" s="251">
        <v>1989</v>
      </c>
      <c r="B24" s="266">
        <v>781.57299999999998</v>
      </c>
      <c r="C24" s="266">
        <v>0</v>
      </c>
      <c r="D24" s="266">
        <v>0</v>
      </c>
      <c r="E24" s="266">
        <v>9608.2759999999998</v>
      </c>
      <c r="F24" s="266">
        <v>42.314999999999998</v>
      </c>
      <c r="G24" s="266">
        <v>10432.164000000001</v>
      </c>
      <c r="H24" s="266">
        <v>1386.0740000000001</v>
      </c>
      <c r="I24" s="266">
        <v>0</v>
      </c>
      <c r="J24" s="266">
        <v>0</v>
      </c>
      <c r="K24" s="266">
        <v>1171.9369999999999</v>
      </c>
      <c r="L24" s="266">
        <v>7693.6930000000002</v>
      </c>
      <c r="M24" s="266">
        <v>0</v>
      </c>
      <c r="N24" s="266">
        <v>13783.174999999999</v>
      </c>
      <c r="O24" s="266">
        <v>0</v>
      </c>
      <c r="P24" s="266">
        <v>0</v>
      </c>
      <c r="Q24" s="266">
        <v>1278.1089999999999</v>
      </c>
      <c r="R24" s="266">
        <v>1254.8489999999999</v>
      </c>
      <c r="S24" s="266">
        <v>116.306</v>
      </c>
      <c r="T24" s="266">
        <v>473.892</v>
      </c>
      <c r="U24" s="266">
        <v>68.620999999999995</v>
      </c>
      <c r="V24" s="266">
        <v>0</v>
      </c>
      <c r="W24" s="266">
        <v>0</v>
      </c>
      <c r="X24" s="266">
        <v>141.93600000000001</v>
      </c>
      <c r="Y24" s="266">
        <v>37800.756000000001</v>
      </c>
      <c r="Z24" s="265"/>
    </row>
    <row r="25" spans="1:26" s="262" customFormat="1">
      <c r="A25" s="245">
        <v>1990</v>
      </c>
      <c r="B25" s="266">
        <v>515.75099999999998</v>
      </c>
      <c r="C25" s="266">
        <v>0</v>
      </c>
      <c r="D25" s="266">
        <v>0</v>
      </c>
      <c r="E25" s="266">
        <v>10262.012000000001</v>
      </c>
      <c r="F25" s="266">
        <v>36.963999999999999</v>
      </c>
      <c r="G25" s="266">
        <v>10814.727000000001</v>
      </c>
      <c r="H25" s="266">
        <v>1740.55</v>
      </c>
      <c r="I25" s="266">
        <v>0</v>
      </c>
      <c r="J25" s="266">
        <v>0</v>
      </c>
      <c r="K25" s="266">
        <v>1385.635</v>
      </c>
      <c r="L25" s="266">
        <v>9103.7219999999998</v>
      </c>
      <c r="M25" s="266">
        <v>0</v>
      </c>
      <c r="N25" s="266">
        <v>16119.322</v>
      </c>
      <c r="O25" s="266">
        <v>0</v>
      </c>
      <c r="P25" s="266">
        <v>0</v>
      </c>
      <c r="Q25" s="266">
        <v>1548.088</v>
      </c>
      <c r="R25" s="266">
        <v>1349.67</v>
      </c>
      <c r="S25" s="266">
        <v>109.55200000000001</v>
      </c>
      <c r="T25" s="266">
        <v>495.887</v>
      </c>
      <c r="U25" s="266">
        <v>77.251999999999995</v>
      </c>
      <c r="V25" s="266">
        <v>0</v>
      </c>
      <c r="W25" s="266">
        <v>0</v>
      </c>
      <c r="X25" s="266">
        <v>250.13399999999999</v>
      </c>
      <c r="Y25" s="266">
        <v>42994.539000000004</v>
      </c>
      <c r="Z25" s="265"/>
    </row>
    <row r="26" spans="1:26" s="262" customFormat="1">
      <c r="A26" s="245">
        <v>1991</v>
      </c>
      <c r="B26" s="266">
        <v>520.24800000000005</v>
      </c>
      <c r="C26" s="266">
        <v>0</v>
      </c>
      <c r="D26" s="266">
        <v>0</v>
      </c>
      <c r="E26" s="266">
        <v>10696.251</v>
      </c>
      <c r="F26" s="266">
        <v>27.975000000000001</v>
      </c>
      <c r="G26" s="266">
        <v>11244.474</v>
      </c>
      <c r="H26" s="266">
        <v>2197.761</v>
      </c>
      <c r="I26" s="266">
        <v>0</v>
      </c>
      <c r="J26" s="266">
        <v>0</v>
      </c>
      <c r="K26" s="266">
        <v>1024.7819999999999</v>
      </c>
      <c r="L26" s="266">
        <v>10229.191000000001</v>
      </c>
      <c r="M26" s="266">
        <v>0</v>
      </c>
      <c r="N26" s="266">
        <v>16459.151000000002</v>
      </c>
      <c r="O26" s="266">
        <v>0</v>
      </c>
      <c r="P26" s="266">
        <v>0</v>
      </c>
      <c r="Q26" s="266">
        <v>1434.7919999999999</v>
      </c>
      <c r="R26" s="266">
        <v>1402.9169999999999</v>
      </c>
      <c r="S26" s="266">
        <v>114.67700000000001</v>
      </c>
      <c r="T26" s="266">
        <v>434.68599999999998</v>
      </c>
      <c r="U26" s="266">
        <v>97.784000000000006</v>
      </c>
      <c r="V26" s="266">
        <v>0</v>
      </c>
      <c r="W26" s="266">
        <v>0</v>
      </c>
      <c r="X26" s="266">
        <v>327.99900000000002</v>
      </c>
      <c r="Y26" s="266">
        <v>44968.214000000007</v>
      </c>
      <c r="Z26" s="265"/>
    </row>
    <row r="27" spans="1:26" s="262" customFormat="1">
      <c r="A27" s="245">
        <v>1992</v>
      </c>
      <c r="B27" s="266">
        <v>547.16099999999994</v>
      </c>
      <c r="C27" s="266">
        <v>0</v>
      </c>
      <c r="D27" s="266">
        <v>0</v>
      </c>
      <c r="E27" s="266">
        <v>10954.197</v>
      </c>
      <c r="F27" s="266">
        <v>25.030999999999999</v>
      </c>
      <c r="G27" s="266">
        <v>11526.389000000001</v>
      </c>
      <c r="H27" s="266">
        <v>2546.3539999999998</v>
      </c>
      <c r="I27" s="266">
        <v>0</v>
      </c>
      <c r="J27" s="266">
        <v>0</v>
      </c>
      <c r="K27" s="266">
        <v>695.21900000000005</v>
      </c>
      <c r="L27" s="266">
        <v>10458.846</v>
      </c>
      <c r="M27" s="266">
        <v>0</v>
      </c>
      <c r="N27" s="266">
        <v>15838.555</v>
      </c>
      <c r="O27" s="266">
        <v>0</v>
      </c>
      <c r="P27" s="266">
        <v>0</v>
      </c>
      <c r="Q27" s="266">
        <v>1426.2260000000001</v>
      </c>
      <c r="R27" s="266">
        <v>1501.893</v>
      </c>
      <c r="S27" s="266">
        <v>163.52600000000001</v>
      </c>
      <c r="T27" s="266">
        <v>384.04</v>
      </c>
      <c r="U27" s="266">
        <v>88.899000000000001</v>
      </c>
      <c r="V27" s="266">
        <v>0</v>
      </c>
      <c r="W27" s="266">
        <v>0</v>
      </c>
      <c r="X27" s="266">
        <v>285.26799999999997</v>
      </c>
      <c r="Y27" s="266">
        <v>44915.214999999997</v>
      </c>
      <c r="Z27" s="265"/>
    </row>
    <row r="28" spans="1:26" s="262" customFormat="1">
      <c r="A28" s="245">
        <v>1993</v>
      </c>
      <c r="B28" s="266">
        <v>492.57799999999997</v>
      </c>
      <c r="C28" s="266">
        <v>20.109000000000002</v>
      </c>
      <c r="D28" s="266">
        <v>0</v>
      </c>
      <c r="E28" s="266">
        <v>10439.655000000001</v>
      </c>
      <c r="F28" s="266">
        <v>5.3710000000000004</v>
      </c>
      <c r="G28" s="266">
        <v>10957.713</v>
      </c>
      <c r="H28" s="266">
        <v>2966.3809999999999</v>
      </c>
      <c r="I28" s="266">
        <v>0</v>
      </c>
      <c r="J28" s="266">
        <v>0</v>
      </c>
      <c r="K28" s="266">
        <v>646.33399999999995</v>
      </c>
      <c r="L28" s="266">
        <v>10986.08</v>
      </c>
      <c r="M28" s="266">
        <v>0</v>
      </c>
      <c r="N28" s="266">
        <v>15632.046</v>
      </c>
      <c r="O28" s="266">
        <v>0</v>
      </c>
      <c r="P28" s="266">
        <v>0</v>
      </c>
      <c r="Q28" s="266">
        <v>1481.9590000000001</v>
      </c>
      <c r="R28" s="266">
        <v>1466.3620000000001</v>
      </c>
      <c r="S28" s="266">
        <v>177.535</v>
      </c>
      <c r="T28" s="266">
        <v>488.041</v>
      </c>
      <c r="U28" s="266">
        <v>99.613</v>
      </c>
      <c r="V28" s="266">
        <v>0</v>
      </c>
      <c r="W28" s="266">
        <v>0</v>
      </c>
      <c r="X28" s="266">
        <v>462.47899999999998</v>
      </c>
      <c r="Y28" s="266">
        <v>45364.543000000005</v>
      </c>
      <c r="Z28" s="265"/>
    </row>
    <row r="29" spans="1:26" s="262" customFormat="1">
      <c r="A29" s="245" t="s">
        <v>1430</v>
      </c>
      <c r="B29" s="266">
        <v>525.70799999999997</v>
      </c>
      <c r="C29" s="266">
        <v>513.77200000000005</v>
      </c>
      <c r="D29" s="266">
        <v>0</v>
      </c>
      <c r="E29" s="266">
        <v>10006.031999999999</v>
      </c>
      <c r="F29" s="266">
        <v>0</v>
      </c>
      <c r="G29" s="266">
        <v>11045.511999999999</v>
      </c>
      <c r="H29" s="266">
        <v>2951.41</v>
      </c>
      <c r="I29" s="266">
        <v>0</v>
      </c>
      <c r="J29" s="266">
        <v>0</v>
      </c>
      <c r="K29" s="266">
        <v>552.63699999999994</v>
      </c>
      <c r="L29" s="266">
        <v>11090.398999999999</v>
      </c>
      <c r="M29" s="266">
        <v>0</v>
      </c>
      <c r="N29" s="266">
        <v>18121.102999999999</v>
      </c>
      <c r="O29" s="266">
        <v>0</v>
      </c>
      <c r="P29" s="266">
        <v>0</v>
      </c>
      <c r="Q29" s="266">
        <v>1597.838</v>
      </c>
      <c r="R29" s="266">
        <v>1355.1130000000001</v>
      </c>
      <c r="S29" s="266">
        <v>155.87799999999999</v>
      </c>
      <c r="T29" s="266">
        <v>635.78399999999999</v>
      </c>
      <c r="U29" s="266">
        <v>100.123</v>
      </c>
      <c r="V29" s="266">
        <v>0</v>
      </c>
      <c r="W29" s="266">
        <v>0</v>
      </c>
      <c r="X29" s="266">
        <v>409.06400000000002</v>
      </c>
      <c r="Y29" s="266">
        <v>48014.860999999997</v>
      </c>
      <c r="Z29" s="265"/>
    </row>
    <row r="30" spans="1:26" s="262" customFormat="1">
      <c r="A30" s="245">
        <v>1995</v>
      </c>
      <c r="B30" s="266">
        <v>696.44799999999998</v>
      </c>
      <c r="C30" s="266">
        <v>1370.0060000000001</v>
      </c>
      <c r="D30" s="266">
        <v>0</v>
      </c>
      <c r="E30" s="266">
        <v>8426.3559999999998</v>
      </c>
      <c r="F30" s="266">
        <v>0</v>
      </c>
      <c r="G30" s="266">
        <v>10492.81</v>
      </c>
      <c r="H30" s="266">
        <v>2405.7429999999999</v>
      </c>
      <c r="I30" s="266">
        <v>0</v>
      </c>
      <c r="J30" s="266">
        <v>0</v>
      </c>
      <c r="K30" s="266">
        <v>594.03599999999994</v>
      </c>
      <c r="L30" s="266">
        <v>10363.745999999999</v>
      </c>
      <c r="M30" s="266">
        <v>0</v>
      </c>
      <c r="N30" s="266">
        <v>8845.0040000000008</v>
      </c>
      <c r="O30" s="266">
        <v>0</v>
      </c>
      <c r="P30" s="266">
        <v>10614.272000000001</v>
      </c>
      <c r="Q30" s="266">
        <v>2305.011</v>
      </c>
      <c r="R30" s="266">
        <v>1602.0830000000001</v>
      </c>
      <c r="S30" s="266">
        <v>181.434</v>
      </c>
      <c r="T30" s="266">
        <v>616.61099999999999</v>
      </c>
      <c r="U30" s="266">
        <v>97.25</v>
      </c>
      <c r="V30" s="266">
        <v>0</v>
      </c>
      <c r="W30" s="266">
        <v>346.53800000000001</v>
      </c>
      <c r="X30" s="266">
        <v>461.75900000000001</v>
      </c>
      <c r="Y30" s="266">
        <v>48926.296999999999</v>
      </c>
      <c r="Z30" s="265"/>
    </row>
    <row r="31" spans="1:26" s="262" customFormat="1">
      <c r="A31" s="245">
        <v>1996</v>
      </c>
      <c r="B31" s="266">
        <v>851.73699999999997</v>
      </c>
      <c r="C31" s="266">
        <v>1916.711</v>
      </c>
      <c r="D31" s="266">
        <v>0</v>
      </c>
      <c r="E31" s="266">
        <v>8083.1289999999999</v>
      </c>
      <c r="F31" s="266">
        <v>0</v>
      </c>
      <c r="G31" s="266">
        <v>10851.576999999999</v>
      </c>
      <c r="H31" s="266">
        <v>2950.489</v>
      </c>
      <c r="I31" s="266">
        <v>2995.4270000000001</v>
      </c>
      <c r="J31" s="266">
        <v>1.702</v>
      </c>
      <c r="K31" s="266">
        <v>519.48400000000004</v>
      </c>
      <c r="L31" s="266">
        <v>12137.558000000001</v>
      </c>
      <c r="M31" s="266">
        <v>0</v>
      </c>
      <c r="N31" s="266">
        <v>9029.0439999999999</v>
      </c>
      <c r="O31" s="266">
        <v>0</v>
      </c>
      <c r="P31" s="266">
        <v>12511.902</v>
      </c>
      <c r="Q31" s="266">
        <v>3226.056</v>
      </c>
      <c r="R31" s="266">
        <v>1694.893</v>
      </c>
      <c r="S31" s="266">
        <v>140.649</v>
      </c>
      <c r="T31" s="266">
        <v>626.53</v>
      </c>
      <c r="U31" s="266">
        <v>99.311000000000007</v>
      </c>
      <c r="V31" s="266">
        <v>0</v>
      </c>
      <c r="W31" s="266">
        <v>278.24799999999999</v>
      </c>
      <c r="X31" s="266">
        <v>545.67399999999998</v>
      </c>
      <c r="Y31" s="266">
        <v>57608.543999999994</v>
      </c>
      <c r="Z31" s="265"/>
    </row>
    <row r="32" spans="1:26" s="262" customFormat="1">
      <c r="A32" s="245">
        <v>1997</v>
      </c>
      <c r="B32" s="266">
        <v>984.71500000000003</v>
      </c>
      <c r="C32" s="266">
        <v>2163.8690000000001</v>
      </c>
      <c r="D32" s="266">
        <v>0</v>
      </c>
      <c r="E32" s="266">
        <v>7752.69</v>
      </c>
      <c r="F32" s="266">
        <v>0</v>
      </c>
      <c r="G32" s="266">
        <v>10901.273999999999</v>
      </c>
      <c r="H32" s="266">
        <v>2309.6880000000001</v>
      </c>
      <c r="I32" s="266">
        <v>1896.152</v>
      </c>
      <c r="J32" s="266">
        <v>3.8889999999999998</v>
      </c>
      <c r="K32" s="266">
        <v>639.87199999999996</v>
      </c>
      <c r="L32" s="266">
        <v>8879.0930000000008</v>
      </c>
      <c r="M32" s="266">
        <v>0</v>
      </c>
      <c r="N32" s="266">
        <v>10557.338</v>
      </c>
      <c r="O32" s="266">
        <v>0</v>
      </c>
      <c r="P32" s="266">
        <v>9122.9549999999999</v>
      </c>
      <c r="Q32" s="266">
        <v>3168.7260000000001</v>
      </c>
      <c r="R32" s="266">
        <v>1959.9079999999999</v>
      </c>
      <c r="S32" s="266">
        <v>176.02199999999999</v>
      </c>
      <c r="T32" s="266">
        <v>530.08699999999999</v>
      </c>
      <c r="U32" s="266">
        <v>104.65600000000001</v>
      </c>
      <c r="V32" s="266">
        <v>0</v>
      </c>
      <c r="W32" s="266">
        <v>0.61199999999999999</v>
      </c>
      <c r="X32" s="266">
        <v>593.33000000000004</v>
      </c>
      <c r="Y32" s="266">
        <v>50843.602000000006</v>
      </c>
      <c r="Z32" s="265"/>
    </row>
    <row r="33" spans="1:26" s="262" customFormat="1">
      <c r="A33" s="245">
        <v>1998</v>
      </c>
      <c r="B33" s="266">
        <v>1424.0160000000001</v>
      </c>
      <c r="C33" s="266">
        <v>472.911</v>
      </c>
      <c r="D33" s="266">
        <v>0</v>
      </c>
      <c r="E33" s="266">
        <v>9135.0120000000006</v>
      </c>
      <c r="F33" s="266">
        <v>0</v>
      </c>
      <c r="G33" s="266">
        <v>11031.939</v>
      </c>
      <c r="H33" s="266">
        <v>2453.172</v>
      </c>
      <c r="I33" s="266">
        <v>2235.1489999999999</v>
      </c>
      <c r="J33" s="266">
        <v>2.3010000000000002</v>
      </c>
      <c r="K33" s="266">
        <v>826.63</v>
      </c>
      <c r="L33" s="266">
        <v>8950.384</v>
      </c>
      <c r="M33" s="266">
        <v>0</v>
      </c>
      <c r="N33" s="266">
        <v>10044.772999999999</v>
      </c>
      <c r="O33" s="266">
        <v>0</v>
      </c>
      <c r="P33" s="266">
        <v>11585.870999999999</v>
      </c>
      <c r="Q33" s="266">
        <v>3026.8249999999998</v>
      </c>
      <c r="R33" s="266">
        <v>2027.0509999999999</v>
      </c>
      <c r="S33" s="266">
        <v>128.185</v>
      </c>
      <c r="T33" s="266">
        <v>824.77700000000004</v>
      </c>
      <c r="U33" s="266">
        <v>140.51599999999999</v>
      </c>
      <c r="V33" s="266">
        <v>0</v>
      </c>
      <c r="W33" s="266">
        <v>0</v>
      </c>
      <c r="X33" s="266">
        <v>629.36599999999999</v>
      </c>
      <c r="Y33" s="266">
        <v>53906.938999999998</v>
      </c>
      <c r="Z33" s="265"/>
    </row>
    <row r="34" spans="1:26" s="262" customFormat="1">
      <c r="A34" s="245">
        <v>1999</v>
      </c>
      <c r="B34" s="266">
        <v>1714.066</v>
      </c>
      <c r="C34" s="266">
        <v>0</v>
      </c>
      <c r="D34" s="266">
        <v>0</v>
      </c>
      <c r="E34" s="266">
        <v>9669.8269999999993</v>
      </c>
      <c r="F34" s="266">
        <v>0</v>
      </c>
      <c r="G34" s="266">
        <v>11383.893</v>
      </c>
      <c r="H34" s="266">
        <v>2014.4549999999999</v>
      </c>
      <c r="I34" s="266">
        <v>2001.252</v>
      </c>
      <c r="J34" s="266">
        <v>1.272</v>
      </c>
      <c r="K34" s="266">
        <v>731.27300000000002</v>
      </c>
      <c r="L34" s="266">
        <v>7001.09</v>
      </c>
      <c r="M34" s="266">
        <v>1079.8969999999999</v>
      </c>
      <c r="N34" s="266">
        <v>9876.9390000000003</v>
      </c>
      <c r="O34" s="266">
        <v>0</v>
      </c>
      <c r="P34" s="266">
        <v>10948.853999999999</v>
      </c>
      <c r="Q34" s="266">
        <v>2489.3440000000001</v>
      </c>
      <c r="R34" s="266">
        <v>1518.845</v>
      </c>
      <c r="S34" s="266">
        <v>67.983999999999995</v>
      </c>
      <c r="T34" s="266">
        <v>700.28200000000004</v>
      </c>
      <c r="U34" s="266">
        <v>77.819999999999993</v>
      </c>
      <c r="V34" s="266">
        <v>174.65199999999999</v>
      </c>
      <c r="W34" s="266">
        <v>48.274000000000001</v>
      </c>
      <c r="X34" s="266">
        <v>621.43700000000001</v>
      </c>
      <c r="Y34" s="266">
        <v>50737.562999999995</v>
      </c>
      <c r="Z34" s="265"/>
    </row>
    <row r="35" spans="1:26" s="262" customFormat="1">
      <c r="A35" s="245">
        <v>2000</v>
      </c>
      <c r="B35" s="266">
        <v>3080.9630000000002</v>
      </c>
      <c r="C35" s="266">
        <v>0</v>
      </c>
      <c r="D35" s="266">
        <v>0</v>
      </c>
      <c r="E35" s="266">
        <v>10282.986999999999</v>
      </c>
      <c r="F35" s="266">
        <v>0</v>
      </c>
      <c r="G35" s="266">
        <v>13363.949999999999</v>
      </c>
      <c r="H35" s="266">
        <v>2817.665</v>
      </c>
      <c r="I35" s="266">
        <v>2070.1010000000001</v>
      </c>
      <c r="J35" s="266">
        <v>1.3069999999999999</v>
      </c>
      <c r="K35" s="266">
        <v>574.36500000000001</v>
      </c>
      <c r="L35" s="266">
        <v>10433.558000000001</v>
      </c>
      <c r="M35" s="266">
        <v>1646.568</v>
      </c>
      <c r="N35" s="266">
        <v>10786.691000000001</v>
      </c>
      <c r="O35" s="266">
        <v>0</v>
      </c>
      <c r="P35" s="266">
        <v>14078.769</v>
      </c>
      <c r="Q35" s="266">
        <v>2484.3719999999998</v>
      </c>
      <c r="R35" s="266">
        <v>1937.9639999999999</v>
      </c>
      <c r="S35" s="266">
        <v>35.265000000000001</v>
      </c>
      <c r="T35" s="266">
        <v>809.82799999999997</v>
      </c>
      <c r="U35" s="266">
        <v>104.236</v>
      </c>
      <c r="V35" s="266">
        <v>64.373999999999995</v>
      </c>
      <c r="W35" s="266">
        <v>273.09399999999999</v>
      </c>
      <c r="X35" s="266">
        <v>679.04300000000001</v>
      </c>
      <c r="Y35" s="266">
        <v>62161.15</v>
      </c>
      <c r="Z35" s="265"/>
    </row>
    <row r="36" spans="1:26" s="262" customFormat="1">
      <c r="A36" s="245">
        <v>2001</v>
      </c>
      <c r="B36" s="266">
        <v>1399.5160000000001</v>
      </c>
      <c r="C36" s="266">
        <v>0</v>
      </c>
      <c r="D36" s="266">
        <v>0</v>
      </c>
      <c r="E36" s="266">
        <v>10837.157999999999</v>
      </c>
      <c r="F36" s="266">
        <v>0</v>
      </c>
      <c r="G36" s="266">
        <v>12236.673999999999</v>
      </c>
      <c r="H36" s="266">
        <v>2406.5239999999999</v>
      </c>
      <c r="I36" s="266">
        <v>1757.883</v>
      </c>
      <c r="J36" s="266">
        <v>1.0920000000000001</v>
      </c>
      <c r="K36" s="266">
        <v>596.65499999999997</v>
      </c>
      <c r="L36" s="266">
        <v>12911.06</v>
      </c>
      <c r="M36" s="266">
        <v>539.298</v>
      </c>
      <c r="N36" s="266">
        <v>10953.26</v>
      </c>
      <c r="O36" s="266">
        <v>0</v>
      </c>
      <c r="P36" s="266">
        <v>11898.357</v>
      </c>
      <c r="Q36" s="266">
        <v>2467.3670000000002</v>
      </c>
      <c r="R36" s="266">
        <v>1771.4670000000001</v>
      </c>
      <c r="S36" s="266">
        <v>65.325999999999993</v>
      </c>
      <c r="T36" s="266">
        <v>1064.8789999999999</v>
      </c>
      <c r="U36" s="266">
        <v>77.662999999999997</v>
      </c>
      <c r="V36" s="266">
        <v>253.49600000000001</v>
      </c>
      <c r="W36" s="266">
        <v>275.50599999999997</v>
      </c>
      <c r="X36" s="266">
        <v>645.74</v>
      </c>
      <c r="Y36" s="266">
        <v>59922.246999999996</v>
      </c>
      <c r="Z36" s="265"/>
    </row>
    <row r="37" spans="1:26" s="262" customFormat="1">
      <c r="A37" s="245">
        <v>2002</v>
      </c>
      <c r="B37" s="266">
        <v>2723.915</v>
      </c>
      <c r="C37" s="266">
        <v>0</v>
      </c>
      <c r="D37" s="266">
        <v>0</v>
      </c>
      <c r="E37" s="266">
        <v>10163.264999999999</v>
      </c>
      <c r="F37" s="266">
        <v>0</v>
      </c>
      <c r="G37" s="266">
        <v>12887.18</v>
      </c>
      <c r="H37" s="266">
        <v>2060.0160000000001</v>
      </c>
      <c r="I37" s="266">
        <v>1940.0239999999999</v>
      </c>
      <c r="J37" s="266">
        <v>1.8740000000000001</v>
      </c>
      <c r="K37" s="266">
        <v>536.43200000000002</v>
      </c>
      <c r="L37" s="266">
        <v>11978.511</v>
      </c>
      <c r="M37" s="266">
        <v>460.16500000000002</v>
      </c>
      <c r="N37" s="266">
        <v>11353.763999999999</v>
      </c>
      <c r="O37" s="266">
        <v>0</v>
      </c>
      <c r="P37" s="266">
        <v>10741.978999999999</v>
      </c>
      <c r="Q37" s="266">
        <v>2719.97</v>
      </c>
      <c r="R37" s="266">
        <v>1797.434</v>
      </c>
      <c r="S37" s="266">
        <v>73.177999999999997</v>
      </c>
      <c r="T37" s="266">
        <v>1086.604</v>
      </c>
      <c r="U37" s="266">
        <v>60.997</v>
      </c>
      <c r="V37" s="266">
        <v>209.18600000000001</v>
      </c>
      <c r="W37" s="266">
        <v>279.654</v>
      </c>
      <c r="X37" s="266">
        <v>582.28700000000003</v>
      </c>
      <c r="Y37" s="266">
        <v>58769.255000000005</v>
      </c>
      <c r="Z37" s="265"/>
    </row>
    <row r="38" spans="1:26" s="262" customFormat="1">
      <c r="A38" s="245">
        <v>2003</v>
      </c>
      <c r="B38" s="266">
        <v>3062.4009999999998</v>
      </c>
      <c r="C38" s="266">
        <v>0</v>
      </c>
      <c r="D38" s="266">
        <v>0</v>
      </c>
      <c r="E38" s="266">
        <v>10027.960999999999</v>
      </c>
      <c r="F38" s="266">
        <v>0</v>
      </c>
      <c r="G38" s="266">
        <v>13090.361999999999</v>
      </c>
      <c r="H38" s="266">
        <v>2229.989</v>
      </c>
      <c r="I38" s="266">
        <v>2585.0749999999998</v>
      </c>
      <c r="J38" s="266">
        <v>1.6040000000000001</v>
      </c>
      <c r="K38" s="266">
        <v>515.84</v>
      </c>
      <c r="L38" s="266">
        <v>10961.17</v>
      </c>
      <c r="M38" s="266">
        <v>87.521000000000001</v>
      </c>
      <c r="N38" s="266">
        <v>10811.957</v>
      </c>
      <c r="O38" s="266">
        <v>0</v>
      </c>
      <c r="P38" s="266">
        <v>8878.82</v>
      </c>
      <c r="Q38" s="266">
        <v>2620.1080000000002</v>
      </c>
      <c r="R38" s="266">
        <v>1878.8219999999999</v>
      </c>
      <c r="S38" s="266">
        <v>49.219000000000001</v>
      </c>
      <c r="T38" s="266">
        <v>1199.999</v>
      </c>
      <c r="U38" s="266">
        <v>20.709</v>
      </c>
      <c r="V38" s="266">
        <v>89.198999999999998</v>
      </c>
      <c r="W38" s="266">
        <v>295.43200000000002</v>
      </c>
      <c r="X38" s="266">
        <v>501.536</v>
      </c>
      <c r="Y38" s="266">
        <v>55817.362000000008</v>
      </c>
      <c r="Z38" s="265"/>
    </row>
    <row r="39" spans="1:26" s="262" customFormat="1">
      <c r="A39" s="245">
        <v>2004</v>
      </c>
      <c r="B39" s="266">
        <v>2762.6309999999999</v>
      </c>
      <c r="C39" s="266">
        <v>0</v>
      </c>
      <c r="D39" s="266">
        <v>0</v>
      </c>
      <c r="E39" s="266">
        <v>10312.056</v>
      </c>
      <c r="F39" s="266">
        <v>0</v>
      </c>
      <c r="G39" s="266">
        <v>13074.687</v>
      </c>
      <c r="H39" s="266">
        <v>2184.076</v>
      </c>
      <c r="I39" s="266">
        <v>2551.09</v>
      </c>
      <c r="J39" s="266">
        <v>1.496</v>
      </c>
      <c r="K39" s="266">
        <v>549.14700000000005</v>
      </c>
      <c r="L39" s="266">
        <v>11866.037</v>
      </c>
      <c r="M39" s="266">
        <v>801.35599999999999</v>
      </c>
      <c r="N39" s="266">
        <v>11267.071</v>
      </c>
      <c r="O39" s="266">
        <v>0</v>
      </c>
      <c r="P39" s="266">
        <v>10011.509</v>
      </c>
      <c r="Q39" s="266">
        <v>2861.1660000000002</v>
      </c>
      <c r="R39" s="266">
        <v>2209.1979999999999</v>
      </c>
      <c r="S39" s="266">
        <v>85.908000000000001</v>
      </c>
      <c r="T39" s="266">
        <v>1158.288</v>
      </c>
      <c r="U39" s="266">
        <v>38.280999999999999</v>
      </c>
      <c r="V39" s="266">
        <v>159.40199999999999</v>
      </c>
      <c r="W39" s="266">
        <v>320.21800000000002</v>
      </c>
      <c r="X39" s="266">
        <v>539.22699999999998</v>
      </c>
      <c r="Y39" s="266">
        <v>59678.156999999999</v>
      </c>
      <c r="Z39" s="265"/>
    </row>
    <row r="40" spans="1:26" s="262" customFormat="1">
      <c r="A40" s="245">
        <v>2005</v>
      </c>
      <c r="B40" s="266">
        <v>3101.3490000000002</v>
      </c>
      <c r="C40" s="266">
        <v>0</v>
      </c>
      <c r="D40" s="266">
        <v>0</v>
      </c>
      <c r="E40" s="266">
        <v>10628.413</v>
      </c>
      <c r="F40" s="266">
        <v>0</v>
      </c>
      <c r="G40" s="266">
        <v>13729.762000000001</v>
      </c>
      <c r="H40" s="266">
        <v>2119.665</v>
      </c>
      <c r="I40" s="266">
        <v>2108.9110000000001</v>
      </c>
      <c r="J40" s="266">
        <v>0.19900000000000001</v>
      </c>
      <c r="K40" s="266">
        <v>462.42599999999999</v>
      </c>
      <c r="L40" s="266">
        <v>12458.754999999999</v>
      </c>
      <c r="M40" s="266">
        <v>110.449</v>
      </c>
      <c r="N40" s="266">
        <v>11850.989</v>
      </c>
      <c r="O40" s="266">
        <v>0</v>
      </c>
      <c r="P40" s="266">
        <v>10474.184999999999</v>
      </c>
      <c r="Q40" s="266">
        <v>3243.0309999999999</v>
      </c>
      <c r="R40" s="266">
        <v>2461.2150000000001</v>
      </c>
      <c r="S40" s="266">
        <v>101.89700000000001</v>
      </c>
      <c r="T40" s="266">
        <v>989.85799999999995</v>
      </c>
      <c r="U40" s="266">
        <v>54.988</v>
      </c>
      <c r="V40" s="266">
        <v>608.40599999999995</v>
      </c>
      <c r="W40" s="266">
        <v>387.68700000000001</v>
      </c>
      <c r="X40" s="266">
        <v>458.05</v>
      </c>
      <c r="Y40" s="266">
        <v>61620.472999999998</v>
      </c>
      <c r="Z40" s="265"/>
    </row>
    <row r="41" spans="1:26" s="262" customFormat="1">
      <c r="A41" s="245">
        <v>2006</v>
      </c>
      <c r="B41" s="266">
        <v>3244.093643704</v>
      </c>
      <c r="C41" s="266">
        <v>0</v>
      </c>
      <c r="D41" s="266">
        <v>0</v>
      </c>
      <c r="E41" s="266">
        <v>10252.348</v>
      </c>
      <c r="F41" s="266">
        <v>0</v>
      </c>
      <c r="G41" s="266">
        <v>13496.441643704002</v>
      </c>
      <c r="H41" s="266">
        <v>1943.7739999999999</v>
      </c>
      <c r="I41" s="266">
        <v>1691.394</v>
      </c>
      <c r="J41" s="266">
        <v>0</v>
      </c>
      <c r="K41" s="266">
        <v>257.322</v>
      </c>
      <c r="L41" s="266">
        <v>11025.173000000001</v>
      </c>
      <c r="M41" s="266">
        <v>191.74100000000001</v>
      </c>
      <c r="N41" s="266">
        <v>8826.9538095238095</v>
      </c>
      <c r="O41" s="266">
        <v>940.57319047619058</v>
      </c>
      <c r="P41" s="266">
        <v>10970.776</v>
      </c>
      <c r="Q41" s="266">
        <v>3018.0850000000005</v>
      </c>
      <c r="R41" s="266">
        <v>2394.7399999999998</v>
      </c>
      <c r="S41" s="266">
        <v>123.8</v>
      </c>
      <c r="T41" s="266">
        <v>896.12900000000002</v>
      </c>
      <c r="U41" s="266">
        <v>78.506</v>
      </c>
      <c r="V41" s="266">
        <v>791.31399999999996</v>
      </c>
      <c r="W41" s="266">
        <v>415.23207142857143</v>
      </c>
      <c r="X41" s="266">
        <v>339.43400000000003</v>
      </c>
      <c r="Y41" s="266">
        <v>57401.388715132576</v>
      </c>
      <c r="Z41" s="265"/>
    </row>
    <row r="42" spans="1:26" s="262" customFormat="1">
      <c r="A42" s="245">
        <v>2007</v>
      </c>
      <c r="B42" s="266">
        <v>3916.7004036599997</v>
      </c>
      <c r="C42" s="266">
        <v>0</v>
      </c>
      <c r="D42" s="266">
        <v>0</v>
      </c>
      <c r="E42" s="266">
        <v>12628.841546190477</v>
      </c>
      <c r="F42" s="266">
        <v>0</v>
      </c>
      <c r="G42" s="266">
        <v>16545.541949850478</v>
      </c>
      <c r="H42" s="266">
        <v>1401.1969999999999</v>
      </c>
      <c r="I42" s="266">
        <v>1254.4549999999999</v>
      </c>
      <c r="J42" s="266">
        <v>0</v>
      </c>
      <c r="K42" s="266">
        <v>259.39999999999998</v>
      </c>
      <c r="L42" s="266">
        <v>11178.824000000001</v>
      </c>
      <c r="M42" s="266">
        <v>776.21400000000006</v>
      </c>
      <c r="N42" s="266">
        <v>8466.9680000000008</v>
      </c>
      <c r="O42" s="266">
        <v>3279.6840000000002</v>
      </c>
      <c r="P42" s="266">
        <v>13663.455</v>
      </c>
      <c r="Q42" s="266">
        <v>3303.2759999999994</v>
      </c>
      <c r="R42" s="266">
        <v>2827.11</v>
      </c>
      <c r="S42" s="266">
        <v>184.97300000000001</v>
      </c>
      <c r="T42" s="266">
        <v>990.06899999999996</v>
      </c>
      <c r="U42" s="266">
        <v>108.727</v>
      </c>
      <c r="V42" s="266">
        <v>92.983999999999995</v>
      </c>
      <c r="W42" s="266">
        <v>506.48747619047623</v>
      </c>
      <c r="X42" s="266">
        <v>299.363</v>
      </c>
      <c r="Y42" s="266">
        <v>65138.728426040958</v>
      </c>
      <c r="Z42" s="265"/>
    </row>
    <row r="43" spans="1:26" s="262" customFormat="1">
      <c r="A43" s="245">
        <v>2008</v>
      </c>
      <c r="B43" s="266">
        <v>3979.108261365714</v>
      </c>
      <c r="C43" s="266">
        <v>0</v>
      </c>
      <c r="D43" s="266">
        <v>0</v>
      </c>
      <c r="E43" s="266">
        <v>13307.425714285713</v>
      </c>
      <c r="F43" s="266">
        <v>0</v>
      </c>
      <c r="G43" s="266">
        <v>17286.533975651426</v>
      </c>
      <c r="H43" s="266">
        <v>2073.152</v>
      </c>
      <c r="I43" s="266">
        <v>2018.845</v>
      </c>
      <c r="J43" s="266">
        <v>0.92</v>
      </c>
      <c r="K43" s="266">
        <v>276.75200000000001</v>
      </c>
      <c r="L43" s="266">
        <v>11187.995000000001</v>
      </c>
      <c r="M43" s="266">
        <v>874.49699999999996</v>
      </c>
      <c r="N43" s="266">
        <v>8862.1329999999998</v>
      </c>
      <c r="O43" s="266">
        <v>2041.7460000000001</v>
      </c>
      <c r="P43" s="266">
        <v>13366.181</v>
      </c>
      <c r="Q43" s="266">
        <v>3836.65</v>
      </c>
      <c r="R43" s="266">
        <v>2815.761</v>
      </c>
      <c r="S43" s="266">
        <v>216.417</v>
      </c>
      <c r="T43" s="266">
        <v>1414.2070000000001</v>
      </c>
      <c r="U43" s="266">
        <v>125.959</v>
      </c>
      <c r="V43" s="266">
        <v>220.70500000000001</v>
      </c>
      <c r="W43" s="266">
        <v>577.2936190476189</v>
      </c>
      <c r="X43" s="266">
        <v>357.49099999999999</v>
      </c>
      <c r="Y43" s="266">
        <v>67553.238594699054</v>
      </c>
      <c r="Z43" s="265"/>
    </row>
    <row r="44" spans="1:26" s="262" customFormat="1">
      <c r="A44" s="245">
        <v>2009</v>
      </c>
      <c r="B44" s="266">
        <v>2607.4090000000001</v>
      </c>
      <c r="C44" s="266">
        <v>0</v>
      </c>
      <c r="D44" s="266">
        <v>0</v>
      </c>
      <c r="E44" s="266">
        <v>14263.677214285715</v>
      </c>
      <c r="F44" s="266">
        <v>0</v>
      </c>
      <c r="G44" s="266">
        <v>16871.086214285715</v>
      </c>
      <c r="H44" s="266">
        <v>2159.248</v>
      </c>
      <c r="I44" s="266">
        <v>0</v>
      </c>
      <c r="J44" s="266">
        <v>0.318</v>
      </c>
      <c r="K44" s="266">
        <v>256.90499999999997</v>
      </c>
      <c r="L44" s="266">
        <v>11179.744000000001</v>
      </c>
      <c r="M44" s="266">
        <v>1796.8789999999999</v>
      </c>
      <c r="N44" s="266">
        <v>9174.0139999999992</v>
      </c>
      <c r="O44" s="266">
        <v>2735.7930000000001</v>
      </c>
      <c r="P44" s="266">
        <v>10570.841</v>
      </c>
      <c r="Q44" s="266">
        <v>3679.3449999999998</v>
      </c>
      <c r="R44" s="266">
        <v>2723.5160000000001</v>
      </c>
      <c r="S44" s="266">
        <v>227.04900000000001</v>
      </c>
      <c r="T44" s="266">
        <v>2351.6979999999999</v>
      </c>
      <c r="U44" s="266">
        <v>114.414</v>
      </c>
      <c r="V44" s="266">
        <v>1726.9110000000001</v>
      </c>
      <c r="W44" s="266">
        <v>630.31799999999998</v>
      </c>
      <c r="X44" s="266">
        <v>403.23200000000003</v>
      </c>
      <c r="Y44" s="266">
        <v>66601.311214285714</v>
      </c>
      <c r="Z44" s="265"/>
    </row>
    <row r="45" spans="1:26" s="262" customFormat="1">
      <c r="A45" s="245">
        <v>2010</v>
      </c>
      <c r="B45" s="266">
        <v>2268.6370000000002</v>
      </c>
      <c r="C45" s="266">
        <v>0</v>
      </c>
      <c r="D45" s="266">
        <v>586.23007142857148</v>
      </c>
      <c r="E45" s="266">
        <v>12029.719857142858</v>
      </c>
      <c r="F45" s="266">
        <v>0</v>
      </c>
      <c r="G45" s="266">
        <v>14884.586928571429</v>
      </c>
      <c r="H45" s="266">
        <v>1991.441</v>
      </c>
      <c r="I45" s="266">
        <v>0</v>
      </c>
      <c r="J45" s="266">
        <v>1.1910000000000001</v>
      </c>
      <c r="K45" s="266">
        <v>240.42699999999999</v>
      </c>
      <c r="L45" s="266">
        <v>7962.1040000000003</v>
      </c>
      <c r="M45" s="266">
        <v>2861.9960000000001</v>
      </c>
      <c r="N45" s="266">
        <v>8906.5390000000007</v>
      </c>
      <c r="O45" s="266">
        <v>1899.634</v>
      </c>
      <c r="P45" s="266">
        <v>9443.3979999999992</v>
      </c>
      <c r="Q45" s="266">
        <v>3358.2629999999999</v>
      </c>
      <c r="R45" s="266">
        <v>2696.2719999999999</v>
      </c>
      <c r="S45" s="266">
        <v>229.00700000000001</v>
      </c>
      <c r="T45" s="266">
        <v>2136.248</v>
      </c>
      <c r="U45" s="266">
        <v>117.67700000000001</v>
      </c>
      <c r="V45" s="266">
        <v>871.25199999999995</v>
      </c>
      <c r="W45" s="266">
        <v>688.37454761904769</v>
      </c>
      <c r="X45" s="266">
        <v>0</v>
      </c>
      <c r="Y45" s="266">
        <v>58288.410476190467</v>
      </c>
      <c r="Z45" s="265"/>
    </row>
    <row r="46" spans="1:26" s="262" customFormat="1">
      <c r="A46" s="245">
        <v>2011</v>
      </c>
      <c r="B46" s="266">
        <v>5455.9758230085708</v>
      </c>
      <c r="C46" s="266">
        <v>0</v>
      </c>
      <c r="D46" s="266">
        <v>899.84976190476186</v>
      </c>
      <c r="E46" s="266">
        <v>14792.616322380953</v>
      </c>
      <c r="F46" s="266">
        <v>0</v>
      </c>
      <c r="G46" s="266">
        <v>21148.441907294284</v>
      </c>
      <c r="H46" s="266">
        <v>2530.3777800000003</v>
      </c>
      <c r="I46" s="266">
        <v>0</v>
      </c>
      <c r="J46" s="266">
        <v>1.2057</v>
      </c>
      <c r="K46" s="266">
        <v>224.06057000000001</v>
      </c>
      <c r="L46" s="266">
        <v>11102.712089999997</v>
      </c>
      <c r="M46" s="266">
        <v>1605.7098800000001</v>
      </c>
      <c r="N46" s="266">
        <v>9850.1856099999986</v>
      </c>
      <c r="O46" s="266">
        <v>2977.3840800000003</v>
      </c>
      <c r="P46" s="266">
        <v>10571.061930000002</v>
      </c>
      <c r="Q46" s="266">
        <v>3414.2247299999999</v>
      </c>
      <c r="R46" s="266">
        <v>2760.3435399999998</v>
      </c>
      <c r="S46" s="266">
        <v>241.96678000000003</v>
      </c>
      <c r="T46" s="266">
        <v>2248.76235</v>
      </c>
      <c r="U46" s="266">
        <v>127.10620999999999</v>
      </c>
      <c r="V46" s="266">
        <v>1087.23956</v>
      </c>
      <c r="W46" s="266">
        <v>754.02379404761894</v>
      </c>
      <c r="X46" s="266">
        <v>0</v>
      </c>
      <c r="Y46" s="266">
        <v>70644.806511341914</v>
      </c>
      <c r="Z46" s="265"/>
    </row>
    <row r="47" spans="1:26" s="262" customFormat="1">
      <c r="A47" s="245">
        <v>2012</v>
      </c>
      <c r="B47" s="266">
        <v>5553.8293837326673</v>
      </c>
      <c r="C47" s="266">
        <v>0</v>
      </c>
      <c r="D47" s="266">
        <v>1072.9644047619049</v>
      </c>
      <c r="E47" s="266">
        <v>17132.892212857143</v>
      </c>
      <c r="F47" s="266">
        <v>0</v>
      </c>
      <c r="G47" s="266">
        <v>23759.686001351714</v>
      </c>
      <c r="H47" s="266">
        <v>2673.9515999999999</v>
      </c>
      <c r="I47" s="266">
        <v>1631.7132100000001</v>
      </c>
      <c r="J47" s="266">
        <v>1.1421799999999998</v>
      </c>
      <c r="K47" s="266">
        <v>194.45783</v>
      </c>
      <c r="L47" s="266">
        <v>5593.9252300000007</v>
      </c>
      <c r="M47" s="266">
        <v>6426.7813199999991</v>
      </c>
      <c r="N47" s="266">
        <v>9047.9424999999992</v>
      </c>
      <c r="O47" s="266">
        <v>3991.5719399999998</v>
      </c>
      <c r="P47" s="266">
        <v>8238.2308400000002</v>
      </c>
      <c r="Q47" s="266">
        <v>3612.9617600000001</v>
      </c>
      <c r="R47" s="266">
        <v>2763.2283229999998</v>
      </c>
      <c r="S47" s="266">
        <v>261.14666000000005</v>
      </c>
      <c r="T47" s="266">
        <v>2399.96065</v>
      </c>
      <c r="U47" s="266">
        <v>153.38775000000001</v>
      </c>
      <c r="V47" s="266">
        <v>0</v>
      </c>
      <c r="W47" s="266">
        <v>815.80569238095245</v>
      </c>
      <c r="X47" s="266">
        <v>0</v>
      </c>
      <c r="Y47" s="266">
        <v>71565.893486732646</v>
      </c>
      <c r="Z47" s="265"/>
    </row>
    <row r="48" spans="1:26" s="262" customFormat="1">
      <c r="A48" s="245">
        <v>2013</v>
      </c>
      <c r="B48" s="266">
        <v>5227.2284707529052</v>
      </c>
      <c r="C48" s="266">
        <v>0</v>
      </c>
      <c r="D48" s="266">
        <v>1133.4443095238096</v>
      </c>
      <c r="E48" s="266">
        <v>18592.536075238095</v>
      </c>
      <c r="F48" s="266">
        <v>0</v>
      </c>
      <c r="G48" s="266">
        <v>24953.208855514808</v>
      </c>
      <c r="H48" s="266">
        <v>2604.1787599999998</v>
      </c>
      <c r="I48" s="266">
        <v>1462.7378819999999</v>
      </c>
      <c r="J48" s="266">
        <v>0.52676000000000001</v>
      </c>
      <c r="K48" s="266">
        <v>165.25692000000001</v>
      </c>
      <c r="L48" s="266">
        <v>6943.475300000001</v>
      </c>
      <c r="M48" s="266">
        <v>3650.04783</v>
      </c>
      <c r="N48" s="266">
        <v>8818.1554800000013</v>
      </c>
      <c r="O48" s="266">
        <v>4562.3960700000007</v>
      </c>
      <c r="P48" s="266">
        <v>6202.6237700000001</v>
      </c>
      <c r="Q48" s="266">
        <v>3680.1956399999999</v>
      </c>
      <c r="R48" s="266">
        <v>2943.4947700000007</v>
      </c>
      <c r="S48" s="266">
        <v>225.04956000000001</v>
      </c>
      <c r="T48" s="266">
        <v>2376.8883900000001</v>
      </c>
      <c r="U48" s="266">
        <v>169.66893000000002</v>
      </c>
      <c r="V48" s="266">
        <v>64.484999999999999</v>
      </c>
      <c r="W48" s="266">
        <v>826.89109238095239</v>
      </c>
      <c r="X48" s="266">
        <v>0</v>
      </c>
      <c r="Y48" s="266">
        <v>69649.281009895756</v>
      </c>
      <c r="Z48" s="265"/>
    </row>
    <row r="49" spans="1:28" s="262" customFormat="1">
      <c r="A49" s="245">
        <v>2014</v>
      </c>
      <c r="B49" s="266">
        <v>5599.2483247490381</v>
      </c>
      <c r="C49" s="266">
        <v>0</v>
      </c>
      <c r="D49" s="266">
        <v>1878.4965238095238</v>
      </c>
      <c r="E49" s="266">
        <v>19449.325301236335</v>
      </c>
      <c r="F49" s="266">
        <v>0</v>
      </c>
      <c r="G49" s="266">
        <v>26927.070149794898</v>
      </c>
      <c r="H49" s="266">
        <v>2005.3642264495002</v>
      </c>
      <c r="I49" s="266">
        <v>523.37005508000004</v>
      </c>
      <c r="J49" s="266">
        <v>0.93174000000000001</v>
      </c>
      <c r="K49" s="266">
        <v>139.21242000000001</v>
      </c>
      <c r="L49" s="266">
        <v>6432.4638519020982</v>
      </c>
      <c r="M49" s="266">
        <v>3339.6769894320005</v>
      </c>
      <c r="N49" s="266">
        <v>9066.9861300000011</v>
      </c>
      <c r="O49" s="266">
        <v>6159.1876077409997</v>
      </c>
      <c r="P49" s="266">
        <v>1342.0707743350001</v>
      </c>
      <c r="Q49" s="266">
        <v>3830.3232905220998</v>
      </c>
      <c r="R49" s="266">
        <v>2751.6078055977</v>
      </c>
      <c r="S49" s="266">
        <v>213.54724999999999</v>
      </c>
      <c r="T49" s="266">
        <v>2221.5684393920005</v>
      </c>
      <c r="U49" s="266">
        <v>160.88282000000004</v>
      </c>
      <c r="V49" s="266">
        <v>0</v>
      </c>
      <c r="W49" s="266">
        <v>871.41406294947603</v>
      </c>
      <c r="X49" s="266">
        <v>0</v>
      </c>
      <c r="Y49" s="266">
        <v>65985.677613195774</v>
      </c>
      <c r="Z49" s="265"/>
    </row>
    <row r="50" spans="1:28" s="262" customFormat="1">
      <c r="A50" s="245">
        <v>2015</v>
      </c>
      <c r="B50" s="266">
        <v>6269.6432240132381</v>
      </c>
      <c r="C50" s="266">
        <v>0</v>
      </c>
      <c r="D50" s="266">
        <v>4368.1525952380953</v>
      </c>
      <c r="E50" s="266">
        <v>18461.475457404886</v>
      </c>
      <c r="F50" s="266">
        <v>0</v>
      </c>
      <c r="G50" s="266">
        <v>29099.271276656218</v>
      </c>
      <c r="H50" s="266">
        <v>1521.7571360821003</v>
      </c>
      <c r="I50" s="266">
        <v>181.19810444200002</v>
      </c>
      <c r="J50" s="266">
        <v>0.94262999999999986</v>
      </c>
      <c r="K50" s="266">
        <v>145.68117385470001</v>
      </c>
      <c r="L50" s="266">
        <v>5695.6185345614003</v>
      </c>
      <c r="M50" s="266">
        <v>3892.9773406179997</v>
      </c>
      <c r="N50" s="266">
        <v>8698.4455700000017</v>
      </c>
      <c r="O50" s="266">
        <v>4971.5946365270001</v>
      </c>
      <c r="P50" s="266">
        <v>2788.1501211620002</v>
      </c>
      <c r="Q50" s="266">
        <v>3700.3366723423997</v>
      </c>
      <c r="R50" s="266">
        <v>2739.4768479025001</v>
      </c>
      <c r="S50" s="266">
        <v>202.66188</v>
      </c>
      <c r="T50" s="266">
        <v>1513.1427445279999</v>
      </c>
      <c r="U50" s="266">
        <v>162.17358999999996</v>
      </c>
      <c r="V50" s="266">
        <v>13.342000000000001</v>
      </c>
      <c r="W50" s="266">
        <v>857.66247786552378</v>
      </c>
      <c r="X50" s="266">
        <v>0</v>
      </c>
      <c r="Y50" s="266">
        <v>66184.432736541843</v>
      </c>
      <c r="Z50" s="265"/>
    </row>
    <row r="51" spans="1:28" s="262" customFormat="1">
      <c r="A51" s="245">
        <v>2016</v>
      </c>
      <c r="B51" s="266">
        <v>5209.4075162077625</v>
      </c>
      <c r="C51" s="266">
        <v>0</v>
      </c>
      <c r="D51" s="266">
        <v>5156.9470147619031</v>
      </c>
      <c r="E51" s="266">
        <v>17624.251309923035</v>
      </c>
      <c r="F51" s="266">
        <v>0</v>
      </c>
      <c r="G51" s="266">
        <v>27990.605840892698</v>
      </c>
      <c r="H51" s="266">
        <v>2872.1237642258002</v>
      </c>
      <c r="I51" s="266">
        <v>521.33215981199999</v>
      </c>
      <c r="J51" s="266">
        <v>0.47599999999999998</v>
      </c>
      <c r="K51" s="266">
        <v>124.70344398729999</v>
      </c>
      <c r="L51" s="266">
        <v>5795.2833763069002</v>
      </c>
      <c r="M51" s="266">
        <v>7206.9296599929994</v>
      </c>
      <c r="N51" s="266">
        <v>6872.0793773170008</v>
      </c>
      <c r="O51" s="266">
        <v>3311.2058575166998</v>
      </c>
      <c r="P51" s="266">
        <v>11438.745767702001</v>
      </c>
      <c r="Q51" s="266">
        <v>3277.1557371499998</v>
      </c>
      <c r="R51" s="266">
        <v>2687.1781072560002</v>
      </c>
      <c r="S51" s="266">
        <v>65.891649999999998</v>
      </c>
      <c r="T51" s="266">
        <v>1456.8406753549998</v>
      </c>
      <c r="U51" s="266">
        <v>143.49468000000002</v>
      </c>
      <c r="V51" s="266">
        <v>25.183571428571426</v>
      </c>
      <c r="W51" s="266">
        <v>784.53567643052384</v>
      </c>
      <c r="X51" s="266">
        <v>0</v>
      </c>
      <c r="Y51" s="266">
        <v>74573.765345373482</v>
      </c>
      <c r="Z51" s="265"/>
    </row>
    <row r="52" spans="1:28" s="262" customFormat="1">
      <c r="A52" s="259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5"/>
    </row>
    <row r="53" spans="1:28" s="262" customFormat="1">
      <c r="A53" s="265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5"/>
    </row>
    <row r="54" spans="1:28" s="264" customFormat="1">
      <c r="A54" s="238"/>
      <c r="B54" s="261"/>
      <c r="C54" s="261"/>
      <c r="D54" s="261"/>
      <c r="E54" s="261"/>
      <c r="F54" s="261"/>
      <c r="G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5"/>
      <c r="AA54" s="262"/>
      <c r="AB54" s="262"/>
    </row>
    <row r="55" spans="1:28" s="264" customFormat="1">
      <c r="A55" s="107" t="s">
        <v>1393</v>
      </c>
      <c r="B55" s="261"/>
      <c r="C55" s="261"/>
      <c r="D55" s="261"/>
      <c r="E55" s="261"/>
      <c r="F55" s="261"/>
      <c r="G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5"/>
      <c r="AA55" s="262"/>
      <c r="AB55" s="262"/>
    </row>
    <row r="56" spans="1:28" s="264" customFormat="1" ht="15">
      <c r="A56" s="389" t="s">
        <v>1009</v>
      </c>
      <c r="B56" s="261"/>
      <c r="C56" s="261"/>
      <c r="D56" s="261"/>
      <c r="E56" s="261"/>
      <c r="F56" s="261"/>
      <c r="G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5"/>
      <c r="AA56" s="262"/>
      <c r="AB56" s="262"/>
    </row>
    <row r="57" spans="1:28" s="264" customFormat="1">
      <c r="A57" s="261"/>
      <c r="B57" s="261"/>
      <c r="C57" s="261"/>
      <c r="D57" s="261"/>
      <c r="E57" s="261"/>
      <c r="F57" s="261"/>
      <c r="G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5"/>
      <c r="AA57" s="262"/>
      <c r="AB57" s="262"/>
    </row>
    <row r="58" spans="1:28" s="264" customFormat="1">
      <c r="A58" s="261"/>
      <c r="B58" s="261"/>
      <c r="C58" s="261"/>
      <c r="D58" s="261"/>
      <c r="E58" s="261"/>
      <c r="F58" s="261"/>
      <c r="G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5"/>
      <c r="AA58" s="262"/>
      <c r="AB58" s="262"/>
    </row>
    <row r="59" spans="1:28" s="264" customFormat="1">
      <c r="A59" s="268"/>
      <c r="B59" s="261"/>
      <c r="C59" s="261"/>
      <c r="D59" s="261"/>
      <c r="E59" s="261"/>
      <c r="F59" s="261"/>
      <c r="G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5"/>
      <c r="AA59" s="262"/>
      <c r="AB59" s="262"/>
    </row>
    <row r="60" spans="1:28" s="264" customFormat="1">
      <c r="A60" s="261"/>
      <c r="B60" s="261"/>
      <c r="C60" s="261"/>
      <c r="D60" s="261"/>
      <c r="E60" s="261"/>
      <c r="F60" s="261"/>
      <c r="G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5"/>
      <c r="AA60" s="262"/>
      <c r="AB60" s="262"/>
    </row>
    <row r="61" spans="1:28" s="264" customFormat="1">
      <c r="A61" s="265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5"/>
      <c r="AA61" s="262"/>
      <c r="AB61" s="262"/>
    </row>
  </sheetData>
  <mergeCells count="22">
    <mergeCell ref="A1:Y1"/>
    <mergeCell ref="A2:Y2"/>
    <mergeCell ref="A4:A5"/>
    <mergeCell ref="B4:G4"/>
    <mergeCell ref="H4:H5"/>
    <mergeCell ref="I4:I5"/>
    <mergeCell ref="J4:J5"/>
    <mergeCell ref="K4:K5"/>
    <mergeCell ref="L4:L5"/>
    <mergeCell ref="M4:M5"/>
    <mergeCell ref="Y4:Y5"/>
    <mergeCell ref="N4:N5"/>
    <mergeCell ref="O4:O5"/>
    <mergeCell ref="P4:P5"/>
    <mergeCell ref="Q4:Q5"/>
    <mergeCell ref="R4:R5"/>
    <mergeCell ref="X4:X5"/>
    <mergeCell ref="S4:S5"/>
    <mergeCell ref="T4:T5"/>
    <mergeCell ref="U4:U5"/>
    <mergeCell ref="V4:V5"/>
    <mergeCell ref="W4:W5"/>
  </mergeCells>
  <hyperlinks>
    <hyperlink ref="A55" location="'indice cap.2'!A1" display="Notas"/>
    <hyperlink ref="A56" location="'Indice cap.4'!A1" display="regresar al índice"/>
  </hyperlink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9"/>
  <sheetViews>
    <sheetView showGridLines="0" workbookViewId="0">
      <selection activeCell="A56" sqref="A56"/>
    </sheetView>
  </sheetViews>
  <sheetFormatPr baseColWidth="10" defaultRowHeight="12.75"/>
  <cols>
    <col min="1" max="1" width="11.42578125" style="198"/>
    <col min="2" max="13" width="10.7109375" style="198" customWidth="1"/>
    <col min="14" max="16384" width="11.42578125" style="198"/>
  </cols>
  <sheetData>
    <row r="1" spans="1:13" ht="22.5" customHeight="1">
      <c r="A1" s="356" t="s">
        <v>1495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</row>
    <row r="2" spans="1:13">
      <c r="A2" s="340" t="s">
        <v>1385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</row>
    <row r="3" spans="1:13">
      <c r="A3" s="269"/>
    </row>
    <row r="4" spans="1:13" ht="22.5" customHeight="1" thickBot="1">
      <c r="A4" s="371" t="s">
        <v>1341</v>
      </c>
      <c r="B4" s="373" t="s">
        <v>1431</v>
      </c>
      <c r="C4" s="373"/>
      <c r="D4" s="352" t="s">
        <v>1432</v>
      </c>
      <c r="E4" s="352" t="s">
        <v>1433</v>
      </c>
      <c r="F4" s="352" t="s">
        <v>1434</v>
      </c>
      <c r="G4" s="352" t="s">
        <v>1435</v>
      </c>
      <c r="H4" s="352" t="s">
        <v>1436</v>
      </c>
      <c r="I4" s="352" t="s">
        <v>1437</v>
      </c>
      <c r="J4" s="352" t="s">
        <v>1438</v>
      </c>
      <c r="K4" s="352" t="s">
        <v>1439</v>
      </c>
      <c r="L4" s="352" t="s">
        <v>1440</v>
      </c>
      <c r="M4" s="353" t="s">
        <v>1441</v>
      </c>
    </row>
    <row r="5" spans="1:13">
      <c r="A5" s="372"/>
      <c r="B5" s="270" t="s">
        <v>1442</v>
      </c>
      <c r="C5" s="270" t="s">
        <v>1443</v>
      </c>
      <c r="D5" s="374"/>
      <c r="E5" s="374"/>
      <c r="F5" s="374"/>
      <c r="G5" s="374"/>
      <c r="H5" s="374"/>
      <c r="I5" s="374"/>
      <c r="J5" s="374" t="s">
        <v>1444</v>
      </c>
      <c r="K5" s="374"/>
      <c r="L5" s="374"/>
      <c r="M5" s="370"/>
    </row>
    <row r="6" spans="1:13">
      <c r="A6" s="253"/>
      <c r="E6" s="253"/>
    </row>
    <row r="7" spans="1:13">
      <c r="A7" s="245">
        <v>1972</v>
      </c>
      <c r="B7" s="271">
        <v>0</v>
      </c>
      <c r="C7" s="271">
        <v>0</v>
      </c>
      <c r="D7" s="271">
        <v>0</v>
      </c>
      <c r="E7" s="266">
        <v>55.067999999999998</v>
      </c>
      <c r="F7" s="271">
        <v>117.64400000000001</v>
      </c>
      <c r="G7" s="271">
        <v>0</v>
      </c>
      <c r="H7" s="271">
        <v>0</v>
      </c>
      <c r="I7" s="271">
        <v>0</v>
      </c>
      <c r="J7" s="271">
        <v>0</v>
      </c>
      <c r="K7" s="271">
        <v>0</v>
      </c>
      <c r="L7" s="271">
        <v>0</v>
      </c>
      <c r="M7" s="271">
        <v>172.71199999999999</v>
      </c>
    </row>
    <row r="8" spans="1:13">
      <c r="A8" s="245">
        <v>1973</v>
      </c>
      <c r="B8" s="271">
        <v>0</v>
      </c>
      <c r="C8" s="271">
        <v>0</v>
      </c>
      <c r="D8" s="271">
        <v>0</v>
      </c>
      <c r="E8" s="266">
        <v>99.948999999999998</v>
      </c>
      <c r="F8" s="271">
        <v>84.656999999999996</v>
      </c>
      <c r="G8" s="271">
        <v>0</v>
      </c>
      <c r="H8" s="271">
        <v>0</v>
      </c>
      <c r="I8" s="271">
        <v>0</v>
      </c>
      <c r="J8" s="271">
        <v>0</v>
      </c>
      <c r="K8" s="271">
        <v>0</v>
      </c>
      <c r="L8" s="271">
        <v>0</v>
      </c>
      <c r="M8" s="271">
        <v>184.60599999999999</v>
      </c>
    </row>
    <row r="9" spans="1:13">
      <c r="A9" s="245">
        <v>1974</v>
      </c>
      <c r="B9" s="271">
        <v>0</v>
      </c>
      <c r="C9" s="271">
        <v>0</v>
      </c>
      <c r="D9" s="271">
        <v>0</v>
      </c>
      <c r="E9" s="266">
        <v>163.84299999999999</v>
      </c>
      <c r="F9" s="271">
        <v>76.131</v>
      </c>
      <c r="G9" s="271">
        <v>0</v>
      </c>
      <c r="H9" s="271">
        <v>0</v>
      </c>
      <c r="I9" s="271">
        <v>0</v>
      </c>
      <c r="J9" s="271">
        <v>0</v>
      </c>
      <c r="K9" s="271">
        <v>0</v>
      </c>
      <c r="L9" s="271">
        <v>0</v>
      </c>
      <c r="M9" s="271">
        <v>239.97399999999999</v>
      </c>
    </row>
    <row r="10" spans="1:13">
      <c r="A10" s="245">
        <v>1975</v>
      </c>
      <c r="B10" s="271">
        <v>0</v>
      </c>
      <c r="C10" s="271">
        <v>0</v>
      </c>
      <c r="D10" s="271">
        <v>203.30500000000001</v>
      </c>
      <c r="E10" s="266">
        <v>250.43600000000001</v>
      </c>
      <c r="F10" s="271">
        <v>63.854999999999997</v>
      </c>
      <c r="G10" s="271">
        <v>0</v>
      </c>
      <c r="H10" s="271">
        <v>0</v>
      </c>
      <c r="I10" s="271">
        <v>0</v>
      </c>
      <c r="J10" s="271">
        <v>7193.1940000000004</v>
      </c>
      <c r="K10" s="271">
        <v>0</v>
      </c>
      <c r="L10" s="271">
        <v>0</v>
      </c>
      <c r="M10" s="271">
        <v>7710.7900000000009</v>
      </c>
    </row>
    <row r="11" spans="1:13">
      <c r="A11" s="245">
        <v>1976</v>
      </c>
      <c r="B11" s="271">
        <v>258.846</v>
      </c>
      <c r="C11" s="271">
        <v>0</v>
      </c>
      <c r="D11" s="271">
        <v>828.56100000000004</v>
      </c>
      <c r="E11" s="266">
        <v>393.02300000000002</v>
      </c>
      <c r="F11" s="271">
        <v>47.262999999999998</v>
      </c>
      <c r="G11" s="271">
        <v>76.748999999999995</v>
      </c>
      <c r="H11" s="271">
        <v>226.48599999999999</v>
      </c>
      <c r="I11" s="271">
        <v>0</v>
      </c>
      <c r="J11" s="271">
        <v>7037.0259999999998</v>
      </c>
      <c r="K11" s="271">
        <v>0</v>
      </c>
      <c r="L11" s="271">
        <v>0</v>
      </c>
      <c r="M11" s="271">
        <v>8867.9539999999997</v>
      </c>
    </row>
    <row r="12" spans="1:13">
      <c r="A12" s="245">
        <v>1977</v>
      </c>
      <c r="B12" s="271">
        <v>1679.279</v>
      </c>
      <c r="C12" s="271">
        <v>0</v>
      </c>
      <c r="D12" s="271">
        <v>1119.5920000000001</v>
      </c>
      <c r="E12" s="266">
        <v>371.45</v>
      </c>
      <c r="F12" s="271">
        <v>49.048000000000002</v>
      </c>
      <c r="G12" s="271">
        <v>443.00599999999997</v>
      </c>
      <c r="H12" s="271">
        <v>254.041</v>
      </c>
      <c r="I12" s="271">
        <v>0</v>
      </c>
      <c r="J12" s="271">
        <v>5173.2759999999998</v>
      </c>
      <c r="K12" s="271">
        <v>0</v>
      </c>
      <c r="L12" s="271">
        <v>0</v>
      </c>
      <c r="M12" s="271">
        <v>9089.6919999999991</v>
      </c>
    </row>
    <row r="13" spans="1:13">
      <c r="A13" s="245">
        <v>1978</v>
      </c>
      <c r="B13" s="271">
        <v>1294.1780000000001</v>
      </c>
      <c r="C13" s="271">
        <v>0</v>
      </c>
      <c r="D13" s="271">
        <v>405.86599999999999</v>
      </c>
      <c r="E13" s="266">
        <v>99.317999999999998</v>
      </c>
      <c r="F13" s="271">
        <v>28.122</v>
      </c>
      <c r="G13" s="271">
        <v>292.608</v>
      </c>
      <c r="H13" s="271">
        <v>0</v>
      </c>
      <c r="I13" s="271">
        <v>0</v>
      </c>
      <c r="J13" s="271">
        <v>0</v>
      </c>
      <c r="K13" s="271">
        <v>0</v>
      </c>
      <c r="L13" s="271">
        <v>0</v>
      </c>
      <c r="M13" s="271">
        <v>2120.0920000000001</v>
      </c>
    </row>
    <row r="14" spans="1:13">
      <c r="A14" s="245">
        <v>1979</v>
      </c>
      <c r="B14" s="271">
        <v>1356.0540000000001</v>
      </c>
      <c r="C14" s="271">
        <v>0</v>
      </c>
      <c r="D14" s="271">
        <v>840.25699999999995</v>
      </c>
      <c r="E14" s="266">
        <v>91.656000000000006</v>
      </c>
      <c r="F14" s="271">
        <v>50.936</v>
      </c>
      <c r="G14" s="271">
        <v>391.85599999999999</v>
      </c>
      <c r="H14" s="271">
        <v>0</v>
      </c>
      <c r="I14" s="271">
        <v>0</v>
      </c>
      <c r="J14" s="271">
        <v>0</v>
      </c>
      <c r="K14" s="271">
        <v>0</v>
      </c>
      <c r="L14" s="271">
        <v>0</v>
      </c>
      <c r="M14" s="271">
        <v>2730.759</v>
      </c>
    </row>
    <row r="15" spans="1:13">
      <c r="A15" s="245">
        <v>1980</v>
      </c>
      <c r="B15" s="271">
        <v>2516.0529999999999</v>
      </c>
      <c r="C15" s="271">
        <v>0</v>
      </c>
      <c r="D15" s="271">
        <v>1323.36</v>
      </c>
      <c r="E15" s="266">
        <v>316.42</v>
      </c>
      <c r="F15" s="271">
        <v>39.725000000000001</v>
      </c>
      <c r="G15" s="271">
        <v>396.41199999999998</v>
      </c>
      <c r="H15" s="271">
        <v>0</v>
      </c>
      <c r="I15" s="271">
        <v>0</v>
      </c>
      <c r="J15" s="271">
        <v>0</v>
      </c>
      <c r="K15" s="271">
        <v>0</v>
      </c>
      <c r="L15" s="271">
        <v>0</v>
      </c>
      <c r="M15" s="271">
        <v>4591.97</v>
      </c>
    </row>
    <row r="16" spans="1:13" ht="13.5" customHeight="1">
      <c r="A16" s="245">
        <v>1981</v>
      </c>
      <c r="B16" s="271">
        <v>2735.6579999999999</v>
      </c>
      <c r="C16" s="271">
        <v>0</v>
      </c>
      <c r="D16" s="271">
        <v>1970.6410000000001</v>
      </c>
      <c r="E16" s="266">
        <v>654.73</v>
      </c>
      <c r="F16" s="271">
        <v>21.166</v>
      </c>
      <c r="G16" s="271">
        <v>0</v>
      </c>
      <c r="H16" s="271">
        <v>0</v>
      </c>
      <c r="I16" s="271">
        <v>0</v>
      </c>
      <c r="J16" s="271">
        <v>0</v>
      </c>
      <c r="K16" s="271">
        <v>0</v>
      </c>
      <c r="L16" s="271">
        <v>0</v>
      </c>
      <c r="M16" s="271">
        <v>5382.1950000000006</v>
      </c>
    </row>
    <row r="17" spans="1:13">
      <c r="A17" s="245">
        <v>1982</v>
      </c>
      <c r="B17" s="271">
        <v>2658.1840000000002</v>
      </c>
      <c r="C17" s="271">
        <v>52.203000000000003</v>
      </c>
      <c r="D17" s="271">
        <v>2067.9360000000001</v>
      </c>
      <c r="E17" s="271">
        <v>733.54200000000003</v>
      </c>
      <c r="F17" s="271">
        <v>30.31</v>
      </c>
      <c r="G17" s="271">
        <v>29.989000000000001</v>
      </c>
      <c r="H17" s="271">
        <v>0</v>
      </c>
      <c r="I17" s="271">
        <v>0</v>
      </c>
      <c r="J17" s="271">
        <v>0</v>
      </c>
      <c r="K17" s="271">
        <v>0</v>
      </c>
      <c r="L17" s="271">
        <v>0</v>
      </c>
      <c r="M17" s="271">
        <v>5572.1640000000007</v>
      </c>
    </row>
    <row r="18" spans="1:13">
      <c r="A18" s="245">
        <v>1983</v>
      </c>
      <c r="B18" s="271">
        <v>3341.4250000000002</v>
      </c>
      <c r="C18" s="271">
        <v>0</v>
      </c>
      <c r="D18" s="271">
        <v>2545.473</v>
      </c>
      <c r="E18" s="271">
        <v>970.36099999999999</v>
      </c>
      <c r="F18" s="271">
        <v>40.000999999999998</v>
      </c>
      <c r="G18" s="271">
        <v>11.769</v>
      </c>
      <c r="H18" s="271">
        <v>0</v>
      </c>
      <c r="I18" s="271">
        <v>0</v>
      </c>
      <c r="J18" s="271">
        <v>0</v>
      </c>
      <c r="K18" s="271">
        <v>0</v>
      </c>
      <c r="L18" s="271">
        <v>0</v>
      </c>
      <c r="M18" s="271">
        <v>6909.0290000000005</v>
      </c>
    </row>
    <row r="19" spans="1:13">
      <c r="A19" s="245">
        <v>1984</v>
      </c>
      <c r="B19" s="271">
        <v>2167.2420000000002</v>
      </c>
      <c r="C19" s="271">
        <v>0</v>
      </c>
      <c r="D19" s="271">
        <v>1261.3779999999999</v>
      </c>
      <c r="E19" s="271">
        <v>792.40899999999999</v>
      </c>
      <c r="F19" s="271">
        <v>28.754000000000001</v>
      </c>
      <c r="G19" s="271">
        <v>0</v>
      </c>
      <c r="H19" s="271">
        <v>0</v>
      </c>
      <c r="I19" s="271">
        <v>0</v>
      </c>
      <c r="J19" s="271">
        <v>0</v>
      </c>
      <c r="K19" s="271">
        <v>0</v>
      </c>
      <c r="L19" s="271">
        <v>0</v>
      </c>
      <c r="M19" s="271">
        <v>4249.7829999999994</v>
      </c>
    </row>
    <row r="20" spans="1:13">
      <c r="A20" s="245">
        <v>1985</v>
      </c>
      <c r="B20" s="271">
        <v>2275.9830000000002</v>
      </c>
      <c r="C20" s="271">
        <v>153.446</v>
      </c>
      <c r="D20" s="271">
        <v>1525.6690000000001</v>
      </c>
      <c r="E20" s="271">
        <v>837.36</v>
      </c>
      <c r="F20" s="271">
        <v>21.512</v>
      </c>
      <c r="G20" s="271">
        <v>0</v>
      </c>
      <c r="H20" s="271">
        <v>49.667999999999999</v>
      </c>
      <c r="I20" s="271">
        <v>0</v>
      </c>
      <c r="J20" s="271">
        <v>0</v>
      </c>
      <c r="K20" s="271">
        <v>0</v>
      </c>
      <c r="L20" s="271">
        <v>0</v>
      </c>
      <c r="M20" s="271">
        <v>4863.637999999999</v>
      </c>
    </row>
    <row r="21" spans="1:13">
      <c r="A21" s="245">
        <v>1986</v>
      </c>
      <c r="B21" s="271">
        <v>1334.6320000000001</v>
      </c>
      <c r="C21" s="271">
        <v>436.464</v>
      </c>
      <c r="D21" s="271">
        <v>815.01900000000001</v>
      </c>
      <c r="E21" s="271">
        <v>894.971</v>
      </c>
      <c r="F21" s="271">
        <v>30.234999999999999</v>
      </c>
      <c r="G21" s="271">
        <v>0</v>
      </c>
      <c r="H21" s="271">
        <v>0</v>
      </c>
      <c r="I21" s="271">
        <v>0</v>
      </c>
      <c r="J21" s="271">
        <v>0</v>
      </c>
      <c r="K21" s="271">
        <v>0</v>
      </c>
      <c r="L21" s="271">
        <v>0</v>
      </c>
      <c r="M21" s="271">
        <v>3511.3209999999999</v>
      </c>
    </row>
    <row r="22" spans="1:13">
      <c r="A22" s="245">
        <v>1987</v>
      </c>
      <c r="B22" s="271">
        <v>3202.89</v>
      </c>
      <c r="C22" s="271">
        <v>40.084000000000003</v>
      </c>
      <c r="D22" s="271">
        <v>1956.65</v>
      </c>
      <c r="E22" s="271">
        <v>2151.5659999999998</v>
      </c>
      <c r="F22" s="271">
        <v>30.94</v>
      </c>
      <c r="G22" s="271">
        <v>30.475000000000001</v>
      </c>
      <c r="H22" s="271">
        <v>28.939</v>
      </c>
      <c r="I22" s="271">
        <v>0</v>
      </c>
      <c r="J22" s="271">
        <v>0</v>
      </c>
      <c r="K22" s="271">
        <v>0</v>
      </c>
      <c r="L22" s="271">
        <v>0</v>
      </c>
      <c r="M22" s="271">
        <v>7441.5439999999999</v>
      </c>
    </row>
    <row r="23" spans="1:13">
      <c r="A23" s="245">
        <v>1988</v>
      </c>
      <c r="B23" s="271">
        <v>0</v>
      </c>
      <c r="C23" s="271">
        <v>50.014000000000003</v>
      </c>
      <c r="D23" s="271">
        <v>0</v>
      </c>
      <c r="E23" s="271">
        <v>1856.1790000000001</v>
      </c>
      <c r="F23" s="271">
        <v>39.780999999999999</v>
      </c>
      <c r="G23" s="271">
        <v>0</v>
      </c>
      <c r="H23" s="271">
        <v>0</v>
      </c>
      <c r="I23" s="271">
        <v>0</v>
      </c>
      <c r="J23" s="271">
        <v>0</v>
      </c>
      <c r="K23" s="271">
        <v>0</v>
      </c>
      <c r="L23" s="271">
        <v>0</v>
      </c>
      <c r="M23" s="271">
        <v>1945.9739999999999</v>
      </c>
    </row>
    <row r="24" spans="1:13">
      <c r="A24" s="251">
        <v>1989</v>
      </c>
      <c r="B24" s="271">
        <v>93.673000000000002</v>
      </c>
      <c r="C24" s="271">
        <v>0</v>
      </c>
      <c r="D24" s="271">
        <v>337.74400000000003</v>
      </c>
      <c r="E24" s="271">
        <v>2210.924</v>
      </c>
      <c r="F24" s="271">
        <v>29.998999999999999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71">
        <v>0</v>
      </c>
      <c r="M24" s="271">
        <v>2672.3399999999997</v>
      </c>
    </row>
    <row r="25" spans="1:13">
      <c r="A25" s="245">
        <v>1990</v>
      </c>
      <c r="B25" s="271">
        <v>120.685</v>
      </c>
      <c r="C25" s="271">
        <v>0</v>
      </c>
      <c r="D25" s="271">
        <v>218.14699999999999</v>
      </c>
      <c r="E25" s="271">
        <v>2333.152</v>
      </c>
      <c r="F25" s="271">
        <v>41.286999999999999</v>
      </c>
      <c r="G25" s="271">
        <v>0</v>
      </c>
      <c r="H25" s="271">
        <v>0</v>
      </c>
      <c r="I25" s="271">
        <v>0</v>
      </c>
      <c r="J25" s="271">
        <v>32.195999999999998</v>
      </c>
      <c r="K25" s="271">
        <v>0</v>
      </c>
      <c r="L25" s="271">
        <v>0</v>
      </c>
      <c r="M25" s="271">
        <v>2745.4669999999996</v>
      </c>
    </row>
    <row r="26" spans="1:13">
      <c r="A26" s="245">
        <v>1991</v>
      </c>
      <c r="B26" s="271">
        <v>225.05199999999999</v>
      </c>
      <c r="C26" s="271">
        <v>49.718000000000004</v>
      </c>
      <c r="D26" s="271">
        <v>0</v>
      </c>
      <c r="E26" s="271">
        <v>2349.7260000000001</v>
      </c>
      <c r="F26" s="271">
        <v>39.787999999999997</v>
      </c>
      <c r="G26" s="271">
        <v>0</v>
      </c>
      <c r="H26" s="271">
        <v>0</v>
      </c>
      <c r="I26" s="271">
        <v>0</v>
      </c>
      <c r="J26" s="271">
        <v>0</v>
      </c>
      <c r="K26" s="271">
        <v>0</v>
      </c>
      <c r="L26" s="271">
        <v>0</v>
      </c>
      <c r="M26" s="271">
        <v>2664.2840000000001</v>
      </c>
    </row>
    <row r="27" spans="1:13">
      <c r="A27" s="245">
        <v>1992</v>
      </c>
      <c r="B27" s="271">
        <v>414.48099999999999</v>
      </c>
      <c r="C27" s="271">
        <v>0</v>
      </c>
      <c r="D27" s="271">
        <v>612.601</v>
      </c>
      <c r="E27" s="271">
        <v>2337.2179999999998</v>
      </c>
      <c r="F27" s="271">
        <v>29.998999999999999</v>
      </c>
      <c r="G27" s="271">
        <v>0</v>
      </c>
      <c r="H27" s="271">
        <v>0</v>
      </c>
      <c r="I27" s="271">
        <v>0</v>
      </c>
      <c r="J27" s="271">
        <v>0</v>
      </c>
      <c r="K27" s="271">
        <v>0</v>
      </c>
      <c r="L27" s="271">
        <v>0</v>
      </c>
      <c r="M27" s="271">
        <v>3394.2989999999995</v>
      </c>
    </row>
    <row r="28" spans="1:13">
      <c r="A28" s="245">
        <v>1993</v>
      </c>
      <c r="B28" s="271">
        <v>0</v>
      </c>
      <c r="C28" s="271">
        <v>0</v>
      </c>
      <c r="D28" s="271">
        <v>0</v>
      </c>
      <c r="E28" s="271">
        <v>2211.625</v>
      </c>
      <c r="F28" s="271">
        <v>29.963000000000001</v>
      </c>
      <c r="G28" s="271">
        <v>0</v>
      </c>
      <c r="H28" s="271">
        <v>0</v>
      </c>
      <c r="I28" s="271">
        <v>0</v>
      </c>
      <c r="J28" s="271">
        <v>0</v>
      </c>
      <c r="K28" s="271">
        <v>0</v>
      </c>
      <c r="L28" s="271">
        <v>0</v>
      </c>
      <c r="M28" s="271">
        <v>2241.5880000000002</v>
      </c>
    </row>
    <row r="29" spans="1:13">
      <c r="A29" s="245">
        <v>1994</v>
      </c>
      <c r="B29" s="271">
        <v>0</v>
      </c>
      <c r="C29" s="271">
        <v>0</v>
      </c>
      <c r="D29" s="271">
        <v>1425.1959999999999</v>
      </c>
      <c r="E29" s="271">
        <v>2873.442</v>
      </c>
      <c r="F29" s="271">
        <v>30.527000000000001</v>
      </c>
      <c r="G29" s="271">
        <v>0</v>
      </c>
      <c r="H29" s="271">
        <v>0</v>
      </c>
      <c r="I29" s="271">
        <v>0</v>
      </c>
      <c r="J29" s="271">
        <v>0</v>
      </c>
      <c r="K29" s="271">
        <v>0</v>
      </c>
      <c r="L29" s="271">
        <v>0</v>
      </c>
      <c r="M29" s="271">
        <v>4329.165</v>
      </c>
    </row>
    <row r="30" spans="1:13">
      <c r="A30" s="245">
        <v>1995</v>
      </c>
      <c r="B30" s="271">
        <v>865.923</v>
      </c>
      <c r="C30" s="271">
        <v>0</v>
      </c>
      <c r="D30" s="271">
        <v>2409.09</v>
      </c>
      <c r="E30" s="271">
        <v>4093.9789999999998</v>
      </c>
      <c r="F30" s="271">
        <v>30.178000000000001</v>
      </c>
      <c r="G30" s="271">
        <v>0</v>
      </c>
      <c r="H30" s="271">
        <v>0</v>
      </c>
      <c r="I30" s="271">
        <v>0</v>
      </c>
      <c r="J30" s="271">
        <v>0</v>
      </c>
      <c r="K30" s="271">
        <v>0</v>
      </c>
      <c r="L30" s="271">
        <v>1119.2639999999999</v>
      </c>
      <c r="M30" s="271">
        <v>8518.4339999999993</v>
      </c>
    </row>
    <row r="31" spans="1:13">
      <c r="A31" s="245">
        <v>1996</v>
      </c>
      <c r="B31" s="271">
        <v>0</v>
      </c>
      <c r="C31" s="271">
        <v>0</v>
      </c>
      <c r="D31" s="271">
        <v>2483.1280000000002</v>
      </c>
      <c r="E31" s="271">
        <v>4048.9639999999999</v>
      </c>
      <c r="F31" s="271">
        <v>22.111999999999998</v>
      </c>
      <c r="G31" s="271">
        <v>0</v>
      </c>
      <c r="H31" s="271">
        <v>0</v>
      </c>
      <c r="I31" s="271">
        <v>0</v>
      </c>
      <c r="J31" s="271">
        <v>0</v>
      </c>
      <c r="K31" s="271">
        <v>0</v>
      </c>
      <c r="L31" s="271">
        <v>0</v>
      </c>
      <c r="M31" s="271">
        <v>6554.2040000000006</v>
      </c>
    </row>
    <row r="32" spans="1:13">
      <c r="A32" s="245">
        <v>1997</v>
      </c>
      <c r="B32" s="271">
        <v>921.43700000000001</v>
      </c>
      <c r="C32" s="271">
        <v>1592.579</v>
      </c>
      <c r="D32" s="271">
        <v>8559.7219999999998</v>
      </c>
      <c r="E32" s="271">
        <v>4721.5010000000002</v>
      </c>
      <c r="F32" s="271">
        <v>40.57</v>
      </c>
      <c r="G32" s="271">
        <v>34.892000000000003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15870.700999999999</v>
      </c>
    </row>
    <row r="33" spans="1:13">
      <c r="A33" s="245">
        <v>1998</v>
      </c>
      <c r="B33" s="271">
        <v>369.04500000000002</v>
      </c>
      <c r="C33" s="271">
        <v>3003.39</v>
      </c>
      <c r="D33" s="271">
        <v>7199.3149999999996</v>
      </c>
      <c r="E33" s="271">
        <v>4649.7460000000001</v>
      </c>
      <c r="F33" s="271">
        <v>41.037999999999997</v>
      </c>
      <c r="G33" s="271">
        <v>0</v>
      </c>
      <c r="H33" s="271">
        <v>0</v>
      </c>
      <c r="I33" s="271">
        <v>0</v>
      </c>
      <c r="J33" s="271">
        <v>0</v>
      </c>
      <c r="K33" s="271">
        <v>0</v>
      </c>
      <c r="L33" s="271">
        <v>0</v>
      </c>
      <c r="M33" s="271">
        <v>15262.534</v>
      </c>
    </row>
    <row r="34" spans="1:13">
      <c r="A34" s="245">
        <v>1999</v>
      </c>
      <c r="B34" s="271">
        <v>0</v>
      </c>
      <c r="C34" s="271">
        <v>2588.8029999999999</v>
      </c>
      <c r="D34" s="271">
        <v>5340.759</v>
      </c>
      <c r="E34" s="271">
        <v>4937.8739999999998</v>
      </c>
      <c r="F34" s="271">
        <v>32.261000000000003</v>
      </c>
      <c r="G34" s="271">
        <v>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1">
        <v>12899.697</v>
      </c>
    </row>
    <row r="35" spans="1:13">
      <c r="A35" s="245">
        <v>2000</v>
      </c>
      <c r="B35" s="271">
        <v>0</v>
      </c>
      <c r="C35" s="271">
        <v>1468.229</v>
      </c>
      <c r="D35" s="271">
        <v>2832.51</v>
      </c>
      <c r="E35" s="271">
        <v>4714.9129999999996</v>
      </c>
      <c r="F35" s="271">
        <v>30.885999999999999</v>
      </c>
      <c r="G35" s="271">
        <v>0</v>
      </c>
      <c r="H35" s="271">
        <v>0</v>
      </c>
      <c r="I35" s="271">
        <v>0</v>
      </c>
      <c r="J35" s="271">
        <v>0</v>
      </c>
      <c r="K35" s="271">
        <v>0</v>
      </c>
      <c r="L35" s="271">
        <v>0</v>
      </c>
      <c r="M35" s="271">
        <v>9046.5380000000005</v>
      </c>
    </row>
    <row r="36" spans="1:13">
      <c r="A36" s="245">
        <v>2001</v>
      </c>
      <c r="B36" s="271">
        <v>0</v>
      </c>
      <c r="C36" s="271">
        <v>2896.9290000000001</v>
      </c>
      <c r="D36" s="271">
        <v>3462.777</v>
      </c>
      <c r="E36" s="271">
        <v>5512.1220000000003</v>
      </c>
      <c r="F36" s="271">
        <v>40.262999999999998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643.72799999999995</v>
      </c>
      <c r="M36" s="271">
        <v>12555.819000000001</v>
      </c>
    </row>
    <row r="37" spans="1:13">
      <c r="A37" s="245">
        <v>2002</v>
      </c>
      <c r="B37" s="271">
        <v>0</v>
      </c>
      <c r="C37" s="271">
        <v>4137.6360000000004</v>
      </c>
      <c r="D37" s="271">
        <v>4210.3620000000001</v>
      </c>
      <c r="E37" s="271">
        <v>6219.7089999999998</v>
      </c>
      <c r="F37" s="271">
        <v>39.005000000000003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14606.711999999998</v>
      </c>
    </row>
    <row r="38" spans="1:13">
      <c r="A38" s="245">
        <v>2003</v>
      </c>
      <c r="B38" s="271">
        <v>0</v>
      </c>
      <c r="C38" s="271">
        <v>4764.4690000000001</v>
      </c>
      <c r="D38" s="271">
        <v>5839.2110000000002</v>
      </c>
      <c r="E38" s="271">
        <v>6475.326</v>
      </c>
      <c r="F38" s="271">
        <v>29.106999999999999</v>
      </c>
      <c r="G38" s="271">
        <v>0</v>
      </c>
      <c r="H38" s="271">
        <v>0</v>
      </c>
      <c r="I38" s="271">
        <v>0</v>
      </c>
      <c r="J38" s="271">
        <v>0</v>
      </c>
      <c r="K38" s="271">
        <v>0</v>
      </c>
      <c r="L38" s="271">
        <v>202.71899999999999</v>
      </c>
      <c r="M38" s="271">
        <v>17310.832000000002</v>
      </c>
    </row>
    <row r="39" spans="1:13">
      <c r="A39" s="245">
        <v>2004</v>
      </c>
      <c r="B39" s="271">
        <v>0</v>
      </c>
      <c r="C39" s="271">
        <v>4649.2089999999998</v>
      </c>
      <c r="D39" s="271">
        <v>5539.9250000000002</v>
      </c>
      <c r="E39" s="271">
        <v>7158.6750000000002</v>
      </c>
      <c r="F39" s="271">
        <v>0</v>
      </c>
      <c r="G39" s="271">
        <v>0</v>
      </c>
      <c r="H39" s="271">
        <v>0</v>
      </c>
      <c r="I39" s="271">
        <v>0</v>
      </c>
      <c r="J39" s="271">
        <v>0</v>
      </c>
      <c r="K39" s="271">
        <v>0</v>
      </c>
      <c r="L39" s="271">
        <v>0</v>
      </c>
      <c r="M39" s="271">
        <v>17347.809000000001</v>
      </c>
    </row>
    <row r="40" spans="1:13">
      <c r="A40" s="245">
        <v>2005</v>
      </c>
      <c r="B40" s="271">
        <v>0</v>
      </c>
      <c r="C40" s="271">
        <v>6037.7190000000001</v>
      </c>
      <c r="D40" s="271">
        <v>8122.3379999999997</v>
      </c>
      <c r="E40" s="271">
        <v>8012.6840000000002</v>
      </c>
      <c r="F40" s="271">
        <v>0.93300000000000005</v>
      </c>
      <c r="G40" s="271">
        <v>0</v>
      </c>
      <c r="H40" s="271">
        <v>0</v>
      </c>
      <c r="I40" s="271">
        <v>0</v>
      </c>
      <c r="J40" s="271">
        <v>0</v>
      </c>
      <c r="K40" s="271">
        <v>0</v>
      </c>
      <c r="L40" s="271">
        <v>0</v>
      </c>
      <c r="M40" s="271">
        <v>22173.674000000003</v>
      </c>
    </row>
    <row r="41" spans="1:13">
      <c r="A41" s="245">
        <v>2006</v>
      </c>
      <c r="B41" s="271">
        <v>0</v>
      </c>
      <c r="C41" s="271">
        <v>6175.0749999999998</v>
      </c>
      <c r="D41" s="271">
        <v>11325.191000000001</v>
      </c>
      <c r="E41" s="271">
        <v>8431.9009999999998</v>
      </c>
      <c r="F41" s="271">
        <v>0</v>
      </c>
      <c r="G41" s="271">
        <v>0</v>
      </c>
      <c r="H41" s="271">
        <v>0</v>
      </c>
      <c r="I41" s="271">
        <v>0.21912000000000001</v>
      </c>
      <c r="J41" s="271">
        <v>0</v>
      </c>
      <c r="K41" s="271">
        <v>0</v>
      </c>
      <c r="L41" s="271">
        <v>0</v>
      </c>
      <c r="M41" s="271">
        <v>25932.386120000003</v>
      </c>
    </row>
    <row r="42" spans="1:13">
      <c r="A42" s="245">
        <v>2007</v>
      </c>
      <c r="B42" s="271">
        <v>0</v>
      </c>
      <c r="C42" s="271">
        <v>7784.652</v>
      </c>
      <c r="D42" s="271">
        <v>11844.495000000001</v>
      </c>
      <c r="E42" s="271">
        <v>9699.7489999999998</v>
      </c>
      <c r="F42" s="271">
        <v>0</v>
      </c>
      <c r="G42" s="271">
        <v>0</v>
      </c>
      <c r="H42" s="271">
        <v>0</v>
      </c>
      <c r="I42" s="271">
        <v>2800</v>
      </c>
      <c r="J42" s="271">
        <v>0</v>
      </c>
      <c r="K42" s="271">
        <v>0</v>
      </c>
      <c r="L42" s="271">
        <v>0</v>
      </c>
      <c r="M42" s="271">
        <v>32128.896000000001</v>
      </c>
    </row>
    <row r="43" spans="1:13">
      <c r="A43" s="245">
        <v>2008</v>
      </c>
      <c r="B43" s="271">
        <v>0</v>
      </c>
      <c r="C43" s="271">
        <v>7413.1120000000001</v>
      </c>
      <c r="D43" s="271">
        <v>11159.61548</v>
      </c>
      <c r="E43" s="271">
        <v>9286.4264824500024</v>
      </c>
      <c r="F43" s="271">
        <v>5.0460000000000003</v>
      </c>
      <c r="G43" s="271">
        <v>70.016999999999996</v>
      </c>
      <c r="H43" s="271">
        <v>0</v>
      </c>
      <c r="I43" s="271">
        <v>3540.991</v>
      </c>
      <c r="J43" s="271">
        <v>0</v>
      </c>
      <c r="K43" s="271">
        <v>0</v>
      </c>
      <c r="L43" s="271">
        <v>0</v>
      </c>
      <c r="M43" s="271">
        <v>31475.207962450004</v>
      </c>
    </row>
    <row r="44" spans="1:13">
      <c r="A44" s="245">
        <v>2009</v>
      </c>
      <c r="B44" s="271">
        <v>0</v>
      </c>
      <c r="C44" s="271">
        <v>8379.8840099999998</v>
      </c>
      <c r="D44" s="271">
        <v>14399.050449999999</v>
      </c>
      <c r="E44" s="271">
        <v>9079.0442434499982</v>
      </c>
      <c r="F44" s="271">
        <v>10.688000000000001</v>
      </c>
      <c r="G44" s="271">
        <v>80.775999999999996</v>
      </c>
      <c r="H44" s="271">
        <v>0</v>
      </c>
      <c r="I44" s="271">
        <v>2646.317</v>
      </c>
      <c r="J44" s="271">
        <v>0</v>
      </c>
      <c r="K44" s="271">
        <v>0</v>
      </c>
      <c r="L44" s="271">
        <v>0</v>
      </c>
      <c r="M44" s="271">
        <v>34595.75970345</v>
      </c>
    </row>
    <row r="45" spans="1:13">
      <c r="A45" s="245">
        <v>2010</v>
      </c>
      <c r="B45" s="271">
        <v>3027.4981499999999</v>
      </c>
      <c r="C45" s="271">
        <v>8856.2124899999999</v>
      </c>
      <c r="D45" s="271">
        <v>19453.297070000001</v>
      </c>
      <c r="E45" s="271">
        <v>9394.2144143999994</v>
      </c>
      <c r="F45" s="271">
        <v>33.892129999999995</v>
      </c>
      <c r="G45" s="271">
        <v>55.006</v>
      </c>
      <c r="H45" s="271">
        <v>0</v>
      </c>
      <c r="I45" s="271">
        <v>3135.4704500000003</v>
      </c>
      <c r="J45" s="271">
        <v>0</v>
      </c>
      <c r="K45" s="271">
        <v>476.767</v>
      </c>
      <c r="L45" s="271">
        <v>0</v>
      </c>
      <c r="M45" s="271">
        <v>44432.357704399998</v>
      </c>
    </row>
    <row r="46" spans="1:13">
      <c r="A46" s="245">
        <v>2011</v>
      </c>
      <c r="B46" s="271">
        <v>1533.221</v>
      </c>
      <c r="C46" s="271">
        <v>11077.65955</v>
      </c>
      <c r="D46" s="271">
        <v>15089.26477</v>
      </c>
      <c r="E46" s="271">
        <v>9734.7786299500003</v>
      </c>
      <c r="F46" s="271">
        <v>29.109599999999997</v>
      </c>
      <c r="G46" s="271">
        <v>0</v>
      </c>
      <c r="H46" s="271">
        <v>0</v>
      </c>
      <c r="I46" s="271">
        <v>3556.7848400000007</v>
      </c>
      <c r="J46" s="271">
        <v>0</v>
      </c>
      <c r="K46" s="271">
        <v>0</v>
      </c>
      <c r="L46" s="271">
        <v>0</v>
      </c>
      <c r="M46" s="271">
        <v>41020.81838995</v>
      </c>
    </row>
    <row r="47" spans="1:13">
      <c r="A47" s="245">
        <v>2012</v>
      </c>
      <c r="B47" s="271">
        <v>0</v>
      </c>
      <c r="C47" s="271">
        <v>14231.772429999999</v>
      </c>
      <c r="D47" s="271">
        <v>17022.878090000002</v>
      </c>
      <c r="E47" s="271">
        <v>9011.6677250234989</v>
      </c>
      <c r="F47" s="271">
        <v>27.22729</v>
      </c>
      <c r="G47" s="271">
        <v>0</v>
      </c>
      <c r="H47" s="271">
        <v>0</v>
      </c>
      <c r="I47" s="271">
        <v>2721.9174600000001</v>
      </c>
      <c r="J47" s="271">
        <v>0</v>
      </c>
      <c r="K47" s="271">
        <v>0</v>
      </c>
      <c r="L47" s="271">
        <v>0</v>
      </c>
      <c r="M47" s="271">
        <v>43015.462995023503</v>
      </c>
    </row>
    <row r="48" spans="1:13">
      <c r="A48" s="245">
        <v>2013</v>
      </c>
      <c r="B48" s="271">
        <v>0</v>
      </c>
      <c r="C48" s="271">
        <v>16006.078259999998</v>
      </c>
      <c r="D48" s="271">
        <v>20841.018299999996</v>
      </c>
      <c r="E48" s="271">
        <v>9565.272630113499</v>
      </c>
      <c r="F48" s="271">
        <v>32.89049</v>
      </c>
      <c r="G48" s="271">
        <v>80.085999999999999</v>
      </c>
      <c r="H48" s="271">
        <v>0</v>
      </c>
      <c r="I48" s="271">
        <v>2094.0969599999999</v>
      </c>
      <c r="J48" s="271">
        <v>0</v>
      </c>
      <c r="K48" s="271">
        <v>0</v>
      </c>
      <c r="L48" s="271">
        <v>0</v>
      </c>
      <c r="M48" s="271">
        <v>48619.442640113492</v>
      </c>
    </row>
    <row r="49" spans="1:13">
      <c r="A49" s="245">
        <v>2014</v>
      </c>
      <c r="B49" s="271">
        <v>0</v>
      </c>
      <c r="C49" s="271">
        <v>20065.761340000005</v>
      </c>
      <c r="D49" s="271">
        <v>24964.63494</v>
      </c>
      <c r="E49" s="271">
        <v>10732.244903895496</v>
      </c>
      <c r="F49" s="271">
        <v>35.861730000000001</v>
      </c>
      <c r="G49" s="271">
        <v>300.017</v>
      </c>
      <c r="H49" s="271">
        <v>0</v>
      </c>
      <c r="I49" s="271">
        <v>1046.88582</v>
      </c>
      <c r="J49" s="271">
        <v>0</v>
      </c>
      <c r="K49" s="271">
        <v>0</v>
      </c>
      <c r="L49" s="271">
        <v>0</v>
      </c>
      <c r="M49" s="271">
        <v>57145.405733895495</v>
      </c>
    </row>
    <row r="50" spans="1:13">
      <c r="A50" s="245">
        <v>2015</v>
      </c>
      <c r="B50" s="271">
        <v>0</v>
      </c>
      <c r="C50" s="271">
        <v>19420.869619999998</v>
      </c>
      <c r="D50" s="271">
        <v>23684.509580000002</v>
      </c>
      <c r="E50" s="271">
        <v>10814.748896196001</v>
      </c>
      <c r="F50" s="271">
        <v>43.324670000000005</v>
      </c>
      <c r="G50" s="271">
        <v>211.173</v>
      </c>
      <c r="H50" s="271">
        <v>0</v>
      </c>
      <c r="I50" s="271">
        <v>1905.2775599999998</v>
      </c>
      <c r="J50" s="271">
        <v>0</v>
      </c>
      <c r="K50" s="271">
        <v>0</v>
      </c>
      <c r="L50" s="271">
        <v>0</v>
      </c>
      <c r="M50" s="271">
        <v>56079.903326196007</v>
      </c>
    </row>
    <row r="51" spans="1:13">
      <c r="A51" s="245">
        <v>2016</v>
      </c>
      <c r="B51" s="271">
        <v>0</v>
      </c>
      <c r="C51" s="271">
        <v>15943.8331</v>
      </c>
      <c r="D51" s="271">
        <v>18053.043090000003</v>
      </c>
      <c r="E51" s="271">
        <v>9835.3174831720007</v>
      </c>
      <c r="F51" s="271">
        <v>33.452100000000002</v>
      </c>
      <c r="G51" s="271">
        <v>0</v>
      </c>
      <c r="H51" s="271">
        <v>0</v>
      </c>
      <c r="I51" s="271">
        <v>3182.2693200000003</v>
      </c>
      <c r="J51" s="271">
        <v>0</v>
      </c>
      <c r="K51" s="271">
        <v>0</v>
      </c>
      <c r="L51" s="271">
        <v>0</v>
      </c>
      <c r="M51" s="271">
        <v>47047.915093172007</v>
      </c>
    </row>
    <row r="52" spans="1:13">
      <c r="A52" s="259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</row>
    <row r="53" spans="1:13">
      <c r="A53" s="273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</row>
    <row r="54" spans="1:13">
      <c r="A54" s="238"/>
    </row>
    <row r="55" spans="1:13">
      <c r="A55" s="107" t="s">
        <v>1393</v>
      </c>
    </row>
    <row r="56" spans="1:13" ht="15">
      <c r="A56" s="389" t="s">
        <v>1009</v>
      </c>
    </row>
    <row r="59" spans="1:13" s="92" customFormat="1">
      <c r="A59" s="239"/>
      <c r="H59" s="198"/>
    </row>
  </sheetData>
  <mergeCells count="14">
    <mergeCell ref="M4:M5"/>
    <mergeCell ref="A1:M1"/>
    <mergeCell ref="A2:M2"/>
    <mergeCell ref="A4:A5"/>
    <mergeCell ref="B4:C4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hyperlinks>
    <hyperlink ref="A55" location="'indice cap.2'!A1" display="Notas"/>
    <hyperlink ref="A56" location="'Indice cap.4'!A1" display="regresar al índice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8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G309"/>
  <sheetViews>
    <sheetView showGridLines="0" workbookViewId="0">
      <selection activeCell="A56" sqref="A56"/>
    </sheetView>
  </sheetViews>
  <sheetFormatPr baseColWidth="10" defaultRowHeight="12.75"/>
  <cols>
    <col min="1" max="1" width="11.42578125" style="92"/>
    <col min="2" max="24" width="12.7109375" style="92" customWidth="1"/>
    <col min="25" max="25" width="13.85546875" style="92" customWidth="1"/>
    <col min="26" max="34" width="12.7109375" style="92" customWidth="1"/>
    <col min="35" max="35" width="14.140625" style="92" customWidth="1"/>
    <col min="36" max="37" width="12.7109375" style="92" customWidth="1"/>
    <col min="38" max="38" width="14.140625" style="92" customWidth="1"/>
    <col min="39" max="54" width="12.7109375" style="92" customWidth="1"/>
    <col min="55" max="55" width="12.7109375" style="254" customWidth="1"/>
    <col min="56" max="16384" width="11.42578125" style="92"/>
  </cols>
  <sheetData>
    <row r="1" spans="1:59" ht="23.25" customHeight="1">
      <c r="A1" s="382" t="s">
        <v>1496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</row>
    <row r="2" spans="1:59">
      <c r="A2" s="383" t="s">
        <v>1406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/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83"/>
      <c r="BC2" s="383"/>
    </row>
    <row r="4" spans="1:59" ht="13.5" thickBot="1">
      <c r="A4" s="384" t="s">
        <v>1341</v>
      </c>
      <c r="B4" s="375" t="s">
        <v>1445</v>
      </c>
      <c r="C4" s="376"/>
      <c r="D4" s="376"/>
      <c r="E4" s="376"/>
      <c r="F4" s="376"/>
      <c r="G4" s="386"/>
      <c r="H4" s="387" t="s">
        <v>1432</v>
      </c>
      <c r="I4" s="375" t="s">
        <v>1446</v>
      </c>
      <c r="J4" s="376"/>
      <c r="K4" s="386"/>
      <c r="L4" s="375" t="s">
        <v>1412</v>
      </c>
      <c r="M4" s="376"/>
      <c r="N4" s="376"/>
      <c r="O4" s="376"/>
      <c r="P4" s="376"/>
      <c r="Q4" s="376"/>
      <c r="R4" s="376"/>
      <c r="S4" s="376"/>
      <c r="T4" s="386"/>
      <c r="U4" s="375" t="s">
        <v>1447</v>
      </c>
      <c r="V4" s="376"/>
      <c r="W4" s="376"/>
      <c r="X4" s="376"/>
      <c r="Y4" s="376"/>
      <c r="Z4" s="376"/>
      <c r="AA4" s="376"/>
      <c r="AB4" s="377"/>
      <c r="AC4" s="375" t="s">
        <v>1421</v>
      </c>
      <c r="AD4" s="376"/>
      <c r="AE4" s="376"/>
      <c r="AF4" s="376"/>
      <c r="AG4" s="377"/>
      <c r="AH4" s="375" t="s">
        <v>1434</v>
      </c>
      <c r="AI4" s="376"/>
      <c r="AJ4" s="386"/>
      <c r="AK4" s="375" t="s">
        <v>1448</v>
      </c>
      <c r="AL4" s="376"/>
      <c r="AM4" s="377"/>
      <c r="AN4" s="380" t="s">
        <v>1449</v>
      </c>
      <c r="AO4" s="380" t="s">
        <v>1450</v>
      </c>
      <c r="AP4" s="380" t="s">
        <v>1451</v>
      </c>
      <c r="AQ4" s="380" t="s">
        <v>1452</v>
      </c>
      <c r="AR4" s="380" t="s">
        <v>1433</v>
      </c>
      <c r="AS4" s="380" t="s">
        <v>1453</v>
      </c>
      <c r="AT4" s="380" t="s">
        <v>1454</v>
      </c>
      <c r="AU4" s="380" t="s">
        <v>1455</v>
      </c>
      <c r="AV4" s="380" t="s">
        <v>1456</v>
      </c>
      <c r="AW4" s="380" t="s">
        <v>1457</v>
      </c>
      <c r="AX4" s="380" t="s">
        <v>1458</v>
      </c>
      <c r="AY4" s="375" t="s">
        <v>1459</v>
      </c>
      <c r="AZ4" s="376"/>
      <c r="BA4" s="376"/>
      <c r="BB4" s="377"/>
      <c r="BC4" s="378" t="s">
        <v>1392</v>
      </c>
    </row>
    <row r="5" spans="1:59" s="276" customFormat="1" ht="51">
      <c r="A5" s="385"/>
      <c r="B5" s="275" t="s">
        <v>1460</v>
      </c>
      <c r="C5" s="275" t="s">
        <v>1461</v>
      </c>
      <c r="D5" s="275" t="s">
        <v>1462</v>
      </c>
      <c r="E5" s="275" t="s">
        <v>1429</v>
      </c>
      <c r="F5" s="275" t="s">
        <v>1463</v>
      </c>
      <c r="G5" s="275" t="s">
        <v>1464</v>
      </c>
      <c r="H5" s="388"/>
      <c r="I5" s="275" t="s">
        <v>1465</v>
      </c>
      <c r="J5" s="275" t="s">
        <v>1466</v>
      </c>
      <c r="K5" s="275" t="s">
        <v>1467</v>
      </c>
      <c r="L5" s="275" t="s">
        <v>1465</v>
      </c>
      <c r="M5" s="275" t="s">
        <v>1468</v>
      </c>
      <c r="N5" s="275" t="s">
        <v>1469</v>
      </c>
      <c r="O5" s="275" t="s">
        <v>1470</v>
      </c>
      <c r="P5" s="275" t="s">
        <v>1471</v>
      </c>
      <c r="Q5" s="275" t="s">
        <v>1472</v>
      </c>
      <c r="R5" s="275" t="s">
        <v>1473</v>
      </c>
      <c r="S5" s="275" t="s">
        <v>1474</v>
      </c>
      <c r="T5" s="275" t="s">
        <v>1475</v>
      </c>
      <c r="U5" s="275" t="s">
        <v>1476</v>
      </c>
      <c r="V5" s="275" t="s">
        <v>1459</v>
      </c>
      <c r="W5" s="275" t="s">
        <v>1477</v>
      </c>
      <c r="X5" s="275" t="s">
        <v>1478</v>
      </c>
      <c r="Y5" s="275" t="s">
        <v>1479</v>
      </c>
      <c r="Z5" s="275" t="s">
        <v>1469</v>
      </c>
      <c r="AA5" s="275" t="s">
        <v>1473</v>
      </c>
      <c r="AB5" s="275" t="s">
        <v>1480</v>
      </c>
      <c r="AC5" s="275" t="s">
        <v>1481</v>
      </c>
      <c r="AD5" s="275" t="s">
        <v>1482</v>
      </c>
      <c r="AE5" s="275" t="s">
        <v>1483</v>
      </c>
      <c r="AF5" s="275" t="s">
        <v>1484</v>
      </c>
      <c r="AG5" s="275" t="s">
        <v>1485</v>
      </c>
      <c r="AH5" s="275" t="s">
        <v>1476</v>
      </c>
      <c r="AI5" s="275" t="s">
        <v>1479</v>
      </c>
      <c r="AJ5" s="275" t="s">
        <v>1486</v>
      </c>
      <c r="AK5" s="275" t="s">
        <v>1476</v>
      </c>
      <c r="AL5" s="275" t="s">
        <v>1479</v>
      </c>
      <c r="AM5" s="275" t="s">
        <v>1487</v>
      </c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  <c r="AY5" s="275" t="s">
        <v>1488</v>
      </c>
      <c r="AZ5" s="275" t="s">
        <v>1489</v>
      </c>
      <c r="BA5" s="275" t="s">
        <v>1490</v>
      </c>
      <c r="BB5" s="275" t="s">
        <v>1459</v>
      </c>
      <c r="BC5" s="379"/>
    </row>
    <row r="6" spans="1:59">
      <c r="A6" s="253"/>
      <c r="E6" s="277"/>
      <c r="F6" s="277"/>
      <c r="G6" s="277"/>
    </row>
    <row r="7" spans="1:59">
      <c r="A7" s="245">
        <v>1972</v>
      </c>
      <c r="B7" s="278">
        <v>0</v>
      </c>
      <c r="C7" s="279">
        <v>2397.6840000000002</v>
      </c>
      <c r="D7" s="279">
        <v>0</v>
      </c>
      <c r="E7" s="279">
        <v>1307.578</v>
      </c>
      <c r="F7" s="279">
        <v>0</v>
      </c>
      <c r="G7" s="279">
        <v>3705.2620000000002</v>
      </c>
      <c r="H7" s="279">
        <v>2115.4589999999998</v>
      </c>
      <c r="I7" s="279">
        <v>0</v>
      </c>
      <c r="J7" s="279">
        <v>0</v>
      </c>
      <c r="K7" s="279">
        <v>0</v>
      </c>
      <c r="L7" s="279">
        <v>0</v>
      </c>
      <c r="M7" s="279">
        <v>0</v>
      </c>
      <c r="N7" s="280">
        <v>0</v>
      </c>
      <c r="O7" s="280">
        <v>0</v>
      </c>
      <c r="P7" s="280">
        <v>0</v>
      </c>
      <c r="Q7" s="280">
        <v>0</v>
      </c>
      <c r="R7" s="280">
        <v>0</v>
      </c>
      <c r="S7" s="280">
        <v>0</v>
      </c>
      <c r="T7" s="280">
        <v>0</v>
      </c>
      <c r="U7" s="280">
        <v>0</v>
      </c>
      <c r="V7" s="280">
        <v>2149.7269999999999</v>
      </c>
      <c r="W7" s="280">
        <v>0</v>
      </c>
      <c r="X7" s="280">
        <v>0</v>
      </c>
      <c r="Y7" s="280">
        <v>0</v>
      </c>
      <c r="Z7" s="280">
        <v>0</v>
      </c>
      <c r="AA7" s="280">
        <v>0</v>
      </c>
      <c r="AB7" s="280">
        <v>2149.7269999999999</v>
      </c>
      <c r="AC7" s="280">
        <v>3.0339999999999998</v>
      </c>
      <c r="AD7" s="280">
        <v>2.6930000000000001</v>
      </c>
      <c r="AE7" s="280">
        <v>2.6030000000000002</v>
      </c>
      <c r="AF7" s="280">
        <v>3.1949999999999998</v>
      </c>
      <c r="AG7" s="280">
        <v>11.525</v>
      </c>
      <c r="AH7" s="280">
        <v>126.29</v>
      </c>
      <c r="AI7" s="280">
        <v>0</v>
      </c>
      <c r="AJ7" s="280">
        <v>126.29</v>
      </c>
      <c r="AK7" s="280">
        <v>0</v>
      </c>
      <c r="AL7" s="280">
        <v>0</v>
      </c>
      <c r="AM7" s="280">
        <v>0</v>
      </c>
      <c r="AN7" s="280">
        <v>320.99490476190471</v>
      </c>
      <c r="AO7" s="279">
        <v>936.96500000000003</v>
      </c>
      <c r="AP7" s="279">
        <v>0</v>
      </c>
      <c r="AQ7" s="280">
        <v>110.595</v>
      </c>
      <c r="AR7" s="280">
        <v>113.50700000000001</v>
      </c>
      <c r="AS7" s="280">
        <v>163.50200000000001</v>
      </c>
      <c r="AT7" s="280">
        <v>447.28490476190473</v>
      </c>
      <c r="AU7" s="280">
        <v>0</v>
      </c>
      <c r="AV7" s="280">
        <v>0</v>
      </c>
      <c r="AW7" s="280">
        <v>0</v>
      </c>
      <c r="AX7" s="280">
        <v>0</v>
      </c>
      <c r="AY7" s="280">
        <v>0</v>
      </c>
      <c r="AZ7" s="280">
        <v>0</v>
      </c>
      <c r="BA7" s="280">
        <v>0</v>
      </c>
      <c r="BB7" s="280">
        <v>0</v>
      </c>
      <c r="BC7" s="281">
        <v>10201.111809523809</v>
      </c>
      <c r="BD7" s="282"/>
      <c r="BE7" s="282"/>
      <c r="BF7" s="282"/>
      <c r="BG7" s="282"/>
    </row>
    <row r="8" spans="1:59">
      <c r="A8" s="245">
        <v>1973</v>
      </c>
      <c r="B8" s="278">
        <v>0</v>
      </c>
      <c r="C8" s="279">
        <v>2835.6294285714293</v>
      </c>
      <c r="D8" s="279">
        <v>0</v>
      </c>
      <c r="E8" s="279">
        <v>1289.7827857142856</v>
      </c>
      <c r="F8" s="279">
        <v>0</v>
      </c>
      <c r="G8" s="279">
        <v>4125.412214285715</v>
      </c>
      <c r="H8" s="279">
        <v>2513.1779999999999</v>
      </c>
      <c r="I8" s="279">
        <v>0</v>
      </c>
      <c r="J8" s="279">
        <v>0</v>
      </c>
      <c r="K8" s="279">
        <v>0</v>
      </c>
      <c r="L8" s="279">
        <v>0</v>
      </c>
      <c r="M8" s="279">
        <v>0</v>
      </c>
      <c r="N8" s="280">
        <v>0</v>
      </c>
      <c r="O8" s="280">
        <v>0</v>
      </c>
      <c r="P8" s="280">
        <v>0</v>
      </c>
      <c r="Q8" s="280">
        <v>0</v>
      </c>
      <c r="R8" s="280">
        <v>0</v>
      </c>
      <c r="S8" s="280">
        <v>0</v>
      </c>
      <c r="T8" s="280">
        <v>0</v>
      </c>
      <c r="U8" s="280">
        <v>0</v>
      </c>
      <c r="V8" s="280">
        <v>2222.7730000000001</v>
      </c>
      <c r="W8" s="280">
        <v>0</v>
      </c>
      <c r="X8" s="280">
        <v>0</v>
      </c>
      <c r="Y8" s="280">
        <v>0</v>
      </c>
      <c r="Z8" s="280">
        <v>0</v>
      </c>
      <c r="AA8" s="280">
        <v>0</v>
      </c>
      <c r="AB8" s="280">
        <v>2222.7730000000001</v>
      </c>
      <c r="AC8" s="280">
        <v>4.8529999999999998</v>
      </c>
      <c r="AD8" s="280">
        <v>3.3380000000000001</v>
      </c>
      <c r="AE8" s="280">
        <v>3.323</v>
      </c>
      <c r="AF8" s="280">
        <v>3.7170000000000001</v>
      </c>
      <c r="AG8" s="280">
        <v>15.231</v>
      </c>
      <c r="AH8" s="280">
        <v>92.265000000000001</v>
      </c>
      <c r="AI8" s="280">
        <v>0</v>
      </c>
      <c r="AJ8" s="280">
        <v>92.265000000000001</v>
      </c>
      <c r="AK8" s="280">
        <v>0</v>
      </c>
      <c r="AL8" s="280">
        <v>0</v>
      </c>
      <c r="AM8" s="280">
        <v>0</v>
      </c>
      <c r="AN8" s="280">
        <v>318.59504761904765</v>
      </c>
      <c r="AO8" s="279">
        <v>1078.4787142857147</v>
      </c>
      <c r="AP8" s="279">
        <v>0</v>
      </c>
      <c r="AQ8" s="280">
        <v>213.16</v>
      </c>
      <c r="AR8" s="280">
        <v>160.96100000000001</v>
      </c>
      <c r="AS8" s="280">
        <v>138.375</v>
      </c>
      <c r="AT8" s="280">
        <v>410.86004761904763</v>
      </c>
      <c r="AU8" s="280">
        <v>0</v>
      </c>
      <c r="AV8" s="280">
        <v>0</v>
      </c>
      <c r="AW8" s="280">
        <v>0</v>
      </c>
      <c r="AX8" s="280">
        <v>0</v>
      </c>
      <c r="AY8" s="280">
        <v>0</v>
      </c>
      <c r="AZ8" s="280">
        <v>0</v>
      </c>
      <c r="BA8" s="280">
        <v>0</v>
      </c>
      <c r="BB8" s="280">
        <v>0</v>
      </c>
      <c r="BC8" s="281">
        <v>11289.289023809524</v>
      </c>
      <c r="BD8" s="282"/>
      <c r="BE8" s="282"/>
      <c r="BF8" s="282"/>
      <c r="BG8" s="282"/>
    </row>
    <row r="9" spans="1:59">
      <c r="A9" s="245">
        <v>1974</v>
      </c>
      <c r="B9" s="278">
        <v>0</v>
      </c>
      <c r="C9" s="279">
        <v>3498.5614999999984</v>
      </c>
      <c r="D9" s="279">
        <v>0</v>
      </c>
      <c r="E9" s="279">
        <v>1234.7266428571429</v>
      </c>
      <c r="F9" s="279">
        <v>0</v>
      </c>
      <c r="G9" s="279">
        <v>4733.2881428571418</v>
      </c>
      <c r="H9" s="279">
        <v>2611.8690000000001</v>
      </c>
      <c r="I9" s="279">
        <v>0</v>
      </c>
      <c r="J9" s="279">
        <v>0</v>
      </c>
      <c r="K9" s="279">
        <v>0</v>
      </c>
      <c r="L9" s="279">
        <v>0</v>
      </c>
      <c r="M9" s="279">
        <v>0</v>
      </c>
      <c r="N9" s="280">
        <v>0</v>
      </c>
      <c r="O9" s="280">
        <v>0</v>
      </c>
      <c r="P9" s="280">
        <v>0</v>
      </c>
      <c r="Q9" s="280">
        <v>0</v>
      </c>
      <c r="R9" s="280">
        <v>0</v>
      </c>
      <c r="S9" s="280">
        <v>0</v>
      </c>
      <c r="T9" s="280">
        <v>0</v>
      </c>
      <c r="U9" s="280">
        <v>0</v>
      </c>
      <c r="V9" s="280">
        <v>2480.7420000000002</v>
      </c>
      <c r="W9" s="280">
        <v>0</v>
      </c>
      <c r="X9" s="280">
        <v>0</v>
      </c>
      <c r="Y9" s="280">
        <v>0</v>
      </c>
      <c r="Z9" s="280">
        <v>0</v>
      </c>
      <c r="AA9" s="280">
        <v>0</v>
      </c>
      <c r="AB9" s="280">
        <v>2480.7420000000002</v>
      </c>
      <c r="AC9" s="280">
        <v>5.6479999999999997</v>
      </c>
      <c r="AD9" s="280">
        <v>4.1440000000000001</v>
      </c>
      <c r="AE9" s="280">
        <v>3.7730000000000001</v>
      </c>
      <c r="AF9" s="280">
        <v>0.35699999999999998</v>
      </c>
      <c r="AG9" s="280">
        <v>13.921999999999999</v>
      </c>
      <c r="AH9" s="280">
        <v>76.682000000000002</v>
      </c>
      <c r="AI9" s="280">
        <v>0</v>
      </c>
      <c r="AJ9" s="280">
        <v>76.682000000000002</v>
      </c>
      <c r="AK9" s="280">
        <v>0</v>
      </c>
      <c r="AL9" s="280">
        <v>0</v>
      </c>
      <c r="AM9" s="280">
        <v>0</v>
      </c>
      <c r="AN9" s="280">
        <v>591.41</v>
      </c>
      <c r="AO9" s="279">
        <v>1198.7489285714282</v>
      </c>
      <c r="AP9" s="279">
        <v>0</v>
      </c>
      <c r="AQ9" s="280">
        <v>320.18700000000001</v>
      </c>
      <c r="AR9" s="280">
        <v>218.33500000000001</v>
      </c>
      <c r="AS9" s="280">
        <v>117.083</v>
      </c>
      <c r="AT9" s="280">
        <v>668.09199999999998</v>
      </c>
      <c r="AU9" s="280">
        <v>0</v>
      </c>
      <c r="AV9" s="280">
        <v>0</v>
      </c>
      <c r="AW9" s="280">
        <v>0</v>
      </c>
      <c r="AX9" s="280">
        <v>0</v>
      </c>
      <c r="AY9" s="280">
        <v>0</v>
      </c>
      <c r="AZ9" s="280">
        <v>0</v>
      </c>
      <c r="BA9" s="280">
        <v>0</v>
      </c>
      <c r="BB9" s="280">
        <v>0</v>
      </c>
      <c r="BC9" s="281">
        <v>13030.359071428571</v>
      </c>
      <c r="BD9" s="282"/>
      <c r="BE9" s="282"/>
      <c r="BF9" s="282"/>
      <c r="BG9" s="282"/>
    </row>
    <row r="10" spans="1:59">
      <c r="A10" s="245">
        <v>1975</v>
      </c>
      <c r="B10" s="278">
        <v>0</v>
      </c>
      <c r="C10" s="279">
        <v>4442.7179999999998</v>
      </c>
      <c r="D10" s="279">
        <v>0</v>
      </c>
      <c r="E10" s="279">
        <v>1374.7760000000001</v>
      </c>
      <c r="F10" s="279">
        <v>0</v>
      </c>
      <c r="G10" s="279">
        <v>5817.4939999999997</v>
      </c>
      <c r="H10" s="279">
        <v>3209.8029999999999</v>
      </c>
      <c r="I10" s="279">
        <v>0</v>
      </c>
      <c r="J10" s="279">
        <v>0</v>
      </c>
      <c r="K10" s="279">
        <v>0</v>
      </c>
      <c r="L10" s="279">
        <v>0</v>
      </c>
      <c r="M10" s="279">
        <v>0</v>
      </c>
      <c r="N10" s="280">
        <v>0</v>
      </c>
      <c r="O10" s="280">
        <v>0</v>
      </c>
      <c r="P10" s="280">
        <v>0</v>
      </c>
      <c r="Q10" s="280">
        <v>0</v>
      </c>
      <c r="R10" s="280">
        <v>0</v>
      </c>
      <c r="S10" s="280">
        <v>0</v>
      </c>
      <c r="T10" s="280">
        <v>0</v>
      </c>
      <c r="U10" s="280">
        <v>0</v>
      </c>
      <c r="V10" s="280">
        <v>3040.3760000000002</v>
      </c>
      <c r="W10" s="280">
        <v>0</v>
      </c>
      <c r="X10" s="280">
        <v>0</v>
      </c>
      <c r="Y10" s="280">
        <v>0</v>
      </c>
      <c r="Z10" s="280">
        <v>0</v>
      </c>
      <c r="AA10" s="280">
        <v>0</v>
      </c>
      <c r="AB10" s="280">
        <v>3040.3760000000002</v>
      </c>
      <c r="AC10" s="280">
        <v>7.641</v>
      </c>
      <c r="AD10" s="280">
        <v>6.5609999999999999</v>
      </c>
      <c r="AE10" s="280">
        <v>4.4039999999999999</v>
      </c>
      <c r="AF10" s="280">
        <v>0</v>
      </c>
      <c r="AG10" s="280">
        <v>18.606000000000002</v>
      </c>
      <c r="AH10" s="280">
        <v>56.247999999999998</v>
      </c>
      <c r="AI10" s="280">
        <v>0</v>
      </c>
      <c r="AJ10" s="280">
        <v>56.247999999999998</v>
      </c>
      <c r="AK10" s="280">
        <v>0</v>
      </c>
      <c r="AL10" s="280">
        <v>0</v>
      </c>
      <c r="AM10" s="280">
        <v>0</v>
      </c>
      <c r="AN10" s="280">
        <v>747.04200000000003</v>
      </c>
      <c r="AO10" s="279">
        <v>1465.316</v>
      </c>
      <c r="AP10" s="279">
        <v>0</v>
      </c>
      <c r="AQ10" s="280">
        <v>410.22300000000001</v>
      </c>
      <c r="AR10" s="280">
        <v>290.89499999999998</v>
      </c>
      <c r="AS10" s="280">
        <v>117.869</v>
      </c>
      <c r="AT10" s="280">
        <v>803.29</v>
      </c>
      <c r="AU10" s="280">
        <v>0</v>
      </c>
      <c r="AV10" s="280">
        <v>0</v>
      </c>
      <c r="AW10" s="280">
        <v>0</v>
      </c>
      <c r="AX10" s="280">
        <v>0</v>
      </c>
      <c r="AY10" s="280">
        <v>0</v>
      </c>
      <c r="AZ10" s="280">
        <v>0</v>
      </c>
      <c r="BA10" s="280">
        <v>0</v>
      </c>
      <c r="BB10" s="280">
        <v>0</v>
      </c>
      <c r="BC10" s="281">
        <v>15977.162</v>
      </c>
      <c r="BD10" s="282"/>
      <c r="BE10" s="282"/>
      <c r="BF10" s="282"/>
      <c r="BG10" s="282"/>
    </row>
    <row r="11" spans="1:59">
      <c r="A11" s="245">
        <v>1976</v>
      </c>
      <c r="B11" s="278">
        <v>0</v>
      </c>
      <c r="C11" s="279">
        <v>5323.9160000000002</v>
      </c>
      <c r="D11" s="279">
        <v>0</v>
      </c>
      <c r="E11" s="279">
        <v>1286.7</v>
      </c>
      <c r="F11" s="279">
        <v>0</v>
      </c>
      <c r="G11" s="279">
        <v>6610.616</v>
      </c>
      <c r="H11" s="279">
        <v>3617.4560000000001</v>
      </c>
      <c r="I11" s="279">
        <v>0</v>
      </c>
      <c r="J11" s="279">
        <v>0</v>
      </c>
      <c r="K11" s="279">
        <v>0</v>
      </c>
      <c r="L11" s="279">
        <v>0</v>
      </c>
      <c r="M11" s="279">
        <v>0</v>
      </c>
      <c r="N11" s="280">
        <v>0</v>
      </c>
      <c r="O11" s="280">
        <v>0</v>
      </c>
      <c r="P11" s="280">
        <v>0</v>
      </c>
      <c r="Q11" s="280">
        <v>0</v>
      </c>
      <c r="R11" s="280">
        <v>0</v>
      </c>
      <c r="S11" s="280">
        <v>0</v>
      </c>
      <c r="T11" s="280">
        <v>0</v>
      </c>
      <c r="U11" s="280">
        <v>0</v>
      </c>
      <c r="V11" s="280">
        <v>3162.453</v>
      </c>
      <c r="W11" s="280">
        <v>0</v>
      </c>
      <c r="X11" s="280">
        <v>0</v>
      </c>
      <c r="Y11" s="280">
        <v>0</v>
      </c>
      <c r="Z11" s="280">
        <v>0</v>
      </c>
      <c r="AA11" s="280">
        <v>0</v>
      </c>
      <c r="AB11" s="280">
        <v>3162.453</v>
      </c>
      <c r="AC11" s="280">
        <v>7.6660000000000004</v>
      </c>
      <c r="AD11" s="280">
        <v>9.41</v>
      </c>
      <c r="AE11" s="280">
        <v>3.5270000000000001</v>
      </c>
      <c r="AF11" s="280">
        <v>0</v>
      </c>
      <c r="AG11" s="280">
        <v>20.603000000000002</v>
      </c>
      <c r="AH11" s="280">
        <v>40.113</v>
      </c>
      <c r="AI11" s="280">
        <v>0</v>
      </c>
      <c r="AJ11" s="280">
        <v>40.113</v>
      </c>
      <c r="AK11" s="280">
        <v>0</v>
      </c>
      <c r="AL11" s="280">
        <v>0</v>
      </c>
      <c r="AM11" s="280">
        <v>0</v>
      </c>
      <c r="AN11" s="280">
        <v>378.54199999999997</v>
      </c>
      <c r="AO11" s="279">
        <v>2030.7619999999999</v>
      </c>
      <c r="AP11" s="279">
        <v>0</v>
      </c>
      <c r="AQ11" s="280">
        <v>480.94499999999999</v>
      </c>
      <c r="AR11" s="280">
        <v>389.30500000000001</v>
      </c>
      <c r="AS11" s="280">
        <v>121.337</v>
      </c>
      <c r="AT11" s="280">
        <v>418.65499999999997</v>
      </c>
      <c r="AU11" s="280">
        <v>0</v>
      </c>
      <c r="AV11" s="280">
        <v>0</v>
      </c>
      <c r="AW11" s="280">
        <v>0</v>
      </c>
      <c r="AX11" s="280">
        <v>0</v>
      </c>
      <c r="AY11" s="280">
        <v>0</v>
      </c>
      <c r="AZ11" s="280">
        <v>0</v>
      </c>
      <c r="BA11" s="280">
        <v>0</v>
      </c>
      <c r="BB11" s="280">
        <v>0</v>
      </c>
      <c r="BC11" s="281">
        <v>17270.786999999997</v>
      </c>
      <c r="BD11" s="282"/>
      <c r="BE11" s="282"/>
      <c r="BF11" s="282"/>
      <c r="BG11" s="282"/>
    </row>
    <row r="12" spans="1:59">
      <c r="A12" s="245">
        <v>1977</v>
      </c>
      <c r="B12" s="278">
        <v>0</v>
      </c>
      <c r="C12" s="279">
        <v>6569.2839999999997</v>
      </c>
      <c r="D12" s="279">
        <v>0</v>
      </c>
      <c r="E12" s="279">
        <v>927.34100000000001</v>
      </c>
      <c r="F12" s="279">
        <v>0</v>
      </c>
      <c r="G12" s="279">
        <v>7496.625</v>
      </c>
      <c r="H12" s="279">
        <v>4355.2290000000003</v>
      </c>
      <c r="I12" s="279">
        <v>0</v>
      </c>
      <c r="J12" s="279">
        <v>0</v>
      </c>
      <c r="K12" s="279">
        <v>0</v>
      </c>
      <c r="L12" s="279">
        <v>0</v>
      </c>
      <c r="M12" s="279">
        <v>0</v>
      </c>
      <c r="N12" s="280">
        <v>0</v>
      </c>
      <c r="O12" s="280">
        <v>0</v>
      </c>
      <c r="P12" s="280">
        <v>0</v>
      </c>
      <c r="Q12" s="280">
        <v>0</v>
      </c>
      <c r="R12" s="280">
        <v>0</v>
      </c>
      <c r="S12" s="280">
        <v>0</v>
      </c>
      <c r="T12" s="280">
        <v>0</v>
      </c>
      <c r="U12" s="280">
        <v>0</v>
      </c>
      <c r="V12" s="280">
        <v>3310.6779999999999</v>
      </c>
      <c r="W12" s="280">
        <v>0</v>
      </c>
      <c r="X12" s="280">
        <v>0</v>
      </c>
      <c r="Y12" s="280">
        <v>0</v>
      </c>
      <c r="Z12" s="280">
        <v>0</v>
      </c>
      <c r="AA12" s="280">
        <v>0</v>
      </c>
      <c r="AB12" s="280">
        <v>3310.6779999999999</v>
      </c>
      <c r="AC12" s="280">
        <v>11.657</v>
      </c>
      <c r="AD12" s="280">
        <v>11.180999999999999</v>
      </c>
      <c r="AE12" s="280">
        <v>6.3019999999999996</v>
      </c>
      <c r="AF12" s="280">
        <v>0</v>
      </c>
      <c r="AG12" s="280">
        <v>29.14</v>
      </c>
      <c r="AH12" s="280">
        <v>46.656999999999996</v>
      </c>
      <c r="AI12" s="280">
        <v>0</v>
      </c>
      <c r="AJ12" s="280">
        <v>46.656999999999996</v>
      </c>
      <c r="AK12" s="280">
        <v>0</v>
      </c>
      <c r="AL12" s="280">
        <v>0</v>
      </c>
      <c r="AM12" s="280">
        <v>0</v>
      </c>
      <c r="AN12" s="280">
        <v>638.34299999999996</v>
      </c>
      <c r="AO12" s="279">
        <v>2484.5369999999998</v>
      </c>
      <c r="AP12" s="279">
        <v>0</v>
      </c>
      <c r="AQ12" s="280">
        <v>479.16199999999998</v>
      </c>
      <c r="AR12" s="280">
        <v>545.10199999999998</v>
      </c>
      <c r="AS12" s="280">
        <v>116.58799999999999</v>
      </c>
      <c r="AT12" s="280">
        <v>685</v>
      </c>
      <c r="AU12" s="280">
        <v>0</v>
      </c>
      <c r="AV12" s="280">
        <v>0</v>
      </c>
      <c r="AW12" s="280">
        <v>0</v>
      </c>
      <c r="AX12" s="280">
        <v>0</v>
      </c>
      <c r="AY12" s="280">
        <v>0</v>
      </c>
      <c r="AZ12" s="280">
        <v>0</v>
      </c>
      <c r="BA12" s="280">
        <v>0</v>
      </c>
      <c r="BB12" s="280">
        <v>0</v>
      </c>
      <c r="BC12" s="281">
        <v>20187.060999999998</v>
      </c>
      <c r="BD12" s="282"/>
      <c r="BE12" s="282"/>
      <c r="BF12" s="282"/>
      <c r="BG12" s="282"/>
    </row>
    <row r="13" spans="1:59">
      <c r="A13" s="245">
        <v>1978</v>
      </c>
      <c r="B13" s="278">
        <v>0</v>
      </c>
      <c r="C13" s="279">
        <v>7798.1790000000001</v>
      </c>
      <c r="D13" s="279">
        <v>0</v>
      </c>
      <c r="E13" s="279">
        <v>664.726</v>
      </c>
      <c r="F13" s="279">
        <v>0</v>
      </c>
      <c r="G13" s="279">
        <v>8462.9050000000007</v>
      </c>
      <c r="H13" s="279">
        <v>4676.4790000000003</v>
      </c>
      <c r="I13" s="279">
        <v>0</v>
      </c>
      <c r="J13" s="279">
        <v>0</v>
      </c>
      <c r="K13" s="279">
        <v>0</v>
      </c>
      <c r="L13" s="279">
        <v>0</v>
      </c>
      <c r="M13" s="279">
        <v>0</v>
      </c>
      <c r="N13" s="280">
        <v>0</v>
      </c>
      <c r="O13" s="280">
        <v>0</v>
      </c>
      <c r="P13" s="280">
        <v>0</v>
      </c>
      <c r="Q13" s="280">
        <v>0</v>
      </c>
      <c r="R13" s="280">
        <v>0</v>
      </c>
      <c r="S13" s="280">
        <v>0</v>
      </c>
      <c r="T13" s="280">
        <v>0</v>
      </c>
      <c r="U13" s="280">
        <v>0</v>
      </c>
      <c r="V13" s="280">
        <v>4232.2049999999999</v>
      </c>
      <c r="W13" s="280">
        <v>0</v>
      </c>
      <c r="X13" s="280">
        <v>0</v>
      </c>
      <c r="Y13" s="280">
        <v>0</v>
      </c>
      <c r="Z13" s="280">
        <v>0</v>
      </c>
      <c r="AA13" s="280">
        <v>0</v>
      </c>
      <c r="AB13" s="280">
        <v>4232.2049999999999</v>
      </c>
      <c r="AC13" s="280">
        <v>17.038</v>
      </c>
      <c r="AD13" s="280">
        <v>11.763</v>
      </c>
      <c r="AE13" s="280">
        <v>6.7160000000000002</v>
      </c>
      <c r="AF13" s="280">
        <v>0</v>
      </c>
      <c r="AG13" s="280">
        <v>35.517000000000003</v>
      </c>
      <c r="AH13" s="280">
        <v>42.779000000000003</v>
      </c>
      <c r="AI13" s="280">
        <v>0</v>
      </c>
      <c r="AJ13" s="280">
        <v>42.779000000000003</v>
      </c>
      <c r="AK13" s="280">
        <v>0</v>
      </c>
      <c r="AL13" s="280">
        <v>0</v>
      </c>
      <c r="AM13" s="280">
        <v>0</v>
      </c>
      <c r="AN13" s="280">
        <v>935.649</v>
      </c>
      <c r="AO13" s="279">
        <v>2834.21</v>
      </c>
      <c r="AP13" s="279">
        <v>0</v>
      </c>
      <c r="AQ13" s="280">
        <v>168.48500000000001</v>
      </c>
      <c r="AR13" s="280">
        <v>722.26</v>
      </c>
      <c r="AS13" s="280">
        <v>43.58</v>
      </c>
      <c r="AT13" s="280">
        <v>978.428</v>
      </c>
      <c r="AU13" s="280">
        <v>0</v>
      </c>
      <c r="AV13" s="280">
        <v>0</v>
      </c>
      <c r="AW13" s="280">
        <v>0</v>
      </c>
      <c r="AX13" s="280">
        <v>0</v>
      </c>
      <c r="AY13" s="280">
        <v>0</v>
      </c>
      <c r="AZ13" s="280">
        <v>0</v>
      </c>
      <c r="BA13" s="280">
        <v>0</v>
      </c>
      <c r="BB13" s="280">
        <v>0</v>
      </c>
      <c r="BC13" s="281">
        <v>23132.496999999999</v>
      </c>
      <c r="BD13" s="282"/>
      <c r="BE13" s="282"/>
      <c r="BF13" s="282"/>
      <c r="BG13" s="282"/>
    </row>
    <row r="14" spans="1:59">
      <c r="A14" s="245">
        <v>1979</v>
      </c>
      <c r="B14" s="278">
        <v>0</v>
      </c>
      <c r="C14" s="279">
        <v>8862.6080000000002</v>
      </c>
      <c r="D14" s="279">
        <v>0</v>
      </c>
      <c r="E14" s="279">
        <v>664.476</v>
      </c>
      <c r="F14" s="279">
        <v>0</v>
      </c>
      <c r="G14" s="279">
        <v>9527.0840000000007</v>
      </c>
      <c r="H14" s="279">
        <v>5514.0640000000003</v>
      </c>
      <c r="I14" s="279">
        <v>0</v>
      </c>
      <c r="J14" s="279">
        <v>0</v>
      </c>
      <c r="K14" s="279">
        <v>0</v>
      </c>
      <c r="L14" s="279">
        <v>0</v>
      </c>
      <c r="M14" s="279">
        <v>0</v>
      </c>
      <c r="N14" s="280">
        <v>0</v>
      </c>
      <c r="O14" s="280">
        <v>0</v>
      </c>
      <c r="P14" s="280">
        <v>0</v>
      </c>
      <c r="Q14" s="280">
        <v>0</v>
      </c>
      <c r="R14" s="280">
        <v>0</v>
      </c>
      <c r="S14" s="280">
        <v>0</v>
      </c>
      <c r="T14" s="280">
        <v>0</v>
      </c>
      <c r="U14" s="280">
        <v>0</v>
      </c>
      <c r="V14" s="280">
        <v>5095.0889999999999</v>
      </c>
      <c r="W14" s="280">
        <v>0</v>
      </c>
      <c r="X14" s="280">
        <v>0</v>
      </c>
      <c r="Y14" s="280">
        <v>0</v>
      </c>
      <c r="Z14" s="280">
        <v>0</v>
      </c>
      <c r="AA14" s="280">
        <v>0</v>
      </c>
      <c r="AB14" s="280">
        <v>5095.0889999999999</v>
      </c>
      <c r="AC14" s="280">
        <v>16.579999999999998</v>
      </c>
      <c r="AD14" s="280">
        <v>17.797000000000001</v>
      </c>
      <c r="AE14" s="280">
        <v>6.7430000000000003</v>
      </c>
      <c r="AF14" s="280">
        <v>0</v>
      </c>
      <c r="AG14" s="280">
        <v>41.12</v>
      </c>
      <c r="AH14" s="280">
        <v>36.305</v>
      </c>
      <c r="AI14" s="280">
        <v>0</v>
      </c>
      <c r="AJ14" s="280">
        <v>36.305</v>
      </c>
      <c r="AK14" s="280">
        <v>0</v>
      </c>
      <c r="AL14" s="280">
        <v>0</v>
      </c>
      <c r="AM14" s="280">
        <v>0</v>
      </c>
      <c r="AN14" s="280">
        <v>1071.915</v>
      </c>
      <c r="AO14" s="279">
        <v>2692.6579999999999</v>
      </c>
      <c r="AP14" s="279">
        <v>0</v>
      </c>
      <c r="AQ14" s="280">
        <v>263.46800000000002</v>
      </c>
      <c r="AR14" s="280">
        <v>904.06799999999998</v>
      </c>
      <c r="AS14" s="280">
        <v>72.611000000000004</v>
      </c>
      <c r="AT14" s="280">
        <v>1108.22</v>
      </c>
      <c r="AU14" s="280">
        <v>0</v>
      </c>
      <c r="AV14" s="280">
        <v>0</v>
      </c>
      <c r="AW14" s="280">
        <v>0</v>
      </c>
      <c r="AX14" s="280">
        <v>0</v>
      </c>
      <c r="AY14" s="280">
        <v>0</v>
      </c>
      <c r="AZ14" s="280">
        <v>0</v>
      </c>
      <c r="BA14" s="280">
        <v>0</v>
      </c>
      <c r="BB14" s="280">
        <v>0</v>
      </c>
      <c r="BC14" s="281">
        <v>26326.602000000003</v>
      </c>
      <c r="BD14" s="282"/>
      <c r="BE14" s="282"/>
      <c r="BF14" s="282"/>
      <c r="BG14" s="282"/>
    </row>
    <row r="15" spans="1:59">
      <c r="A15" s="245">
        <v>1980</v>
      </c>
      <c r="B15" s="278">
        <v>81.741</v>
      </c>
      <c r="C15" s="279">
        <v>10029.440642857146</v>
      </c>
      <c r="D15" s="279">
        <v>0</v>
      </c>
      <c r="E15" s="279">
        <v>500.50685714285703</v>
      </c>
      <c r="F15" s="279">
        <v>0</v>
      </c>
      <c r="G15" s="279">
        <v>10611.688500000002</v>
      </c>
      <c r="H15" s="279">
        <v>6138.3019999999997</v>
      </c>
      <c r="I15" s="279">
        <v>0</v>
      </c>
      <c r="J15" s="279">
        <v>0</v>
      </c>
      <c r="K15" s="279">
        <v>0</v>
      </c>
      <c r="L15" s="279">
        <v>0</v>
      </c>
      <c r="M15" s="279">
        <v>0</v>
      </c>
      <c r="N15" s="280">
        <v>0</v>
      </c>
      <c r="O15" s="280">
        <v>0</v>
      </c>
      <c r="P15" s="280">
        <v>0</v>
      </c>
      <c r="Q15" s="280">
        <v>0</v>
      </c>
      <c r="R15" s="280">
        <v>0</v>
      </c>
      <c r="S15" s="280">
        <v>0</v>
      </c>
      <c r="T15" s="280">
        <v>0</v>
      </c>
      <c r="U15" s="280">
        <v>592.673</v>
      </c>
      <c r="V15" s="280">
        <v>5085.3630000000003</v>
      </c>
      <c r="W15" s="280">
        <v>0</v>
      </c>
      <c r="X15" s="280">
        <v>0</v>
      </c>
      <c r="Y15" s="280">
        <v>0</v>
      </c>
      <c r="Z15" s="280">
        <v>0</v>
      </c>
      <c r="AA15" s="280">
        <v>0</v>
      </c>
      <c r="AB15" s="280">
        <v>5678.0360000000001</v>
      </c>
      <c r="AC15" s="280">
        <v>19.187000000000001</v>
      </c>
      <c r="AD15" s="280">
        <v>19.260999999999999</v>
      </c>
      <c r="AE15" s="280">
        <v>7.452</v>
      </c>
      <c r="AF15" s="280">
        <v>0</v>
      </c>
      <c r="AG15" s="280">
        <v>45.9</v>
      </c>
      <c r="AH15" s="280">
        <v>37.149000000000001</v>
      </c>
      <c r="AI15" s="280">
        <v>0</v>
      </c>
      <c r="AJ15" s="280">
        <v>37.149000000000001</v>
      </c>
      <c r="AK15" s="280">
        <v>0</v>
      </c>
      <c r="AL15" s="280">
        <v>0</v>
      </c>
      <c r="AM15" s="280">
        <v>0</v>
      </c>
      <c r="AN15" s="280">
        <v>1140.037</v>
      </c>
      <c r="AO15" s="279">
        <v>2539.9301202380952</v>
      </c>
      <c r="AP15" s="279">
        <v>0</v>
      </c>
      <c r="AQ15" s="280">
        <v>277.02630119047609</v>
      </c>
      <c r="AR15" s="280">
        <v>1154.539</v>
      </c>
      <c r="AS15" s="280">
        <v>72.358000000000004</v>
      </c>
      <c r="AT15" s="280">
        <v>1177.1859999999999</v>
      </c>
      <c r="AU15" s="280">
        <v>0</v>
      </c>
      <c r="AV15" s="280">
        <v>0</v>
      </c>
      <c r="AW15" s="280">
        <v>0</v>
      </c>
      <c r="AX15" s="280">
        <v>0</v>
      </c>
      <c r="AY15" s="280">
        <v>0</v>
      </c>
      <c r="AZ15" s="280">
        <v>0</v>
      </c>
      <c r="BA15" s="280">
        <v>0</v>
      </c>
      <c r="BB15" s="280">
        <v>0</v>
      </c>
      <c r="BC15" s="281">
        <v>28872.151921428576</v>
      </c>
      <c r="BD15" s="282"/>
      <c r="BE15" s="282"/>
      <c r="BF15" s="282"/>
      <c r="BG15" s="282"/>
    </row>
    <row r="16" spans="1:59">
      <c r="A16" s="245">
        <v>1981</v>
      </c>
      <c r="B16" s="278">
        <v>490.87299999999999</v>
      </c>
      <c r="C16" s="279">
        <v>9727.5609285714272</v>
      </c>
      <c r="D16" s="279">
        <v>0</v>
      </c>
      <c r="E16" s="279">
        <v>574.5993809523809</v>
      </c>
      <c r="F16" s="279">
        <v>0</v>
      </c>
      <c r="G16" s="279">
        <v>10793.033309523807</v>
      </c>
      <c r="H16" s="279">
        <v>6567.7110000000002</v>
      </c>
      <c r="I16" s="279">
        <v>0</v>
      </c>
      <c r="J16" s="279">
        <v>0</v>
      </c>
      <c r="K16" s="279">
        <v>0</v>
      </c>
      <c r="L16" s="279">
        <v>0</v>
      </c>
      <c r="M16" s="279">
        <v>0</v>
      </c>
      <c r="N16" s="280">
        <v>0</v>
      </c>
      <c r="O16" s="280">
        <v>0</v>
      </c>
      <c r="P16" s="280">
        <v>0</v>
      </c>
      <c r="Q16" s="280">
        <v>0</v>
      </c>
      <c r="R16" s="280">
        <v>0</v>
      </c>
      <c r="S16" s="280">
        <v>0</v>
      </c>
      <c r="T16" s="280">
        <v>0</v>
      </c>
      <c r="U16" s="280">
        <v>1982.9749999999999</v>
      </c>
      <c r="V16" s="280">
        <v>5483.223</v>
      </c>
      <c r="W16" s="280">
        <v>0</v>
      </c>
      <c r="X16" s="280">
        <v>0</v>
      </c>
      <c r="Y16" s="280">
        <v>0</v>
      </c>
      <c r="Z16" s="280">
        <v>0</v>
      </c>
      <c r="AA16" s="280">
        <v>0</v>
      </c>
      <c r="AB16" s="280">
        <v>7466.1980000000003</v>
      </c>
      <c r="AC16" s="280">
        <v>19.207000000000001</v>
      </c>
      <c r="AD16" s="280">
        <v>22.702000000000002</v>
      </c>
      <c r="AE16" s="280">
        <v>5.7859999999999996</v>
      </c>
      <c r="AF16" s="280">
        <v>0</v>
      </c>
      <c r="AG16" s="280">
        <v>47.695000000000007</v>
      </c>
      <c r="AH16" s="280">
        <v>30.652999999999999</v>
      </c>
      <c r="AI16" s="280">
        <v>0</v>
      </c>
      <c r="AJ16" s="280">
        <v>30.652999999999999</v>
      </c>
      <c r="AK16" s="280">
        <v>0</v>
      </c>
      <c r="AL16" s="280">
        <v>0</v>
      </c>
      <c r="AM16" s="280">
        <v>0</v>
      </c>
      <c r="AN16" s="280">
        <v>1081.037</v>
      </c>
      <c r="AO16" s="279">
        <v>2320.6607619047631</v>
      </c>
      <c r="AP16" s="279">
        <v>0</v>
      </c>
      <c r="AQ16" s="280">
        <v>339.44878880952382</v>
      </c>
      <c r="AR16" s="280">
        <v>1295.51</v>
      </c>
      <c r="AS16" s="280">
        <v>64.587999999999994</v>
      </c>
      <c r="AT16" s="280">
        <v>1111.69</v>
      </c>
      <c r="AU16" s="280">
        <v>0</v>
      </c>
      <c r="AV16" s="280">
        <v>0</v>
      </c>
      <c r="AW16" s="280">
        <v>0</v>
      </c>
      <c r="AX16" s="280">
        <v>0</v>
      </c>
      <c r="AY16" s="280">
        <v>0</v>
      </c>
      <c r="AZ16" s="280">
        <v>0</v>
      </c>
      <c r="BA16" s="280">
        <v>0</v>
      </c>
      <c r="BB16" s="280">
        <v>0</v>
      </c>
      <c r="BC16" s="281">
        <v>31118.224860238093</v>
      </c>
      <c r="BD16" s="282"/>
      <c r="BE16" s="282"/>
      <c r="BF16" s="282"/>
      <c r="BG16" s="282"/>
    </row>
    <row r="17" spans="1:59">
      <c r="A17" s="245">
        <v>1982</v>
      </c>
      <c r="B17" s="278">
        <v>680.12199999999996</v>
      </c>
      <c r="C17" s="279">
        <v>9599.2132999999976</v>
      </c>
      <c r="D17" s="279">
        <v>0</v>
      </c>
      <c r="E17" s="279">
        <v>692.13632619047632</v>
      </c>
      <c r="F17" s="279">
        <v>0</v>
      </c>
      <c r="G17" s="279">
        <v>10971.471626190474</v>
      </c>
      <c r="H17" s="279">
        <v>0</v>
      </c>
      <c r="I17" s="279">
        <v>0</v>
      </c>
      <c r="J17" s="279">
        <v>0</v>
      </c>
      <c r="K17" s="279">
        <v>0</v>
      </c>
      <c r="L17" s="279">
        <v>6577.7629999999999</v>
      </c>
      <c r="M17" s="279">
        <v>0</v>
      </c>
      <c r="N17" s="280">
        <v>0</v>
      </c>
      <c r="O17" s="280">
        <v>0</v>
      </c>
      <c r="P17" s="280">
        <v>23.457000000000001</v>
      </c>
      <c r="Q17" s="280">
        <v>0</v>
      </c>
      <c r="R17" s="280">
        <v>0</v>
      </c>
      <c r="S17" s="280">
        <v>0</v>
      </c>
      <c r="T17" s="280">
        <v>6601.22</v>
      </c>
      <c r="U17" s="280">
        <v>0</v>
      </c>
      <c r="V17" s="280">
        <v>0</v>
      </c>
      <c r="W17" s="280">
        <v>2155.4299999999998</v>
      </c>
      <c r="X17" s="280">
        <v>4976.9009999999998</v>
      </c>
      <c r="Y17" s="280">
        <v>386.37</v>
      </c>
      <c r="Z17" s="280">
        <v>0</v>
      </c>
      <c r="AA17" s="280">
        <v>0</v>
      </c>
      <c r="AB17" s="280">
        <v>7518.701</v>
      </c>
      <c r="AC17" s="280">
        <v>23.853000000000002</v>
      </c>
      <c r="AD17" s="280">
        <v>26.875</v>
      </c>
      <c r="AE17" s="280">
        <v>5.226</v>
      </c>
      <c r="AF17" s="280">
        <v>0</v>
      </c>
      <c r="AG17" s="280">
        <v>55.954000000000001</v>
      </c>
      <c r="AH17" s="280">
        <v>31.609000000000002</v>
      </c>
      <c r="AI17" s="280">
        <v>0.26200000000000001</v>
      </c>
      <c r="AJ17" s="280">
        <v>31.871000000000002</v>
      </c>
      <c r="AK17" s="280">
        <v>0</v>
      </c>
      <c r="AL17" s="280">
        <v>0</v>
      </c>
      <c r="AM17" s="280">
        <v>0</v>
      </c>
      <c r="AN17" s="280">
        <v>1072.7550000000001</v>
      </c>
      <c r="AO17" s="279">
        <v>2511.8233571428573</v>
      </c>
      <c r="AP17" s="279">
        <v>0</v>
      </c>
      <c r="AQ17" s="280">
        <v>315.49928000000006</v>
      </c>
      <c r="AR17" s="280">
        <v>1459.0029999999999</v>
      </c>
      <c r="AS17" s="280">
        <v>59.878</v>
      </c>
      <c r="AT17" s="280">
        <v>1104.626</v>
      </c>
      <c r="AU17" s="280">
        <v>67.442999999999998</v>
      </c>
      <c r="AV17" s="280">
        <v>0</v>
      </c>
      <c r="AW17" s="280">
        <v>0</v>
      </c>
      <c r="AX17" s="280">
        <v>0</v>
      </c>
      <c r="AY17" s="280">
        <v>0</v>
      </c>
      <c r="AZ17" s="280">
        <v>0</v>
      </c>
      <c r="BA17" s="280">
        <v>0</v>
      </c>
      <c r="BB17" s="280">
        <v>0</v>
      </c>
      <c r="BC17" s="281">
        <v>31770.245263333334</v>
      </c>
      <c r="BD17" s="282"/>
      <c r="BE17" s="282"/>
      <c r="BF17" s="282"/>
      <c r="BG17" s="282"/>
    </row>
    <row r="18" spans="1:59">
      <c r="A18" s="245">
        <v>1983</v>
      </c>
      <c r="B18" s="278">
        <v>319.52</v>
      </c>
      <c r="C18" s="279">
        <v>8670.4181571428544</v>
      </c>
      <c r="D18" s="279">
        <v>0</v>
      </c>
      <c r="E18" s="279">
        <v>521.77499999999998</v>
      </c>
      <c r="F18" s="279">
        <v>0</v>
      </c>
      <c r="G18" s="279">
        <v>9511.7131571428545</v>
      </c>
      <c r="H18" s="279">
        <v>0</v>
      </c>
      <c r="I18" s="279">
        <v>0</v>
      </c>
      <c r="J18" s="279">
        <v>0</v>
      </c>
      <c r="K18" s="279">
        <v>0</v>
      </c>
      <c r="L18" s="279">
        <v>4851.2079999999996</v>
      </c>
      <c r="M18" s="279">
        <v>0</v>
      </c>
      <c r="N18" s="280">
        <v>0</v>
      </c>
      <c r="O18" s="280">
        <v>949.22699999999998</v>
      </c>
      <c r="P18" s="280">
        <v>25.867000000000001</v>
      </c>
      <c r="Q18" s="280">
        <v>0</v>
      </c>
      <c r="R18" s="280">
        <v>48.18</v>
      </c>
      <c r="S18" s="280">
        <v>0</v>
      </c>
      <c r="T18" s="280">
        <v>5874.482</v>
      </c>
      <c r="U18" s="280">
        <v>0</v>
      </c>
      <c r="V18" s="280">
        <v>0</v>
      </c>
      <c r="W18" s="280">
        <v>4739.7240000000002</v>
      </c>
      <c r="X18" s="280">
        <v>2227.9690000000001</v>
      </c>
      <c r="Y18" s="280">
        <v>87.677000000000007</v>
      </c>
      <c r="Z18" s="280">
        <v>0</v>
      </c>
      <c r="AA18" s="280">
        <v>338.30399999999997</v>
      </c>
      <c r="AB18" s="280">
        <v>7393.674</v>
      </c>
      <c r="AC18" s="280">
        <v>22.902999999999999</v>
      </c>
      <c r="AD18" s="280">
        <v>25.3</v>
      </c>
      <c r="AE18" s="280">
        <v>4.6449999999999996</v>
      </c>
      <c r="AF18" s="280">
        <v>0</v>
      </c>
      <c r="AG18" s="280">
        <v>52.847999999999999</v>
      </c>
      <c r="AH18" s="280">
        <v>32.396999999999998</v>
      </c>
      <c r="AI18" s="280">
        <v>0.32100000000000001</v>
      </c>
      <c r="AJ18" s="280">
        <v>32.717999999999996</v>
      </c>
      <c r="AK18" s="280">
        <v>0</v>
      </c>
      <c r="AL18" s="280">
        <v>0</v>
      </c>
      <c r="AM18" s="280">
        <v>0</v>
      </c>
      <c r="AN18" s="280">
        <v>912.96500000000003</v>
      </c>
      <c r="AO18" s="279">
        <v>2105.3652857142856</v>
      </c>
      <c r="AP18" s="279">
        <v>0</v>
      </c>
      <c r="AQ18" s="280">
        <v>253.38547428571428</v>
      </c>
      <c r="AR18" s="280">
        <v>1623.702</v>
      </c>
      <c r="AS18" s="280">
        <v>101.155</v>
      </c>
      <c r="AT18" s="280">
        <v>945.68299999999999</v>
      </c>
      <c r="AU18" s="280">
        <v>33.837000000000003</v>
      </c>
      <c r="AV18" s="280">
        <v>0</v>
      </c>
      <c r="AW18" s="280">
        <v>0</v>
      </c>
      <c r="AX18" s="280">
        <v>0</v>
      </c>
      <c r="AY18" s="280">
        <v>0</v>
      </c>
      <c r="AZ18" s="280">
        <v>0</v>
      </c>
      <c r="BA18" s="280">
        <v>0</v>
      </c>
      <c r="BB18" s="280">
        <v>0</v>
      </c>
      <c r="BC18" s="281">
        <v>28841.527917142856</v>
      </c>
      <c r="BD18" s="282"/>
      <c r="BE18" s="282"/>
      <c r="BF18" s="282"/>
      <c r="BG18" s="282"/>
    </row>
    <row r="19" spans="1:59">
      <c r="A19" s="245">
        <v>1984</v>
      </c>
      <c r="B19" s="278">
        <v>376.339</v>
      </c>
      <c r="C19" s="279">
        <v>9104.3259999999991</v>
      </c>
      <c r="D19" s="279">
        <v>0</v>
      </c>
      <c r="E19" s="279">
        <v>522.88499999999999</v>
      </c>
      <c r="F19" s="279">
        <v>0</v>
      </c>
      <c r="G19" s="279">
        <v>10003.549999999999</v>
      </c>
      <c r="H19" s="279">
        <v>0</v>
      </c>
      <c r="I19" s="279">
        <v>0</v>
      </c>
      <c r="J19" s="279">
        <v>0</v>
      </c>
      <c r="K19" s="279">
        <v>0</v>
      </c>
      <c r="L19" s="279">
        <v>4806.9719999999998</v>
      </c>
      <c r="M19" s="279">
        <v>0</v>
      </c>
      <c r="N19" s="280">
        <v>0</v>
      </c>
      <c r="O19" s="280">
        <v>1272.5419999999999</v>
      </c>
      <c r="P19" s="280">
        <v>65.372</v>
      </c>
      <c r="Q19" s="280">
        <v>0</v>
      </c>
      <c r="R19" s="280">
        <v>52.523000000000003</v>
      </c>
      <c r="S19" s="280">
        <v>0</v>
      </c>
      <c r="T19" s="280">
        <v>6197.4089999999997</v>
      </c>
      <c r="U19" s="280">
        <v>0</v>
      </c>
      <c r="V19" s="280">
        <v>0</v>
      </c>
      <c r="W19" s="280">
        <v>3850.0729999999999</v>
      </c>
      <c r="X19" s="280">
        <v>2855.9670000000001</v>
      </c>
      <c r="Y19" s="280">
        <v>224.46299999999999</v>
      </c>
      <c r="Z19" s="280">
        <v>0</v>
      </c>
      <c r="AA19" s="280">
        <v>190.886</v>
      </c>
      <c r="AB19" s="280">
        <v>7121.3890000000001</v>
      </c>
      <c r="AC19" s="280">
        <v>27.690999999999999</v>
      </c>
      <c r="AD19" s="280">
        <v>31.126000000000001</v>
      </c>
      <c r="AE19" s="280">
        <v>7.7</v>
      </c>
      <c r="AF19" s="280">
        <v>0</v>
      </c>
      <c r="AG19" s="280">
        <v>66.516999999999996</v>
      </c>
      <c r="AH19" s="280">
        <v>26.54</v>
      </c>
      <c r="AI19" s="280">
        <v>0.33800000000000002</v>
      </c>
      <c r="AJ19" s="280">
        <v>26.878</v>
      </c>
      <c r="AK19" s="280">
        <v>0</v>
      </c>
      <c r="AL19" s="280">
        <v>0</v>
      </c>
      <c r="AM19" s="280">
        <v>0</v>
      </c>
      <c r="AN19" s="280">
        <v>1041.473</v>
      </c>
      <c r="AO19" s="279">
        <v>2266.8776666666668</v>
      </c>
      <c r="AP19" s="279">
        <v>0</v>
      </c>
      <c r="AQ19" s="280">
        <v>430.45074095238107</v>
      </c>
      <c r="AR19" s="280">
        <v>1878.413</v>
      </c>
      <c r="AS19" s="280">
        <v>103.029</v>
      </c>
      <c r="AT19" s="280">
        <v>1068.3510000000001</v>
      </c>
      <c r="AU19" s="280">
        <v>53.006999999999998</v>
      </c>
      <c r="AV19" s="280">
        <v>0</v>
      </c>
      <c r="AW19" s="280">
        <v>0</v>
      </c>
      <c r="AX19" s="280">
        <v>0</v>
      </c>
      <c r="AY19" s="280">
        <v>0</v>
      </c>
      <c r="AZ19" s="280">
        <v>0</v>
      </c>
      <c r="BA19" s="280">
        <v>0</v>
      </c>
      <c r="BB19" s="280">
        <v>0</v>
      </c>
      <c r="BC19" s="281">
        <v>30257.344407619046</v>
      </c>
      <c r="BD19" s="282"/>
      <c r="BE19" s="282"/>
      <c r="BF19" s="282"/>
      <c r="BG19" s="282"/>
    </row>
    <row r="20" spans="1:59">
      <c r="A20" s="245">
        <v>1985</v>
      </c>
      <c r="B20" s="278">
        <v>397.04399999999998</v>
      </c>
      <c r="C20" s="279">
        <v>9322.4439999999995</v>
      </c>
      <c r="D20" s="279">
        <v>0</v>
      </c>
      <c r="E20" s="279">
        <v>476.18599999999998</v>
      </c>
      <c r="F20" s="279">
        <v>0</v>
      </c>
      <c r="G20" s="279">
        <v>10195.673999999999</v>
      </c>
      <c r="H20" s="279">
        <v>0</v>
      </c>
      <c r="I20" s="279">
        <v>0</v>
      </c>
      <c r="J20" s="279">
        <v>0</v>
      </c>
      <c r="K20" s="279">
        <v>0</v>
      </c>
      <c r="L20" s="279">
        <v>5234.6170000000002</v>
      </c>
      <c r="M20" s="279">
        <v>0</v>
      </c>
      <c r="N20" s="280">
        <v>0</v>
      </c>
      <c r="O20" s="280">
        <v>1031.944</v>
      </c>
      <c r="P20" s="280">
        <v>43.912999999999997</v>
      </c>
      <c r="Q20" s="280">
        <v>0</v>
      </c>
      <c r="R20" s="280">
        <v>59.029000000000003</v>
      </c>
      <c r="S20" s="280">
        <v>0</v>
      </c>
      <c r="T20" s="280">
        <v>6369.5029999999997</v>
      </c>
      <c r="U20" s="280">
        <v>0</v>
      </c>
      <c r="V20" s="280">
        <v>0</v>
      </c>
      <c r="W20" s="280">
        <v>4576.2939999999999</v>
      </c>
      <c r="X20" s="280">
        <v>2543.17</v>
      </c>
      <c r="Y20" s="280">
        <v>197.05099999999999</v>
      </c>
      <c r="Z20" s="280">
        <v>0</v>
      </c>
      <c r="AA20" s="280">
        <v>201.53200000000001</v>
      </c>
      <c r="AB20" s="280">
        <v>7518.0470000000005</v>
      </c>
      <c r="AC20" s="280">
        <v>25.474</v>
      </c>
      <c r="AD20" s="280">
        <v>31.123000000000001</v>
      </c>
      <c r="AE20" s="280">
        <v>7.44</v>
      </c>
      <c r="AF20" s="280">
        <v>0</v>
      </c>
      <c r="AG20" s="280">
        <v>64.037000000000006</v>
      </c>
      <c r="AH20" s="280">
        <v>27.914999999999999</v>
      </c>
      <c r="AI20" s="280">
        <v>0.217</v>
      </c>
      <c r="AJ20" s="280">
        <v>28.131999999999998</v>
      </c>
      <c r="AK20" s="280">
        <v>0</v>
      </c>
      <c r="AL20" s="280">
        <v>0</v>
      </c>
      <c r="AM20" s="280">
        <v>0</v>
      </c>
      <c r="AN20" s="280">
        <v>1098.662</v>
      </c>
      <c r="AO20" s="279">
        <v>2210.7840714285717</v>
      </c>
      <c r="AP20" s="279">
        <v>0</v>
      </c>
      <c r="AQ20" s="280">
        <v>640.7249952380954</v>
      </c>
      <c r="AR20" s="280">
        <v>2164.931</v>
      </c>
      <c r="AS20" s="280">
        <v>68.281000000000006</v>
      </c>
      <c r="AT20" s="280">
        <v>1126.7940000000001</v>
      </c>
      <c r="AU20" s="280">
        <v>44.813000000000002</v>
      </c>
      <c r="AV20" s="280">
        <v>0</v>
      </c>
      <c r="AW20" s="280">
        <v>0</v>
      </c>
      <c r="AX20" s="280">
        <v>0</v>
      </c>
      <c r="AY20" s="280">
        <v>0</v>
      </c>
      <c r="AZ20" s="280">
        <v>0</v>
      </c>
      <c r="BA20" s="280">
        <v>0</v>
      </c>
      <c r="BB20" s="280">
        <v>0</v>
      </c>
      <c r="BC20" s="281">
        <v>31530.383066666669</v>
      </c>
      <c r="BD20" s="282"/>
      <c r="BE20" s="282"/>
      <c r="BF20" s="282"/>
      <c r="BG20" s="282"/>
    </row>
    <row r="21" spans="1:59">
      <c r="A21" s="245">
        <v>1986</v>
      </c>
      <c r="B21" s="278">
        <v>577.37400000000002</v>
      </c>
      <c r="C21" s="279">
        <v>9562.3009999999995</v>
      </c>
      <c r="D21" s="279">
        <v>0</v>
      </c>
      <c r="E21" s="279">
        <v>442.34199999999998</v>
      </c>
      <c r="F21" s="279">
        <v>0</v>
      </c>
      <c r="G21" s="279">
        <v>10582.017</v>
      </c>
      <c r="H21" s="279">
        <v>0</v>
      </c>
      <c r="I21" s="279">
        <v>60.223999999999997</v>
      </c>
      <c r="J21" s="279">
        <v>0</v>
      </c>
      <c r="K21" s="279">
        <v>60.223999999999997</v>
      </c>
      <c r="L21" s="279">
        <v>5718.6030000000001</v>
      </c>
      <c r="M21" s="279">
        <v>0</v>
      </c>
      <c r="N21" s="280">
        <v>0</v>
      </c>
      <c r="O21" s="280">
        <v>857.38800000000003</v>
      </c>
      <c r="P21" s="280">
        <v>60.167000000000002</v>
      </c>
      <c r="Q21" s="280">
        <v>0</v>
      </c>
      <c r="R21" s="280">
        <v>64.754999999999995</v>
      </c>
      <c r="S21" s="280">
        <v>0</v>
      </c>
      <c r="T21" s="280">
        <v>6700.9130000000005</v>
      </c>
      <c r="U21" s="280">
        <v>0</v>
      </c>
      <c r="V21" s="280">
        <v>0</v>
      </c>
      <c r="W21" s="280">
        <v>4154.7190000000001</v>
      </c>
      <c r="X21" s="280">
        <v>2277.8339999999998</v>
      </c>
      <c r="Y21" s="280">
        <v>220.24799999999999</v>
      </c>
      <c r="Z21" s="280">
        <v>0</v>
      </c>
      <c r="AA21" s="280">
        <v>230.583</v>
      </c>
      <c r="AB21" s="280">
        <v>6883.3839999999991</v>
      </c>
      <c r="AC21" s="280">
        <v>27.169</v>
      </c>
      <c r="AD21" s="280">
        <v>30.007000000000001</v>
      </c>
      <c r="AE21" s="280">
        <v>10.327</v>
      </c>
      <c r="AF21" s="280">
        <v>0</v>
      </c>
      <c r="AG21" s="280">
        <v>67.503</v>
      </c>
      <c r="AH21" s="280">
        <v>28.378</v>
      </c>
      <c r="AI21" s="280">
        <v>0.29499999999999998</v>
      </c>
      <c r="AJ21" s="280">
        <v>28.673000000000002</v>
      </c>
      <c r="AK21" s="280">
        <v>0</v>
      </c>
      <c r="AL21" s="280">
        <v>0</v>
      </c>
      <c r="AM21" s="280">
        <v>0</v>
      </c>
      <c r="AN21" s="280">
        <v>1241.0070000000001</v>
      </c>
      <c r="AO21" s="279">
        <v>2098.6968095238094</v>
      </c>
      <c r="AP21" s="279">
        <v>1.607</v>
      </c>
      <c r="AQ21" s="280">
        <v>548.79349999999999</v>
      </c>
      <c r="AR21" s="280">
        <v>2561.9690000000001</v>
      </c>
      <c r="AS21" s="280">
        <v>88.15</v>
      </c>
      <c r="AT21" s="280">
        <v>1269.68</v>
      </c>
      <c r="AU21" s="280">
        <v>60.677999999999997</v>
      </c>
      <c r="AV21" s="280">
        <v>0</v>
      </c>
      <c r="AW21" s="280">
        <v>0</v>
      </c>
      <c r="AX21" s="280">
        <v>0</v>
      </c>
      <c r="AY21" s="280">
        <v>0</v>
      </c>
      <c r="AZ21" s="280">
        <v>0</v>
      </c>
      <c r="BA21" s="280">
        <v>0</v>
      </c>
      <c r="BB21" s="280">
        <v>0</v>
      </c>
      <c r="BC21" s="281">
        <v>32193.295309523812</v>
      </c>
      <c r="BD21" s="282"/>
      <c r="BE21" s="282"/>
      <c r="BF21" s="282"/>
      <c r="BG21" s="282"/>
    </row>
    <row r="22" spans="1:59">
      <c r="A22" s="245">
        <v>1987</v>
      </c>
      <c r="B22" s="278">
        <v>547.35900000000004</v>
      </c>
      <c r="C22" s="279">
        <v>9481.6790000000001</v>
      </c>
      <c r="D22" s="279">
        <v>0</v>
      </c>
      <c r="E22" s="279">
        <v>97.658000000000001</v>
      </c>
      <c r="F22" s="279">
        <v>0</v>
      </c>
      <c r="G22" s="279">
        <v>10126.696</v>
      </c>
      <c r="H22" s="279">
        <v>0</v>
      </c>
      <c r="I22" s="279">
        <v>359.80799999999999</v>
      </c>
      <c r="J22" s="279">
        <v>0</v>
      </c>
      <c r="K22" s="279">
        <v>359.80799999999999</v>
      </c>
      <c r="L22" s="279">
        <v>6617.3419999999996</v>
      </c>
      <c r="M22" s="279">
        <v>0</v>
      </c>
      <c r="N22" s="280">
        <v>0</v>
      </c>
      <c r="O22" s="280">
        <v>763.83</v>
      </c>
      <c r="P22" s="280">
        <v>100.773</v>
      </c>
      <c r="Q22" s="280">
        <v>0</v>
      </c>
      <c r="R22" s="280">
        <v>77.239000000000004</v>
      </c>
      <c r="S22" s="280">
        <v>0</v>
      </c>
      <c r="T22" s="280">
        <v>7559.1839999999993</v>
      </c>
      <c r="U22" s="280">
        <v>0</v>
      </c>
      <c r="V22" s="280">
        <v>0</v>
      </c>
      <c r="W22" s="280">
        <v>3953.1260000000002</v>
      </c>
      <c r="X22" s="280">
        <v>955.92899999999997</v>
      </c>
      <c r="Y22" s="280">
        <v>594.66200000000003</v>
      </c>
      <c r="Z22" s="280">
        <v>0</v>
      </c>
      <c r="AA22" s="280">
        <v>263.83300000000003</v>
      </c>
      <c r="AB22" s="280">
        <v>5767.55</v>
      </c>
      <c r="AC22" s="280">
        <v>22.99</v>
      </c>
      <c r="AD22" s="280">
        <v>31.774999999999999</v>
      </c>
      <c r="AE22" s="280">
        <v>12.042999999999999</v>
      </c>
      <c r="AF22" s="280">
        <v>0</v>
      </c>
      <c r="AG22" s="280">
        <v>66.807999999999993</v>
      </c>
      <c r="AH22" s="280">
        <v>30.783000000000001</v>
      </c>
      <c r="AI22" s="280">
        <v>0.47399999999999998</v>
      </c>
      <c r="AJ22" s="280">
        <v>31.257000000000001</v>
      </c>
      <c r="AK22" s="280">
        <v>0</v>
      </c>
      <c r="AL22" s="280">
        <v>0</v>
      </c>
      <c r="AM22" s="280">
        <v>0</v>
      </c>
      <c r="AN22" s="280">
        <v>1242.5730000000001</v>
      </c>
      <c r="AO22" s="279">
        <v>1116.1696666666664</v>
      </c>
      <c r="AP22" s="279">
        <v>3.984</v>
      </c>
      <c r="AQ22" s="280">
        <v>443.3760476190476</v>
      </c>
      <c r="AR22" s="280">
        <v>2921.3649999999998</v>
      </c>
      <c r="AS22" s="280">
        <v>107.011</v>
      </c>
      <c r="AT22" s="280">
        <v>1273.83</v>
      </c>
      <c r="AU22" s="280">
        <v>61.777000000000001</v>
      </c>
      <c r="AV22" s="280">
        <v>0</v>
      </c>
      <c r="AW22" s="280">
        <v>0</v>
      </c>
      <c r="AX22" s="280">
        <v>0</v>
      </c>
      <c r="AY22" s="280">
        <v>0</v>
      </c>
      <c r="AZ22" s="280">
        <v>0</v>
      </c>
      <c r="BA22" s="280">
        <v>0</v>
      </c>
      <c r="BB22" s="280">
        <v>0</v>
      </c>
      <c r="BC22" s="281">
        <v>31081.388714285717</v>
      </c>
      <c r="BD22" s="282"/>
      <c r="BE22" s="282"/>
      <c r="BF22" s="282"/>
      <c r="BG22" s="282"/>
    </row>
    <row r="23" spans="1:59">
      <c r="A23" s="245">
        <v>1988</v>
      </c>
      <c r="B23" s="278">
        <v>744.60799999999995</v>
      </c>
      <c r="C23" s="279">
        <v>9678.3459999999995</v>
      </c>
      <c r="D23" s="279">
        <v>0</v>
      </c>
      <c r="E23" s="279">
        <v>34.74</v>
      </c>
      <c r="F23" s="279">
        <v>0</v>
      </c>
      <c r="G23" s="279">
        <v>10457.694</v>
      </c>
      <c r="H23" s="279">
        <v>0</v>
      </c>
      <c r="I23" s="279">
        <v>545.54399999999998</v>
      </c>
      <c r="J23" s="279">
        <v>0</v>
      </c>
      <c r="K23" s="279">
        <v>545.54399999999998</v>
      </c>
      <c r="L23" s="279">
        <v>7374.3990000000003</v>
      </c>
      <c r="M23" s="279">
        <v>0</v>
      </c>
      <c r="N23" s="280">
        <v>0</v>
      </c>
      <c r="O23" s="280">
        <v>781.51199999999994</v>
      </c>
      <c r="P23" s="280">
        <v>133.21199999999999</v>
      </c>
      <c r="Q23" s="280">
        <v>0</v>
      </c>
      <c r="R23" s="280">
        <v>102.685</v>
      </c>
      <c r="S23" s="280">
        <v>0</v>
      </c>
      <c r="T23" s="280">
        <v>8391.8079999999991</v>
      </c>
      <c r="U23" s="280">
        <v>0</v>
      </c>
      <c r="V23" s="280">
        <v>0</v>
      </c>
      <c r="W23" s="280">
        <v>4315.7510000000002</v>
      </c>
      <c r="X23" s="280">
        <v>1372.0509999999999</v>
      </c>
      <c r="Y23" s="280">
        <v>598.02</v>
      </c>
      <c r="Z23" s="280">
        <v>0</v>
      </c>
      <c r="AA23" s="280">
        <v>409.79199999999997</v>
      </c>
      <c r="AB23" s="280">
        <v>6695.6140000000005</v>
      </c>
      <c r="AC23" s="280">
        <v>26.658999999999999</v>
      </c>
      <c r="AD23" s="280">
        <v>33.222999999999999</v>
      </c>
      <c r="AE23" s="280">
        <v>13.412000000000001</v>
      </c>
      <c r="AF23" s="280">
        <v>0</v>
      </c>
      <c r="AG23" s="280">
        <v>73.293999999999997</v>
      </c>
      <c r="AH23" s="280">
        <v>31.492000000000001</v>
      </c>
      <c r="AI23" s="280">
        <v>1.044</v>
      </c>
      <c r="AJ23" s="280">
        <v>32.536000000000001</v>
      </c>
      <c r="AK23" s="280">
        <v>0</v>
      </c>
      <c r="AL23" s="280">
        <v>0</v>
      </c>
      <c r="AM23" s="280">
        <v>0</v>
      </c>
      <c r="AN23" s="280">
        <v>1324.1849999999999</v>
      </c>
      <c r="AO23" s="279">
        <v>804.08697619047609</v>
      </c>
      <c r="AP23" s="279">
        <v>2</v>
      </c>
      <c r="AQ23" s="280">
        <v>918.02723809523809</v>
      </c>
      <c r="AR23" s="280">
        <v>3429.511</v>
      </c>
      <c r="AS23" s="280">
        <v>104.723</v>
      </c>
      <c r="AT23" s="280">
        <v>1356.721</v>
      </c>
      <c r="AU23" s="280">
        <v>76.947999999999993</v>
      </c>
      <c r="AV23" s="280">
        <v>0</v>
      </c>
      <c r="AW23" s="280">
        <v>0</v>
      </c>
      <c r="AX23" s="280">
        <v>0</v>
      </c>
      <c r="AY23" s="280">
        <v>0</v>
      </c>
      <c r="AZ23" s="280">
        <v>0</v>
      </c>
      <c r="BA23" s="280">
        <v>0</v>
      </c>
      <c r="BB23" s="280">
        <v>0</v>
      </c>
      <c r="BC23" s="281">
        <v>34212.692214285707</v>
      </c>
      <c r="BD23" s="282"/>
      <c r="BE23" s="282"/>
      <c r="BF23" s="282"/>
      <c r="BG23" s="282"/>
    </row>
    <row r="24" spans="1:59">
      <c r="A24" s="251">
        <v>1989</v>
      </c>
      <c r="B24" s="278">
        <v>724.40899999999999</v>
      </c>
      <c r="C24" s="279">
        <v>9706.1839999999993</v>
      </c>
      <c r="D24" s="279">
        <v>0</v>
      </c>
      <c r="E24" s="279">
        <v>38.798000000000002</v>
      </c>
      <c r="F24" s="279">
        <v>0</v>
      </c>
      <c r="G24" s="279">
        <v>10469.391</v>
      </c>
      <c r="H24" s="279">
        <v>0</v>
      </c>
      <c r="I24" s="279">
        <v>490.459</v>
      </c>
      <c r="J24" s="279">
        <v>0</v>
      </c>
      <c r="K24" s="279">
        <v>490.459</v>
      </c>
      <c r="L24" s="279">
        <v>6744.3410000000003</v>
      </c>
      <c r="M24" s="279">
        <v>0</v>
      </c>
      <c r="N24" s="280">
        <v>0</v>
      </c>
      <c r="O24" s="280">
        <v>805.66399999999999</v>
      </c>
      <c r="P24" s="280">
        <v>118.10299999999999</v>
      </c>
      <c r="Q24" s="280">
        <v>0</v>
      </c>
      <c r="R24" s="280">
        <v>52.454000000000001</v>
      </c>
      <c r="S24" s="280">
        <v>0</v>
      </c>
      <c r="T24" s="280">
        <v>7720.5619999999999</v>
      </c>
      <c r="U24" s="280">
        <v>0</v>
      </c>
      <c r="V24" s="280">
        <v>0</v>
      </c>
      <c r="W24" s="280">
        <v>4061.884</v>
      </c>
      <c r="X24" s="280">
        <v>1281.086</v>
      </c>
      <c r="Y24" s="280">
        <v>868.75599999999997</v>
      </c>
      <c r="Z24" s="280">
        <v>0</v>
      </c>
      <c r="AA24" s="280">
        <v>209.07400000000001</v>
      </c>
      <c r="AB24" s="280">
        <v>6420.8</v>
      </c>
      <c r="AC24" s="280">
        <v>22.843</v>
      </c>
      <c r="AD24" s="280">
        <v>29.58</v>
      </c>
      <c r="AE24" s="280">
        <v>14.429</v>
      </c>
      <c r="AF24" s="280">
        <v>0</v>
      </c>
      <c r="AG24" s="280">
        <v>66.852000000000004</v>
      </c>
      <c r="AH24" s="280">
        <v>33.680999999999997</v>
      </c>
      <c r="AI24" s="280">
        <v>0.51200000000000001</v>
      </c>
      <c r="AJ24" s="280">
        <v>34.192999999999998</v>
      </c>
      <c r="AK24" s="280">
        <v>0</v>
      </c>
      <c r="AL24" s="280">
        <v>0</v>
      </c>
      <c r="AM24" s="280">
        <v>0</v>
      </c>
      <c r="AN24" s="280">
        <v>1265.7439999999999</v>
      </c>
      <c r="AO24" s="279">
        <v>610.15561904761921</v>
      </c>
      <c r="AP24" s="279">
        <v>1.143</v>
      </c>
      <c r="AQ24" s="280">
        <v>757.24073809523816</v>
      </c>
      <c r="AR24" s="280">
        <v>3656.7469999999998</v>
      </c>
      <c r="AS24" s="280">
        <v>115.923</v>
      </c>
      <c r="AT24" s="280">
        <v>1299.9369999999999</v>
      </c>
      <c r="AU24" s="280">
        <v>58.808999999999997</v>
      </c>
      <c r="AV24" s="280">
        <v>0</v>
      </c>
      <c r="AW24" s="280">
        <v>0</v>
      </c>
      <c r="AX24" s="280">
        <v>0</v>
      </c>
      <c r="AY24" s="280">
        <v>0</v>
      </c>
      <c r="AZ24" s="280">
        <v>0</v>
      </c>
      <c r="BA24" s="280">
        <v>0</v>
      </c>
      <c r="BB24" s="280">
        <v>0</v>
      </c>
      <c r="BC24" s="281">
        <v>32967.956357142852</v>
      </c>
      <c r="BD24" s="282"/>
      <c r="BE24" s="282"/>
      <c r="BF24" s="282"/>
      <c r="BG24" s="282"/>
    </row>
    <row r="25" spans="1:59">
      <c r="A25" s="245">
        <v>1990</v>
      </c>
      <c r="B25" s="278">
        <v>590.80899999999997</v>
      </c>
      <c r="C25" s="279">
        <v>10230.477000000001</v>
      </c>
      <c r="D25" s="279">
        <v>0</v>
      </c>
      <c r="E25" s="279">
        <v>41.451999999999998</v>
      </c>
      <c r="F25" s="279">
        <v>0</v>
      </c>
      <c r="G25" s="279">
        <v>10862.737999999999</v>
      </c>
      <c r="H25" s="279">
        <v>0</v>
      </c>
      <c r="I25" s="279">
        <v>286.81799999999998</v>
      </c>
      <c r="J25" s="279">
        <v>0</v>
      </c>
      <c r="K25" s="279">
        <v>286.81799999999998</v>
      </c>
      <c r="L25" s="279">
        <v>7130.9080000000004</v>
      </c>
      <c r="M25" s="279">
        <v>0</v>
      </c>
      <c r="N25" s="280">
        <v>0</v>
      </c>
      <c r="O25" s="280">
        <v>618.99300000000005</v>
      </c>
      <c r="P25" s="280">
        <v>157.852</v>
      </c>
      <c r="Q25" s="280">
        <v>0</v>
      </c>
      <c r="R25" s="280">
        <v>50.555999999999997</v>
      </c>
      <c r="S25" s="280">
        <v>0</v>
      </c>
      <c r="T25" s="280">
        <v>7958.3090000000002</v>
      </c>
      <c r="U25" s="280">
        <v>0</v>
      </c>
      <c r="V25" s="280">
        <v>0</v>
      </c>
      <c r="W25" s="280">
        <v>4733.1980000000003</v>
      </c>
      <c r="X25" s="280">
        <v>1054.364</v>
      </c>
      <c r="Y25" s="280">
        <v>1053.405</v>
      </c>
      <c r="Z25" s="280">
        <v>0</v>
      </c>
      <c r="AA25" s="280">
        <v>253.25299999999999</v>
      </c>
      <c r="AB25" s="280">
        <v>7094.2199999999993</v>
      </c>
      <c r="AC25" s="280">
        <v>28.637</v>
      </c>
      <c r="AD25" s="280">
        <v>32.374000000000002</v>
      </c>
      <c r="AE25" s="280">
        <v>16.094000000000001</v>
      </c>
      <c r="AF25" s="280">
        <v>0</v>
      </c>
      <c r="AG25" s="280">
        <v>77.105000000000004</v>
      </c>
      <c r="AH25" s="280">
        <v>26.81</v>
      </c>
      <c r="AI25" s="280">
        <v>0.33500000000000002</v>
      </c>
      <c r="AJ25" s="280">
        <v>27.145</v>
      </c>
      <c r="AK25" s="280">
        <v>0</v>
      </c>
      <c r="AL25" s="280">
        <v>0</v>
      </c>
      <c r="AM25" s="280">
        <v>0</v>
      </c>
      <c r="AN25" s="280">
        <v>1288.6199999999999</v>
      </c>
      <c r="AO25" s="279">
        <v>996.33626190476184</v>
      </c>
      <c r="AP25" s="279">
        <v>1.042</v>
      </c>
      <c r="AQ25" s="280">
        <v>480.74583333333334</v>
      </c>
      <c r="AR25" s="280">
        <v>4305.3739999999998</v>
      </c>
      <c r="AS25" s="280">
        <v>112.364</v>
      </c>
      <c r="AT25" s="280">
        <v>1315.7650000000001</v>
      </c>
      <c r="AU25" s="280">
        <v>46.375999999999998</v>
      </c>
      <c r="AV25" s="280">
        <v>0</v>
      </c>
      <c r="AW25" s="280">
        <v>0</v>
      </c>
      <c r="AX25" s="280">
        <v>0</v>
      </c>
      <c r="AY25" s="280">
        <v>0</v>
      </c>
      <c r="AZ25" s="280">
        <v>0</v>
      </c>
      <c r="BA25" s="280">
        <v>0</v>
      </c>
      <c r="BB25" s="280">
        <v>0</v>
      </c>
      <c r="BC25" s="281">
        <v>34852.958095238093</v>
      </c>
      <c r="BD25" s="282"/>
      <c r="BE25" s="282"/>
      <c r="BF25" s="282"/>
      <c r="BG25" s="282"/>
    </row>
    <row r="26" spans="1:59">
      <c r="A26" s="245">
        <v>1991</v>
      </c>
      <c r="B26" s="278">
        <v>612.37099999999998</v>
      </c>
      <c r="C26" s="279">
        <v>10912.625</v>
      </c>
      <c r="D26" s="279">
        <v>0</v>
      </c>
      <c r="E26" s="279">
        <v>27.797999999999998</v>
      </c>
      <c r="F26" s="279">
        <v>0</v>
      </c>
      <c r="G26" s="279">
        <v>11552.794</v>
      </c>
      <c r="H26" s="279">
        <v>0</v>
      </c>
      <c r="I26" s="279">
        <v>434.19400000000002</v>
      </c>
      <c r="J26" s="279">
        <v>0</v>
      </c>
      <c r="K26" s="279">
        <v>434.19400000000002</v>
      </c>
      <c r="L26" s="279">
        <v>8130.5810000000001</v>
      </c>
      <c r="M26" s="279">
        <v>0</v>
      </c>
      <c r="N26" s="280">
        <v>0</v>
      </c>
      <c r="O26" s="280">
        <v>733.52200000000005</v>
      </c>
      <c r="P26" s="280">
        <v>569.58199999999999</v>
      </c>
      <c r="Q26" s="280">
        <v>0</v>
      </c>
      <c r="R26" s="280">
        <v>89.331000000000003</v>
      </c>
      <c r="S26" s="280">
        <v>0</v>
      </c>
      <c r="T26" s="280">
        <v>9523.0160000000014</v>
      </c>
      <c r="U26" s="280">
        <v>0</v>
      </c>
      <c r="V26" s="280">
        <v>0</v>
      </c>
      <c r="W26" s="280">
        <v>5625.1670000000004</v>
      </c>
      <c r="X26" s="280">
        <v>660.16700000000003</v>
      </c>
      <c r="Y26" s="280">
        <v>1096.912</v>
      </c>
      <c r="Z26" s="280">
        <v>0</v>
      </c>
      <c r="AA26" s="280">
        <v>295.15499999999997</v>
      </c>
      <c r="AB26" s="280">
        <v>7677.4010000000007</v>
      </c>
      <c r="AC26" s="280">
        <v>32.003999999999998</v>
      </c>
      <c r="AD26" s="280">
        <v>43.435000000000002</v>
      </c>
      <c r="AE26" s="280">
        <v>19.411999999999999</v>
      </c>
      <c r="AF26" s="280">
        <v>0</v>
      </c>
      <c r="AG26" s="280">
        <v>94.850999999999999</v>
      </c>
      <c r="AH26" s="280">
        <v>29.672000000000001</v>
      </c>
      <c r="AI26" s="280">
        <v>0.45300000000000001</v>
      </c>
      <c r="AJ26" s="280">
        <v>30.125</v>
      </c>
      <c r="AK26" s="280">
        <v>0</v>
      </c>
      <c r="AL26" s="280">
        <v>0</v>
      </c>
      <c r="AM26" s="280">
        <v>0</v>
      </c>
      <c r="AN26" s="280">
        <v>1408.8389999999999</v>
      </c>
      <c r="AO26" s="279">
        <v>383.90073809523807</v>
      </c>
      <c r="AP26" s="279">
        <v>1.095</v>
      </c>
      <c r="AQ26" s="280">
        <v>418.56611904761905</v>
      </c>
      <c r="AR26" s="280">
        <v>4474.2430000000004</v>
      </c>
      <c r="AS26" s="280">
        <v>122.331</v>
      </c>
      <c r="AT26" s="280">
        <v>1438.9639999999999</v>
      </c>
      <c r="AU26" s="280">
        <v>43.25</v>
      </c>
      <c r="AV26" s="280">
        <v>0</v>
      </c>
      <c r="AW26" s="280">
        <v>0</v>
      </c>
      <c r="AX26" s="280">
        <v>0</v>
      </c>
      <c r="AY26" s="280">
        <v>0</v>
      </c>
      <c r="AZ26" s="280">
        <v>0</v>
      </c>
      <c r="BA26" s="280">
        <v>0</v>
      </c>
      <c r="BB26" s="280">
        <v>0</v>
      </c>
      <c r="BC26" s="281">
        <v>37603.569857142858</v>
      </c>
      <c r="BD26" s="282"/>
      <c r="BE26" s="282"/>
      <c r="BF26" s="282"/>
      <c r="BG26" s="282"/>
    </row>
    <row r="27" spans="1:59">
      <c r="A27" s="245">
        <v>1992</v>
      </c>
      <c r="B27" s="278">
        <v>482.99299999999999</v>
      </c>
      <c r="C27" s="279">
        <v>11004.075999999999</v>
      </c>
      <c r="D27" s="279">
        <v>0</v>
      </c>
      <c r="E27" s="279">
        <v>24.452000000000002</v>
      </c>
      <c r="F27" s="279">
        <v>0</v>
      </c>
      <c r="G27" s="279">
        <v>11511.520999999999</v>
      </c>
      <c r="H27" s="279">
        <v>0</v>
      </c>
      <c r="I27" s="279">
        <v>450.28199999999998</v>
      </c>
      <c r="J27" s="279">
        <v>17.651</v>
      </c>
      <c r="K27" s="279">
        <v>467.93299999999999</v>
      </c>
      <c r="L27" s="279">
        <v>9285.1450000000004</v>
      </c>
      <c r="M27" s="279">
        <v>0</v>
      </c>
      <c r="N27" s="280">
        <v>0</v>
      </c>
      <c r="O27" s="280">
        <v>612.38900000000001</v>
      </c>
      <c r="P27" s="280">
        <v>722.44500000000005</v>
      </c>
      <c r="Q27" s="280">
        <v>0</v>
      </c>
      <c r="R27" s="280">
        <v>0</v>
      </c>
      <c r="S27" s="280">
        <v>0</v>
      </c>
      <c r="T27" s="280">
        <v>10619.978999999999</v>
      </c>
      <c r="U27" s="280">
        <v>0</v>
      </c>
      <c r="V27" s="280">
        <v>0</v>
      </c>
      <c r="W27" s="280">
        <v>6211.366</v>
      </c>
      <c r="X27" s="280">
        <v>161.53899999999999</v>
      </c>
      <c r="Y27" s="280">
        <v>2332.7800000000002</v>
      </c>
      <c r="Z27" s="280">
        <v>0</v>
      </c>
      <c r="AA27" s="280">
        <v>0</v>
      </c>
      <c r="AB27" s="280">
        <v>8705.6849999999995</v>
      </c>
      <c r="AC27" s="280">
        <v>32.686999999999998</v>
      </c>
      <c r="AD27" s="280">
        <v>38.959000000000003</v>
      </c>
      <c r="AE27" s="280">
        <v>18.126999999999999</v>
      </c>
      <c r="AF27" s="280">
        <v>0</v>
      </c>
      <c r="AG27" s="280">
        <v>89.772999999999996</v>
      </c>
      <c r="AH27" s="280">
        <v>32.595999999999997</v>
      </c>
      <c r="AI27" s="280">
        <v>0.13900000000000001</v>
      </c>
      <c r="AJ27" s="280">
        <v>32.734999999999999</v>
      </c>
      <c r="AK27" s="280">
        <v>1098.4659999999999</v>
      </c>
      <c r="AL27" s="280">
        <v>348.05</v>
      </c>
      <c r="AM27" s="280">
        <v>1446.5159999999998</v>
      </c>
      <c r="AN27" s="280">
        <v>0</v>
      </c>
      <c r="AO27" s="279">
        <v>178.9033095238095</v>
      </c>
      <c r="AP27" s="279">
        <v>0</v>
      </c>
      <c r="AQ27" s="280">
        <v>362.09083333333336</v>
      </c>
      <c r="AR27" s="280">
        <v>4891.4399999999996</v>
      </c>
      <c r="AS27" s="280">
        <v>185.917</v>
      </c>
      <c r="AT27" s="280">
        <v>1479.251</v>
      </c>
      <c r="AU27" s="280">
        <v>61.517000000000003</v>
      </c>
      <c r="AV27" s="280">
        <v>0</v>
      </c>
      <c r="AW27" s="280">
        <v>0</v>
      </c>
      <c r="AX27" s="280">
        <v>0</v>
      </c>
      <c r="AY27" s="280">
        <v>0</v>
      </c>
      <c r="AZ27" s="280">
        <v>0</v>
      </c>
      <c r="BA27" s="280">
        <v>0</v>
      </c>
      <c r="BB27" s="280">
        <v>0</v>
      </c>
      <c r="BC27" s="281">
        <v>40033.261142857147</v>
      </c>
      <c r="BD27" s="282"/>
      <c r="BE27" s="282"/>
      <c r="BF27" s="282"/>
      <c r="BG27" s="282"/>
    </row>
    <row r="28" spans="1:59">
      <c r="A28" s="245">
        <v>1993</v>
      </c>
      <c r="B28" s="278">
        <v>313.73399999999998</v>
      </c>
      <c r="C28" s="279">
        <v>11109.071</v>
      </c>
      <c r="D28" s="279">
        <v>0</v>
      </c>
      <c r="E28" s="279">
        <v>6.7619999999999996</v>
      </c>
      <c r="F28" s="279">
        <v>26.446000000000002</v>
      </c>
      <c r="G28" s="279">
        <v>11456.013000000001</v>
      </c>
      <c r="H28" s="279">
        <v>0</v>
      </c>
      <c r="I28" s="279">
        <v>339.89299999999997</v>
      </c>
      <c r="J28" s="279">
        <v>35.552</v>
      </c>
      <c r="K28" s="279">
        <v>375.44499999999999</v>
      </c>
      <c r="L28" s="279">
        <v>9099.2139999999999</v>
      </c>
      <c r="M28" s="279">
        <v>0</v>
      </c>
      <c r="N28" s="280">
        <v>0</v>
      </c>
      <c r="O28" s="280">
        <v>739.25699999999995</v>
      </c>
      <c r="P28" s="280">
        <v>846.34799999999996</v>
      </c>
      <c r="Q28" s="280">
        <v>0</v>
      </c>
      <c r="R28" s="280">
        <v>0</v>
      </c>
      <c r="S28" s="280">
        <v>0</v>
      </c>
      <c r="T28" s="280">
        <v>10684.819</v>
      </c>
      <c r="U28" s="280">
        <v>0</v>
      </c>
      <c r="V28" s="280">
        <v>0</v>
      </c>
      <c r="W28" s="280">
        <v>5068.0069999999996</v>
      </c>
      <c r="X28" s="280">
        <v>127.84</v>
      </c>
      <c r="Y28" s="280">
        <v>2139.71</v>
      </c>
      <c r="Z28" s="280">
        <v>0</v>
      </c>
      <c r="AA28" s="280">
        <v>0</v>
      </c>
      <c r="AB28" s="280">
        <v>7335.5569999999998</v>
      </c>
      <c r="AC28" s="280">
        <v>35.304000000000002</v>
      </c>
      <c r="AD28" s="280">
        <v>38.412999999999997</v>
      </c>
      <c r="AE28" s="280">
        <v>21.756</v>
      </c>
      <c r="AF28" s="280">
        <v>0</v>
      </c>
      <c r="AG28" s="280">
        <v>95.472999999999999</v>
      </c>
      <c r="AH28" s="280">
        <v>29.579000000000001</v>
      </c>
      <c r="AI28" s="280">
        <v>0</v>
      </c>
      <c r="AJ28" s="280">
        <v>29.579000000000001</v>
      </c>
      <c r="AK28" s="280">
        <v>908.09400000000005</v>
      </c>
      <c r="AL28" s="280">
        <v>495.07100000000003</v>
      </c>
      <c r="AM28" s="280">
        <v>1403.165</v>
      </c>
      <c r="AN28" s="280">
        <v>0</v>
      </c>
      <c r="AO28" s="279">
        <v>67.382190476190488</v>
      </c>
      <c r="AP28" s="279">
        <v>0</v>
      </c>
      <c r="AQ28" s="280">
        <v>534.44602380952392</v>
      </c>
      <c r="AR28" s="280">
        <v>5203.4179999999997</v>
      </c>
      <c r="AS28" s="280">
        <v>161.17599999999999</v>
      </c>
      <c r="AT28" s="280">
        <v>1432.7439999999999</v>
      </c>
      <c r="AU28" s="280">
        <v>47.835999999999999</v>
      </c>
      <c r="AV28" s="280">
        <v>0</v>
      </c>
      <c r="AW28" s="280">
        <v>0</v>
      </c>
      <c r="AX28" s="280">
        <v>0</v>
      </c>
      <c r="AY28" s="280">
        <v>0</v>
      </c>
      <c r="AZ28" s="280">
        <v>0</v>
      </c>
      <c r="BA28" s="280">
        <v>0</v>
      </c>
      <c r="BB28" s="280">
        <v>0</v>
      </c>
      <c r="BC28" s="281">
        <v>38827.053214285719</v>
      </c>
      <c r="BD28" s="282"/>
      <c r="BE28" s="282"/>
      <c r="BF28" s="282"/>
      <c r="BG28" s="282"/>
    </row>
    <row r="29" spans="1:59">
      <c r="A29" s="245">
        <v>1994</v>
      </c>
      <c r="B29" s="278">
        <v>520.87300000000005</v>
      </c>
      <c r="C29" s="279">
        <v>10121.966</v>
      </c>
      <c r="D29" s="279">
        <v>0</v>
      </c>
      <c r="E29" s="279">
        <v>0</v>
      </c>
      <c r="F29" s="279">
        <v>445.738</v>
      </c>
      <c r="G29" s="279">
        <v>11088.576999999999</v>
      </c>
      <c r="H29" s="279">
        <v>0</v>
      </c>
      <c r="I29" s="279">
        <v>358.08199999999999</v>
      </c>
      <c r="J29" s="279">
        <v>120.85299999999999</v>
      </c>
      <c r="K29" s="279">
        <v>478.935</v>
      </c>
      <c r="L29" s="279">
        <v>10736.026</v>
      </c>
      <c r="M29" s="279">
        <v>0</v>
      </c>
      <c r="N29" s="280">
        <v>0</v>
      </c>
      <c r="O29" s="280">
        <v>727.83299999999997</v>
      </c>
      <c r="P29" s="280">
        <v>791.48900000000003</v>
      </c>
      <c r="Q29" s="280">
        <v>0</v>
      </c>
      <c r="R29" s="280">
        <v>0</v>
      </c>
      <c r="S29" s="280">
        <v>0</v>
      </c>
      <c r="T29" s="280">
        <v>12255.348</v>
      </c>
      <c r="U29" s="280">
        <v>0</v>
      </c>
      <c r="V29" s="280">
        <v>0</v>
      </c>
      <c r="W29" s="280">
        <v>5187.0510000000004</v>
      </c>
      <c r="X29" s="280">
        <v>17.076000000000001</v>
      </c>
      <c r="Y29" s="280">
        <v>2571.7829999999999</v>
      </c>
      <c r="Z29" s="280">
        <v>0</v>
      </c>
      <c r="AA29" s="280">
        <v>0</v>
      </c>
      <c r="AB29" s="280">
        <v>7775.91</v>
      </c>
      <c r="AC29" s="280">
        <v>40.29</v>
      </c>
      <c r="AD29" s="280">
        <v>41.963999999999999</v>
      </c>
      <c r="AE29" s="280">
        <v>21.763000000000002</v>
      </c>
      <c r="AF29" s="280">
        <v>0</v>
      </c>
      <c r="AG29" s="280">
        <v>104.017</v>
      </c>
      <c r="AH29" s="280">
        <v>29.292999999999999</v>
      </c>
      <c r="AI29" s="280">
        <v>0.499</v>
      </c>
      <c r="AJ29" s="280">
        <v>29.791999999999998</v>
      </c>
      <c r="AK29" s="280">
        <v>1269.5509999999999</v>
      </c>
      <c r="AL29" s="280">
        <v>95.143000000000001</v>
      </c>
      <c r="AM29" s="280">
        <v>1364.694</v>
      </c>
      <c r="AN29" s="280">
        <v>0</v>
      </c>
      <c r="AO29" s="279">
        <v>0</v>
      </c>
      <c r="AP29" s="279">
        <v>0</v>
      </c>
      <c r="AQ29" s="280">
        <v>773.60183333333327</v>
      </c>
      <c r="AR29" s="280">
        <v>5648.2820000000002</v>
      </c>
      <c r="AS29" s="280">
        <v>156.93299999999999</v>
      </c>
      <c r="AT29" s="280">
        <v>1394.4860000000001</v>
      </c>
      <c r="AU29" s="280">
        <v>49.359000000000002</v>
      </c>
      <c r="AV29" s="280">
        <v>0</v>
      </c>
      <c r="AW29" s="280">
        <v>0</v>
      </c>
      <c r="AX29" s="280">
        <v>0</v>
      </c>
      <c r="AY29" s="280">
        <v>0</v>
      </c>
      <c r="AZ29" s="280">
        <v>0</v>
      </c>
      <c r="BA29" s="280">
        <v>0</v>
      </c>
      <c r="BB29" s="280">
        <v>0</v>
      </c>
      <c r="BC29" s="281">
        <v>41119.934833333326</v>
      </c>
      <c r="BD29" s="282"/>
      <c r="BE29" s="282"/>
      <c r="BF29" s="282"/>
      <c r="BG29" s="282"/>
    </row>
    <row r="30" spans="1:59">
      <c r="A30" s="245">
        <v>1995</v>
      </c>
      <c r="B30" s="278">
        <v>733.89300000000003</v>
      </c>
      <c r="C30" s="279">
        <v>8378.2659999999996</v>
      </c>
      <c r="D30" s="279">
        <v>0</v>
      </c>
      <c r="E30" s="279">
        <v>0</v>
      </c>
      <c r="F30" s="279">
        <v>1601.2380000000001</v>
      </c>
      <c r="G30" s="279">
        <v>10713.396999999999</v>
      </c>
      <c r="H30" s="279">
        <v>0</v>
      </c>
      <c r="I30" s="279">
        <v>246.215</v>
      </c>
      <c r="J30" s="279">
        <v>49.779000000000003</v>
      </c>
      <c r="K30" s="279">
        <v>295.99400000000003</v>
      </c>
      <c r="L30" s="279">
        <v>9777.8459999999995</v>
      </c>
      <c r="M30" s="279">
        <v>0</v>
      </c>
      <c r="N30" s="279">
        <v>2609.3829999999998</v>
      </c>
      <c r="O30" s="280">
        <v>231.55799999999999</v>
      </c>
      <c r="P30" s="280">
        <v>196.386</v>
      </c>
      <c r="Q30" s="280">
        <v>0</v>
      </c>
      <c r="R30" s="280">
        <v>0</v>
      </c>
      <c r="S30" s="280">
        <v>715.56</v>
      </c>
      <c r="T30" s="280">
        <v>13530.733</v>
      </c>
      <c r="U30" s="280">
        <v>0</v>
      </c>
      <c r="V30" s="280">
        <v>0</v>
      </c>
      <c r="W30" s="280">
        <v>2942.681</v>
      </c>
      <c r="X30" s="280">
        <v>1.333</v>
      </c>
      <c r="Y30" s="280">
        <v>2128.58</v>
      </c>
      <c r="Z30" s="280">
        <v>4105.4549999999999</v>
      </c>
      <c r="AA30" s="280">
        <v>0</v>
      </c>
      <c r="AB30" s="280">
        <v>9178.0489999999991</v>
      </c>
      <c r="AC30" s="280">
        <v>32.773000000000003</v>
      </c>
      <c r="AD30" s="280">
        <v>39.814999999999998</v>
      </c>
      <c r="AE30" s="280">
        <v>21.437000000000001</v>
      </c>
      <c r="AF30" s="280">
        <v>0</v>
      </c>
      <c r="AG30" s="280">
        <v>94.024999999999991</v>
      </c>
      <c r="AH30" s="280">
        <v>27.041</v>
      </c>
      <c r="AI30" s="280">
        <v>0.151</v>
      </c>
      <c r="AJ30" s="280">
        <v>27.192</v>
      </c>
      <c r="AK30" s="280">
        <v>1345.058</v>
      </c>
      <c r="AL30" s="280">
        <v>160.92699999999999</v>
      </c>
      <c r="AM30" s="280">
        <v>1505.9849999999999</v>
      </c>
      <c r="AN30" s="280">
        <v>0</v>
      </c>
      <c r="AO30" s="279">
        <v>0</v>
      </c>
      <c r="AP30" s="279">
        <v>0</v>
      </c>
      <c r="AQ30" s="280">
        <v>624.40609523809508</v>
      </c>
      <c r="AR30" s="280">
        <v>6468.6959999999999</v>
      </c>
      <c r="AS30" s="280">
        <v>190.899</v>
      </c>
      <c r="AT30" s="280">
        <v>1533.1769999999999</v>
      </c>
      <c r="AU30" s="280">
        <v>21.111999999999998</v>
      </c>
      <c r="AV30" s="280">
        <v>0</v>
      </c>
      <c r="AW30" s="280">
        <v>0</v>
      </c>
      <c r="AX30" s="280">
        <v>346.53800000000001</v>
      </c>
      <c r="AY30" s="280">
        <v>0</v>
      </c>
      <c r="AZ30" s="280">
        <v>0</v>
      </c>
      <c r="BA30" s="280">
        <v>0</v>
      </c>
      <c r="BB30" s="280">
        <v>0</v>
      </c>
      <c r="BC30" s="281">
        <v>44530.203095238096</v>
      </c>
      <c r="BD30" s="282"/>
      <c r="BE30" s="282"/>
      <c r="BF30" s="282"/>
      <c r="BG30" s="282"/>
    </row>
    <row r="31" spans="1:59">
      <c r="A31" s="245">
        <v>1996</v>
      </c>
      <c r="B31" s="278">
        <v>838.005</v>
      </c>
      <c r="C31" s="279">
        <v>8365.2900000000009</v>
      </c>
      <c r="D31" s="279">
        <v>0</v>
      </c>
      <c r="E31" s="279">
        <v>0</v>
      </c>
      <c r="F31" s="279">
        <v>1974.116</v>
      </c>
      <c r="G31" s="279">
        <v>11177.411</v>
      </c>
      <c r="H31" s="279">
        <v>0</v>
      </c>
      <c r="I31" s="279">
        <v>238.96100000000001</v>
      </c>
      <c r="J31" s="279">
        <v>15.755000000000001</v>
      </c>
      <c r="K31" s="279">
        <v>254.71600000000001</v>
      </c>
      <c r="L31" s="279">
        <v>11818.199000000001</v>
      </c>
      <c r="M31" s="279">
        <v>0</v>
      </c>
      <c r="N31" s="279">
        <v>2843.2669999999998</v>
      </c>
      <c r="O31" s="280">
        <v>103.14100000000001</v>
      </c>
      <c r="P31" s="280">
        <v>89.89</v>
      </c>
      <c r="Q31" s="280">
        <v>0</v>
      </c>
      <c r="R31" s="280">
        <v>0</v>
      </c>
      <c r="S31" s="280">
        <v>417.42099999999999</v>
      </c>
      <c r="T31" s="280">
        <v>15271.918</v>
      </c>
      <c r="U31" s="280">
        <v>0</v>
      </c>
      <c r="V31" s="280">
        <v>0</v>
      </c>
      <c r="W31" s="280">
        <v>3283.884</v>
      </c>
      <c r="X31" s="280">
        <v>0</v>
      </c>
      <c r="Y31" s="280">
        <v>2720.8490000000002</v>
      </c>
      <c r="Z31" s="280">
        <v>3871.9180000000001</v>
      </c>
      <c r="AA31" s="280">
        <v>0</v>
      </c>
      <c r="AB31" s="280">
        <v>9876.6509999999998</v>
      </c>
      <c r="AC31" s="280">
        <v>37.853999999999999</v>
      </c>
      <c r="AD31" s="280">
        <v>32.354999999999997</v>
      </c>
      <c r="AE31" s="280">
        <v>26.385000000000002</v>
      </c>
      <c r="AF31" s="280">
        <v>0</v>
      </c>
      <c r="AG31" s="280">
        <v>96.594000000000008</v>
      </c>
      <c r="AH31" s="280">
        <v>29.797999999999998</v>
      </c>
      <c r="AI31" s="280">
        <v>9.6000000000000002E-2</v>
      </c>
      <c r="AJ31" s="280">
        <v>29.893999999999998</v>
      </c>
      <c r="AK31" s="280">
        <v>1693.5619999999999</v>
      </c>
      <c r="AL31" s="280">
        <v>3.992</v>
      </c>
      <c r="AM31" s="280">
        <v>1697.5539999999999</v>
      </c>
      <c r="AN31" s="280">
        <v>0</v>
      </c>
      <c r="AO31" s="279">
        <v>0</v>
      </c>
      <c r="AP31" s="279">
        <v>1.607</v>
      </c>
      <c r="AQ31" s="280">
        <v>707.78547619047617</v>
      </c>
      <c r="AR31" s="280">
        <v>6993.299</v>
      </c>
      <c r="AS31" s="280">
        <v>142.054</v>
      </c>
      <c r="AT31" s="280">
        <v>1727.4480000000001</v>
      </c>
      <c r="AU31" s="280">
        <v>0</v>
      </c>
      <c r="AV31" s="280">
        <v>0</v>
      </c>
      <c r="AW31" s="280">
        <v>0</v>
      </c>
      <c r="AX31" s="280">
        <v>278.24799999999999</v>
      </c>
      <c r="AY31" s="280">
        <v>0</v>
      </c>
      <c r="AZ31" s="280">
        <v>0</v>
      </c>
      <c r="BA31" s="280">
        <v>0</v>
      </c>
      <c r="BB31" s="280">
        <v>0</v>
      </c>
      <c r="BC31" s="281">
        <v>48255.17947619046</v>
      </c>
      <c r="BD31" s="282"/>
      <c r="BE31" s="282"/>
      <c r="BF31" s="282"/>
      <c r="BG31" s="282"/>
    </row>
    <row r="32" spans="1:59">
      <c r="A32" s="245">
        <v>1997</v>
      </c>
      <c r="B32" s="278">
        <v>928.39700000000005</v>
      </c>
      <c r="C32" s="279">
        <v>8593.9359999999997</v>
      </c>
      <c r="D32" s="279">
        <v>0</v>
      </c>
      <c r="E32" s="279">
        <v>0</v>
      </c>
      <c r="F32" s="279">
        <v>2228.6039999999998</v>
      </c>
      <c r="G32" s="279">
        <v>11750.937</v>
      </c>
      <c r="H32" s="279">
        <v>0</v>
      </c>
      <c r="I32" s="279">
        <v>312.7</v>
      </c>
      <c r="J32" s="279">
        <v>37.201999999999998</v>
      </c>
      <c r="K32" s="279">
        <v>349.90199999999999</v>
      </c>
      <c r="L32" s="279">
        <v>12693.995999999999</v>
      </c>
      <c r="M32" s="279">
        <v>0</v>
      </c>
      <c r="N32" s="279">
        <v>3469.5070000000001</v>
      </c>
      <c r="O32" s="280">
        <v>184.393</v>
      </c>
      <c r="P32" s="280">
        <v>130.643</v>
      </c>
      <c r="Q32" s="280">
        <v>0</v>
      </c>
      <c r="R32" s="280">
        <v>0</v>
      </c>
      <c r="S32" s="280">
        <v>236.27699999999999</v>
      </c>
      <c r="T32" s="280">
        <v>16714.815999999995</v>
      </c>
      <c r="U32" s="280">
        <v>0</v>
      </c>
      <c r="V32" s="280">
        <v>0</v>
      </c>
      <c r="W32" s="280">
        <v>3255.4740000000002</v>
      </c>
      <c r="X32" s="280">
        <v>0</v>
      </c>
      <c r="Y32" s="280">
        <v>3376.55</v>
      </c>
      <c r="Z32" s="280">
        <v>3974.1889999999999</v>
      </c>
      <c r="AA32" s="280">
        <v>0</v>
      </c>
      <c r="AB32" s="280">
        <v>10606.213</v>
      </c>
      <c r="AC32" s="280">
        <v>37.680999999999997</v>
      </c>
      <c r="AD32" s="280">
        <v>42.252000000000002</v>
      </c>
      <c r="AE32" s="280">
        <v>24.565999999999999</v>
      </c>
      <c r="AF32" s="280">
        <v>0</v>
      </c>
      <c r="AG32" s="280">
        <v>104.499</v>
      </c>
      <c r="AH32" s="280">
        <v>33.927999999999997</v>
      </c>
      <c r="AI32" s="280">
        <v>7.0000000000000001E-3</v>
      </c>
      <c r="AJ32" s="280">
        <v>33.934999999999995</v>
      </c>
      <c r="AK32" s="280">
        <v>1609.692</v>
      </c>
      <c r="AL32" s="280">
        <v>202.101</v>
      </c>
      <c r="AM32" s="280">
        <v>1811.7930000000001</v>
      </c>
      <c r="AN32" s="280">
        <v>0</v>
      </c>
      <c r="AO32" s="279">
        <v>0</v>
      </c>
      <c r="AP32" s="279">
        <v>3.984</v>
      </c>
      <c r="AQ32" s="280">
        <v>541.75199999999995</v>
      </c>
      <c r="AR32" s="280">
        <v>7126.7740000000003</v>
      </c>
      <c r="AS32" s="280">
        <v>179.833</v>
      </c>
      <c r="AT32" s="280">
        <v>1845.7280000000001</v>
      </c>
      <c r="AU32" s="280">
        <v>0</v>
      </c>
      <c r="AV32" s="280">
        <v>0</v>
      </c>
      <c r="AW32" s="280">
        <v>0</v>
      </c>
      <c r="AX32" s="280">
        <v>0.61199999999999999</v>
      </c>
      <c r="AY32" s="280">
        <v>0</v>
      </c>
      <c r="AZ32" s="280">
        <v>0</v>
      </c>
      <c r="BA32" s="280">
        <v>0</v>
      </c>
      <c r="BB32" s="280">
        <v>0</v>
      </c>
      <c r="BC32" s="281">
        <v>51070.777999999991</v>
      </c>
      <c r="BD32" s="282"/>
      <c r="BE32" s="282"/>
      <c r="BF32" s="282"/>
      <c r="BG32" s="282"/>
    </row>
    <row r="33" spans="1:59">
      <c r="A33" s="245">
        <v>1998</v>
      </c>
      <c r="B33" s="278">
        <v>1588.1479999999999</v>
      </c>
      <c r="C33" s="279">
        <v>9554.6039999999994</v>
      </c>
      <c r="D33" s="279">
        <v>0</v>
      </c>
      <c r="E33" s="279">
        <v>0</v>
      </c>
      <c r="F33" s="279">
        <v>589.12800000000004</v>
      </c>
      <c r="G33" s="279">
        <v>11731.88</v>
      </c>
      <c r="H33" s="279">
        <v>0</v>
      </c>
      <c r="I33" s="279">
        <v>166.934</v>
      </c>
      <c r="J33" s="279">
        <v>188.74</v>
      </c>
      <c r="K33" s="279">
        <v>355.67399999999998</v>
      </c>
      <c r="L33" s="279">
        <v>12449.856</v>
      </c>
      <c r="M33" s="279">
        <v>0</v>
      </c>
      <c r="N33" s="279">
        <v>4026.5250000000001</v>
      </c>
      <c r="O33" s="280">
        <v>142.24100000000001</v>
      </c>
      <c r="P33" s="280">
        <v>89.759</v>
      </c>
      <c r="Q33" s="280">
        <v>0</v>
      </c>
      <c r="R33" s="280">
        <v>0</v>
      </c>
      <c r="S33" s="280">
        <v>254.02199999999999</v>
      </c>
      <c r="T33" s="280">
        <v>16962.403000000002</v>
      </c>
      <c r="U33" s="280">
        <v>0</v>
      </c>
      <c r="V33" s="280">
        <v>0</v>
      </c>
      <c r="W33" s="280">
        <v>3245.0940000000001</v>
      </c>
      <c r="X33" s="280">
        <v>0</v>
      </c>
      <c r="Y33" s="280">
        <v>2377.864</v>
      </c>
      <c r="Z33" s="280">
        <v>4199.1459999999997</v>
      </c>
      <c r="AA33" s="280">
        <v>0</v>
      </c>
      <c r="AB33" s="280">
        <v>9822.1039999999994</v>
      </c>
      <c r="AC33" s="280">
        <v>39.590000000000003</v>
      </c>
      <c r="AD33" s="280">
        <v>44.875</v>
      </c>
      <c r="AE33" s="280">
        <v>21.088000000000001</v>
      </c>
      <c r="AF33" s="280">
        <v>0</v>
      </c>
      <c r="AG33" s="280">
        <v>105.553</v>
      </c>
      <c r="AH33" s="280">
        <v>40.012999999999998</v>
      </c>
      <c r="AI33" s="280">
        <v>0.124</v>
      </c>
      <c r="AJ33" s="280">
        <v>40.137</v>
      </c>
      <c r="AK33" s="280">
        <v>1197.4580000000001</v>
      </c>
      <c r="AL33" s="280">
        <v>620.745</v>
      </c>
      <c r="AM33" s="280">
        <v>1818.203</v>
      </c>
      <c r="AN33" s="280">
        <v>0</v>
      </c>
      <c r="AO33" s="279">
        <v>0</v>
      </c>
      <c r="AP33" s="279">
        <v>2</v>
      </c>
      <c r="AQ33" s="280">
        <v>805.745</v>
      </c>
      <c r="AR33" s="280">
        <v>7250.8029999999999</v>
      </c>
      <c r="AS33" s="280">
        <v>131.94499999999999</v>
      </c>
      <c r="AT33" s="280">
        <v>1858.34</v>
      </c>
      <c r="AU33" s="280">
        <v>0</v>
      </c>
      <c r="AV33" s="280">
        <v>0</v>
      </c>
      <c r="AW33" s="280">
        <v>0</v>
      </c>
      <c r="AX33" s="280">
        <v>0</v>
      </c>
      <c r="AY33" s="280">
        <v>0</v>
      </c>
      <c r="AZ33" s="280">
        <v>0</v>
      </c>
      <c r="BA33" s="280">
        <v>0</v>
      </c>
      <c r="BB33" s="280">
        <v>0</v>
      </c>
      <c r="BC33" s="281">
        <v>50884.787000000004</v>
      </c>
      <c r="BD33" s="277"/>
      <c r="BE33" s="277"/>
      <c r="BF33" s="277"/>
      <c r="BG33" s="277"/>
    </row>
    <row r="34" spans="1:59">
      <c r="A34" s="245">
        <v>1999</v>
      </c>
      <c r="B34" s="278">
        <v>896.12599999999998</v>
      </c>
      <c r="C34" s="279">
        <v>9722.5259999999998</v>
      </c>
      <c r="D34" s="279">
        <v>0</v>
      </c>
      <c r="E34" s="279">
        <v>0</v>
      </c>
      <c r="F34" s="279">
        <v>0</v>
      </c>
      <c r="G34" s="279">
        <v>10618.652</v>
      </c>
      <c r="H34" s="279">
        <v>0</v>
      </c>
      <c r="I34" s="279">
        <v>266.78800000000001</v>
      </c>
      <c r="J34" s="279">
        <v>25.044</v>
      </c>
      <c r="K34" s="279">
        <v>291.83199999999999</v>
      </c>
      <c r="L34" s="279">
        <v>11874.751</v>
      </c>
      <c r="M34" s="279">
        <v>0</v>
      </c>
      <c r="N34" s="279">
        <v>1101.4839999999999</v>
      </c>
      <c r="O34" s="280">
        <v>155.624</v>
      </c>
      <c r="P34" s="280">
        <v>100.089</v>
      </c>
      <c r="Q34" s="280">
        <v>0</v>
      </c>
      <c r="R34" s="280">
        <v>0</v>
      </c>
      <c r="S34" s="280">
        <v>294.399</v>
      </c>
      <c r="T34" s="280">
        <v>13526.347</v>
      </c>
      <c r="U34" s="280">
        <v>0</v>
      </c>
      <c r="V34" s="280">
        <v>0</v>
      </c>
      <c r="W34" s="280">
        <v>3113.6869999999999</v>
      </c>
      <c r="X34" s="280">
        <v>0</v>
      </c>
      <c r="Y34" s="280">
        <v>2461.5149999999999</v>
      </c>
      <c r="Z34" s="280">
        <v>4077.6559999999999</v>
      </c>
      <c r="AA34" s="280">
        <v>0</v>
      </c>
      <c r="AB34" s="280">
        <v>9652.8580000000002</v>
      </c>
      <c r="AC34" s="280">
        <v>31.803999999999998</v>
      </c>
      <c r="AD34" s="280">
        <v>35.822000000000003</v>
      </c>
      <c r="AE34" s="280">
        <v>12.991</v>
      </c>
      <c r="AF34" s="280">
        <v>0</v>
      </c>
      <c r="AG34" s="280">
        <v>80.617000000000004</v>
      </c>
      <c r="AH34" s="280">
        <v>37.100999999999999</v>
      </c>
      <c r="AI34" s="280">
        <v>0.15</v>
      </c>
      <c r="AJ34" s="280">
        <v>37.250999999999998</v>
      </c>
      <c r="AK34" s="280">
        <v>898.173</v>
      </c>
      <c r="AL34" s="280">
        <v>698.96199999999999</v>
      </c>
      <c r="AM34" s="280">
        <v>1597.135</v>
      </c>
      <c r="AN34" s="280">
        <v>0</v>
      </c>
      <c r="AO34" s="279">
        <v>0</v>
      </c>
      <c r="AP34" s="279">
        <v>1.143</v>
      </c>
      <c r="AQ34" s="280">
        <v>671.43200000000002</v>
      </c>
      <c r="AR34" s="280">
        <v>7062.5370000000003</v>
      </c>
      <c r="AS34" s="280">
        <v>60.579000000000001</v>
      </c>
      <c r="AT34" s="280">
        <v>1634.386</v>
      </c>
      <c r="AU34" s="280">
        <v>0</v>
      </c>
      <c r="AV34" s="280">
        <v>79.608000000000004</v>
      </c>
      <c r="AW34" s="280">
        <v>95.043999999999997</v>
      </c>
      <c r="AX34" s="280">
        <v>48.274999999999999</v>
      </c>
      <c r="AY34" s="280">
        <v>0</v>
      </c>
      <c r="AZ34" s="280">
        <v>0</v>
      </c>
      <c r="BA34" s="280">
        <v>0</v>
      </c>
      <c r="BB34" s="280">
        <v>0</v>
      </c>
      <c r="BC34" s="281">
        <v>45457.695999999989</v>
      </c>
      <c r="BD34" s="277"/>
      <c r="BE34" s="277"/>
      <c r="BF34" s="277"/>
      <c r="BG34" s="277"/>
    </row>
    <row r="35" spans="1:59">
      <c r="A35" s="245">
        <v>2000</v>
      </c>
      <c r="B35" s="278">
        <v>1013.476</v>
      </c>
      <c r="C35" s="279">
        <v>10542.356</v>
      </c>
      <c r="D35" s="279">
        <v>0</v>
      </c>
      <c r="E35" s="279">
        <v>0</v>
      </c>
      <c r="F35" s="279">
        <v>0</v>
      </c>
      <c r="G35" s="279">
        <v>11555.832</v>
      </c>
      <c r="H35" s="279">
        <v>0</v>
      </c>
      <c r="I35" s="279">
        <v>280.464</v>
      </c>
      <c r="J35" s="279">
        <v>60.645000000000003</v>
      </c>
      <c r="K35" s="279">
        <v>341.10899999999998</v>
      </c>
      <c r="L35" s="279">
        <v>13352.706</v>
      </c>
      <c r="M35" s="279">
        <v>0</v>
      </c>
      <c r="N35" s="279">
        <v>1167.7760000000001</v>
      </c>
      <c r="O35" s="280">
        <v>451.17099999999999</v>
      </c>
      <c r="P35" s="280">
        <v>125.50700000000001</v>
      </c>
      <c r="Q35" s="280">
        <v>0</v>
      </c>
      <c r="R35" s="280">
        <v>0</v>
      </c>
      <c r="S35" s="280">
        <v>143.5</v>
      </c>
      <c r="T35" s="280">
        <v>15240.66</v>
      </c>
      <c r="U35" s="280">
        <v>0</v>
      </c>
      <c r="V35" s="280">
        <v>0</v>
      </c>
      <c r="W35" s="280">
        <v>3357.8490000000002</v>
      </c>
      <c r="X35" s="280">
        <v>0</v>
      </c>
      <c r="Y35" s="280">
        <v>2844.6759999999999</v>
      </c>
      <c r="Z35" s="280">
        <v>3826.9229999999998</v>
      </c>
      <c r="AA35" s="280">
        <v>0</v>
      </c>
      <c r="AB35" s="280">
        <v>10029.448</v>
      </c>
      <c r="AC35" s="280">
        <v>42.45</v>
      </c>
      <c r="AD35" s="280">
        <v>41.225000000000001</v>
      </c>
      <c r="AE35" s="280">
        <v>17.504999999999999</v>
      </c>
      <c r="AF35" s="280">
        <v>0</v>
      </c>
      <c r="AG35" s="280">
        <v>101.18</v>
      </c>
      <c r="AH35" s="280">
        <v>33.978999999999999</v>
      </c>
      <c r="AI35" s="280">
        <v>0.185</v>
      </c>
      <c r="AJ35" s="280">
        <v>34.164000000000001</v>
      </c>
      <c r="AK35" s="280">
        <v>822.11400000000003</v>
      </c>
      <c r="AL35" s="280">
        <v>1008.174</v>
      </c>
      <c r="AM35" s="280">
        <v>1830.288</v>
      </c>
      <c r="AN35" s="280">
        <v>0</v>
      </c>
      <c r="AO35" s="279">
        <v>0</v>
      </c>
      <c r="AP35" s="279">
        <v>1.042</v>
      </c>
      <c r="AQ35" s="280">
        <v>808.49300000000005</v>
      </c>
      <c r="AR35" s="280">
        <v>7635.22</v>
      </c>
      <c r="AS35" s="280">
        <v>41.963000000000001</v>
      </c>
      <c r="AT35" s="280">
        <v>1864.452</v>
      </c>
      <c r="AU35" s="280">
        <v>0</v>
      </c>
      <c r="AV35" s="280">
        <v>64.373999999999995</v>
      </c>
      <c r="AW35" s="280">
        <v>0</v>
      </c>
      <c r="AX35" s="280">
        <v>273.09300000000002</v>
      </c>
      <c r="AY35" s="280">
        <v>0</v>
      </c>
      <c r="AZ35" s="280">
        <v>0</v>
      </c>
      <c r="BA35" s="280">
        <v>0</v>
      </c>
      <c r="BB35" s="280">
        <v>0</v>
      </c>
      <c r="BC35" s="281">
        <v>49821.318000000007</v>
      </c>
      <c r="BD35" s="277"/>
      <c r="BE35" s="277"/>
      <c r="BF35" s="277"/>
      <c r="BG35" s="277"/>
    </row>
    <row r="36" spans="1:59">
      <c r="A36" s="245">
        <v>2001</v>
      </c>
      <c r="B36" s="278">
        <v>1410.684</v>
      </c>
      <c r="C36" s="279">
        <v>10696.786</v>
      </c>
      <c r="D36" s="279">
        <v>0</v>
      </c>
      <c r="E36" s="279">
        <v>0</v>
      </c>
      <c r="F36" s="279">
        <v>0</v>
      </c>
      <c r="G36" s="279">
        <v>12107.47</v>
      </c>
      <c r="H36" s="279">
        <v>0</v>
      </c>
      <c r="I36" s="279">
        <v>239.655</v>
      </c>
      <c r="J36" s="279">
        <v>48.561999999999998</v>
      </c>
      <c r="K36" s="279">
        <v>288.21699999999998</v>
      </c>
      <c r="L36" s="279">
        <v>14187.459000000001</v>
      </c>
      <c r="M36" s="279">
        <v>0</v>
      </c>
      <c r="N36" s="279">
        <v>2069.6619999999998</v>
      </c>
      <c r="O36" s="280">
        <v>535.976</v>
      </c>
      <c r="P36" s="280">
        <v>106.441</v>
      </c>
      <c r="Q36" s="280">
        <v>0</v>
      </c>
      <c r="R36" s="280">
        <v>0</v>
      </c>
      <c r="S36" s="280">
        <v>73.891000000000005</v>
      </c>
      <c r="T36" s="280">
        <v>16973.429</v>
      </c>
      <c r="U36" s="280">
        <v>0</v>
      </c>
      <c r="V36" s="280">
        <v>0</v>
      </c>
      <c r="W36" s="280">
        <v>3399.9110000000001</v>
      </c>
      <c r="X36" s="280">
        <v>0</v>
      </c>
      <c r="Y36" s="280">
        <v>2290.5149999999999</v>
      </c>
      <c r="Z36" s="280">
        <v>4451.3530000000001</v>
      </c>
      <c r="AA36" s="280">
        <v>0</v>
      </c>
      <c r="AB36" s="280">
        <v>10141.778999999999</v>
      </c>
      <c r="AC36" s="280">
        <v>32.106999999999999</v>
      </c>
      <c r="AD36" s="280">
        <v>31.591000000000001</v>
      </c>
      <c r="AE36" s="280">
        <v>14.539</v>
      </c>
      <c r="AF36" s="280">
        <v>0</v>
      </c>
      <c r="AG36" s="280">
        <v>78.236999999999995</v>
      </c>
      <c r="AH36" s="280">
        <v>32.722999999999999</v>
      </c>
      <c r="AI36" s="280">
        <v>0.107</v>
      </c>
      <c r="AJ36" s="280">
        <v>32.83</v>
      </c>
      <c r="AK36" s="280">
        <v>941.29200000000003</v>
      </c>
      <c r="AL36" s="280">
        <v>798.27200000000005</v>
      </c>
      <c r="AM36" s="280">
        <v>1739.5640000000001</v>
      </c>
      <c r="AN36" s="280">
        <v>0</v>
      </c>
      <c r="AO36" s="279">
        <v>0</v>
      </c>
      <c r="AP36" s="279">
        <v>1.095</v>
      </c>
      <c r="AQ36" s="280">
        <v>1050.212</v>
      </c>
      <c r="AR36" s="280">
        <v>7992.7430000000004</v>
      </c>
      <c r="AS36" s="280">
        <v>64.055000000000007</v>
      </c>
      <c r="AT36" s="280">
        <v>1772.394</v>
      </c>
      <c r="AU36" s="280">
        <v>0</v>
      </c>
      <c r="AV36" s="280">
        <v>253.49600000000001</v>
      </c>
      <c r="AW36" s="280">
        <v>0</v>
      </c>
      <c r="AX36" s="280">
        <v>275.505</v>
      </c>
      <c r="AY36" s="280">
        <v>0</v>
      </c>
      <c r="AZ36" s="280">
        <v>0</v>
      </c>
      <c r="BA36" s="280">
        <v>0</v>
      </c>
      <c r="BB36" s="280">
        <v>0</v>
      </c>
      <c r="BC36" s="281">
        <v>52771.026000000005</v>
      </c>
      <c r="BD36" s="277"/>
      <c r="BE36" s="277"/>
      <c r="BF36" s="277"/>
      <c r="BG36" s="277"/>
    </row>
    <row r="37" spans="1:59">
      <c r="A37" s="245">
        <v>2002</v>
      </c>
      <c r="B37" s="278">
        <v>2166.6469999999999</v>
      </c>
      <c r="C37" s="279">
        <v>10502.696</v>
      </c>
      <c r="D37" s="279">
        <v>0</v>
      </c>
      <c r="E37" s="279">
        <v>0</v>
      </c>
      <c r="F37" s="279">
        <v>0</v>
      </c>
      <c r="G37" s="279">
        <v>12669.343000000001</v>
      </c>
      <c r="H37" s="279">
        <v>0</v>
      </c>
      <c r="I37" s="279">
        <v>205.148</v>
      </c>
      <c r="J37" s="279">
        <v>77.364000000000004</v>
      </c>
      <c r="K37" s="279">
        <v>282.512</v>
      </c>
      <c r="L37" s="279">
        <v>14632.945</v>
      </c>
      <c r="M37" s="279">
        <v>0</v>
      </c>
      <c r="N37" s="279">
        <v>1810.1420000000001</v>
      </c>
      <c r="O37" s="280">
        <v>541.14800000000002</v>
      </c>
      <c r="P37" s="280">
        <v>147.34700000000001</v>
      </c>
      <c r="Q37" s="280">
        <v>0</v>
      </c>
      <c r="R37" s="280">
        <v>0</v>
      </c>
      <c r="S37" s="280">
        <v>45.890999999999998</v>
      </c>
      <c r="T37" s="280">
        <v>17177.473000000002</v>
      </c>
      <c r="U37" s="280">
        <v>0</v>
      </c>
      <c r="V37" s="280">
        <v>0</v>
      </c>
      <c r="W37" s="280">
        <v>3269.837</v>
      </c>
      <c r="X37" s="280">
        <v>0</v>
      </c>
      <c r="Y37" s="280">
        <v>3644.7820000000002</v>
      </c>
      <c r="Z37" s="280">
        <v>4471.2</v>
      </c>
      <c r="AA37" s="280">
        <v>0</v>
      </c>
      <c r="AB37" s="280">
        <v>11385.819</v>
      </c>
      <c r="AC37" s="280">
        <v>20.175000000000001</v>
      </c>
      <c r="AD37" s="280">
        <v>21.350999999999999</v>
      </c>
      <c r="AE37" s="280">
        <v>15.537000000000001</v>
      </c>
      <c r="AF37" s="280">
        <v>0</v>
      </c>
      <c r="AG37" s="280">
        <v>57.062999999999995</v>
      </c>
      <c r="AH37" s="280">
        <v>34.347000000000001</v>
      </c>
      <c r="AI37" s="280">
        <v>0.04</v>
      </c>
      <c r="AJ37" s="280">
        <v>34.387</v>
      </c>
      <c r="AK37" s="280">
        <v>665.39200000000005</v>
      </c>
      <c r="AL37" s="280">
        <v>1166.3979999999999</v>
      </c>
      <c r="AM37" s="280">
        <v>1831.79</v>
      </c>
      <c r="AN37" s="280">
        <v>0</v>
      </c>
      <c r="AO37" s="279">
        <v>0</v>
      </c>
      <c r="AP37" s="279">
        <v>1.714</v>
      </c>
      <c r="AQ37" s="280">
        <v>1077.9739999999999</v>
      </c>
      <c r="AR37" s="280">
        <v>8334.8320000000003</v>
      </c>
      <c r="AS37" s="280">
        <v>66.028999999999996</v>
      </c>
      <c r="AT37" s="280">
        <v>1866.1769999999999</v>
      </c>
      <c r="AU37" s="280">
        <v>0</v>
      </c>
      <c r="AV37" s="280">
        <v>0</v>
      </c>
      <c r="AW37" s="280">
        <v>209.18600000000001</v>
      </c>
      <c r="AX37" s="280">
        <v>279.654</v>
      </c>
      <c r="AY37" s="280">
        <v>0</v>
      </c>
      <c r="AZ37" s="280">
        <v>0</v>
      </c>
      <c r="BA37" s="280">
        <v>0</v>
      </c>
      <c r="BB37" s="280">
        <v>0</v>
      </c>
      <c r="BC37" s="281">
        <v>55273.953000000016</v>
      </c>
      <c r="BD37" s="277"/>
      <c r="BE37" s="277"/>
      <c r="BF37" s="277"/>
      <c r="BG37" s="277"/>
    </row>
    <row r="38" spans="1:59">
      <c r="A38" s="245">
        <v>2003</v>
      </c>
      <c r="B38" s="278">
        <v>2432.4450000000002</v>
      </c>
      <c r="C38" s="279">
        <v>10046.921</v>
      </c>
      <c r="D38" s="279">
        <v>0</v>
      </c>
      <c r="E38" s="279">
        <v>0</v>
      </c>
      <c r="F38" s="279">
        <v>0</v>
      </c>
      <c r="G38" s="279">
        <v>12479.366</v>
      </c>
      <c r="H38" s="279">
        <v>0</v>
      </c>
      <c r="I38" s="279">
        <v>197.18700000000001</v>
      </c>
      <c r="J38" s="279">
        <v>79.941999999999993</v>
      </c>
      <c r="K38" s="279">
        <v>277.12900000000002</v>
      </c>
      <c r="L38" s="279">
        <v>15469.094999999999</v>
      </c>
      <c r="M38" s="279">
        <v>0</v>
      </c>
      <c r="N38" s="279">
        <v>1079.402</v>
      </c>
      <c r="O38" s="280">
        <v>484.73700000000002</v>
      </c>
      <c r="P38" s="280">
        <v>133.15100000000001</v>
      </c>
      <c r="Q38" s="280">
        <v>0</v>
      </c>
      <c r="R38" s="280">
        <v>0</v>
      </c>
      <c r="S38" s="280">
        <v>72.308000000000007</v>
      </c>
      <c r="T38" s="280">
        <v>17238.693000000003</v>
      </c>
      <c r="U38" s="280">
        <v>0</v>
      </c>
      <c r="V38" s="280">
        <v>0</v>
      </c>
      <c r="W38" s="280">
        <v>2621.7750000000001</v>
      </c>
      <c r="X38" s="280">
        <v>0</v>
      </c>
      <c r="Y38" s="280">
        <v>4095.8139999999999</v>
      </c>
      <c r="Z38" s="280">
        <v>4281.8440000000001</v>
      </c>
      <c r="AA38" s="280">
        <v>0</v>
      </c>
      <c r="AB38" s="280">
        <v>10999.433000000001</v>
      </c>
      <c r="AC38" s="280">
        <v>7.82</v>
      </c>
      <c r="AD38" s="280">
        <v>11.813000000000001</v>
      </c>
      <c r="AE38" s="280">
        <v>4.5380000000000003</v>
      </c>
      <c r="AF38" s="280">
        <v>0</v>
      </c>
      <c r="AG38" s="280">
        <v>24.171000000000003</v>
      </c>
      <c r="AH38" s="280">
        <v>30.143000000000001</v>
      </c>
      <c r="AI38" s="280">
        <v>9.7000000000000003E-2</v>
      </c>
      <c r="AJ38" s="280">
        <v>30.240000000000002</v>
      </c>
      <c r="AK38" s="280">
        <v>637.03599999999994</v>
      </c>
      <c r="AL38" s="280">
        <v>1269.326</v>
      </c>
      <c r="AM38" s="280">
        <v>1906.3620000000001</v>
      </c>
      <c r="AN38" s="280">
        <v>0</v>
      </c>
      <c r="AO38" s="279">
        <v>0</v>
      </c>
      <c r="AP38" s="279">
        <v>1.714</v>
      </c>
      <c r="AQ38" s="280">
        <v>1189.8689999999999</v>
      </c>
      <c r="AR38" s="280">
        <v>8733.8240000000005</v>
      </c>
      <c r="AS38" s="280">
        <v>61.246000000000002</v>
      </c>
      <c r="AT38" s="280">
        <v>1936.6020000000001</v>
      </c>
      <c r="AU38" s="280">
        <v>0</v>
      </c>
      <c r="AV38" s="280">
        <v>0</v>
      </c>
      <c r="AW38" s="280">
        <v>89.198999999999998</v>
      </c>
      <c r="AX38" s="280">
        <v>295.43299999999999</v>
      </c>
      <c r="AY38" s="280">
        <v>0</v>
      </c>
      <c r="AZ38" s="280">
        <v>0</v>
      </c>
      <c r="BA38" s="280">
        <v>0</v>
      </c>
      <c r="BB38" s="280">
        <v>0</v>
      </c>
      <c r="BC38" s="281">
        <v>55263.280999999995</v>
      </c>
      <c r="BD38" s="277"/>
      <c r="BE38" s="277"/>
      <c r="BF38" s="277"/>
      <c r="BG38" s="277"/>
    </row>
    <row r="39" spans="1:59">
      <c r="A39" s="245">
        <v>2004</v>
      </c>
      <c r="B39" s="278">
        <v>2711.2280000000001</v>
      </c>
      <c r="C39" s="279">
        <v>10477.672</v>
      </c>
      <c r="D39" s="279">
        <v>0</v>
      </c>
      <c r="E39" s="279">
        <v>0</v>
      </c>
      <c r="F39" s="279">
        <v>0</v>
      </c>
      <c r="G39" s="279">
        <v>13188.900000000001</v>
      </c>
      <c r="H39" s="279">
        <v>0</v>
      </c>
      <c r="I39" s="279">
        <v>229.876</v>
      </c>
      <c r="J39" s="279">
        <v>106.259</v>
      </c>
      <c r="K39" s="279">
        <v>336.13499999999999</v>
      </c>
      <c r="L39" s="279">
        <v>16516.734</v>
      </c>
      <c r="M39" s="279">
        <v>0</v>
      </c>
      <c r="N39" s="279">
        <v>1417.393</v>
      </c>
      <c r="O39" s="280">
        <v>441.80700000000002</v>
      </c>
      <c r="P39" s="280">
        <v>95.772000000000006</v>
      </c>
      <c r="Q39" s="280">
        <v>36.316000000000003</v>
      </c>
      <c r="R39" s="280">
        <v>0</v>
      </c>
      <c r="S39" s="280">
        <v>65.47</v>
      </c>
      <c r="T39" s="280">
        <v>18573.492000000002</v>
      </c>
      <c r="U39" s="280">
        <v>0</v>
      </c>
      <c r="V39" s="280">
        <v>0</v>
      </c>
      <c r="W39" s="280">
        <v>2511.2020000000002</v>
      </c>
      <c r="X39" s="280">
        <v>0</v>
      </c>
      <c r="Y39" s="280">
        <v>4749.2560000000003</v>
      </c>
      <c r="Z39" s="280">
        <v>4046.3470000000002</v>
      </c>
      <c r="AA39" s="280">
        <v>0</v>
      </c>
      <c r="AB39" s="280">
        <v>11306.805</v>
      </c>
      <c r="AC39" s="280">
        <v>15.962</v>
      </c>
      <c r="AD39" s="280">
        <v>20.497</v>
      </c>
      <c r="AE39" s="280">
        <v>0</v>
      </c>
      <c r="AF39" s="280">
        <v>0</v>
      </c>
      <c r="AG39" s="280">
        <v>36.459000000000003</v>
      </c>
      <c r="AH39" s="280">
        <v>9.8819999999999997</v>
      </c>
      <c r="AI39" s="280">
        <v>4.9000000000000002E-2</v>
      </c>
      <c r="AJ39" s="280">
        <v>9.9309999999999992</v>
      </c>
      <c r="AK39" s="280">
        <v>706.37300000000005</v>
      </c>
      <c r="AL39" s="280">
        <v>1431.0650000000001</v>
      </c>
      <c r="AM39" s="280">
        <v>2137.4380000000001</v>
      </c>
      <c r="AN39" s="280">
        <v>0</v>
      </c>
      <c r="AO39" s="279">
        <v>0</v>
      </c>
      <c r="AP39" s="279">
        <v>1.476</v>
      </c>
      <c r="AQ39" s="280">
        <v>1149.7239999999999</v>
      </c>
      <c r="AR39" s="280">
        <v>9437.2379999999994</v>
      </c>
      <c r="AS39" s="280">
        <v>84.600999999999999</v>
      </c>
      <c r="AT39" s="280">
        <v>2147.3690000000001</v>
      </c>
      <c r="AU39" s="280">
        <v>0</v>
      </c>
      <c r="AV39" s="280">
        <v>0</v>
      </c>
      <c r="AW39" s="280">
        <v>159.40199999999999</v>
      </c>
      <c r="AX39" s="280">
        <v>320.21800000000002</v>
      </c>
      <c r="AY39" s="280">
        <v>0</v>
      </c>
      <c r="AZ39" s="280">
        <v>0</v>
      </c>
      <c r="BA39" s="280">
        <v>0</v>
      </c>
      <c r="BB39" s="280">
        <v>0</v>
      </c>
      <c r="BC39" s="281">
        <v>58889.188000000009</v>
      </c>
      <c r="BD39" s="277"/>
      <c r="BE39" s="277"/>
      <c r="BF39" s="277"/>
      <c r="BG39" s="277"/>
    </row>
    <row r="40" spans="1:59">
      <c r="A40" s="245">
        <v>2005</v>
      </c>
      <c r="B40" s="278">
        <v>2978.777</v>
      </c>
      <c r="C40" s="279">
        <v>10952.688</v>
      </c>
      <c r="D40" s="279">
        <v>0</v>
      </c>
      <c r="E40" s="279">
        <v>0</v>
      </c>
      <c r="F40" s="279">
        <v>0</v>
      </c>
      <c r="G40" s="279">
        <v>13931.465</v>
      </c>
      <c r="H40" s="279">
        <v>0</v>
      </c>
      <c r="I40" s="279">
        <v>199.399</v>
      </c>
      <c r="J40" s="279">
        <v>84.176000000000002</v>
      </c>
      <c r="K40" s="279">
        <v>283.57499999999999</v>
      </c>
      <c r="L40" s="279">
        <v>18013.501</v>
      </c>
      <c r="M40" s="279">
        <v>0</v>
      </c>
      <c r="N40" s="279">
        <v>2078.4430000000002</v>
      </c>
      <c r="O40" s="280">
        <v>565.45399999999995</v>
      </c>
      <c r="P40" s="280">
        <v>39.119999999999997</v>
      </c>
      <c r="Q40" s="280">
        <v>172.29400000000001</v>
      </c>
      <c r="R40" s="280">
        <v>0</v>
      </c>
      <c r="S40" s="280">
        <v>81.771000000000001</v>
      </c>
      <c r="T40" s="280">
        <v>20950.583000000002</v>
      </c>
      <c r="U40" s="280">
        <v>0</v>
      </c>
      <c r="V40" s="280">
        <v>0</v>
      </c>
      <c r="W40" s="280">
        <v>2442.9079999999999</v>
      </c>
      <c r="X40" s="280">
        <v>0</v>
      </c>
      <c r="Y40" s="280">
        <v>4488.38</v>
      </c>
      <c r="Z40" s="280">
        <v>3369.6860000000001</v>
      </c>
      <c r="AA40" s="280">
        <v>0</v>
      </c>
      <c r="AB40" s="280">
        <v>10300.974</v>
      </c>
      <c r="AC40" s="280">
        <v>24.73</v>
      </c>
      <c r="AD40" s="280">
        <v>32.088999999999999</v>
      </c>
      <c r="AE40" s="280">
        <v>0</v>
      </c>
      <c r="AF40" s="280">
        <v>0</v>
      </c>
      <c r="AG40" s="280">
        <v>56.819000000000003</v>
      </c>
      <c r="AH40" s="280">
        <v>0.91200000000000003</v>
      </c>
      <c r="AI40" s="280">
        <v>0</v>
      </c>
      <c r="AJ40" s="280">
        <v>0.91200000000000003</v>
      </c>
      <c r="AK40" s="280">
        <v>845.45299999999997</v>
      </c>
      <c r="AL40" s="280">
        <v>1563.4960000000001</v>
      </c>
      <c r="AM40" s="280">
        <v>2408.9490000000001</v>
      </c>
      <c r="AN40" s="280">
        <v>0</v>
      </c>
      <c r="AO40" s="279">
        <v>0</v>
      </c>
      <c r="AP40" s="279">
        <v>9.5000000000000001E-2</v>
      </c>
      <c r="AQ40" s="280">
        <v>972.54899999999998</v>
      </c>
      <c r="AR40" s="280">
        <v>10207.924000000001</v>
      </c>
      <c r="AS40" s="280">
        <v>98.653999999999996</v>
      </c>
      <c r="AT40" s="280">
        <v>2409.8609999999999</v>
      </c>
      <c r="AU40" s="280">
        <v>0</v>
      </c>
      <c r="AV40" s="280">
        <v>0</v>
      </c>
      <c r="AW40" s="280">
        <v>608.40599999999995</v>
      </c>
      <c r="AX40" s="280">
        <v>387.68599999999998</v>
      </c>
      <c r="AY40" s="280">
        <v>336.95499999999998</v>
      </c>
      <c r="AZ40" s="280">
        <v>97.569000000000003</v>
      </c>
      <c r="BA40" s="280">
        <v>1290.039</v>
      </c>
      <c r="BB40" s="280">
        <v>1724.5630000000001</v>
      </c>
      <c r="BC40" s="281">
        <v>64343.015000000014</v>
      </c>
      <c r="BD40" s="277"/>
      <c r="BE40" s="277"/>
      <c r="BF40" s="277"/>
      <c r="BG40" s="277"/>
    </row>
    <row r="41" spans="1:59">
      <c r="A41" s="245">
        <v>2006</v>
      </c>
      <c r="B41" s="278">
        <v>3338.1970000000001</v>
      </c>
      <c r="C41" s="279">
        <v>11648.592000000001</v>
      </c>
      <c r="D41" s="279">
        <v>0</v>
      </c>
      <c r="E41" s="279">
        <v>0</v>
      </c>
      <c r="F41" s="279">
        <v>0</v>
      </c>
      <c r="G41" s="279">
        <v>14986.789000000001</v>
      </c>
      <c r="H41" s="279">
        <v>0</v>
      </c>
      <c r="I41" s="279">
        <v>144.797</v>
      </c>
      <c r="J41" s="279">
        <v>68.335999999999999</v>
      </c>
      <c r="K41" s="279">
        <v>213.13299999999998</v>
      </c>
      <c r="L41" s="279">
        <v>19121.392</v>
      </c>
      <c r="M41" s="279">
        <v>0</v>
      </c>
      <c r="N41" s="279">
        <v>3068.7420000000002</v>
      </c>
      <c r="O41" s="280">
        <v>735.78200000000004</v>
      </c>
      <c r="P41" s="280">
        <v>50.866999999999997</v>
      </c>
      <c r="Q41" s="280">
        <v>183.90199999999999</v>
      </c>
      <c r="R41" s="280">
        <v>0</v>
      </c>
      <c r="S41" s="280">
        <v>101.28100000000001</v>
      </c>
      <c r="T41" s="280">
        <v>23261.965999999993</v>
      </c>
      <c r="U41" s="280">
        <v>0</v>
      </c>
      <c r="V41" s="280">
        <v>0</v>
      </c>
      <c r="W41" s="280">
        <v>1984.0530000000001</v>
      </c>
      <c r="X41" s="280">
        <v>0</v>
      </c>
      <c r="Y41" s="280">
        <v>4226.8860000000004</v>
      </c>
      <c r="Z41" s="280">
        <v>3283.4070000000002</v>
      </c>
      <c r="AA41" s="280">
        <v>0</v>
      </c>
      <c r="AB41" s="280">
        <v>9494.3460000000014</v>
      </c>
      <c r="AC41" s="280">
        <v>35.122</v>
      </c>
      <c r="AD41" s="280">
        <v>40.845999999999997</v>
      </c>
      <c r="AE41" s="280">
        <v>8.452</v>
      </c>
      <c r="AF41" s="280">
        <v>0</v>
      </c>
      <c r="AG41" s="280">
        <v>84.419999999999987</v>
      </c>
      <c r="AH41" s="280">
        <v>0</v>
      </c>
      <c r="AI41" s="280">
        <v>0</v>
      </c>
      <c r="AJ41" s="280">
        <v>0</v>
      </c>
      <c r="AK41" s="280">
        <v>1251.2170000000001</v>
      </c>
      <c r="AL41" s="280">
        <v>1266.9480000000001</v>
      </c>
      <c r="AM41" s="280">
        <v>2518.165</v>
      </c>
      <c r="AN41" s="280">
        <v>0</v>
      </c>
      <c r="AO41" s="279">
        <v>0</v>
      </c>
      <c r="AP41" s="279">
        <v>0</v>
      </c>
      <c r="AQ41" s="280">
        <v>1012.294</v>
      </c>
      <c r="AR41" s="280">
        <v>10650.326999999999</v>
      </c>
      <c r="AS41" s="280">
        <v>141.08500000000001</v>
      </c>
      <c r="AT41" s="280">
        <v>2518.165</v>
      </c>
      <c r="AU41" s="280">
        <v>0</v>
      </c>
      <c r="AV41" s="280">
        <v>0</v>
      </c>
      <c r="AW41" s="280">
        <v>791.29499999999996</v>
      </c>
      <c r="AX41" s="280">
        <v>461.77800000000002</v>
      </c>
      <c r="AY41" s="280">
        <v>557.85</v>
      </c>
      <c r="AZ41" s="280">
        <v>201.27</v>
      </c>
      <c r="BA41" s="280">
        <v>1392.598</v>
      </c>
      <c r="BB41" s="280">
        <v>2151.7179999999998</v>
      </c>
      <c r="BC41" s="281">
        <v>68285.481</v>
      </c>
      <c r="BD41" s="277"/>
      <c r="BE41" s="277"/>
      <c r="BF41" s="277"/>
      <c r="BG41" s="277"/>
    </row>
    <row r="42" spans="1:59">
      <c r="A42" s="245">
        <v>2007</v>
      </c>
      <c r="B42" s="280">
        <v>3726.3657619047622</v>
      </c>
      <c r="C42" s="280">
        <v>12411.353119047617</v>
      </c>
      <c r="D42" s="279">
        <v>0</v>
      </c>
      <c r="E42" s="279">
        <v>0</v>
      </c>
      <c r="F42" s="279">
        <v>0</v>
      </c>
      <c r="G42" s="279">
        <v>16137.71888095238</v>
      </c>
      <c r="H42" s="279">
        <v>0</v>
      </c>
      <c r="I42" s="280">
        <v>81.446976190476192</v>
      </c>
      <c r="J42" s="280">
        <v>90.772412983999999</v>
      </c>
      <c r="K42" s="279">
        <v>172.21938917447619</v>
      </c>
      <c r="L42" s="280">
        <v>17560.121976190476</v>
      </c>
      <c r="M42" s="280">
        <v>1489.4368333333334</v>
      </c>
      <c r="N42" s="280">
        <v>2210.9621428571422</v>
      </c>
      <c r="O42" s="280">
        <v>1062.1827619047619</v>
      </c>
      <c r="P42" s="280">
        <v>75.997932000000006</v>
      </c>
      <c r="Q42" s="280">
        <v>72.40361904761906</v>
      </c>
      <c r="R42" s="280">
        <v>0</v>
      </c>
      <c r="S42" s="280">
        <v>268.80842857142858</v>
      </c>
      <c r="T42" s="280">
        <v>22739.913693904757</v>
      </c>
      <c r="U42" s="280">
        <v>0</v>
      </c>
      <c r="V42" s="280">
        <v>0</v>
      </c>
      <c r="W42" s="280">
        <v>1742.3986190476191</v>
      </c>
      <c r="X42" s="280">
        <v>0</v>
      </c>
      <c r="Y42" s="280">
        <v>4185.9614855519994</v>
      </c>
      <c r="Z42" s="280">
        <v>2836.5990714285713</v>
      </c>
      <c r="AA42" s="280">
        <v>0</v>
      </c>
      <c r="AB42" s="280">
        <v>8764.9591760281892</v>
      </c>
      <c r="AC42" s="280">
        <v>44.654880952380957</v>
      </c>
      <c r="AD42" s="280">
        <v>61.495238095238101</v>
      </c>
      <c r="AE42" s="280">
        <v>0</v>
      </c>
      <c r="AF42" s="280">
        <v>0</v>
      </c>
      <c r="AG42" s="280">
        <v>106.15011904761906</v>
      </c>
      <c r="AH42" s="280">
        <v>0</v>
      </c>
      <c r="AI42" s="280">
        <v>0</v>
      </c>
      <c r="AJ42" s="280">
        <v>0</v>
      </c>
      <c r="AK42" s="280">
        <v>1244.0530000000001</v>
      </c>
      <c r="AL42" s="280">
        <v>1370.3377380952381</v>
      </c>
      <c r="AM42" s="280">
        <v>2614.3907380952382</v>
      </c>
      <c r="AN42" s="280">
        <v>0</v>
      </c>
      <c r="AO42" s="279">
        <v>0</v>
      </c>
      <c r="AP42" s="279">
        <v>0</v>
      </c>
      <c r="AQ42" s="280">
        <v>971.85198207857138</v>
      </c>
      <c r="AR42" s="280">
        <v>11093.3450357</v>
      </c>
      <c r="AS42" s="280">
        <v>171.32842857142859</v>
      </c>
      <c r="AT42" s="280">
        <v>0</v>
      </c>
      <c r="AU42" s="280">
        <v>0</v>
      </c>
      <c r="AV42" s="280">
        <v>92.983999999999995</v>
      </c>
      <c r="AW42" s="280">
        <v>0</v>
      </c>
      <c r="AX42" s="280">
        <v>506.48714285714289</v>
      </c>
      <c r="AY42" s="280">
        <v>634.05595238095236</v>
      </c>
      <c r="AZ42" s="280">
        <v>350.9</v>
      </c>
      <c r="BA42" s="280">
        <v>2378.4182142857144</v>
      </c>
      <c r="BB42" s="280">
        <v>3363.3741666666665</v>
      </c>
      <c r="BC42" s="281">
        <v>66734.72275307645</v>
      </c>
      <c r="BD42" s="282"/>
      <c r="BE42" s="282"/>
      <c r="BF42" s="282"/>
      <c r="BG42" s="282"/>
    </row>
    <row r="43" spans="1:59">
      <c r="A43" s="245">
        <v>2008</v>
      </c>
      <c r="B43" s="280">
        <v>4127.2227857142852</v>
      </c>
      <c r="C43" s="280">
        <v>13421.88573809524</v>
      </c>
      <c r="D43" s="279">
        <v>0</v>
      </c>
      <c r="E43" s="279">
        <v>0</v>
      </c>
      <c r="F43" s="279">
        <v>0</v>
      </c>
      <c r="G43" s="279">
        <v>17549.108523809526</v>
      </c>
      <c r="H43" s="279">
        <v>0</v>
      </c>
      <c r="I43" s="280">
        <v>60.530047619047622</v>
      </c>
      <c r="J43" s="280">
        <v>102.27767373999998</v>
      </c>
      <c r="K43" s="279">
        <v>162.8077213590476</v>
      </c>
      <c r="L43" s="280">
        <v>18421.872571428572</v>
      </c>
      <c r="M43" s="280">
        <v>1965.4258095238092</v>
      </c>
      <c r="N43" s="280">
        <v>1152.3690476190475</v>
      </c>
      <c r="O43" s="280">
        <v>1545.1083095238098</v>
      </c>
      <c r="P43" s="280">
        <v>71.578854640000003</v>
      </c>
      <c r="Q43" s="280">
        <v>0</v>
      </c>
      <c r="R43" s="280">
        <v>0</v>
      </c>
      <c r="S43" s="280">
        <v>252.61364285714285</v>
      </c>
      <c r="T43" s="280">
        <v>23408.96823559238</v>
      </c>
      <c r="U43" s="280">
        <v>0</v>
      </c>
      <c r="V43" s="280">
        <v>0</v>
      </c>
      <c r="W43" s="280">
        <v>1817.816333333333</v>
      </c>
      <c r="X43" s="280">
        <v>0</v>
      </c>
      <c r="Y43" s="280">
        <v>4176.3191462609993</v>
      </c>
      <c r="Z43" s="280">
        <v>2607.9588333333331</v>
      </c>
      <c r="AA43" s="280">
        <v>0</v>
      </c>
      <c r="AB43" s="280">
        <v>8602.0943129276657</v>
      </c>
      <c r="AC43" s="280">
        <v>51.406833333333338</v>
      </c>
      <c r="AD43" s="280">
        <v>69.746142857142857</v>
      </c>
      <c r="AE43" s="280">
        <v>0</v>
      </c>
      <c r="AF43" s="280">
        <v>0</v>
      </c>
      <c r="AG43" s="280">
        <v>121.1529761904762</v>
      </c>
      <c r="AH43" s="280">
        <v>2.5780714285714286</v>
      </c>
      <c r="AI43" s="280">
        <v>0</v>
      </c>
      <c r="AJ43" s="280">
        <v>2.5780714285714286</v>
      </c>
      <c r="AK43" s="280">
        <v>959.22621428571449</v>
      </c>
      <c r="AL43" s="280">
        <v>1641.9147857142855</v>
      </c>
      <c r="AM43" s="280">
        <v>2601.1410000000001</v>
      </c>
      <c r="AN43" s="280">
        <v>0</v>
      </c>
      <c r="AO43" s="279">
        <v>0</v>
      </c>
      <c r="AP43" s="279">
        <v>1.155</v>
      </c>
      <c r="AQ43" s="280">
        <v>1398.5520099928569</v>
      </c>
      <c r="AR43" s="280">
        <v>11389.155822499999</v>
      </c>
      <c r="AS43" s="280">
        <v>211.4637619047619</v>
      </c>
      <c r="AT43" s="280">
        <v>0</v>
      </c>
      <c r="AU43" s="280">
        <v>0</v>
      </c>
      <c r="AV43" s="280">
        <v>220.70500000000001</v>
      </c>
      <c r="AW43" s="280">
        <v>0</v>
      </c>
      <c r="AX43" s="280">
        <v>573.5201428571429</v>
      </c>
      <c r="AY43" s="280">
        <v>433.84997619047624</v>
      </c>
      <c r="AZ43" s="280">
        <v>578.49752380952384</v>
      </c>
      <c r="BA43" s="280">
        <v>2007.7415238095239</v>
      </c>
      <c r="BB43" s="280">
        <v>3020.089023809524</v>
      </c>
      <c r="BC43" s="281">
        <v>69262.491602371956</v>
      </c>
      <c r="BD43" s="282"/>
      <c r="BE43" s="282"/>
      <c r="BF43" s="282"/>
      <c r="BG43" s="282"/>
    </row>
    <row r="44" spans="1:59">
      <c r="A44" s="245">
        <v>2009</v>
      </c>
      <c r="B44" s="280">
        <v>4441.6629999999996</v>
      </c>
      <c r="C44" s="280">
        <v>14352.004000000001</v>
      </c>
      <c r="D44" s="279">
        <v>0</v>
      </c>
      <c r="E44" s="279">
        <v>0</v>
      </c>
      <c r="F44" s="279">
        <v>0</v>
      </c>
      <c r="G44" s="280">
        <v>18793.667000000001</v>
      </c>
      <c r="H44" s="279">
        <v>0</v>
      </c>
      <c r="I44" s="280">
        <v>51.914000000000001</v>
      </c>
      <c r="J44" s="280">
        <v>77.701999999999998</v>
      </c>
      <c r="K44" s="279">
        <v>129.61599999999999</v>
      </c>
      <c r="L44" s="280">
        <v>19498.821</v>
      </c>
      <c r="M44" s="280">
        <v>2163.6280000000002</v>
      </c>
      <c r="N44" s="280">
        <v>3113.759</v>
      </c>
      <c r="O44" s="280">
        <v>1742.211</v>
      </c>
      <c r="P44" s="280">
        <v>0</v>
      </c>
      <c r="Q44" s="280">
        <v>0</v>
      </c>
      <c r="R44" s="280">
        <v>0</v>
      </c>
      <c r="S44" s="280">
        <v>0</v>
      </c>
      <c r="T44" s="280">
        <v>26518.418999999998</v>
      </c>
      <c r="U44" s="280">
        <v>0</v>
      </c>
      <c r="V44" s="280">
        <v>0</v>
      </c>
      <c r="W44" s="280">
        <v>1765.8</v>
      </c>
      <c r="X44" s="280">
        <v>4176.0739999999996</v>
      </c>
      <c r="Y44" s="280">
        <v>0</v>
      </c>
      <c r="Z44" s="280">
        <v>2881.4580000000001</v>
      </c>
      <c r="AA44" s="280">
        <v>0</v>
      </c>
      <c r="AB44" s="280">
        <v>8823.3320000000003</v>
      </c>
      <c r="AC44" s="280">
        <v>49.527000000000001</v>
      </c>
      <c r="AD44" s="280">
        <v>64.462000000000003</v>
      </c>
      <c r="AE44" s="280">
        <v>0</v>
      </c>
      <c r="AF44" s="280">
        <v>0</v>
      </c>
      <c r="AG44" s="280">
        <v>113.989</v>
      </c>
      <c r="AH44" s="280">
        <v>0</v>
      </c>
      <c r="AI44" s="280">
        <v>8.6120000000000001</v>
      </c>
      <c r="AJ44" s="280">
        <v>8.6120000000000001</v>
      </c>
      <c r="AK44" s="280">
        <v>1203.7360000000001</v>
      </c>
      <c r="AL44" s="280">
        <v>1377.6669999999999</v>
      </c>
      <c r="AM44" s="280">
        <v>2581.4030000000002</v>
      </c>
      <c r="AN44" s="280">
        <v>0</v>
      </c>
      <c r="AO44" s="279">
        <v>0</v>
      </c>
      <c r="AP44" s="280">
        <v>0.71399999999999997</v>
      </c>
      <c r="AQ44" s="280">
        <v>2297.759</v>
      </c>
      <c r="AR44" s="280">
        <v>11227.843000000001</v>
      </c>
      <c r="AS44" s="280">
        <v>220.63</v>
      </c>
      <c r="AT44" s="280">
        <v>0</v>
      </c>
      <c r="AU44" s="280">
        <v>0</v>
      </c>
      <c r="AV44" s="280">
        <v>217.059</v>
      </c>
      <c r="AW44" s="280">
        <v>0</v>
      </c>
      <c r="AX44" s="280">
        <v>630.31700000000001</v>
      </c>
      <c r="AY44" s="280">
        <v>739.96199999999999</v>
      </c>
      <c r="AZ44" s="280">
        <v>3521.0929999999998</v>
      </c>
      <c r="BA44" s="280">
        <v>0</v>
      </c>
      <c r="BB44" s="280">
        <v>4261.0550000000003</v>
      </c>
      <c r="BC44" s="281">
        <v>75824.415000000008</v>
      </c>
      <c r="BD44" s="277"/>
      <c r="BE44" s="282"/>
      <c r="BF44" s="282"/>
      <c r="BG44" s="282"/>
    </row>
    <row r="45" spans="1:59">
      <c r="A45" s="245">
        <v>2010</v>
      </c>
      <c r="B45" s="280">
        <v>4864.7398809523802</v>
      </c>
      <c r="C45" s="280">
        <v>14915.614071428572</v>
      </c>
      <c r="D45" s="280">
        <v>637.81611904761905</v>
      </c>
      <c r="E45" s="279">
        <v>0</v>
      </c>
      <c r="F45" s="279">
        <v>0</v>
      </c>
      <c r="G45" s="280">
        <v>20418.170071428573</v>
      </c>
      <c r="H45" s="279">
        <v>0</v>
      </c>
      <c r="I45" s="280">
        <v>59.810600000000008</v>
      </c>
      <c r="J45" s="280">
        <v>59.093419039999993</v>
      </c>
      <c r="K45" s="279">
        <v>118.90401904000001</v>
      </c>
      <c r="L45" s="280">
        <v>19846.62896190476</v>
      </c>
      <c r="M45" s="280">
        <v>2629.0618523809521</v>
      </c>
      <c r="N45" s="280">
        <v>5922.1792999999998</v>
      </c>
      <c r="O45" s="280">
        <v>1512.8583000000001</v>
      </c>
      <c r="P45" s="280">
        <v>0</v>
      </c>
      <c r="Q45" s="280">
        <v>0</v>
      </c>
      <c r="R45" s="280">
        <v>0</v>
      </c>
      <c r="S45" s="280">
        <v>0</v>
      </c>
      <c r="T45" s="280">
        <v>29910.728414285713</v>
      </c>
      <c r="U45" s="280">
        <v>0</v>
      </c>
      <c r="V45" s="280">
        <v>0</v>
      </c>
      <c r="W45" s="280">
        <v>1817.672480952381</v>
      </c>
      <c r="X45" s="280">
        <v>3618.6529999999998</v>
      </c>
      <c r="Y45" s="280">
        <v>0</v>
      </c>
      <c r="Z45" s="280">
        <v>3621.6725999999999</v>
      </c>
      <c r="AA45" s="280">
        <v>0</v>
      </c>
      <c r="AB45" s="280">
        <v>9057.9980809523804</v>
      </c>
      <c r="AC45" s="280">
        <v>43.108619047619051</v>
      </c>
      <c r="AD45" s="280">
        <v>73.384047619047621</v>
      </c>
      <c r="AE45" s="280">
        <v>0</v>
      </c>
      <c r="AF45" s="280">
        <v>0</v>
      </c>
      <c r="AG45" s="280">
        <v>116.49266666666668</v>
      </c>
      <c r="AH45" s="280">
        <v>3.8216000000000006</v>
      </c>
      <c r="AI45" s="280">
        <v>21.455899999999996</v>
      </c>
      <c r="AJ45" s="280">
        <v>25.277499999999996</v>
      </c>
      <c r="AK45" s="280">
        <v>1458.5956000000001</v>
      </c>
      <c r="AL45" s="280">
        <v>1116.9281000000001</v>
      </c>
      <c r="AM45" s="280">
        <v>2575.5237000000002</v>
      </c>
      <c r="AN45" s="280">
        <v>0</v>
      </c>
      <c r="AO45" s="279">
        <v>0</v>
      </c>
      <c r="AP45" s="280">
        <v>1.1681190476190477</v>
      </c>
      <c r="AQ45" s="280">
        <v>2119.6720333738094</v>
      </c>
      <c r="AR45" s="280">
        <v>11370.461373549999</v>
      </c>
      <c r="AS45" s="280">
        <v>233.38133333333334</v>
      </c>
      <c r="AT45" s="280">
        <v>0</v>
      </c>
      <c r="AU45" s="280">
        <v>0</v>
      </c>
      <c r="AV45" s="280">
        <v>403.428</v>
      </c>
      <c r="AW45" s="280">
        <v>0</v>
      </c>
      <c r="AX45" s="280">
        <v>675.93630000000007</v>
      </c>
      <c r="AY45" s="280">
        <v>718.98299999999995</v>
      </c>
      <c r="AZ45" s="280">
        <v>2707.1301000000003</v>
      </c>
      <c r="BA45" s="280">
        <v>0</v>
      </c>
      <c r="BB45" s="280">
        <v>3426.1131000000005</v>
      </c>
      <c r="BC45" s="281">
        <v>80453.254711678106</v>
      </c>
      <c r="BD45" s="277"/>
      <c r="BE45" s="282"/>
      <c r="BF45" s="282"/>
      <c r="BG45" s="282"/>
    </row>
    <row r="46" spans="1:59">
      <c r="A46" s="245">
        <v>2011</v>
      </c>
      <c r="B46" s="280">
        <v>5506.7932619047624</v>
      </c>
      <c r="C46" s="280">
        <v>15978.870642857144</v>
      </c>
      <c r="D46" s="280">
        <v>899.44269047619036</v>
      </c>
      <c r="E46" s="279">
        <v>0</v>
      </c>
      <c r="F46" s="279">
        <v>0</v>
      </c>
      <c r="G46" s="280">
        <v>22385.106595238096</v>
      </c>
      <c r="H46" s="279">
        <v>0</v>
      </c>
      <c r="I46" s="280">
        <v>55.042476190476194</v>
      </c>
      <c r="J46" s="280">
        <v>48.3930342857143</v>
      </c>
      <c r="K46" s="279">
        <v>103.4355104761905</v>
      </c>
      <c r="L46" s="280">
        <v>20686.111666666664</v>
      </c>
      <c r="M46" s="280">
        <v>3537.8873333333336</v>
      </c>
      <c r="N46" s="280">
        <v>2459.1280000000006</v>
      </c>
      <c r="O46" s="280">
        <v>1658.6712988095237</v>
      </c>
      <c r="P46" s="280">
        <v>0</v>
      </c>
      <c r="Q46" s="280">
        <v>0</v>
      </c>
      <c r="R46" s="280">
        <v>0</v>
      </c>
      <c r="S46" s="280">
        <v>0</v>
      </c>
      <c r="T46" s="280">
        <v>28341.798298809521</v>
      </c>
      <c r="U46" s="280">
        <v>0</v>
      </c>
      <c r="V46" s="280">
        <v>0</v>
      </c>
      <c r="W46" s="280">
        <v>1882.4089523809528</v>
      </c>
      <c r="X46" s="280">
        <v>4088.345609839952</v>
      </c>
      <c r="Y46" s="280">
        <v>0</v>
      </c>
      <c r="Z46" s="280">
        <v>3344.8290238095237</v>
      </c>
      <c r="AA46" s="280">
        <v>0</v>
      </c>
      <c r="AB46" s="280">
        <v>9315.5835860304287</v>
      </c>
      <c r="AC46" s="280">
        <v>56.347928571428575</v>
      </c>
      <c r="AD46" s="280">
        <v>70.848928571428559</v>
      </c>
      <c r="AE46" s="280">
        <v>0</v>
      </c>
      <c r="AF46" s="280">
        <v>0</v>
      </c>
      <c r="AG46" s="280">
        <v>127.19685714285714</v>
      </c>
      <c r="AH46" s="280">
        <v>28.530642857142855</v>
      </c>
      <c r="AI46" s="280">
        <v>0.95859523809523806</v>
      </c>
      <c r="AJ46" s="280">
        <v>29.489238095238093</v>
      </c>
      <c r="AK46" s="280">
        <v>1567.1044285714286</v>
      </c>
      <c r="AL46" s="280">
        <v>1058.2150238095237</v>
      </c>
      <c r="AM46" s="280">
        <v>2625.3194523809525</v>
      </c>
      <c r="AN46" s="280">
        <v>0</v>
      </c>
      <c r="AO46" s="279">
        <v>0</v>
      </c>
      <c r="AP46" s="280">
        <v>1.1904761904761907</v>
      </c>
      <c r="AQ46" s="280">
        <v>2211.1578782276188</v>
      </c>
      <c r="AR46" s="280">
        <v>11781.655811199998</v>
      </c>
      <c r="AS46" s="280">
        <v>238.97002380952384</v>
      </c>
      <c r="AT46" s="280">
        <v>0</v>
      </c>
      <c r="AU46" s="280">
        <v>0</v>
      </c>
      <c r="AV46" s="280">
        <v>309.1863571428571</v>
      </c>
      <c r="AW46" s="280">
        <v>0</v>
      </c>
      <c r="AX46" s="280">
        <v>744.69354761904776</v>
      </c>
      <c r="AY46" s="280">
        <v>3602.255261904761</v>
      </c>
      <c r="AZ46" s="280">
        <v>715.70147619047634</v>
      </c>
      <c r="BA46" s="280">
        <v>0</v>
      </c>
      <c r="BB46" s="280">
        <v>4317.9567380952376</v>
      </c>
      <c r="BC46" s="281">
        <v>82532.740370458036</v>
      </c>
      <c r="BD46" s="277"/>
      <c r="BE46" s="282"/>
      <c r="BF46" s="282"/>
      <c r="BG46" s="282"/>
    </row>
    <row r="47" spans="1:59">
      <c r="A47" s="245">
        <v>2012</v>
      </c>
      <c r="B47" s="280">
        <v>5346.1688333333332</v>
      </c>
      <c r="C47" s="280">
        <v>17176.578047619045</v>
      </c>
      <c r="D47" s="280">
        <v>1074.1496428571429</v>
      </c>
      <c r="E47" s="279">
        <v>0</v>
      </c>
      <c r="F47" s="279">
        <v>0</v>
      </c>
      <c r="G47" s="280">
        <v>23596.896523809522</v>
      </c>
      <c r="H47" s="279">
        <v>0</v>
      </c>
      <c r="I47" s="280">
        <v>37.977476190476182</v>
      </c>
      <c r="J47" s="280">
        <v>50.287641904761912</v>
      </c>
      <c r="K47" s="279">
        <v>88.265118095238094</v>
      </c>
      <c r="L47" s="280">
        <v>7601.3893333333317</v>
      </c>
      <c r="M47" s="280">
        <v>18367.864928571427</v>
      </c>
      <c r="N47" s="280">
        <v>1585.8523333333335</v>
      </c>
      <c r="O47" s="280">
        <v>1607.8072995238094</v>
      </c>
      <c r="P47" s="280">
        <v>0</v>
      </c>
      <c r="Q47" s="280">
        <v>0</v>
      </c>
      <c r="R47" s="280">
        <v>0</v>
      </c>
      <c r="S47" s="280">
        <v>0</v>
      </c>
      <c r="T47" s="280">
        <v>29162.913894761903</v>
      </c>
      <c r="U47" s="280">
        <v>0</v>
      </c>
      <c r="V47" s="280">
        <v>0</v>
      </c>
      <c r="W47" s="280">
        <v>1936.2358095238094</v>
      </c>
      <c r="X47" s="280">
        <v>3571.4745798843337</v>
      </c>
      <c r="Y47" s="280">
        <v>0</v>
      </c>
      <c r="Z47" s="280">
        <v>3422.295380952381</v>
      </c>
      <c r="AA47" s="280">
        <v>0</v>
      </c>
      <c r="AB47" s="280">
        <v>8930.0057703605235</v>
      </c>
      <c r="AC47" s="280">
        <v>61.381238095238103</v>
      </c>
      <c r="AD47" s="280">
        <v>85.758452380952363</v>
      </c>
      <c r="AE47" s="280">
        <v>0</v>
      </c>
      <c r="AF47" s="280">
        <v>0</v>
      </c>
      <c r="AG47" s="280">
        <v>147.13969047619048</v>
      </c>
      <c r="AH47" s="280">
        <v>30.460714285714289</v>
      </c>
      <c r="AI47" s="280">
        <v>0.71633333333333338</v>
      </c>
      <c r="AJ47" s="280">
        <v>31.177047619047624</v>
      </c>
      <c r="AK47" s="280">
        <v>1127.0272619047619</v>
      </c>
      <c r="AL47" s="280">
        <v>1401.7219047619049</v>
      </c>
      <c r="AM47" s="280">
        <v>2528.7491666666665</v>
      </c>
      <c r="AN47" s="280">
        <v>0</v>
      </c>
      <c r="AO47" s="279">
        <v>0</v>
      </c>
      <c r="AP47" s="280">
        <v>0.95238095238095244</v>
      </c>
      <c r="AQ47" s="280">
        <v>2392.9063370495232</v>
      </c>
      <c r="AR47" s="280">
        <v>11835.410600450001</v>
      </c>
      <c r="AS47" s="280">
        <v>250.61823809523807</v>
      </c>
      <c r="AT47" s="280">
        <v>0</v>
      </c>
      <c r="AU47" s="280">
        <v>0</v>
      </c>
      <c r="AV47" s="280">
        <v>0</v>
      </c>
      <c r="AW47" s="280">
        <v>0</v>
      </c>
      <c r="AX47" s="280">
        <v>815.18578571428588</v>
      </c>
      <c r="AY47" s="280">
        <v>0</v>
      </c>
      <c r="AZ47" s="280">
        <v>0</v>
      </c>
      <c r="BA47" s="280">
        <v>0</v>
      </c>
      <c r="BB47" s="280">
        <v>5488.8418571428574</v>
      </c>
      <c r="BC47" s="281">
        <v>85269.062411193401</v>
      </c>
      <c r="BD47" s="277"/>
      <c r="BE47" s="282"/>
      <c r="BF47" s="282"/>
      <c r="BG47" s="282"/>
    </row>
    <row r="48" spans="1:59">
      <c r="A48" s="245">
        <v>2013</v>
      </c>
      <c r="B48" s="280">
        <v>5170.1750952380953</v>
      </c>
      <c r="C48" s="280">
        <v>18630.714809523812</v>
      </c>
      <c r="D48" s="280">
        <v>1126.986119047619</v>
      </c>
      <c r="E48" s="279">
        <v>0</v>
      </c>
      <c r="F48" s="279">
        <v>0</v>
      </c>
      <c r="G48" s="280">
        <v>24927.876023809524</v>
      </c>
      <c r="H48" s="279">
        <v>0</v>
      </c>
      <c r="I48" s="280">
        <v>32.803857142857147</v>
      </c>
      <c r="J48" s="280">
        <v>31.169681904761905</v>
      </c>
      <c r="K48" s="279">
        <v>63.973539047619056</v>
      </c>
      <c r="L48" s="280">
        <v>8222.063047619049</v>
      </c>
      <c r="M48" s="280">
        <v>19486.935761904762</v>
      </c>
      <c r="N48" s="280">
        <v>2514.5044523809524</v>
      </c>
      <c r="O48" s="280">
        <v>1653.1083938095239</v>
      </c>
      <c r="P48" s="280">
        <v>0</v>
      </c>
      <c r="Q48" s="280">
        <v>0</v>
      </c>
      <c r="R48" s="280">
        <v>0</v>
      </c>
      <c r="S48" s="280">
        <v>0</v>
      </c>
      <c r="T48" s="280">
        <v>31876.611655714289</v>
      </c>
      <c r="U48" s="280">
        <v>0</v>
      </c>
      <c r="V48" s="280">
        <v>0</v>
      </c>
      <c r="W48" s="280">
        <v>1985.3230476190477</v>
      </c>
      <c r="X48" s="280">
        <v>2754.0632534000001</v>
      </c>
      <c r="Y48" s="280">
        <v>0</v>
      </c>
      <c r="Z48" s="280">
        <v>3909.9791190476185</v>
      </c>
      <c r="AA48" s="280">
        <v>0</v>
      </c>
      <c r="AB48" s="280">
        <v>8649.365420066666</v>
      </c>
      <c r="AC48" s="280">
        <v>78.233333333333334</v>
      </c>
      <c r="AD48" s="280">
        <v>89.538095238095238</v>
      </c>
      <c r="AE48" s="280">
        <v>0</v>
      </c>
      <c r="AF48" s="280">
        <v>0</v>
      </c>
      <c r="AG48" s="280">
        <v>167.77142857142857</v>
      </c>
      <c r="AH48" s="280">
        <v>30.161309523809518</v>
      </c>
      <c r="AI48" s="280">
        <v>0.33780952380952378</v>
      </c>
      <c r="AJ48" s="280">
        <v>30.49911904761904</v>
      </c>
      <c r="AK48" s="280">
        <v>1211.6424285714286</v>
      </c>
      <c r="AL48" s="280">
        <v>1642.6364761904763</v>
      </c>
      <c r="AM48" s="280">
        <v>2854.2789047619049</v>
      </c>
      <c r="AN48" s="280">
        <v>0</v>
      </c>
      <c r="AO48" s="279">
        <v>0</v>
      </c>
      <c r="AP48" s="280">
        <v>0.7142857142857143</v>
      </c>
      <c r="AQ48" s="280">
        <v>2365.7298706880952</v>
      </c>
      <c r="AR48" s="280">
        <v>12164.446967700002</v>
      </c>
      <c r="AS48" s="280">
        <v>217.14090476190469</v>
      </c>
      <c r="AT48" s="280">
        <v>0</v>
      </c>
      <c r="AU48" s="280">
        <v>0</v>
      </c>
      <c r="AV48" s="280">
        <v>64.484999999999999</v>
      </c>
      <c r="AW48" s="280">
        <v>0</v>
      </c>
      <c r="AX48" s="280">
        <v>817.92147619047626</v>
      </c>
      <c r="AY48" s="280">
        <v>0</v>
      </c>
      <c r="AZ48" s="280">
        <v>0</v>
      </c>
      <c r="BA48" s="280">
        <v>0</v>
      </c>
      <c r="BB48" s="280">
        <v>6168.8211904761902</v>
      </c>
      <c r="BC48" s="281">
        <v>90369.635786550003</v>
      </c>
      <c r="BD48" s="277"/>
      <c r="BE48" s="282"/>
      <c r="BF48" s="282"/>
      <c r="BG48" s="282"/>
    </row>
    <row r="49" spans="1:59">
      <c r="A49" s="245">
        <v>2014</v>
      </c>
      <c r="B49" s="280">
        <v>5297.431380952381</v>
      </c>
      <c r="C49" s="280">
        <v>19303.054595238093</v>
      </c>
      <c r="D49" s="280">
        <v>1878.8558571428573</v>
      </c>
      <c r="E49" s="279">
        <v>0</v>
      </c>
      <c r="F49" s="279">
        <v>0</v>
      </c>
      <c r="G49" s="280">
        <v>26479.341833333332</v>
      </c>
      <c r="H49" s="279">
        <v>0</v>
      </c>
      <c r="I49" s="280">
        <v>28.959047619047617</v>
      </c>
      <c r="J49" s="280">
        <v>21.758347619047619</v>
      </c>
      <c r="K49" s="279">
        <v>50.717395238095236</v>
      </c>
      <c r="L49" s="280">
        <v>8576.6339523809511</v>
      </c>
      <c r="M49" s="280">
        <v>20220.454404761902</v>
      </c>
      <c r="N49" s="280">
        <v>2861.0895</v>
      </c>
      <c r="O49" s="280">
        <v>1833.3179342857145</v>
      </c>
      <c r="P49" s="280">
        <v>0</v>
      </c>
      <c r="Q49" s="280">
        <v>0</v>
      </c>
      <c r="R49" s="280">
        <v>0</v>
      </c>
      <c r="S49" s="280">
        <v>0</v>
      </c>
      <c r="T49" s="280">
        <v>33491.495791428562</v>
      </c>
      <c r="U49" s="280">
        <v>0</v>
      </c>
      <c r="V49" s="280">
        <v>0</v>
      </c>
      <c r="W49" s="280">
        <v>2021.4779761904763</v>
      </c>
      <c r="X49" s="280">
        <v>3041.9490574669999</v>
      </c>
      <c r="Y49" s="280">
        <v>0</v>
      </c>
      <c r="Z49" s="280">
        <v>4069.7585476190479</v>
      </c>
      <c r="AA49" s="280">
        <v>0</v>
      </c>
      <c r="AB49" s="280">
        <v>9133.1855812765243</v>
      </c>
      <c r="AC49" s="280">
        <v>66.199999999999989</v>
      </c>
      <c r="AD49" s="280">
        <v>94.379238095238094</v>
      </c>
      <c r="AE49" s="280">
        <v>0</v>
      </c>
      <c r="AF49" s="280">
        <v>0</v>
      </c>
      <c r="AG49" s="280">
        <v>160.57923809523808</v>
      </c>
      <c r="AH49" s="280">
        <v>36.917166666666674</v>
      </c>
      <c r="AI49" s="280">
        <v>0.33780952380952378</v>
      </c>
      <c r="AJ49" s="280">
        <v>37.254976190476199</v>
      </c>
      <c r="AK49" s="280">
        <v>1232.6300000000001</v>
      </c>
      <c r="AL49" s="280">
        <v>1593.1133095238097</v>
      </c>
      <c r="AM49" s="280">
        <v>2825.7433095238098</v>
      </c>
      <c r="AN49" s="280">
        <v>0</v>
      </c>
      <c r="AO49" s="279">
        <v>0</v>
      </c>
      <c r="AP49" s="280">
        <v>0.95238095238095244</v>
      </c>
      <c r="AQ49" s="280">
        <v>2451.1129887571428</v>
      </c>
      <c r="AR49" s="280">
        <v>12468.4320487</v>
      </c>
      <c r="AS49" s="280">
        <v>214.71404761904759</v>
      </c>
      <c r="AT49" s="280">
        <v>0</v>
      </c>
      <c r="AU49" s="280">
        <v>0</v>
      </c>
      <c r="AV49" s="280">
        <v>0</v>
      </c>
      <c r="AW49" s="280">
        <v>0</v>
      </c>
      <c r="AX49" s="280">
        <v>863.22640476190497</v>
      </c>
      <c r="AY49" s="280">
        <v>0</v>
      </c>
      <c r="AZ49" s="280">
        <v>0</v>
      </c>
      <c r="BA49" s="280"/>
      <c r="BB49" s="280">
        <v>6473.1571190476197</v>
      </c>
      <c r="BC49" s="281">
        <v>94649.913114924144</v>
      </c>
      <c r="BD49" s="277"/>
      <c r="BE49" s="282"/>
      <c r="BF49" s="282"/>
      <c r="BG49" s="282"/>
    </row>
    <row r="50" spans="1:59">
      <c r="A50" s="245">
        <v>2015</v>
      </c>
      <c r="B50" s="280">
        <v>5312.3368571428582</v>
      </c>
      <c r="C50" s="280">
        <v>17638.27285714286</v>
      </c>
      <c r="D50" s="280">
        <v>4367.3326190476191</v>
      </c>
      <c r="E50" s="279">
        <v>0</v>
      </c>
      <c r="F50" s="279">
        <v>0</v>
      </c>
      <c r="G50" s="280">
        <v>27317.942333333336</v>
      </c>
      <c r="H50" s="279">
        <v>0</v>
      </c>
      <c r="I50" s="280">
        <v>24.770714285714288</v>
      </c>
      <c r="J50" s="280">
        <v>12.043931428571431</v>
      </c>
      <c r="K50" s="279">
        <v>36.814645714285717</v>
      </c>
      <c r="L50" s="280">
        <v>7564.3663333333334</v>
      </c>
      <c r="M50" s="280">
        <v>20412.332666666665</v>
      </c>
      <c r="N50" s="280">
        <v>3175.0150952380955</v>
      </c>
      <c r="O50" s="280">
        <v>1904.8155661904766</v>
      </c>
      <c r="P50" s="280">
        <v>0</v>
      </c>
      <c r="Q50" s="280">
        <v>0</v>
      </c>
      <c r="R50" s="280">
        <v>0</v>
      </c>
      <c r="S50" s="280">
        <v>0</v>
      </c>
      <c r="T50" s="280">
        <v>33056.529661428569</v>
      </c>
      <c r="U50" s="280">
        <v>0</v>
      </c>
      <c r="V50" s="280">
        <v>0</v>
      </c>
      <c r="W50" s="280">
        <v>1838.6475476190476</v>
      </c>
      <c r="X50" s="280">
        <v>2406.4757990220005</v>
      </c>
      <c r="Y50" s="280">
        <v>0</v>
      </c>
      <c r="Z50" s="280">
        <v>3675.8277380952377</v>
      </c>
      <c r="AA50" s="280">
        <v>0</v>
      </c>
      <c r="AB50" s="280">
        <v>7920.9510847362862</v>
      </c>
      <c r="AC50" s="280">
        <v>60.781404761904746</v>
      </c>
      <c r="AD50" s="280">
        <v>99.023690476190481</v>
      </c>
      <c r="AE50" s="280">
        <v>0</v>
      </c>
      <c r="AF50" s="280">
        <v>0</v>
      </c>
      <c r="AG50" s="280">
        <v>159.80509523809522</v>
      </c>
      <c r="AH50" s="280">
        <v>38.152357142857142</v>
      </c>
      <c r="AI50" s="280">
        <v>0.33780952380952378</v>
      </c>
      <c r="AJ50" s="280">
        <v>38.490166666666667</v>
      </c>
      <c r="AK50" s="280">
        <v>1233.947714285714</v>
      </c>
      <c r="AL50" s="280">
        <v>1453.7549523809523</v>
      </c>
      <c r="AM50" s="280">
        <v>2687.7026666666661</v>
      </c>
      <c r="AN50" s="280">
        <v>0</v>
      </c>
      <c r="AO50" s="279">
        <v>0</v>
      </c>
      <c r="AP50" s="280">
        <v>0.7142857142857143</v>
      </c>
      <c r="AQ50" s="280">
        <v>1509.3789556571426</v>
      </c>
      <c r="AR50" s="280">
        <v>12704.980638699999</v>
      </c>
      <c r="AS50" s="280">
        <v>200.08071428571429</v>
      </c>
      <c r="AT50" s="280">
        <v>0</v>
      </c>
      <c r="AU50" s="280">
        <v>0</v>
      </c>
      <c r="AV50" s="280">
        <v>13.342000000000001</v>
      </c>
      <c r="AW50" s="280">
        <v>0</v>
      </c>
      <c r="AX50" s="280">
        <v>856.22259523809521</v>
      </c>
      <c r="AY50" s="280">
        <v>0</v>
      </c>
      <c r="AZ50" s="280">
        <v>0</v>
      </c>
      <c r="BA50" s="280"/>
      <c r="BB50" s="280">
        <v>6298.3207142857136</v>
      </c>
      <c r="BC50" s="281">
        <v>92801.275557664863</v>
      </c>
      <c r="BD50" s="277"/>
      <c r="BE50" s="282"/>
      <c r="BF50" s="282"/>
      <c r="BG50" s="282"/>
    </row>
    <row r="51" spans="1:59">
      <c r="A51" s="245">
        <v>2016</v>
      </c>
      <c r="B51" s="280">
        <v>4645.6131666634128</v>
      </c>
      <c r="C51" s="280">
        <v>17767.007538143866</v>
      </c>
      <c r="D51" s="280">
        <v>5152.6538047832737</v>
      </c>
      <c r="E51" s="279">
        <v>0</v>
      </c>
      <c r="F51" s="279">
        <v>0</v>
      </c>
      <c r="G51" s="280">
        <v>27565.274509590552</v>
      </c>
      <c r="H51" s="279">
        <v>0</v>
      </c>
      <c r="I51" s="280">
        <v>19.967309541753934</v>
      </c>
      <c r="J51" s="280">
        <v>2.7997238095238099</v>
      </c>
      <c r="K51" s="279">
        <v>22.767033351277746</v>
      </c>
      <c r="L51" s="280">
        <v>6982.9206713706872</v>
      </c>
      <c r="M51" s="280">
        <v>20015.508347094303</v>
      </c>
      <c r="N51" s="280">
        <v>2291.8062285981127</v>
      </c>
      <c r="O51" s="280">
        <v>1889.2474628531188</v>
      </c>
      <c r="P51" s="280">
        <v>0</v>
      </c>
      <c r="Q51" s="280">
        <v>0</v>
      </c>
      <c r="R51" s="280">
        <v>0</v>
      </c>
      <c r="S51" s="280">
        <v>0</v>
      </c>
      <c r="T51" s="280">
        <v>31179.482709916225</v>
      </c>
      <c r="U51" s="280">
        <v>0</v>
      </c>
      <c r="V51" s="280">
        <v>0</v>
      </c>
      <c r="W51" s="280">
        <v>2163.3635208092155</v>
      </c>
      <c r="X51" s="280">
        <v>2083.036168008</v>
      </c>
      <c r="Y51" s="280">
        <v>0</v>
      </c>
      <c r="Z51" s="280">
        <v>2951.191442857099</v>
      </c>
      <c r="AA51" s="280">
        <v>0</v>
      </c>
      <c r="AB51" s="280">
        <v>7197.5911316743141</v>
      </c>
      <c r="AC51" s="280">
        <v>53.32914286271987</v>
      </c>
      <c r="AD51" s="280">
        <v>89.691547554998309</v>
      </c>
      <c r="AE51" s="280">
        <v>0</v>
      </c>
      <c r="AF51" s="280">
        <v>0</v>
      </c>
      <c r="AG51" s="280">
        <v>143.02069041771819</v>
      </c>
      <c r="AH51" s="280">
        <v>34.044285714257114</v>
      </c>
      <c r="AI51" s="280">
        <v>0.33780952380952378</v>
      </c>
      <c r="AJ51" s="280">
        <v>34.38209523806664</v>
      </c>
      <c r="AK51" s="280">
        <v>731.24826190476199</v>
      </c>
      <c r="AL51" s="280">
        <v>1814.6003095237832</v>
      </c>
      <c r="AM51" s="280">
        <v>2545.8485714285453</v>
      </c>
      <c r="AN51" s="280">
        <v>0</v>
      </c>
      <c r="AO51" s="279">
        <v>0</v>
      </c>
      <c r="AP51" s="280">
        <v>0.47129999999999989</v>
      </c>
      <c r="AQ51" s="280">
        <v>1449.628294590126</v>
      </c>
      <c r="AR51" s="280">
        <v>12440.746317750001</v>
      </c>
      <c r="AS51" s="280">
        <v>77.5259761904762</v>
      </c>
      <c r="AT51" s="280">
        <v>0</v>
      </c>
      <c r="AU51" s="280">
        <v>0</v>
      </c>
      <c r="AV51" s="280">
        <v>25.183571428571426</v>
      </c>
      <c r="AW51" s="280">
        <v>0</v>
      </c>
      <c r="AX51" s="280">
        <v>777.30666668781089</v>
      </c>
      <c r="AY51" s="280">
        <v>0</v>
      </c>
      <c r="AZ51" s="280">
        <v>0</v>
      </c>
      <c r="BA51" s="280"/>
      <c r="BB51" s="280">
        <v>4164.0705714407532</v>
      </c>
      <c r="BC51" s="281">
        <v>87623.299439704453</v>
      </c>
      <c r="BD51" s="282"/>
      <c r="BE51" s="282"/>
      <c r="BF51" s="282"/>
      <c r="BG51" s="282"/>
    </row>
    <row r="52" spans="1:59">
      <c r="A52" s="259"/>
      <c r="B52" s="272"/>
      <c r="C52" s="272"/>
      <c r="D52" s="272"/>
      <c r="E52" s="283"/>
      <c r="F52" s="283"/>
      <c r="G52" s="272"/>
      <c r="H52" s="283"/>
      <c r="I52" s="272"/>
      <c r="J52" s="272"/>
      <c r="K52" s="283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83"/>
      <c r="AP52" s="272"/>
      <c r="AQ52" s="272"/>
      <c r="AR52" s="272"/>
      <c r="AS52" s="272"/>
      <c r="AT52" s="272"/>
      <c r="AU52" s="272"/>
      <c r="AV52" s="272"/>
      <c r="AW52" s="272"/>
      <c r="AX52" s="272"/>
      <c r="AY52" s="272"/>
      <c r="AZ52" s="272"/>
      <c r="BA52" s="272"/>
      <c r="BB52" s="272"/>
      <c r="BC52" s="284"/>
      <c r="BD52" s="282"/>
      <c r="BE52" s="282"/>
      <c r="BF52" s="282"/>
      <c r="BG52" s="282"/>
    </row>
    <row r="54" spans="1:59">
      <c r="A54" s="238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O54" s="277"/>
      <c r="AP54" s="277"/>
    </row>
    <row r="55" spans="1:59">
      <c r="A55" s="107" t="s">
        <v>1393</v>
      </c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O55" s="277"/>
      <c r="AP55" s="277"/>
    </row>
    <row r="56" spans="1:59" ht="15">
      <c r="A56" s="389" t="s">
        <v>1009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O56" s="277"/>
      <c r="AP56" s="277"/>
    </row>
    <row r="57" spans="1:59">
      <c r="A57" s="239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O57" s="277"/>
      <c r="AP57" s="277"/>
    </row>
    <row r="58" spans="1:59">
      <c r="A58" s="198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O58" s="277"/>
      <c r="AP58" s="277"/>
    </row>
    <row r="59" spans="1:59"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C59" s="277"/>
      <c r="AD59" s="277"/>
      <c r="AE59" s="277"/>
      <c r="AF59" s="277"/>
      <c r="AH59" s="277"/>
      <c r="AI59" s="277"/>
    </row>
    <row r="60" spans="1:59"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C60" s="277"/>
      <c r="AD60" s="277"/>
      <c r="AE60" s="277"/>
      <c r="AF60" s="277"/>
      <c r="AH60" s="277"/>
      <c r="AI60" s="277"/>
    </row>
    <row r="61" spans="1:59"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C61" s="277"/>
      <c r="AD61" s="277"/>
      <c r="AE61" s="277"/>
      <c r="AF61" s="277"/>
      <c r="AH61" s="277"/>
      <c r="AI61" s="277"/>
    </row>
    <row r="62" spans="1:59"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C62" s="277"/>
      <c r="AD62" s="277"/>
      <c r="AE62" s="277"/>
      <c r="AF62" s="277"/>
      <c r="AH62" s="277"/>
      <c r="AI62" s="277"/>
    </row>
    <row r="63" spans="1:59"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C63" s="277"/>
      <c r="AD63" s="277"/>
      <c r="AE63" s="277"/>
      <c r="AF63" s="277"/>
      <c r="AH63" s="277"/>
      <c r="AI63" s="277"/>
    </row>
    <row r="64" spans="1:59"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C64" s="277"/>
      <c r="AD64" s="277"/>
      <c r="AE64" s="277"/>
      <c r="AF64" s="277"/>
      <c r="AH64" s="277"/>
      <c r="AI64" s="277"/>
    </row>
    <row r="65" spans="2:35"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C65" s="277"/>
      <c r="AD65" s="277"/>
      <c r="AE65" s="277"/>
      <c r="AF65" s="277"/>
      <c r="AH65" s="277"/>
      <c r="AI65" s="277"/>
    </row>
    <row r="66" spans="2:35"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C66" s="277"/>
      <c r="AD66" s="277"/>
      <c r="AE66" s="277"/>
      <c r="AF66" s="277"/>
      <c r="AH66" s="277"/>
      <c r="AI66" s="277"/>
    </row>
    <row r="67" spans="2:35"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C67" s="277"/>
      <c r="AD67" s="277"/>
      <c r="AE67" s="277"/>
      <c r="AF67" s="277"/>
      <c r="AH67" s="277"/>
      <c r="AI67" s="277"/>
    </row>
    <row r="68" spans="2:35"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C68" s="277"/>
      <c r="AD68" s="277"/>
      <c r="AE68" s="277"/>
      <c r="AF68" s="277"/>
      <c r="AH68" s="277"/>
      <c r="AI68" s="277"/>
    </row>
    <row r="69" spans="2:35"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C69" s="277"/>
      <c r="AD69" s="277"/>
      <c r="AE69" s="277"/>
      <c r="AF69" s="277"/>
      <c r="AH69" s="277"/>
      <c r="AI69" s="277"/>
    </row>
    <row r="70" spans="2:35"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C70" s="277"/>
      <c r="AD70" s="277"/>
      <c r="AE70" s="277"/>
      <c r="AF70" s="277"/>
      <c r="AH70" s="277"/>
      <c r="AI70" s="277"/>
    </row>
    <row r="71" spans="2:35"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C71" s="277"/>
      <c r="AD71" s="277"/>
      <c r="AE71" s="277"/>
      <c r="AF71" s="277"/>
      <c r="AH71" s="277"/>
      <c r="AI71" s="277"/>
    </row>
    <row r="72" spans="2:35"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C72" s="277"/>
      <c r="AD72" s="277"/>
      <c r="AE72" s="277"/>
      <c r="AF72" s="277"/>
      <c r="AH72" s="277"/>
      <c r="AI72" s="277"/>
    </row>
    <row r="73" spans="2:35"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C73" s="277"/>
      <c r="AD73" s="277"/>
      <c r="AE73" s="277"/>
      <c r="AF73" s="277"/>
      <c r="AH73" s="277"/>
      <c r="AI73" s="277"/>
    </row>
    <row r="74" spans="2:35"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C74" s="277"/>
      <c r="AD74" s="277"/>
      <c r="AE74" s="277"/>
      <c r="AF74" s="277"/>
      <c r="AH74" s="277"/>
      <c r="AI74" s="277"/>
    </row>
    <row r="75" spans="2:35"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C75" s="277"/>
      <c r="AD75" s="277"/>
      <c r="AE75" s="277"/>
      <c r="AF75" s="277"/>
      <c r="AH75" s="277"/>
      <c r="AI75" s="277"/>
    </row>
    <row r="76" spans="2:35"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C76" s="277"/>
      <c r="AD76" s="277"/>
      <c r="AE76" s="277"/>
      <c r="AF76" s="277"/>
      <c r="AH76" s="277"/>
      <c r="AI76" s="277"/>
    </row>
    <row r="77" spans="2:35"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C77" s="277"/>
      <c r="AD77" s="277"/>
      <c r="AE77" s="277"/>
      <c r="AF77" s="277"/>
      <c r="AH77" s="277"/>
      <c r="AI77" s="277"/>
    </row>
    <row r="78" spans="2:35"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C78" s="277"/>
      <c r="AD78" s="277"/>
      <c r="AE78" s="277"/>
      <c r="AF78" s="277"/>
      <c r="AH78" s="277"/>
      <c r="AI78" s="277"/>
    </row>
    <row r="79" spans="2:35"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C79" s="277"/>
      <c r="AD79" s="277"/>
      <c r="AE79" s="277"/>
      <c r="AF79" s="277"/>
      <c r="AH79" s="277"/>
      <c r="AI79" s="277"/>
    </row>
    <row r="80" spans="2:35"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C80" s="277"/>
      <c r="AD80" s="277"/>
      <c r="AE80" s="277"/>
      <c r="AF80" s="277"/>
      <c r="AH80" s="277"/>
      <c r="AI80" s="277"/>
    </row>
    <row r="81" spans="2:35"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C81" s="277"/>
      <c r="AD81" s="277"/>
      <c r="AE81" s="277"/>
      <c r="AF81" s="277"/>
      <c r="AH81" s="277"/>
      <c r="AI81" s="277"/>
    </row>
    <row r="82" spans="2:35"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C82" s="277"/>
      <c r="AD82" s="277"/>
      <c r="AE82" s="277"/>
      <c r="AF82" s="277"/>
      <c r="AH82" s="277"/>
      <c r="AI82" s="277"/>
    </row>
    <row r="83" spans="2:35"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C83" s="277"/>
      <c r="AD83" s="277"/>
      <c r="AE83" s="277"/>
      <c r="AF83" s="277"/>
      <c r="AH83" s="277"/>
      <c r="AI83" s="277"/>
    </row>
    <row r="84" spans="2:35"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C84" s="277"/>
      <c r="AD84" s="277"/>
      <c r="AE84" s="277"/>
      <c r="AF84" s="277"/>
      <c r="AH84" s="277"/>
      <c r="AI84" s="277"/>
    </row>
    <row r="85" spans="2:35"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C85" s="277"/>
      <c r="AD85" s="277"/>
      <c r="AE85" s="277"/>
      <c r="AF85" s="277"/>
      <c r="AH85" s="277"/>
      <c r="AI85" s="277"/>
    </row>
    <row r="86" spans="2:35"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C86" s="277"/>
      <c r="AD86" s="277"/>
      <c r="AE86" s="277"/>
      <c r="AF86" s="277"/>
      <c r="AH86" s="277"/>
      <c r="AI86" s="277"/>
    </row>
    <row r="87" spans="2:35"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C87" s="277"/>
      <c r="AD87" s="277"/>
      <c r="AE87" s="277"/>
      <c r="AF87" s="277"/>
      <c r="AH87" s="277"/>
      <c r="AI87" s="277"/>
    </row>
    <row r="88" spans="2:35">
      <c r="B88" s="277"/>
      <c r="C88" s="277"/>
      <c r="D88" s="277"/>
      <c r="E88" s="277"/>
      <c r="F88" s="277"/>
      <c r="G88" s="277"/>
      <c r="H88" s="277"/>
      <c r="I88" s="277"/>
      <c r="J88" s="277"/>
      <c r="L88" s="277"/>
      <c r="M88" s="277"/>
      <c r="N88" s="277"/>
      <c r="O88" s="277"/>
      <c r="P88" s="277"/>
      <c r="Q88" s="277"/>
      <c r="R88" s="277"/>
      <c r="S88" s="277"/>
      <c r="U88" s="277"/>
      <c r="V88" s="277"/>
      <c r="W88" s="277"/>
      <c r="X88" s="277"/>
      <c r="Y88" s="277"/>
      <c r="Z88" s="277"/>
      <c r="AA88" s="277"/>
      <c r="AC88" s="277"/>
      <c r="AD88" s="277"/>
      <c r="AE88" s="277"/>
      <c r="AF88" s="277"/>
      <c r="AH88" s="277"/>
      <c r="AI88" s="277"/>
    </row>
    <row r="89" spans="2:35">
      <c r="B89" s="277"/>
      <c r="C89" s="277"/>
      <c r="D89" s="277"/>
      <c r="E89" s="277"/>
      <c r="F89" s="277"/>
      <c r="G89" s="277"/>
      <c r="H89" s="277"/>
      <c r="I89" s="277"/>
      <c r="J89" s="277"/>
      <c r="L89" s="277"/>
      <c r="M89" s="277"/>
      <c r="N89" s="277"/>
      <c r="O89" s="277"/>
      <c r="P89" s="277"/>
      <c r="Q89" s="277"/>
      <c r="R89" s="277"/>
      <c r="S89" s="277"/>
      <c r="U89" s="277"/>
      <c r="V89" s="277"/>
      <c r="W89" s="277"/>
      <c r="X89" s="277"/>
      <c r="Y89" s="277"/>
      <c r="Z89" s="277"/>
      <c r="AA89" s="277"/>
      <c r="AC89" s="277"/>
      <c r="AD89" s="277"/>
      <c r="AE89" s="277"/>
      <c r="AF89" s="277"/>
      <c r="AH89" s="277"/>
      <c r="AI89" s="277"/>
    </row>
    <row r="90" spans="2:35">
      <c r="B90" s="277"/>
      <c r="C90" s="277"/>
      <c r="D90" s="277"/>
      <c r="E90" s="277"/>
      <c r="F90" s="277"/>
      <c r="G90" s="277"/>
      <c r="H90" s="277"/>
      <c r="I90" s="277"/>
      <c r="J90" s="277"/>
      <c r="L90" s="277"/>
      <c r="M90" s="277"/>
      <c r="N90" s="277"/>
      <c r="O90" s="277"/>
      <c r="P90" s="277"/>
      <c r="Q90" s="277"/>
      <c r="R90" s="277"/>
      <c r="S90" s="277"/>
      <c r="U90" s="277"/>
      <c r="V90" s="277"/>
      <c r="W90" s="277"/>
      <c r="X90" s="277"/>
      <c r="Y90" s="277"/>
      <c r="Z90" s="277"/>
      <c r="AA90" s="277"/>
      <c r="AC90" s="277"/>
      <c r="AD90" s="277"/>
      <c r="AE90" s="277"/>
      <c r="AF90" s="277"/>
      <c r="AH90" s="277"/>
      <c r="AI90" s="277"/>
    </row>
    <row r="91" spans="2:35">
      <c r="B91" s="277"/>
      <c r="C91" s="277"/>
      <c r="D91" s="277"/>
      <c r="E91" s="277"/>
      <c r="F91" s="277"/>
      <c r="G91" s="277"/>
      <c r="H91" s="277"/>
      <c r="I91" s="277"/>
      <c r="J91" s="277"/>
      <c r="L91" s="277"/>
      <c r="M91" s="277"/>
      <c r="N91" s="277"/>
      <c r="O91" s="277"/>
      <c r="P91" s="277"/>
      <c r="Q91" s="277"/>
      <c r="R91" s="277"/>
      <c r="S91" s="277"/>
      <c r="U91" s="277"/>
      <c r="V91" s="277"/>
      <c r="W91" s="277"/>
      <c r="X91" s="277"/>
      <c r="Y91" s="277"/>
      <c r="Z91" s="277"/>
      <c r="AA91" s="277"/>
      <c r="AC91" s="277"/>
      <c r="AD91" s="277"/>
      <c r="AE91" s="277"/>
      <c r="AF91" s="277"/>
      <c r="AH91" s="277"/>
      <c r="AI91" s="277"/>
    </row>
    <row r="92" spans="2:35">
      <c r="B92" s="277"/>
      <c r="C92" s="277"/>
      <c r="D92" s="277"/>
      <c r="E92" s="277"/>
      <c r="F92" s="277"/>
      <c r="G92" s="277"/>
      <c r="H92" s="277"/>
      <c r="I92" s="277"/>
      <c r="J92" s="277"/>
      <c r="L92" s="277"/>
      <c r="M92" s="277"/>
      <c r="N92" s="277"/>
      <c r="O92" s="277"/>
      <c r="P92" s="277"/>
      <c r="Q92" s="277"/>
      <c r="R92" s="277"/>
      <c r="S92" s="277"/>
      <c r="U92" s="277"/>
      <c r="V92" s="277"/>
      <c r="W92" s="277"/>
      <c r="X92" s="277"/>
      <c r="Y92" s="277"/>
      <c r="Z92" s="277"/>
      <c r="AA92" s="277"/>
      <c r="AC92" s="277"/>
      <c r="AD92" s="277"/>
      <c r="AE92" s="277"/>
      <c r="AF92" s="277"/>
      <c r="AH92" s="277"/>
      <c r="AI92" s="277"/>
    </row>
    <row r="93" spans="2:35">
      <c r="B93" s="277"/>
      <c r="C93" s="277"/>
      <c r="D93" s="277"/>
      <c r="E93" s="277"/>
      <c r="F93" s="277"/>
      <c r="G93" s="277"/>
      <c r="H93" s="277"/>
      <c r="I93" s="277"/>
      <c r="J93" s="277"/>
      <c r="L93" s="277"/>
      <c r="M93" s="277"/>
      <c r="N93" s="277"/>
      <c r="O93" s="277"/>
      <c r="P93" s="277"/>
      <c r="Q93" s="277"/>
      <c r="R93" s="277"/>
      <c r="S93" s="277"/>
      <c r="U93" s="277"/>
      <c r="V93" s="277"/>
      <c r="W93" s="277"/>
      <c r="X93" s="277"/>
      <c r="Y93" s="277"/>
      <c r="Z93" s="277"/>
      <c r="AA93" s="277"/>
      <c r="AC93" s="277"/>
      <c r="AD93" s="277"/>
      <c r="AE93" s="277"/>
      <c r="AF93" s="277"/>
      <c r="AH93" s="277"/>
      <c r="AI93" s="277"/>
    </row>
    <row r="94" spans="2:35">
      <c r="B94" s="277"/>
      <c r="C94" s="277"/>
      <c r="D94" s="277"/>
      <c r="E94" s="277"/>
      <c r="F94" s="277"/>
      <c r="G94" s="277"/>
      <c r="H94" s="277"/>
      <c r="I94" s="277"/>
      <c r="J94" s="277"/>
      <c r="L94" s="277"/>
      <c r="M94" s="277"/>
      <c r="N94" s="277"/>
      <c r="O94" s="277"/>
      <c r="P94" s="277"/>
      <c r="Q94" s="277"/>
      <c r="R94" s="277"/>
      <c r="S94" s="277"/>
      <c r="U94" s="277"/>
      <c r="V94" s="277"/>
      <c r="W94" s="277"/>
      <c r="X94" s="277"/>
      <c r="Y94" s="277"/>
      <c r="Z94" s="277"/>
      <c r="AA94" s="277"/>
      <c r="AC94" s="277"/>
      <c r="AD94" s="277"/>
      <c r="AE94" s="277"/>
      <c r="AF94" s="277"/>
      <c r="AH94" s="277"/>
      <c r="AI94" s="277"/>
    </row>
    <row r="95" spans="2:35">
      <c r="B95" s="277"/>
      <c r="C95" s="277"/>
      <c r="D95" s="277"/>
      <c r="E95" s="277"/>
      <c r="F95" s="277"/>
      <c r="G95" s="277"/>
      <c r="H95" s="277"/>
      <c r="I95" s="277"/>
      <c r="J95" s="277"/>
      <c r="L95" s="277"/>
      <c r="M95" s="277"/>
      <c r="N95" s="277"/>
      <c r="O95" s="277"/>
      <c r="P95" s="277"/>
      <c r="Q95" s="277"/>
      <c r="R95" s="277"/>
      <c r="S95" s="277"/>
      <c r="U95" s="277"/>
      <c r="V95" s="277"/>
      <c r="W95" s="277"/>
      <c r="X95" s="277"/>
      <c r="Y95" s="277"/>
      <c r="Z95" s="277"/>
      <c r="AA95" s="277"/>
      <c r="AC95" s="277"/>
      <c r="AD95" s="277"/>
      <c r="AE95" s="277"/>
      <c r="AF95" s="277"/>
      <c r="AH95" s="277"/>
      <c r="AI95" s="277"/>
    </row>
    <row r="96" spans="2:35">
      <c r="B96" s="277"/>
      <c r="C96" s="277"/>
      <c r="D96" s="277"/>
      <c r="E96" s="277"/>
      <c r="F96" s="277"/>
      <c r="G96" s="277"/>
      <c r="H96" s="277"/>
      <c r="I96" s="277"/>
      <c r="J96" s="277"/>
      <c r="L96" s="277"/>
      <c r="M96" s="277"/>
      <c r="N96" s="277"/>
      <c r="O96" s="277"/>
      <c r="P96" s="277"/>
      <c r="Q96" s="277"/>
      <c r="R96" s="277"/>
      <c r="S96" s="277"/>
      <c r="U96" s="277"/>
      <c r="V96" s="277"/>
      <c r="W96" s="277"/>
      <c r="X96" s="277"/>
      <c r="Y96" s="277"/>
      <c r="Z96" s="277"/>
      <c r="AA96" s="277"/>
      <c r="AC96" s="277"/>
      <c r="AD96" s="277"/>
      <c r="AE96" s="277"/>
      <c r="AF96" s="277"/>
      <c r="AH96" s="277"/>
      <c r="AI96" s="277"/>
    </row>
    <row r="97" spans="2:35">
      <c r="B97" s="277"/>
      <c r="C97" s="277"/>
      <c r="D97" s="277"/>
      <c r="E97" s="277"/>
      <c r="F97" s="277"/>
      <c r="G97" s="277"/>
      <c r="H97" s="277"/>
      <c r="I97" s="277"/>
      <c r="J97" s="277"/>
      <c r="L97" s="277"/>
      <c r="M97" s="277"/>
      <c r="N97" s="277"/>
      <c r="O97" s="277"/>
      <c r="P97" s="277"/>
      <c r="Q97" s="277"/>
      <c r="R97" s="277"/>
      <c r="S97" s="277"/>
      <c r="U97" s="277"/>
      <c r="V97" s="277"/>
      <c r="W97" s="277"/>
      <c r="X97" s="277"/>
      <c r="Y97" s="277"/>
      <c r="Z97" s="277"/>
      <c r="AA97" s="277"/>
      <c r="AC97" s="277"/>
      <c r="AD97" s="277"/>
      <c r="AE97" s="277"/>
      <c r="AF97" s="277"/>
      <c r="AH97" s="277"/>
      <c r="AI97" s="277"/>
    </row>
    <row r="98" spans="2:35">
      <c r="B98" s="277"/>
      <c r="C98" s="277"/>
      <c r="D98" s="277"/>
      <c r="E98" s="277"/>
      <c r="F98" s="277"/>
      <c r="G98" s="277"/>
      <c r="H98" s="277"/>
      <c r="I98" s="277"/>
      <c r="J98" s="277"/>
      <c r="L98" s="277"/>
      <c r="M98" s="277"/>
      <c r="N98" s="277"/>
      <c r="O98" s="277"/>
      <c r="P98" s="277"/>
      <c r="Q98" s="277"/>
      <c r="R98" s="277"/>
      <c r="S98" s="277"/>
      <c r="U98" s="277"/>
      <c r="V98" s="277"/>
      <c r="W98" s="277"/>
      <c r="X98" s="277"/>
      <c r="Y98" s="277"/>
      <c r="Z98" s="277"/>
      <c r="AA98" s="277"/>
      <c r="AC98" s="277"/>
      <c r="AD98" s="277"/>
      <c r="AE98" s="277"/>
      <c r="AF98" s="277"/>
      <c r="AH98" s="277"/>
      <c r="AI98" s="277"/>
    </row>
    <row r="99" spans="2:35">
      <c r="B99" s="277"/>
      <c r="C99" s="277"/>
      <c r="D99" s="277"/>
      <c r="E99" s="277"/>
      <c r="F99" s="277"/>
    </row>
    <row r="100" spans="2:35">
      <c r="B100" s="277"/>
      <c r="C100" s="277"/>
      <c r="D100" s="277"/>
      <c r="E100" s="277"/>
      <c r="F100" s="277"/>
    </row>
    <row r="101" spans="2:35">
      <c r="B101" s="277"/>
      <c r="C101" s="277"/>
      <c r="D101" s="277"/>
      <c r="E101" s="277"/>
      <c r="F101" s="277"/>
    </row>
    <row r="102" spans="2:35">
      <c r="B102" s="277"/>
      <c r="C102" s="277"/>
      <c r="D102" s="277"/>
      <c r="E102" s="277"/>
      <c r="F102" s="277"/>
    </row>
    <row r="103" spans="2:35">
      <c r="B103" s="277"/>
      <c r="C103" s="277"/>
      <c r="D103" s="277"/>
      <c r="E103" s="277"/>
      <c r="F103" s="277"/>
    </row>
    <row r="104" spans="2:35">
      <c r="B104" s="277"/>
      <c r="C104" s="277"/>
      <c r="D104" s="277"/>
      <c r="E104" s="277"/>
      <c r="F104" s="277"/>
    </row>
    <row r="105" spans="2:35">
      <c r="B105" s="277"/>
      <c r="C105" s="277"/>
      <c r="D105" s="277"/>
      <c r="E105" s="277"/>
      <c r="F105" s="277"/>
    </row>
    <row r="106" spans="2:35">
      <c r="B106" s="277"/>
      <c r="C106" s="277"/>
      <c r="D106" s="277"/>
      <c r="E106" s="277"/>
      <c r="F106" s="277"/>
    </row>
    <row r="107" spans="2:35">
      <c r="B107" s="277"/>
      <c r="C107" s="277"/>
      <c r="D107" s="277"/>
      <c r="E107" s="277"/>
      <c r="F107" s="277"/>
    </row>
    <row r="108" spans="2:35">
      <c r="B108" s="277"/>
      <c r="C108" s="277"/>
      <c r="D108" s="277"/>
      <c r="E108" s="277"/>
      <c r="F108" s="277"/>
    </row>
    <row r="109" spans="2:35">
      <c r="B109" s="277"/>
      <c r="C109" s="277"/>
      <c r="D109" s="277"/>
      <c r="E109" s="277"/>
      <c r="F109" s="277"/>
    </row>
    <row r="110" spans="2:35">
      <c r="B110" s="277"/>
      <c r="C110" s="277"/>
      <c r="D110" s="277"/>
      <c r="E110" s="277"/>
      <c r="F110" s="277"/>
    </row>
    <row r="111" spans="2:35">
      <c r="B111" s="277"/>
      <c r="C111" s="277"/>
      <c r="D111" s="277"/>
      <c r="E111" s="277"/>
      <c r="F111" s="277"/>
    </row>
    <row r="112" spans="2:35">
      <c r="B112" s="277"/>
      <c r="C112" s="277"/>
      <c r="D112" s="277"/>
      <c r="E112" s="277"/>
      <c r="F112" s="277"/>
    </row>
    <row r="113" spans="2:6">
      <c r="B113" s="277"/>
      <c r="C113" s="277"/>
      <c r="D113" s="277"/>
      <c r="E113" s="277"/>
      <c r="F113" s="277"/>
    </row>
    <row r="114" spans="2:6">
      <c r="B114" s="277"/>
      <c r="C114" s="277"/>
      <c r="D114" s="277"/>
      <c r="E114" s="277"/>
      <c r="F114" s="277"/>
    </row>
    <row r="115" spans="2:6">
      <c r="B115" s="277"/>
      <c r="C115" s="277"/>
      <c r="D115" s="277"/>
      <c r="E115" s="277"/>
      <c r="F115" s="277"/>
    </row>
    <row r="116" spans="2:6">
      <c r="B116" s="277"/>
      <c r="C116" s="277"/>
      <c r="D116" s="277"/>
      <c r="E116" s="277"/>
      <c r="F116" s="277"/>
    </row>
    <row r="117" spans="2:6">
      <c r="B117" s="277"/>
      <c r="C117" s="277"/>
      <c r="D117" s="277"/>
      <c r="E117" s="277"/>
      <c r="F117" s="277"/>
    </row>
    <row r="118" spans="2:6">
      <c r="B118" s="277"/>
      <c r="C118" s="277"/>
      <c r="D118" s="277"/>
      <c r="E118" s="277"/>
      <c r="F118" s="277"/>
    </row>
    <row r="119" spans="2:6">
      <c r="B119" s="277"/>
      <c r="C119" s="277"/>
      <c r="D119" s="277"/>
      <c r="E119" s="277"/>
      <c r="F119" s="277"/>
    </row>
    <row r="120" spans="2:6">
      <c r="B120" s="277"/>
      <c r="C120" s="277"/>
      <c r="D120" s="277"/>
      <c r="E120" s="277"/>
      <c r="F120" s="277"/>
    </row>
    <row r="121" spans="2:6">
      <c r="B121" s="277"/>
      <c r="C121" s="277"/>
      <c r="D121" s="277"/>
      <c r="E121" s="277"/>
      <c r="F121" s="277"/>
    </row>
    <row r="122" spans="2:6">
      <c r="B122" s="277"/>
      <c r="C122" s="277"/>
      <c r="D122" s="277"/>
      <c r="E122" s="277"/>
      <c r="F122" s="277"/>
    </row>
    <row r="123" spans="2:6">
      <c r="B123" s="277"/>
      <c r="C123" s="277"/>
      <c r="D123" s="277"/>
      <c r="E123" s="277"/>
      <c r="F123" s="277"/>
    </row>
    <row r="124" spans="2:6">
      <c r="B124" s="277"/>
      <c r="C124" s="277"/>
      <c r="D124" s="277"/>
      <c r="E124" s="277"/>
      <c r="F124" s="277"/>
    </row>
    <row r="125" spans="2:6">
      <c r="B125" s="277"/>
      <c r="C125" s="277"/>
      <c r="D125" s="277"/>
      <c r="E125" s="277"/>
      <c r="F125" s="277"/>
    </row>
    <row r="126" spans="2:6">
      <c r="B126" s="277"/>
      <c r="C126" s="277"/>
      <c r="D126" s="277"/>
      <c r="E126" s="277"/>
      <c r="F126" s="277"/>
    </row>
    <row r="127" spans="2:6">
      <c r="B127" s="277"/>
      <c r="C127" s="277"/>
      <c r="D127" s="277"/>
      <c r="E127" s="277"/>
      <c r="F127" s="277"/>
    </row>
    <row r="128" spans="2:6">
      <c r="B128" s="277"/>
      <c r="C128" s="277"/>
      <c r="D128" s="277"/>
      <c r="E128" s="277"/>
      <c r="F128" s="277"/>
    </row>
    <row r="129" spans="2:6">
      <c r="B129" s="277"/>
      <c r="C129" s="277"/>
      <c r="D129" s="277"/>
      <c r="E129" s="277"/>
      <c r="F129" s="277"/>
    </row>
    <row r="130" spans="2:6">
      <c r="B130" s="277"/>
      <c r="C130" s="277"/>
      <c r="D130" s="277"/>
      <c r="E130" s="277"/>
      <c r="F130" s="277"/>
    </row>
    <row r="131" spans="2:6">
      <c r="B131" s="277"/>
      <c r="C131" s="277"/>
      <c r="D131" s="277"/>
      <c r="E131" s="277"/>
      <c r="F131" s="277"/>
    </row>
    <row r="132" spans="2:6">
      <c r="B132" s="277"/>
      <c r="C132" s="277"/>
      <c r="D132" s="277"/>
      <c r="E132" s="277"/>
      <c r="F132" s="277"/>
    </row>
    <row r="133" spans="2:6">
      <c r="B133" s="277"/>
      <c r="C133" s="277"/>
      <c r="D133" s="277"/>
      <c r="E133" s="277"/>
      <c r="F133" s="277"/>
    </row>
    <row r="134" spans="2:6">
      <c r="B134" s="277"/>
      <c r="C134" s="277"/>
      <c r="D134" s="277"/>
      <c r="E134" s="277"/>
      <c r="F134" s="277"/>
    </row>
    <row r="135" spans="2:6">
      <c r="B135" s="277"/>
      <c r="C135" s="277"/>
      <c r="D135" s="277"/>
      <c r="E135" s="277"/>
      <c r="F135" s="277"/>
    </row>
    <row r="136" spans="2:6">
      <c r="B136" s="277"/>
      <c r="C136" s="277"/>
      <c r="D136" s="277"/>
      <c r="E136" s="277"/>
      <c r="F136" s="277"/>
    </row>
    <row r="137" spans="2:6">
      <c r="B137" s="277"/>
      <c r="C137" s="277"/>
      <c r="D137" s="277"/>
      <c r="E137" s="277"/>
      <c r="F137" s="277"/>
    </row>
    <row r="138" spans="2:6">
      <c r="B138" s="277"/>
      <c r="C138" s="277"/>
      <c r="D138" s="277"/>
      <c r="E138" s="277"/>
      <c r="F138" s="277"/>
    </row>
    <row r="139" spans="2:6">
      <c r="B139" s="277"/>
      <c r="C139" s="277"/>
      <c r="D139" s="277"/>
      <c r="E139" s="277"/>
      <c r="F139" s="277"/>
    </row>
    <row r="140" spans="2:6">
      <c r="B140" s="277"/>
      <c r="C140" s="277"/>
      <c r="D140" s="277"/>
      <c r="E140" s="277"/>
      <c r="F140" s="277"/>
    </row>
    <row r="141" spans="2:6">
      <c r="B141" s="277"/>
      <c r="C141" s="277"/>
      <c r="D141" s="277"/>
      <c r="E141" s="277"/>
      <c r="F141" s="277"/>
    </row>
    <row r="142" spans="2:6">
      <c r="B142" s="277"/>
      <c r="C142" s="277"/>
      <c r="D142" s="277"/>
      <c r="E142" s="277"/>
      <c r="F142" s="277"/>
    </row>
    <row r="143" spans="2:6">
      <c r="B143" s="277"/>
      <c r="C143" s="277"/>
      <c r="D143" s="277"/>
      <c r="E143" s="277"/>
      <c r="F143" s="277"/>
    </row>
    <row r="144" spans="2:6">
      <c r="B144" s="277"/>
      <c r="C144" s="277"/>
      <c r="D144" s="277"/>
      <c r="E144" s="277"/>
      <c r="F144" s="277"/>
    </row>
    <row r="145" spans="2:6">
      <c r="B145" s="277"/>
      <c r="C145" s="277"/>
      <c r="D145" s="277"/>
      <c r="E145" s="277"/>
      <c r="F145" s="277"/>
    </row>
    <row r="146" spans="2:6">
      <c r="B146" s="277"/>
      <c r="C146" s="277"/>
      <c r="D146" s="277"/>
      <c r="E146" s="277"/>
      <c r="F146" s="277"/>
    </row>
    <row r="147" spans="2:6">
      <c r="B147" s="277"/>
      <c r="C147" s="277"/>
      <c r="D147" s="277"/>
      <c r="E147" s="277"/>
      <c r="F147" s="277"/>
    </row>
    <row r="148" spans="2:6">
      <c r="B148" s="277"/>
      <c r="C148" s="277"/>
      <c r="D148" s="277"/>
      <c r="E148" s="277"/>
      <c r="F148" s="277"/>
    </row>
    <row r="149" spans="2:6">
      <c r="B149" s="277"/>
      <c r="C149" s="277"/>
      <c r="D149" s="277"/>
      <c r="E149" s="277"/>
      <c r="F149" s="277"/>
    </row>
    <row r="150" spans="2:6">
      <c r="B150" s="277"/>
      <c r="C150" s="277"/>
      <c r="D150" s="277"/>
      <c r="E150" s="277"/>
      <c r="F150" s="277"/>
    </row>
    <row r="151" spans="2:6">
      <c r="B151" s="277"/>
      <c r="C151" s="277"/>
      <c r="D151" s="277"/>
      <c r="E151" s="277"/>
      <c r="F151" s="277"/>
    </row>
    <row r="152" spans="2:6">
      <c r="B152" s="277"/>
      <c r="C152" s="277"/>
      <c r="D152" s="277"/>
      <c r="E152" s="277"/>
      <c r="F152" s="277"/>
    </row>
    <row r="153" spans="2:6">
      <c r="B153" s="277"/>
      <c r="C153" s="277"/>
      <c r="D153" s="277"/>
      <c r="E153" s="277"/>
      <c r="F153" s="277"/>
    </row>
    <row r="154" spans="2:6">
      <c r="B154" s="277"/>
      <c r="C154" s="277"/>
      <c r="D154" s="277"/>
      <c r="E154" s="277"/>
      <c r="F154" s="277"/>
    </row>
    <row r="155" spans="2:6">
      <c r="B155" s="277"/>
      <c r="C155" s="277"/>
      <c r="D155" s="277"/>
      <c r="E155" s="277"/>
      <c r="F155" s="277"/>
    </row>
    <row r="156" spans="2:6">
      <c r="B156" s="277"/>
      <c r="C156" s="277"/>
      <c r="D156" s="277"/>
      <c r="E156" s="277"/>
      <c r="F156" s="277"/>
    </row>
    <row r="157" spans="2:6">
      <c r="B157" s="277"/>
      <c r="C157" s="277"/>
      <c r="D157" s="277"/>
      <c r="E157" s="277"/>
      <c r="F157" s="277"/>
    </row>
    <row r="158" spans="2:6">
      <c r="B158" s="277"/>
      <c r="C158" s="277"/>
      <c r="D158" s="277"/>
      <c r="E158" s="277"/>
      <c r="F158" s="277"/>
    </row>
    <row r="159" spans="2:6">
      <c r="B159" s="277"/>
      <c r="C159" s="277"/>
      <c r="D159" s="277"/>
      <c r="E159" s="277"/>
      <c r="F159" s="277"/>
    </row>
    <row r="160" spans="2:6">
      <c r="B160" s="277"/>
      <c r="C160" s="277"/>
      <c r="D160" s="277"/>
      <c r="E160" s="277"/>
      <c r="F160" s="277"/>
    </row>
    <row r="161" spans="2:6">
      <c r="B161" s="277"/>
      <c r="C161" s="277"/>
      <c r="D161" s="277"/>
      <c r="E161" s="277"/>
      <c r="F161" s="277"/>
    </row>
    <row r="162" spans="2:6">
      <c r="B162" s="277"/>
      <c r="C162" s="277"/>
      <c r="D162" s="277"/>
      <c r="E162" s="277"/>
      <c r="F162" s="277"/>
    </row>
    <row r="163" spans="2:6">
      <c r="B163" s="277"/>
      <c r="C163" s="277"/>
      <c r="D163" s="277"/>
      <c r="E163" s="277"/>
      <c r="F163" s="277"/>
    </row>
    <row r="164" spans="2:6">
      <c r="B164" s="277"/>
      <c r="C164" s="277"/>
      <c r="D164" s="277"/>
      <c r="E164" s="277"/>
      <c r="F164" s="277"/>
    </row>
    <row r="165" spans="2:6">
      <c r="B165" s="277"/>
      <c r="C165" s="277"/>
      <c r="D165" s="277"/>
      <c r="E165" s="277"/>
      <c r="F165" s="277"/>
    </row>
    <row r="166" spans="2:6">
      <c r="B166" s="277"/>
      <c r="C166" s="277"/>
      <c r="D166" s="277"/>
      <c r="E166" s="277"/>
      <c r="F166" s="277"/>
    </row>
    <row r="167" spans="2:6">
      <c r="B167" s="277"/>
      <c r="C167" s="277"/>
      <c r="D167" s="277"/>
      <c r="E167" s="277"/>
      <c r="F167" s="277"/>
    </row>
    <row r="168" spans="2:6">
      <c r="B168" s="277"/>
      <c r="C168" s="277"/>
      <c r="D168" s="277"/>
      <c r="E168" s="277"/>
      <c r="F168" s="277"/>
    </row>
    <row r="169" spans="2:6">
      <c r="B169" s="277"/>
      <c r="C169" s="277"/>
      <c r="D169" s="277"/>
      <c r="E169" s="277"/>
      <c r="F169" s="277"/>
    </row>
    <row r="170" spans="2:6">
      <c r="B170" s="277"/>
      <c r="C170" s="277"/>
      <c r="D170" s="277"/>
      <c r="E170" s="277"/>
      <c r="F170" s="277"/>
    </row>
    <row r="171" spans="2:6">
      <c r="B171" s="277"/>
      <c r="C171" s="277"/>
      <c r="D171" s="277"/>
      <c r="E171" s="277"/>
      <c r="F171" s="277"/>
    </row>
    <row r="172" spans="2:6">
      <c r="B172" s="277"/>
      <c r="C172" s="277"/>
      <c r="D172" s="277"/>
      <c r="E172" s="277"/>
      <c r="F172" s="277"/>
    </row>
    <row r="173" spans="2:6">
      <c r="B173" s="277"/>
      <c r="C173" s="277"/>
      <c r="D173" s="277"/>
      <c r="E173" s="277"/>
      <c r="F173" s="277"/>
    </row>
    <row r="174" spans="2:6">
      <c r="B174" s="277"/>
      <c r="C174" s="277"/>
      <c r="D174" s="277"/>
      <c r="E174" s="277"/>
      <c r="F174" s="277"/>
    </row>
    <row r="175" spans="2:6">
      <c r="B175" s="277"/>
      <c r="C175" s="277"/>
      <c r="D175" s="277"/>
      <c r="E175" s="277"/>
      <c r="F175" s="277"/>
    </row>
    <row r="176" spans="2:6">
      <c r="B176" s="277"/>
      <c r="C176" s="277"/>
      <c r="D176" s="277"/>
      <c r="E176" s="277"/>
      <c r="F176" s="277"/>
    </row>
    <row r="177" spans="2:6">
      <c r="B177" s="277"/>
      <c r="C177" s="277"/>
      <c r="D177" s="277"/>
      <c r="E177" s="277"/>
      <c r="F177" s="277"/>
    </row>
    <row r="178" spans="2:6">
      <c r="B178" s="277"/>
      <c r="C178" s="277"/>
      <c r="D178" s="277"/>
      <c r="E178" s="277"/>
      <c r="F178" s="277"/>
    </row>
    <row r="179" spans="2:6">
      <c r="B179" s="277"/>
      <c r="C179" s="277"/>
      <c r="D179" s="277"/>
      <c r="E179" s="277"/>
      <c r="F179" s="277"/>
    </row>
    <row r="180" spans="2:6">
      <c r="B180" s="277"/>
      <c r="C180" s="277"/>
      <c r="D180" s="277"/>
      <c r="E180" s="277"/>
      <c r="F180" s="277"/>
    </row>
    <row r="181" spans="2:6">
      <c r="B181" s="277"/>
      <c r="C181" s="277"/>
      <c r="D181" s="277"/>
      <c r="E181" s="277"/>
      <c r="F181" s="277"/>
    </row>
    <row r="182" spans="2:6">
      <c r="B182" s="277"/>
      <c r="C182" s="277"/>
      <c r="D182" s="277"/>
      <c r="E182" s="277"/>
      <c r="F182" s="277"/>
    </row>
    <row r="183" spans="2:6">
      <c r="B183" s="277"/>
      <c r="C183" s="277"/>
      <c r="D183" s="277"/>
      <c r="E183" s="277"/>
      <c r="F183" s="277"/>
    </row>
    <row r="184" spans="2:6">
      <c r="B184" s="277"/>
      <c r="C184" s="277"/>
      <c r="D184" s="277"/>
      <c r="E184" s="277"/>
      <c r="F184" s="277"/>
    </row>
    <row r="185" spans="2:6">
      <c r="B185" s="277"/>
      <c r="C185" s="277"/>
      <c r="D185" s="277"/>
      <c r="E185" s="277"/>
      <c r="F185" s="277"/>
    </row>
    <row r="186" spans="2:6">
      <c r="B186" s="277"/>
      <c r="C186" s="277"/>
      <c r="D186" s="277"/>
      <c r="E186" s="277"/>
      <c r="F186" s="277"/>
    </row>
    <row r="187" spans="2:6">
      <c r="B187" s="277"/>
      <c r="C187" s="277"/>
      <c r="D187" s="277"/>
      <c r="E187" s="277"/>
      <c r="F187" s="277"/>
    </row>
    <row r="188" spans="2:6">
      <c r="B188" s="277"/>
      <c r="C188" s="277"/>
      <c r="D188" s="277"/>
      <c r="E188" s="277"/>
      <c r="F188" s="277"/>
    </row>
    <row r="189" spans="2:6">
      <c r="B189" s="277"/>
      <c r="C189" s="277"/>
      <c r="D189" s="277"/>
      <c r="E189" s="277"/>
      <c r="F189" s="277"/>
    </row>
    <row r="190" spans="2:6">
      <c r="B190" s="277"/>
      <c r="C190" s="277"/>
      <c r="D190" s="277"/>
      <c r="E190" s="277"/>
      <c r="F190" s="277"/>
    </row>
    <row r="191" spans="2:6">
      <c r="B191" s="277"/>
      <c r="C191" s="277"/>
      <c r="D191" s="277"/>
      <c r="E191" s="277"/>
      <c r="F191" s="277"/>
    </row>
    <row r="192" spans="2:6">
      <c r="B192" s="277"/>
      <c r="C192" s="277"/>
      <c r="D192" s="277"/>
      <c r="E192" s="277"/>
      <c r="F192" s="277"/>
    </row>
    <row r="193" spans="2:6">
      <c r="B193" s="277"/>
      <c r="C193" s="277"/>
      <c r="D193" s="277"/>
      <c r="E193" s="277"/>
      <c r="F193" s="277"/>
    </row>
    <row r="194" spans="2:6">
      <c r="B194" s="277"/>
      <c r="C194" s="277"/>
      <c r="D194" s="277"/>
      <c r="E194" s="277"/>
      <c r="F194" s="277"/>
    </row>
    <row r="195" spans="2:6">
      <c r="B195" s="277"/>
      <c r="C195" s="277"/>
      <c r="D195" s="277"/>
      <c r="E195" s="277"/>
      <c r="F195" s="277"/>
    </row>
    <row r="196" spans="2:6">
      <c r="B196" s="277"/>
      <c r="C196" s="277"/>
      <c r="D196" s="277"/>
      <c r="E196" s="277"/>
      <c r="F196" s="277"/>
    </row>
    <row r="197" spans="2:6">
      <c r="B197" s="277"/>
      <c r="C197" s="277"/>
      <c r="D197" s="277"/>
      <c r="E197" s="277"/>
      <c r="F197" s="277"/>
    </row>
    <row r="198" spans="2:6">
      <c r="B198" s="277"/>
      <c r="C198" s="277"/>
      <c r="D198" s="277"/>
      <c r="E198" s="277"/>
      <c r="F198" s="277"/>
    </row>
    <row r="199" spans="2:6">
      <c r="B199" s="277"/>
      <c r="C199" s="277"/>
      <c r="D199" s="277"/>
      <c r="E199" s="277"/>
      <c r="F199" s="277"/>
    </row>
    <row r="200" spans="2:6">
      <c r="B200" s="277"/>
      <c r="C200" s="277"/>
      <c r="D200" s="277"/>
      <c r="E200" s="277"/>
      <c r="F200" s="277"/>
    </row>
    <row r="201" spans="2:6">
      <c r="B201" s="277"/>
      <c r="C201" s="277"/>
      <c r="D201" s="277"/>
      <c r="E201" s="277"/>
      <c r="F201" s="277"/>
    </row>
    <row r="202" spans="2:6">
      <c r="B202" s="277"/>
      <c r="C202" s="277"/>
      <c r="D202" s="277"/>
      <c r="E202" s="277"/>
      <c r="F202" s="277"/>
    </row>
    <row r="203" spans="2:6">
      <c r="B203" s="277"/>
      <c r="C203" s="277"/>
      <c r="D203" s="277"/>
      <c r="E203" s="277"/>
      <c r="F203" s="277"/>
    </row>
    <row r="204" spans="2:6">
      <c r="B204" s="277"/>
      <c r="C204" s="277"/>
      <c r="D204" s="277"/>
      <c r="E204" s="277"/>
      <c r="F204" s="277"/>
    </row>
    <row r="205" spans="2:6">
      <c r="B205" s="277"/>
      <c r="C205" s="277"/>
      <c r="D205" s="277"/>
      <c r="E205" s="277"/>
      <c r="F205" s="277"/>
    </row>
    <row r="206" spans="2:6">
      <c r="B206" s="277"/>
      <c r="C206" s="277"/>
      <c r="D206" s="277"/>
      <c r="E206" s="277"/>
      <c r="F206" s="277"/>
    </row>
    <row r="207" spans="2:6">
      <c r="B207" s="277"/>
      <c r="C207" s="277"/>
      <c r="D207" s="277"/>
      <c r="E207" s="277"/>
      <c r="F207" s="277"/>
    </row>
    <row r="208" spans="2:6">
      <c r="B208" s="277"/>
      <c r="C208" s="277"/>
      <c r="D208" s="277"/>
      <c r="E208" s="277"/>
      <c r="F208" s="277"/>
    </row>
    <row r="209" spans="2:6">
      <c r="B209" s="277"/>
      <c r="C209" s="277"/>
      <c r="D209" s="277"/>
      <c r="E209" s="277"/>
      <c r="F209" s="277"/>
    </row>
    <row r="210" spans="2:6">
      <c r="B210" s="277"/>
      <c r="C210" s="277"/>
      <c r="D210" s="277"/>
      <c r="E210" s="277"/>
      <c r="F210" s="277"/>
    </row>
    <row r="211" spans="2:6">
      <c r="B211" s="277"/>
      <c r="C211" s="277"/>
      <c r="D211" s="277"/>
      <c r="E211" s="277"/>
      <c r="F211" s="277"/>
    </row>
    <row r="212" spans="2:6">
      <c r="B212" s="277"/>
      <c r="C212" s="277"/>
      <c r="D212" s="277"/>
      <c r="E212" s="277"/>
      <c r="F212" s="277"/>
    </row>
    <row r="213" spans="2:6">
      <c r="B213" s="277"/>
      <c r="C213" s="277"/>
      <c r="D213" s="277"/>
      <c r="E213" s="277"/>
      <c r="F213" s="277"/>
    </row>
    <row r="214" spans="2:6">
      <c r="B214" s="277"/>
      <c r="C214" s="277"/>
      <c r="D214" s="277"/>
      <c r="E214" s="277"/>
      <c r="F214" s="277"/>
    </row>
    <row r="215" spans="2:6">
      <c r="B215" s="277"/>
      <c r="C215" s="277"/>
      <c r="D215" s="277"/>
      <c r="E215" s="277"/>
      <c r="F215" s="277"/>
    </row>
    <row r="216" spans="2:6">
      <c r="B216" s="277"/>
      <c r="C216" s="277"/>
      <c r="D216" s="277"/>
      <c r="E216" s="277"/>
      <c r="F216" s="277"/>
    </row>
    <row r="217" spans="2:6">
      <c r="B217" s="277"/>
      <c r="C217" s="277"/>
      <c r="D217" s="277"/>
      <c r="E217" s="277"/>
      <c r="F217" s="277"/>
    </row>
    <row r="218" spans="2:6">
      <c r="B218" s="277"/>
      <c r="C218" s="277"/>
      <c r="D218" s="277"/>
      <c r="E218" s="277"/>
      <c r="F218" s="277"/>
    </row>
    <row r="219" spans="2:6">
      <c r="B219" s="277"/>
      <c r="C219" s="277"/>
      <c r="D219" s="277"/>
      <c r="E219" s="277"/>
      <c r="F219" s="277"/>
    </row>
    <row r="220" spans="2:6">
      <c r="B220" s="277"/>
      <c r="C220" s="277"/>
      <c r="D220" s="277"/>
      <c r="E220" s="277"/>
      <c r="F220" s="277"/>
    </row>
    <row r="221" spans="2:6">
      <c r="B221" s="277"/>
      <c r="C221" s="277"/>
      <c r="D221" s="277"/>
      <c r="E221" s="277"/>
      <c r="F221" s="277"/>
    </row>
    <row r="222" spans="2:6">
      <c r="B222" s="277"/>
      <c r="C222" s="277"/>
      <c r="D222" s="277"/>
      <c r="E222" s="277"/>
      <c r="F222" s="277"/>
    </row>
    <row r="223" spans="2:6">
      <c r="B223" s="277"/>
      <c r="C223" s="277"/>
      <c r="D223" s="277"/>
      <c r="E223" s="277"/>
      <c r="F223" s="277"/>
    </row>
    <row r="224" spans="2:6">
      <c r="B224" s="277"/>
      <c r="C224" s="277"/>
      <c r="D224" s="277"/>
      <c r="E224" s="277"/>
      <c r="F224" s="277"/>
    </row>
    <row r="225" spans="2:6">
      <c r="B225" s="277"/>
      <c r="C225" s="277"/>
      <c r="D225" s="277"/>
      <c r="E225" s="277"/>
      <c r="F225" s="277"/>
    </row>
    <row r="226" spans="2:6">
      <c r="B226" s="277"/>
      <c r="C226" s="277"/>
      <c r="D226" s="277"/>
      <c r="E226" s="277"/>
      <c r="F226" s="277"/>
    </row>
    <row r="227" spans="2:6">
      <c r="B227" s="277"/>
      <c r="C227" s="277"/>
      <c r="D227" s="277"/>
      <c r="E227" s="277"/>
      <c r="F227" s="277"/>
    </row>
    <row r="228" spans="2:6">
      <c r="B228" s="277"/>
      <c r="C228" s="277"/>
      <c r="D228" s="277"/>
      <c r="E228" s="277"/>
      <c r="F228" s="277"/>
    </row>
    <row r="229" spans="2:6">
      <c r="B229" s="277"/>
      <c r="C229" s="277"/>
      <c r="D229" s="277"/>
      <c r="E229" s="277"/>
      <c r="F229" s="277"/>
    </row>
    <row r="230" spans="2:6">
      <c r="B230" s="277"/>
      <c r="C230" s="277"/>
      <c r="D230" s="277"/>
      <c r="E230" s="277"/>
      <c r="F230" s="277"/>
    </row>
    <row r="231" spans="2:6">
      <c r="B231" s="277"/>
      <c r="C231" s="277"/>
      <c r="D231" s="277"/>
      <c r="E231" s="277"/>
      <c r="F231" s="277"/>
    </row>
    <row r="232" spans="2:6">
      <c r="B232" s="277"/>
      <c r="C232" s="277"/>
      <c r="D232" s="277"/>
      <c r="E232" s="277"/>
      <c r="F232" s="277"/>
    </row>
    <row r="233" spans="2:6">
      <c r="B233" s="277"/>
      <c r="C233" s="277"/>
      <c r="D233" s="277"/>
      <c r="E233" s="277"/>
      <c r="F233" s="277"/>
    </row>
    <row r="234" spans="2:6">
      <c r="B234" s="277"/>
      <c r="C234" s="277"/>
      <c r="D234" s="277"/>
      <c r="E234" s="277"/>
      <c r="F234" s="277"/>
    </row>
    <row r="235" spans="2:6">
      <c r="B235" s="277"/>
      <c r="C235" s="277"/>
      <c r="D235" s="277"/>
      <c r="E235" s="277"/>
      <c r="F235" s="277"/>
    </row>
    <row r="236" spans="2:6">
      <c r="B236" s="277"/>
      <c r="C236" s="277"/>
      <c r="D236" s="277"/>
      <c r="E236" s="277"/>
      <c r="F236" s="277"/>
    </row>
    <row r="237" spans="2:6">
      <c r="B237" s="277"/>
      <c r="C237" s="277"/>
      <c r="D237" s="277"/>
      <c r="E237" s="277"/>
      <c r="F237" s="277"/>
    </row>
    <row r="238" spans="2:6">
      <c r="B238" s="277"/>
      <c r="C238" s="277"/>
      <c r="D238" s="277"/>
      <c r="E238" s="277"/>
      <c r="F238" s="277"/>
    </row>
    <row r="239" spans="2:6">
      <c r="B239" s="277"/>
      <c r="C239" s="277"/>
      <c r="D239" s="277"/>
      <c r="E239" s="277"/>
      <c r="F239" s="277"/>
    </row>
    <row r="240" spans="2:6">
      <c r="B240" s="277"/>
      <c r="C240" s="277"/>
      <c r="D240" s="277"/>
      <c r="E240" s="277"/>
      <c r="F240" s="277"/>
    </row>
    <row r="241" spans="2:6">
      <c r="B241" s="277"/>
      <c r="C241" s="277"/>
      <c r="D241" s="277"/>
      <c r="E241" s="277"/>
      <c r="F241" s="277"/>
    </row>
    <row r="242" spans="2:6">
      <c r="B242" s="277"/>
      <c r="C242" s="277"/>
      <c r="D242" s="277"/>
      <c r="E242" s="277"/>
      <c r="F242" s="277"/>
    </row>
    <row r="243" spans="2:6">
      <c r="B243" s="277"/>
      <c r="C243" s="277"/>
      <c r="D243" s="277"/>
      <c r="E243" s="277"/>
      <c r="F243" s="277"/>
    </row>
    <row r="244" spans="2:6">
      <c r="B244" s="277"/>
      <c r="C244" s="277"/>
      <c r="D244" s="277"/>
      <c r="E244" s="277"/>
      <c r="F244" s="277"/>
    </row>
    <row r="245" spans="2:6">
      <c r="B245" s="277"/>
      <c r="C245" s="277"/>
      <c r="D245" s="277"/>
      <c r="E245" s="277"/>
      <c r="F245" s="277"/>
    </row>
    <row r="246" spans="2:6">
      <c r="B246" s="277"/>
      <c r="C246" s="277"/>
      <c r="D246" s="277"/>
      <c r="E246" s="277"/>
      <c r="F246" s="277"/>
    </row>
    <row r="247" spans="2:6">
      <c r="B247" s="277"/>
      <c r="C247" s="277"/>
      <c r="D247" s="277"/>
      <c r="E247" s="277"/>
      <c r="F247" s="277"/>
    </row>
    <row r="248" spans="2:6">
      <c r="B248" s="277"/>
      <c r="C248" s="277"/>
      <c r="D248" s="277"/>
      <c r="E248" s="277"/>
      <c r="F248" s="277"/>
    </row>
    <row r="249" spans="2:6">
      <c r="B249" s="277"/>
      <c r="C249" s="277"/>
      <c r="D249" s="277"/>
      <c r="E249" s="277"/>
      <c r="F249" s="277"/>
    </row>
    <row r="250" spans="2:6">
      <c r="B250" s="277"/>
      <c r="C250" s="277"/>
      <c r="D250" s="277"/>
      <c r="E250" s="277"/>
      <c r="F250" s="277"/>
    </row>
    <row r="251" spans="2:6">
      <c r="B251" s="277"/>
      <c r="C251" s="277"/>
      <c r="D251" s="277"/>
      <c r="E251" s="277"/>
      <c r="F251" s="277"/>
    </row>
    <row r="252" spans="2:6">
      <c r="B252" s="277"/>
      <c r="C252" s="277"/>
      <c r="D252" s="277"/>
      <c r="E252" s="277"/>
      <c r="F252" s="277"/>
    </row>
    <row r="253" spans="2:6">
      <c r="B253" s="277"/>
      <c r="C253" s="277"/>
      <c r="D253" s="277"/>
      <c r="E253" s="277"/>
      <c r="F253" s="277"/>
    </row>
    <row r="254" spans="2:6">
      <c r="B254" s="277"/>
      <c r="C254" s="277"/>
      <c r="D254" s="277"/>
      <c r="E254" s="277"/>
      <c r="F254" s="277"/>
    </row>
    <row r="255" spans="2:6">
      <c r="B255" s="277"/>
      <c r="C255" s="277"/>
      <c r="D255" s="277"/>
      <c r="E255" s="277"/>
      <c r="F255" s="277"/>
    </row>
    <row r="256" spans="2:6">
      <c r="B256" s="277"/>
      <c r="C256" s="277"/>
      <c r="D256" s="277"/>
      <c r="E256" s="277"/>
      <c r="F256" s="277"/>
    </row>
    <row r="257" spans="2:6">
      <c r="B257" s="277"/>
      <c r="C257" s="277"/>
      <c r="D257" s="277"/>
      <c r="E257" s="277"/>
      <c r="F257" s="277"/>
    </row>
    <row r="258" spans="2:6">
      <c r="B258" s="277"/>
      <c r="C258" s="277"/>
      <c r="D258" s="277"/>
      <c r="E258" s="277"/>
      <c r="F258" s="277"/>
    </row>
    <row r="259" spans="2:6">
      <c r="B259" s="277"/>
      <c r="C259" s="277"/>
      <c r="D259" s="277"/>
      <c r="E259" s="277"/>
      <c r="F259" s="277"/>
    </row>
    <row r="260" spans="2:6">
      <c r="B260" s="277"/>
      <c r="C260" s="277"/>
      <c r="D260" s="277"/>
      <c r="E260" s="277"/>
      <c r="F260" s="277"/>
    </row>
    <row r="261" spans="2:6">
      <c r="B261" s="277"/>
      <c r="C261" s="277"/>
      <c r="D261" s="277"/>
      <c r="E261" s="277"/>
      <c r="F261" s="277"/>
    </row>
    <row r="262" spans="2:6">
      <c r="B262" s="277"/>
      <c r="C262" s="277"/>
      <c r="D262" s="277"/>
      <c r="E262" s="277"/>
      <c r="F262" s="277"/>
    </row>
    <row r="263" spans="2:6">
      <c r="B263" s="277"/>
      <c r="C263" s="277"/>
      <c r="D263" s="277"/>
      <c r="E263" s="277"/>
      <c r="F263" s="277"/>
    </row>
    <row r="264" spans="2:6">
      <c r="B264" s="277"/>
      <c r="C264" s="277"/>
      <c r="D264" s="277"/>
      <c r="E264" s="277"/>
      <c r="F264" s="277"/>
    </row>
    <row r="265" spans="2:6">
      <c r="B265" s="277"/>
      <c r="C265" s="277"/>
      <c r="D265" s="277"/>
      <c r="E265" s="277"/>
      <c r="F265" s="277"/>
    </row>
    <row r="266" spans="2:6">
      <c r="B266" s="277"/>
      <c r="C266" s="277"/>
      <c r="D266" s="277"/>
      <c r="E266" s="277"/>
      <c r="F266" s="277"/>
    </row>
    <row r="267" spans="2:6">
      <c r="B267" s="277"/>
      <c r="C267" s="277"/>
      <c r="D267" s="277"/>
      <c r="E267" s="277"/>
      <c r="F267" s="277"/>
    </row>
    <row r="268" spans="2:6">
      <c r="B268" s="277"/>
      <c r="C268" s="277"/>
      <c r="D268" s="277"/>
      <c r="E268" s="277"/>
      <c r="F268" s="277"/>
    </row>
    <row r="269" spans="2:6">
      <c r="B269" s="277"/>
      <c r="C269" s="277"/>
      <c r="D269" s="277"/>
      <c r="E269" s="277"/>
      <c r="F269" s="277"/>
    </row>
    <row r="270" spans="2:6">
      <c r="B270" s="277"/>
      <c r="C270" s="277"/>
      <c r="D270" s="277"/>
      <c r="E270" s="277"/>
      <c r="F270" s="277"/>
    </row>
    <row r="271" spans="2:6">
      <c r="B271" s="277"/>
      <c r="C271" s="277"/>
      <c r="D271" s="277"/>
      <c r="E271" s="277"/>
      <c r="F271" s="277"/>
    </row>
    <row r="272" spans="2:6">
      <c r="B272" s="277"/>
      <c r="C272" s="277"/>
      <c r="D272" s="277"/>
      <c r="E272" s="277"/>
      <c r="F272" s="277"/>
    </row>
    <row r="273" spans="2:6">
      <c r="B273" s="277"/>
      <c r="C273" s="277"/>
      <c r="D273" s="277"/>
      <c r="E273" s="277"/>
      <c r="F273" s="277"/>
    </row>
    <row r="274" spans="2:6">
      <c r="B274" s="277"/>
      <c r="C274" s="277"/>
      <c r="D274" s="277"/>
      <c r="E274" s="277"/>
      <c r="F274" s="277"/>
    </row>
    <row r="275" spans="2:6">
      <c r="B275" s="277"/>
      <c r="C275" s="277"/>
      <c r="D275" s="277"/>
      <c r="E275" s="277"/>
      <c r="F275" s="277"/>
    </row>
    <row r="276" spans="2:6">
      <c r="B276" s="277"/>
      <c r="C276" s="277"/>
      <c r="D276" s="277"/>
      <c r="E276" s="277"/>
      <c r="F276" s="277"/>
    </row>
    <row r="277" spans="2:6">
      <c r="B277" s="277"/>
      <c r="C277" s="277"/>
      <c r="D277" s="277"/>
      <c r="E277" s="277"/>
      <c r="F277" s="277"/>
    </row>
    <row r="278" spans="2:6">
      <c r="B278" s="277"/>
      <c r="C278" s="277"/>
      <c r="D278" s="277"/>
      <c r="E278" s="277"/>
      <c r="F278" s="277"/>
    </row>
    <row r="279" spans="2:6">
      <c r="B279" s="277"/>
      <c r="C279" s="277"/>
      <c r="D279" s="277"/>
      <c r="E279" s="277"/>
      <c r="F279" s="277"/>
    </row>
    <row r="280" spans="2:6">
      <c r="B280" s="277"/>
      <c r="C280" s="277"/>
      <c r="D280" s="277"/>
      <c r="E280" s="277"/>
      <c r="F280" s="277"/>
    </row>
    <row r="281" spans="2:6">
      <c r="B281" s="277"/>
      <c r="C281" s="277"/>
      <c r="D281" s="277"/>
      <c r="E281" s="277"/>
      <c r="F281" s="277"/>
    </row>
    <row r="282" spans="2:6">
      <c r="B282" s="277"/>
      <c r="C282" s="277"/>
      <c r="D282" s="277"/>
      <c r="E282" s="277"/>
      <c r="F282" s="277"/>
    </row>
    <row r="283" spans="2:6">
      <c r="B283" s="277"/>
      <c r="C283" s="277"/>
      <c r="D283" s="277"/>
      <c r="E283" s="277"/>
      <c r="F283" s="277"/>
    </row>
    <row r="284" spans="2:6">
      <c r="B284" s="277"/>
      <c r="C284" s="277"/>
      <c r="D284" s="277"/>
      <c r="E284" s="277"/>
      <c r="F284" s="277"/>
    </row>
    <row r="285" spans="2:6">
      <c r="B285" s="277"/>
      <c r="C285" s="277"/>
      <c r="D285" s="277"/>
      <c r="E285" s="277"/>
      <c r="F285" s="277"/>
    </row>
    <row r="286" spans="2:6">
      <c r="B286" s="277"/>
      <c r="C286" s="277"/>
      <c r="D286" s="277"/>
      <c r="E286" s="277"/>
      <c r="F286" s="277"/>
    </row>
    <row r="287" spans="2:6">
      <c r="B287" s="277"/>
      <c r="C287" s="277"/>
      <c r="D287" s="277"/>
      <c r="E287" s="277"/>
      <c r="F287" s="277"/>
    </row>
    <row r="288" spans="2:6">
      <c r="B288" s="277"/>
      <c r="C288" s="277"/>
      <c r="D288" s="277"/>
      <c r="E288" s="277"/>
      <c r="F288" s="277"/>
    </row>
    <row r="289" spans="2:6">
      <c r="B289" s="277"/>
      <c r="C289" s="277"/>
      <c r="D289" s="277"/>
      <c r="E289" s="277"/>
      <c r="F289" s="277"/>
    </row>
    <row r="290" spans="2:6">
      <c r="B290" s="277"/>
      <c r="C290" s="277"/>
      <c r="D290" s="277"/>
      <c r="E290" s="277"/>
      <c r="F290" s="277"/>
    </row>
    <row r="291" spans="2:6">
      <c r="B291" s="277"/>
      <c r="C291" s="277"/>
      <c r="D291" s="277"/>
      <c r="E291" s="277"/>
      <c r="F291" s="277"/>
    </row>
    <row r="292" spans="2:6">
      <c r="B292" s="277"/>
      <c r="C292" s="277"/>
      <c r="D292" s="277"/>
      <c r="E292" s="277"/>
      <c r="F292" s="277"/>
    </row>
    <row r="293" spans="2:6">
      <c r="B293" s="277"/>
      <c r="C293" s="277"/>
      <c r="D293" s="277"/>
      <c r="E293" s="277"/>
      <c r="F293" s="277"/>
    </row>
    <row r="294" spans="2:6">
      <c r="B294" s="277"/>
      <c r="C294" s="277"/>
      <c r="D294" s="277"/>
      <c r="E294" s="277"/>
      <c r="F294" s="277"/>
    </row>
    <row r="295" spans="2:6">
      <c r="B295" s="277"/>
      <c r="C295" s="277"/>
      <c r="D295" s="277"/>
      <c r="E295" s="277"/>
      <c r="F295" s="277"/>
    </row>
    <row r="296" spans="2:6">
      <c r="B296" s="277"/>
      <c r="C296" s="277"/>
      <c r="D296" s="277"/>
      <c r="E296" s="277"/>
      <c r="F296" s="277"/>
    </row>
    <row r="297" spans="2:6">
      <c r="B297" s="277"/>
      <c r="C297" s="277"/>
      <c r="D297" s="277"/>
      <c r="E297" s="277"/>
      <c r="F297" s="277"/>
    </row>
    <row r="298" spans="2:6">
      <c r="B298" s="277"/>
      <c r="C298" s="277"/>
      <c r="D298" s="277"/>
      <c r="E298" s="277"/>
      <c r="F298" s="277"/>
    </row>
    <row r="299" spans="2:6">
      <c r="B299" s="277"/>
      <c r="C299" s="277"/>
      <c r="D299" s="277"/>
      <c r="E299" s="277"/>
      <c r="F299" s="277"/>
    </row>
    <row r="300" spans="2:6">
      <c r="B300" s="277"/>
      <c r="C300" s="277"/>
      <c r="D300" s="277"/>
      <c r="E300" s="277"/>
      <c r="F300" s="277"/>
    </row>
    <row r="301" spans="2:6">
      <c r="B301" s="277"/>
      <c r="C301" s="277"/>
      <c r="D301" s="277"/>
      <c r="E301" s="277"/>
      <c r="F301" s="277"/>
    </row>
    <row r="302" spans="2:6">
      <c r="B302" s="277"/>
      <c r="C302" s="277"/>
      <c r="D302" s="277"/>
      <c r="E302" s="277"/>
      <c r="F302" s="277"/>
    </row>
    <row r="303" spans="2:6">
      <c r="B303" s="277"/>
      <c r="C303" s="277"/>
      <c r="D303" s="277"/>
      <c r="E303" s="277"/>
      <c r="F303" s="277"/>
    </row>
    <row r="304" spans="2:6">
      <c r="B304" s="277"/>
      <c r="C304" s="277"/>
      <c r="D304" s="277"/>
      <c r="E304" s="277"/>
      <c r="F304" s="277"/>
    </row>
    <row r="305" spans="2:6">
      <c r="B305" s="277"/>
      <c r="C305" s="277"/>
      <c r="D305" s="277"/>
      <c r="E305" s="277"/>
      <c r="F305" s="277"/>
    </row>
    <row r="306" spans="2:6">
      <c r="B306" s="277"/>
      <c r="C306" s="277"/>
      <c r="D306" s="277"/>
      <c r="E306" s="277"/>
      <c r="F306" s="277"/>
    </row>
    <row r="307" spans="2:6">
      <c r="B307" s="277"/>
      <c r="C307" s="277"/>
      <c r="D307" s="277"/>
      <c r="E307" s="277"/>
      <c r="F307" s="277"/>
    </row>
    <row r="308" spans="2:6">
      <c r="B308" s="277"/>
      <c r="C308" s="277"/>
      <c r="D308" s="277"/>
      <c r="E308" s="277"/>
      <c r="F308" s="277"/>
    </row>
    <row r="309" spans="2:6">
      <c r="B309" s="277"/>
      <c r="C309" s="277"/>
      <c r="D309" s="277"/>
      <c r="E309" s="277"/>
      <c r="F309" s="277"/>
    </row>
  </sheetData>
  <mergeCells count="24">
    <mergeCell ref="AR4:AR5"/>
    <mergeCell ref="A1:BC1"/>
    <mergeCell ref="A2:BC2"/>
    <mergeCell ref="A4:A5"/>
    <mergeCell ref="B4:G4"/>
    <mergeCell ref="H4:H5"/>
    <mergeCell ref="I4:K4"/>
    <mergeCell ref="L4:T4"/>
    <mergeCell ref="U4:AB4"/>
    <mergeCell ref="AC4:AG4"/>
    <mergeCell ref="AH4:AJ4"/>
    <mergeCell ref="AK4:AM4"/>
    <mergeCell ref="AN4:AN5"/>
    <mergeCell ref="AO4:AO5"/>
    <mergeCell ref="AP4:AP5"/>
    <mergeCell ref="AQ4:AQ5"/>
    <mergeCell ref="AY4:BB4"/>
    <mergeCell ref="BC4:BC5"/>
    <mergeCell ref="AS4:AS5"/>
    <mergeCell ref="AT4:AT5"/>
    <mergeCell ref="AU4:AU5"/>
    <mergeCell ref="AV4:AV5"/>
    <mergeCell ref="AW4:AW5"/>
    <mergeCell ref="AX4:AX5"/>
  </mergeCells>
  <hyperlinks>
    <hyperlink ref="A55" location="'indice cap.2'!A1" display="Notas"/>
    <hyperlink ref="A56" location="'Indice cap.4'!A1" display="regresar al índice"/>
  </hyperlinks>
  <printOptions verticalCentered="1"/>
  <pageMargins left="0.11811023622047245" right="0.11811023622047245" top="0.15748031496062992" bottom="0.15748031496062992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1</vt:i4>
      </vt:variant>
    </vt:vector>
  </HeadingPairs>
  <TitlesOfParts>
    <vt:vector size="35" baseType="lpstr">
      <vt:lpstr>Indice cap.4</vt:lpstr>
      <vt:lpstr>4.1</vt:lpstr>
      <vt:lpstr>4.2</vt:lpstr>
      <vt:lpstr>4.3</vt:lpstr>
      <vt:lpstr>4.4</vt:lpstr>
      <vt:lpstr>4.5</vt:lpstr>
      <vt:lpstr>4.6</vt:lpstr>
      <vt:lpstr>4.7</vt:lpstr>
      <vt:lpstr>4.7.a</vt:lpstr>
      <vt:lpstr>4.8</vt:lpstr>
      <vt:lpstr>4.8.a</vt:lpstr>
      <vt:lpstr>4.8.b</vt:lpstr>
      <vt:lpstr>4.9</vt:lpstr>
      <vt:lpstr>4.9.a</vt:lpstr>
      <vt:lpstr>4.10</vt:lpstr>
      <vt:lpstr>4.10.a</vt:lpstr>
      <vt:lpstr>4.10.b</vt:lpstr>
      <vt:lpstr>4.11</vt:lpstr>
      <vt:lpstr>4.12</vt:lpstr>
      <vt:lpstr>4.13</vt:lpstr>
      <vt:lpstr>4.14</vt:lpstr>
      <vt:lpstr>4.15</vt:lpstr>
      <vt:lpstr>4.16</vt:lpstr>
      <vt:lpstr>4.17</vt:lpstr>
      <vt:lpstr>4.18</vt:lpstr>
      <vt:lpstr>4.18.a</vt:lpstr>
      <vt:lpstr>4.19</vt:lpstr>
      <vt:lpstr>4.20</vt:lpstr>
      <vt:lpstr>4.21</vt:lpstr>
      <vt:lpstr>4.22</vt:lpstr>
      <vt:lpstr>4.23</vt:lpstr>
      <vt:lpstr>4.24</vt:lpstr>
      <vt:lpstr>4.25</vt:lpstr>
      <vt:lpstr>4.26</vt:lpstr>
      <vt:lpstr>'Indice cap.4'!Área_de_impresión</vt:lpstr>
    </vt:vector>
  </TitlesOfParts>
  <Company>Banco Central del Ecuador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Santiago Lucero Villareal</dc:creator>
  <cp:lastModifiedBy>Julio Washington Chicaiza Alvarez</cp:lastModifiedBy>
  <cp:lastPrinted>2017-06-12T16:38:22Z</cp:lastPrinted>
  <dcterms:created xsi:type="dcterms:W3CDTF">2008-04-14T20:41:23Z</dcterms:created>
  <dcterms:modified xsi:type="dcterms:W3CDTF">2018-06-15T23:31:09Z</dcterms:modified>
</cp:coreProperties>
</file>