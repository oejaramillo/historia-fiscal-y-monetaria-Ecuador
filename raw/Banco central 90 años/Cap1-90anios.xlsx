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du\repositories\historia-fiscal-y-monetaria-Ecuador\raw\Banco central 90 años\"/>
    </mc:Choice>
  </mc:AlternateContent>
  <xr:revisionPtr revIDLastSave="0" documentId="13_ncr:1_{03DAC4E1-8819-4D6B-8868-9D6F87D09458}" xr6:coauthVersionLast="47" xr6:coauthVersionMax="47" xr10:uidLastSave="{00000000-0000-0000-0000-000000000000}"/>
  <bookViews>
    <workbookView xWindow="26265" yWindow="3000" windowWidth="20445" windowHeight="15285" firstSheet="5" activeTab="15" xr2:uid="{00000000-000D-0000-FFFF-FFFF00000000}"/>
  </bookViews>
  <sheets>
    <sheet name="indice cap.1" sheetId="1" r:id="rId1"/>
    <sheet name="1.1" sheetId="34" r:id="rId2"/>
    <sheet name="1.2" sheetId="2" r:id="rId3"/>
    <sheet name="1.3" sheetId="8" r:id="rId4"/>
    <sheet name="1.4" sheetId="35" r:id="rId5"/>
    <sheet name="1.5" sheetId="3" r:id="rId6"/>
    <sheet name="1.6" sheetId="4" r:id="rId7"/>
    <sheet name="1.7" sheetId="31" r:id="rId8"/>
    <sheet name="1.8a" sheetId="33" r:id="rId9"/>
    <sheet name="1.8b" sheetId="39" r:id="rId10"/>
    <sheet name="1.9" sheetId="5" r:id="rId11"/>
    <sheet name="1.10" sheetId="6" r:id="rId12"/>
    <sheet name="1.11" sheetId="7" r:id="rId13"/>
    <sheet name="1.12" sheetId="20" r:id="rId14"/>
    <sheet name="1.13" sheetId="9" r:id="rId15"/>
    <sheet name="1.14" sheetId="10" r:id="rId16"/>
    <sheet name="1.15" sheetId="11" r:id="rId17"/>
    <sheet name="1.16" sheetId="12" r:id="rId18"/>
    <sheet name="1.16a" sheetId="36" r:id="rId19"/>
    <sheet name="1.16b" sheetId="37" r:id="rId20"/>
    <sheet name="1.16c" sheetId="38" r:id="rId21"/>
    <sheet name="1.17" sheetId="13" r:id="rId22"/>
    <sheet name="1.18" sheetId="14" r:id="rId23"/>
    <sheet name="1.19" sheetId="15" r:id="rId24"/>
    <sheet name="1.20" sheetId="16" r:id="rId25"/>
    <sheet name="1.21" sheetId="17" r:id="rId26"/>
    <sheet name="1.21b" sheetId="18" r:id="rId27"/>
    <sheet name="1.22" sheetId="19" r:id="rId28"/>
    <sheet name="1.23" sheetId="21" r:id="rId29"/>
    <sheet name="1.24" sheetId="22" r:id="rId30"/>
    <sheet name="1.25" sheetId="23" r:id="rId31"/>
    <sheet name="1.26" sheetId="24" r:id="rId32"/>
    <sheet name="1.27" sheetId="25" r:id="rId33"/>
    <sheet name="1.28" sheetId="30" r:id="rId34"/>
    <sheet name="1.29" sheetId="26" r:id="rId35"/>
    <sheet name="1.30" sheetId="27" r:id="rId36"/>
    <sheet name="1.31" sheetId="28" r:id="rId37"/>
    <sheet name="1.32" sheetId="29" r:id="rId38"/>
  </sheets>
  <definedNames>
    <definedName name="_ftn1" localSheetId="8">'1.8a'!#REF!</definedName>
    <definedName name="_ftn1" localSheetId="9">'1.8b'!#REF!</definedName>
    <definedName name="_ftnref1" localSheetId="8">'1.8a'!#REF!</definedName>
    <definedName name="_ftnref1" localSheetId="9">'1.8b'!#REF!</definedName>
    <definedName name="a" localSheetId="9">#REF!</definedName>
    <definedName name="a">#REF!</definedName>
    <definedName name="b" localSheetId="9">#REF!</definedName>
    <definedName name="b">#REF!</definedName>
    <definedName name="_xlnm.Criteria" localSheetId="9">#REF!</definedName>
    <definedName name="_xlnm.Criteria">#REF!</definedName>
    <definedName name="otra" localSheetId="9">#REF!</definedName>
    <definedName name="otra">#REF!</definedName>
    <definedName name="_xlnm.Print_Area" localSheetId="1">'1.1'!$A$1:$O$39</definedName>
    <definedName name="_xlnm.Print_Area" localSheetId="11">'1.10'!$A$1:$V$21</definedName>
    <definedName name="_xlnm.Print_Area" localSheetId="12">'1.11'!$A$1:$L$82</definedName>
    <definedName name="_xlnm.Print_Area" localSheetId="13">'1.12'!$A$1:$H$81</definedName>
    <definedName name="_xlnm.Print_Area" localSheetId="14">'1.13'!$A$1:$I$80</definedName>
    <definedName name="_xlnm.Print_Area" localSheetId="15">'1.14'!$A$1:$P$83</definedName>
    <definedName name="_xlnm.Print_Area" localSheetId="16">'1.15'!$A$1:$N$83</definedName>
    <definedName name="_xlnm.Print_Area" localSheetId="17">'1.16'!$A$1:$L$112</definedName>
    <definedName name="_xlnm.Print_Area" localSheetId="21">'1.17'!$A$1:$O$81</definedName>
    <definedName name="_xlnm.Print_Area" localSheetId="22">'1.18'!$A$1:$G$81</definedName>
    <definedName name="_xlnm.Print_Area" localSheetId="23">'1.19'!$A$1:$K$81</definedName>
    <definedName name="_xlnm.Print_Area" localSheetId="2">'1.2'!$N$1:$W$55</definedName>
    <definedName name="_xlnm.Print_Area" localSheetId="24">'1.20'!$A$1:$D$80</definedName>
    <definedName name="_xlnm.Print_Area" localSheetId="25">'1.21'!$A$1:$F$45</definedName>
    <definedName name="_xlnm.Print_Area" localSheetId="26">'1.21b'!$A$1:$K$44</definedName>
    <definedName name="_xlnm.Print_Area" localSheetId="27">'1.22'!$A$1:$H$81</definedName>
    <definedName name="_xlnm.Print_Area" localSheetId="28">'1.23'!$A$1:$I$82</definedName>
    <definedName name="_xlnm.Print_Area" localSheetId="29">'1.24'!$A$1:$H$81</definedName>
    <definedName name="_xlnm.Print_Area" localSheetId="30">'1.25'!$A$1:$D$79</definedName>
    <definedName name="_xlnm.Print_Area" localSheetId="31">'1.26'!$A$1:$E$79</definedName>
    <definedName name="_xlnm.Print_Area" localSheetId="32">'1.27'!$A$1:$E$80</definedName>
    <definedName name="_xlnm.Print_Area" localSheetId="33">'1.28'!$A$1:$G$96</definedName>
    <definedName name="_xlnm.Print_Area" localSheetId="34">'1.29'!$A$1:$F$59</definedName>
    <definedName name="_xlnm.Print_Area" localSheetId="3">'1.3'!$A$1:$O$83</definedName>
    <definedName name="_xlnm.Print_Area" localSheetId="35">'1.30'!$A$1:$R$61</definedName>
    <definedName name="_xlnm.Print_Area" localSheetId="36">'1.31'!$R$1:$AI$21</definedName>
    <definedName name="_xlnm.Print_Area" localSheetId="37">'1.32'!$Q$1:$AF$20</definedName>
    <definedName name="_xlnm.Print_Area" localSheetId="4">'1.4'!$A$1:$M$18</definedName>
    <definedName name="_xlnm.Print_Area" localSheetId="5">'1.5'!$A$1:$X$65</definedName>
    <definedName name="_xlnm.Print_Area" localSheetId="6">'1.6'!$A$1:$G$103</definedName>
    <definedName name="_xlnm.Print_Area" localSheetId="7">'1.7'!$A$1:$F$64</definedName>
    <definedName name="_xlnm.Print_Area" localSheetId="8">'1.8a'!$A$1:$W$65</definedName>
    <definedName name="_xlnm.Print_Area" localSheetId="9">'1.8b'!$A$1:$W$65</definedName>
    <definedName name="_xlnm.Print_Area" localSheetId="10">'1.9'!$A$1:$S$22</definedName>
    <definedName name="_xlnm.Print_Area" localSheetId="0">'indice cap.1'!$A$1:$A$46</definedName>
    <definedName name="_xlnm.Print_Titles" localSheetId="12">'1.11'!$1:$6</definedName>
    <definedName name="_xlnm.Print_Titles" localSheetId="13">'1.12'!$1:$6</definedName>
    <definedName name="_xlnm.Print_Titles" localSheetId="14">'1.13'!$1:$6</definedName>
    <definedName name="_xlnm.Print_Titles" localSheetId="15">'1.14'!$1:$8</definedName>
    <definedName name="_xlnm.Print_Titles" localSheetId="16">'1.15'!$1:$8</definedName>
    <definedName name="_xlnm.Print_Titles" localSheetId="21">'1.17'!$1:$7</definedName>
    <definedName name="_xlnm.Print_Titles" localSheetId="22">'1.18'!$1:$6</definedName>
    <definedName name="_xlnm.Print_Titles" localSheetId="23">'1.19'!$1:$8</definedName>
    <definedName name="_xlnm.Print_Titles" localSheetId="24">'1.20'!$1:$6</definedName>
    <definedName name="_xlnm.Print_Titles" localSheetId="29">'1.24'!$1:$7</definedName>
    <definedName name="_xlnm.Print_Titles" localSheetId="3">'1.3'!$1:$8</definedName>
    <definedName name="_xlnm.Print_Titles" localSheetId="6">'1.6'!$1:$4</definedName>
    <definedName name="_xlnm.Print_Titles" localSheetId="7">'1.7'!$1:$5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9" l="1"/>
  <c r="B80" i="19" s="1"/>
  <c r="F79" i="19"/>
  <c r="B79" i="19" s="1"/>
  <c r="B78" i="19"/>
  <c r="B77" i="19"/>
  <c r="B76" i="19"/>
  <c r="B75" i="19"/>
  <c r="B74" i="19"/>
  <c r="B73" i="19"/>
  <c r="B72" i="19"/>
  <c r="B71" i="19"/>
  <c r="G43" i="18"/>
  <c r="C43" i="18"/>
  <c r="G42" i="18"/>
  <c r="C42" i="18"/>
  <c r="B42" i="18" s="1"/>
  <c r="G41" i="18"/>
  <c r="C41" i="18"/>
  <c r="B41" i="18" s="1"/>
  <c r="C81" i="15"/>
  <c r="C80" i="15"/>
  <c r="C79" i="15"/>
  <c r="G41" i="4"/>
  <c r="G40" i="4"/>
  <c r="G39" i="4"/>
  <c r="G38" i="4"/>
  <c r="G37" i="4"/>
  <c r="G36" i="4"/>
  <c r="G35" i="4"/>
  <c r="G34" i="4"/>
  <c r="G33" i="4"/>
  <c r="G32" i="4"/>
  <c r="G31" i="4"/>
  <c r="G27" i="4"/>
  <c r="G26" i="4"/>
  <c r="G18" i="4"/>
  <c r="G15" i="4"/>
  <c r="B43" i="18" l="1"/>
</calcChain>
</file>

<file path=xl/sharedStrings.xml><?xml version="1.0" encoding="utf-8"?>
<sst xmlns="http://schemas.openxmlformats.org/spreadsheetml/2006/main" count="4391" uniqueCount="964">
  <si>
    <t>1.28   Tasas de Interés Referenciales Nominales en Sucres (1993 ­ 1999)</t>
  </si>
  <si>
    <t>SECTOR MONETARIO y FINANCIERO</t>
  </si>
  <si>
    <t>capítulo 1</t>
  </si>
  <si>
    <t>En millones de dólares</t>
  </si>
  <si>
    <t>Tipo de cambio US$ = S/.</t>
  </si>
  <si>
    <t>I.  ACTIVOS EXTERNOS NETOS (a+b)</t>
  </si>
  <si>
    <t xml:space="preserve">      b. Otros activos externos netos  (b.1-b.2)</t>
  </si>
  <si>
    <t>II.  ACTIVOS INTERNOS NETOS (c+d)</t>
  </si>
  <si>
    <t xml:space="preserve">      c. Crédito interno (c.1+c.2+c.3+c.4+c.5)</t>
  </si>
  <si>
    <t xml:space="preserve">              c.1.1 Crédito (c.1.1.1+c.1.1.2+c.1.1.3+c.1.1.4)</t>
  </si>
  <si>
    <t>-</t>
  </si>
  <si>
    <t xml:space="preserve">               c.1.2 Depósitos (c.1.2.1+c.1.2.2+c.1.2.3+c.1.2.4)</t>
  </si>
  <si>
    <t xml:space="preserve">                    c.1.2.1 DepósitosTesoro Nacional</t>
  </si>
  <si>
    <t xml:space="preserve">                    c.1.2.4 Depósitos otras entidades del gobierno central</t>
  </si>
  <si>
    <t xml:space="preserve">           c.2 Crédito a gobiernos provinciales y locales</t>
  </si>
  <si>
    <t xml:space="preserve">                             c.4.1.2 Títulos</t>
  </si>
  <si>
    <t xml:space="preserve">           c.5 Crédito al sector privado (particulares)</t>
  </si>
  <si>
    <t xml:space="preserve">      d. Activos netos no clasificados (d.1-d.2)</t>
  </si>
  <si>
    <t>III.  BASE MONETARIA Y OTRAS OBLIGACIONES ( I+II)=(e+f)</t>
  </si>
  <si>
    <t xml:space="preserve">            e.1 Emisión monetaria (e.1.1 + e.1.2)</t>
  </si>
  <si>
    <t xml:space="preserve">                  e.2.1 Depósitos Otras Sociedades de Depósito</t>
  </si>
  <si>
    <t xml:space="preserve">       f. Otras obligaciones del BCE (f.1+f.2+f.3+f.4)</t>
  </si>
  <si>
    <t xml:space="preserve">            f.2 Títulos Banco Central del Ecuador</t>
  </si>
  <si>
    <t xml:space="preserve">            f.3 Depósitos sector público y particulares (f.3.1 + f.3.2 + f.3.3)</t>
  </si>
  <si>
    <t xml:space="preserve">                  f.3.2 Depósitos sociedades públicas no financieras (empresas)</t>
  </si>
  <si>
    <t>Saldos en millones de dólares</t>
  </si>
  <si>
    <t xml:space="preserve">       c.3  Crédito sociedades públicas no finan. (empresas)</t>
  </si>
  <si>
    <t xml:space="preserve">       c.4  Crédito gobiernos provinciales y locales.</t>
  </si>
  <si>
    <t xml:space="preserve">       c.5  Crédito neto otras sociedades financieras (c.5.1-c.5.2)</t>
  </si>
  <si>
    <t xml:space="preserve">       c.6  Crédito neto entidades off-shore (c.6.1-c.6.2)</t>
  </si>
  <si>
    <t xml:space="preserve">       c.7  Crédito al sector privado (empresas y hogares) (c.7.1+c.7.2+c.7.3)</t>
  </si>
  <si>
    <t xml:space="preserve">                 c.7.1 Cartera (c.7.1.1+c.7.1.2)</t>
  </si>
  <si>
    <t xml:space="preserve">                          c.7.1.1  Por vencer</t>
  </si>
  <si>
    <t xml:space="preserve">                          c.7.1.2  Vencida</t>
  </si>
  <si>
    <t xml:space="preserve">                  c.7.2 Títulos valores </t>
  </si>
  <si>
    <t>d. Posición neta con el BCE  (d.1-d.2)</t>
  </si>
  <si>
    <t xml:space="preserve">         d.1.  Reservas internas (d.1.1+d.1.2+d.1.3+d.1.4+d.1.5)</t>
  </si>
  <si>
    <t xml:space="preserve">                    d.1.4 Títulos para encaje</t>
  </si>
  <si>
    <t xml:space="preserve">                    d.1.5 Títulos TBC</t>
  </si>
  <si>
    <t>e. Otros activos netos no clasificados (e.1-e.2)</t>
  </si>
  <si>
    <t>III.  PASIVOS FINANCIEROS (I + II = f + g)</t>
  </si>
  <si>
    <t xml:space="preserve">                      f.2.1 Depósitos de ahorro</t>
  </si>
  <si>
    <t xml:space="preserve">                      f.2.2 Depósitos a plazo fijo</t>
  </si>
  <si>
    <t xml:space="preserve">                      f.2.4 Operaciones de reporto</t>
  </si>
  <si>
    <t>REFERENCIALES NOMINALES</t>
  </si>
  <si>
    <t>Período</t>
  </si>
  <si>
    <t>Legal</t>
  </si>
  <si>
    <t>(2)</t>
  </si>
  <si>
    <t>(3)</t>
  </si>
  <si>
    <t>(4)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</si>
  <si>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</si>
  <si>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</si>
  <si>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</si>
  <si>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</si>
  <si>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</si>
  <si>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</si>
  <si>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</si>
  <si>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</si>
  <si>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</si>
  <si>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</si>
  <si>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</si>
  <si>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</si>
  <si>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Promedio ponderado del período</t>
  </si>
  <si>
    <t>BANCOS PRIVADOS (2)</t>
  </si>
  <si>
    <t>SOCIEDADES FINANCIERAS PRIVADAS</t>
  </si>
  <si>
    <t>ASOCIACIONES MUTUALISTAS</t>
  </si>
  <si>
    <t>Operaciones de libre contratación</t>
  </si>
  <si>
    <t xml:space="preserve">Período \ No. de días </t>
  </si>
  <si>
    <t xml:space="preserve"> 1- 29</t>
  </si>
  <si>
    <t>30-83</t>
  </si>
  <si>
    <t>84-91</t>
  </si>
  <si>
    <t>92-175</t>
  </si>
  <si>
    <t>176-360</t>
  </si>
  <si>
    <t>361 o más</t>
  </si>
  <si>
    <t>1-29</t>
  </si>
  <si>
    <t xml:space="preserve">  92-175</t>
  </si>
  <si>
    <t xml:space="preserve"> 176-360</t>
  </si>
  <si>
    <t>Otros</t>
  </si>
  <si>
    <t>Depósitos a plazo</t>
  </si>
  <si>
    <t>Período \ No. de días</t>
  </si>
  <si>
    <t xml:space="preserve"> 1 - 29</t>
  </si>
  <si>
    <t xml:space="preserve"> 30-83</t>
  </si>
  <si>
    <t xml:space="preserve"> 84-91</t>
  </si>
  <si>
    <t xml:space="preserve"> 92-175</t>
  </si>
  <si>
    <t xml:space="preserve"> 361 o más</t>
  </si>
  <si>
    <t xml:space="preserve">    1-29</t>
  </si>
  <si>
    <t>Saldos en millones de sucres</t>
  </si>
  <si>
    <t>Año</t>
  </si>
  <si>
    <t xml:space="preserve">MEDIO CIRCULANTE (M1) </t>
  </si>
  <si>
    <t>CUASIDINERO</t>
  </si>
  <si>
    <t>MULTIPLICADORES</t>
  </si>
  <si>
    <t>COEFICIENTE</t>
  </si>
  <si>
    <t>TOTAL</t>
  </si>
  <si>
    <t>M1/BM</t>
  </si>
  <si>
    <t>M2/BM</t>
  </si>
  <si>
    <t>RMI/M2</t>
  </si>
  <si>
    <t>BM</t>
  </si>
  <si>
    <t>a</t>
  </si>
  <si>
    <t>b</t>
  </si>
  <si>
    <t>c=d+e</t>
  </si>
  <si>
    <t>d</t>
  </si>
  <si>
    <t>e</t>
  </si>
  <si>
    <t>f</t>
  </si>
  <si>
    <t>g=c+f</t>
  </si>
  <si>
    <t>h=c/b</t>
  </si>
  <si>
    <t>i=g/b</t>
  </si>
  <si>
    <t>RESERVA MONETARIA INTERNACIONAL</t>
  </si>
  <si>
    <t>RESERVA</t>
  </si>
  <si>
    <t>ACTIVOS</t>
  </si>
  <si>
    <t>PASIVOS</t>
  </si>
  <si>
    <t>Corresponsales</t>
  </si>
  <si>
    <t>a=b-h</t>
  </si>
  <si>
    <t>b=c+d+e+f+g</t>
  </si>
  <si>
    <t>c</t>
  </si>
  <si>
    <t>g</t>
  </si>
  <si>
    <t>h=i+j+k+l</t>
  </si>
  <si>
    <t>i</t>
  </si>
  <si>
    <t>j</t>
  </si>
  <si>
    <t>k</t>
  </si>
  <si>
    <t>l</t>
  </si>
  <si>
    <t>(1)</t>
  </si>
  <si>
    <t>(5)</t>
  </si>
  <si>
    <t>R.M.I.</t>
  </si>
  <si>
    <t xml:space="preserve">        a</t>
  </si>
  <si>
    <t xml:space="preserve">       c</t>
  </si>
  <si>
    <t xml:space="preserve">     d</t>
  </si>
  <si>
    <t xml:space="preserve">     e</t>
  </si>
  <si>
    <t xml:space="preserve">     f</t>
  </si>
  <si>
    <t xml:space="preserve">     g</t>
  </si>
  <si>
    <t xml:space="preserve">     h=a+b</t>
  </si>
  <si>
    <t>1927 (4)</t>
  </si>
  <si>
    <t xml:space="preserve">SISTEMA FINANCIERO </t>
  </si>
  <si>
    <t xml:space="preserve">    SECTOR PRIVADO</t>
  </si>
  <si>
    <t>DEPOSITOS</t>
  </si>
  <si>
    <t>CREDITO</t>
  </si>
  <si>
    <t>a=b+c-d-e</t>
  </si>
  <si>
    <t xml:space="preserve">      b</t>
  </si>
  <si>
    <t>f=g-h-i</t>
  </si>
  <si>
    <t>j=k-l-m</t>
  </si>
  <si>
    <t>1927 (6)</t>
  </si>
  <si>
    <t xml:space="preserve">FUENTES Y USOS DE LA BASE MONETARIA </t>
  </si>
  <si>
    <t>Crédito Neto</t>
  </si>
  <si>
    <t>R.M.I</t>
  </si>
  <si>
    <t>B.N.F</t>
  </si>
  <si>
    <t xml:space="preserve">        e</t>
  </si>
  <si>
    <t>1927 (7)</t>
  </si>
  <si>
    <t xml:space="preserve">              BANCO CENTRAL DEL ECUADOR</t>
  </si>
  <si>
    <t xml:space="preserve">         Estado consolidado al 31 de diciembre</t>
  </si>
  <si>
    <t>Cuentas \ Año</t>
  </si>
  <si>
    <t>1976</t>
  </si>
  <si>
    <t>1977</t>
  </si>
  <si>
    <t>1978</t>
  </si>
  <si>
    <t>1979</t>
  </si>
  <si>
    <t>1980</t>
  </si>
  <si>
    <t>1981</t>
  </si>
  <si>
    <t>1982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</si>
  <si>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</si>
  <si>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</si>
  <si>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</si>
  <si>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</si>
  <si>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</si>
  <si>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</si>
  <si>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</si>
  <si>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</si>
  <si>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</si>
  <si>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Tipo de cambio US$ 1=S/</t>
  </si>
  <si>
    <t>ACTIVO</t>
  </si>
  <si>
    <t>ACTIVOS INTERNACIONALES DE RESERVA</t>
  </si>
  <si>
    <t xml:space="preserve">  Oro monetario</t>
  </si>
  <si>
    <t xml:space="preserve">  Tenencias asignaciones unidades de cta</t>
  </si>
  <si>
    <t xml:space="preserve">  Numerario y depósitos en M/E</t>
  </si>
  <si>
    <t xml:space="preserve">  Inversiones en M/E</t>
  </si>
  <si>
    <t xml:space="preserve">  Acuerdos de pago y conve. de crédito recíproco</t>
  </si>
  <si>
    <t xml:space="preserve">  Participación en el Fondo Monetario Internacional</t>
  </si>
  <si>
    <t xml:space="preserve">  Participación en otros organis. financie. internac.</t>
  </si>
  <si>
    <t xml:space="preserve">  Otros activos en M/E</t>
  </si>
  <si>
    <t>ACTIVOS INTERNOS EN M/E</t>
  </si>
  <si>
    <t>ACTIVOS MONETARIOS</t>
  </si>
  <si>
    <t>CREDITO INTERNO</t>
  </si>
  <si>
    <t xml:space="preserve">  Crédito al Tesoro Nacional</t>
  </si>
  <si>
    <t xml:space="preserve">  Crédito a gobiernos provinciales y locales</t>
  </si>
  <si>
    <t xml:space="preserve">  Crédito a entidades oficiales</t>
  </si>
  <si>
    <t xml:space="preserve">  Crédito a bancos de desarrollo</t>
  </si>
  <si>
    <t xml:space="preserve">  Crédito a instituciones financieras públicas</t>
  </si>
  <si>
    <t xml:space="preserve">  Crédito a bancos privados</t>
  </si>
  <si>
    <t xml:space="preserve">  Crédito a instituciones financieras privadas</t>
  </si>
  <si>
    <t xml:space="preserve">  Crédito a particulares</t>
  </si>
  <si>
    <t xml:space="preserve">  Crédito de fondos financieros</t>
  </si>
  <si>
    <t xml:space="preserve">      Crédito fondos financ. bancos de desarrollo</t>
  </si>
  <si>
    <t xml:space="preserve">      Crédito fondos financ. inst. financ. públicas</t>
  </si>
  <si>
    <t xml:space="preserve">      Crédito fondos financ. bancos privados</t>
  </si>
  <si>
    <t xml:space="preserve">      Crédito fondos financ. inst. financ. privadas</t>
  </si>
  <si>
    <t>INVERSIONES VALORES MOBILIARIOS</t>
  </si>
  <si>
    <t xml:space="preserve">  Títulos Tesoro Nacional</t>
  </si>
  <si>
    <t xml:space="preserve">  Titulos Tesoro Nacional  M/E</t>
  </si>
  <si>
    <t xml:space="preserve">  Títulos gob. provinciales y locales</t>
  </si>
  <si>
    <t xml:space="preserve">  Títulos entidades oficiales</t>
  </si>
  <si>
    <t xml:space="preserve">  Títulos bancos de desarrollo</t>
  </si>
  <si>
    <t xml:space="preserve">  Títulos inst. financ. públicas</t>
  </si>
  <si>
    <t xml:space="preserve">  Títulos bancos privados</t>
  </si>
  <si>
    <t xml:space="preserve">  Títulos inst. financ. privadas</t>
  </si>
  <si>
    <t xml:space="preserve">  Títulos de particulares</t>
  </si>
  <si>
    <t xml:space="preserve">  Provisión para valuación de inversiones</t>
  </si>
  <si>
    <t>BIENES RAICES, MUEBLES Y EQUIPOS</t>
  </si>
  <si>
    <t>OTRAS CUENTAS DEL ACTIVO</t>
  </si>
  <si>
    <t>ACTIVOS DIFERIDOS</t>
  </si>
  <si>
    <t>TOTAL DEL ACTIVO</t>
  </si>
  <si>
    <t>PASIVO</t>
  </si>
  <si>
    <t>PASIVOS INTERNACIONALES DE RESERVA</t>
  </si>
  <si>
    <t xml:space="preserve">   Depósitos del exterior en M/E</t>
  </si>
  <si>
    <t xml:space="preserve">   Préstamos del exterior en M/E</t>
  </si>
  <si>
    <t xml:space="preserve">   Otras obligaciones en M/E</t>
  </si>
  <si>
    <t xml:space="preserve">   Acuerdos de pago y conve. de crédito recíproco</t>
  </si>
  <si>
    <t xml:space="preserve">   Obligaciones Fondo Monetario Internacional</t>
  </si>
  <si>
    <t>OTROS PASIVOS INTERNACIONALES</t>
  </si>
  <si>
    <t>PASIVOS INTERNOS EN M/E</t>
  </si>
  <si>
    <t xml:space="preserve">    Depósitos M/E tesoro nacional</t>
  </si>
  <si>
    <t xml:space="preserve">    Depósitos M/E gob. provinciales</t>
  </si>
  <si>
    <t xml:space="preserve">    Depósitos M/E entidades oficiales</t>
  </si>
  <si>
    <t xml:space="preserve">    Depósitos M/E inst. financ. públicas</t>
  </si>
  <si>
    <t xml:space="preserve">    Depósitos M/E bancos privados</t>
  </si>
  <si>
    <t xml:space="preserve">    Depósitos M/E inst. financ. privadas</t>
  </si>
  <si>
    <t xml:space="preserve">    Depósitos M/E particulares</t>
  </si>
  <si>
    <t xml:space="preserve">    Obligaciones M/E Tesoro Nacional</t>
  </si>
  <si>
    <t xml:space="preserve">    Obligaciones M/E gob. provinciales</t>
  </si>
  <si>
    <t xml:space="preserve">    Obligaciones M/E entidades oficiales</t>
  </si>
  <si>
    <t xml:space="preserve">    Obligaciones M/E bancos de desarrollo</t>
  </si>
  <si>
    <t xml:space="preserve">    Obligaciones M/E inst. financ. públicas</t>
  </si>
  <si>
    <t xml:space="preserve">    Obligaciones M/E bancos privados</t>
  </si>
  <si>
    <t xml:space="preserve">    Obligaciones M/E inst. financ. privadas</t>
  </si>
  <si>
    <t xml:space="preserve">    Obligaciones M/E particulares</t>
  </si>
  <si>
    <t xml:space="preserve">    Otros pasivos internos en M/E</t>
  </si>
  <si>
    <t>OBLIGACIONES EMITIDAS EN CIRCULACION</t>
  </si>
  <si>
    <t xml:space="preserve">   Especies monetarias emitidas</t>
  </si>
  <si>
    <t xml:space="preserve">   Especies monetarias en tesorería y caja</t>
  </si>
  <si>
    <t xml:space="preserve">   Especies monetarias en circulación</t>
  </si>
  <si>
    <t xml:space="preserve">   Títulos en M/N en circulación</t>
  </si>
  <si>
    <t>DEPOSITOS MONETARIOS</t>
  </si>
  <si>
    <t xml:space="preserve">  Depósitos monetarios Tesoro Nacional</t>
  </si>
  <si>
    <t xml:space="preserve">  Depósitos monetarios gob. prov. y locales</t>
  </si>
  <si>
    <t xml:space="preserve">  Depósitos monetarios entidades oficiales</t>
  </si>
  <si>
    <t xml:space="preserve">  Depósitos monetarios bancos de desarrollo</t>
  </si>
  <si>
    <t xml:space="preserve">  Depósitos monetarios inst. financ. públicas</t>
  </si>
  <si>
    <t xml:space="preserve">  Depósitos monetarios bancos privados</t>
  </si>
  <si>
    <t xml:space="preserve">  Depósitos monetarios inst. financ. privadas</t>
  </si>
  <si>
    <t xml:space="preserve">  Depósitos monetarios particulares</t>
  </si>
  <si>
    <t xml:space="preserve">  Depósitos monetarios fondos financieros</t>
  </si>
  <si>
    <t>OTRAS OBLIGACIONES INTERNAS</t>
  </si>
  <si>
    <t xml:space="preserve">  Otras obligaciones Tesoro Nacional</t>
  </si>
  <si>
    <t xml:space="preserve">  Otras obligaciones gob. prov. y locales</t>
  </si>
  <si>
    <t xml:space="preserve">  Otras obligaciones entidades oficiales</t>
  </si>
  <si>
    <t xml:space="preserve">  Otras obligaciones bancos de desarrollo</t>
  </si>
  <si>
    <t xml:space="preserve">  Otras obligaciones inst. financ. públicas</t>
  </si>
  <si>
    <t xml:space="preserve">  Otras obligaciones bancos privados</t>
  </si>
  <si>
    <t xml:space="preserve">  Otras obligaciones inst. financ. privadas</t>
  </si>
  <si>
    <t xml:space="preserve">  Otras obligaciones particulares</t>
  </si>
  <si>
    <t xml:space="preserve">  Otras obligaciones a varios</t>
  </si>
  <si>
    <t>OTRAS CUENTAS DEL PASIVO</t>
  </si>
  <si>
    <t>PASIVOS DIFERIDOS</t>
  </si>
  <si>
    <t>TOTAL PASIVO</t>
  </si>
  <si>
    <t>CAPITAL Y RESERVAS</t>
  </si>
  <si>
    <t>TOTAL PASIVO , CAPITAL Y RESERVAS E INGRESOS</t>
  </si>
  <si>
    <t xml:space="preserve">TOTAL CUENTAS DE ORDEN 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</si>
  <si>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</si>
  <si>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</si>
  <si>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</si>
  <si>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</si>
  <si>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</si>
  <si>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</si>
  <si>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</si>
  <si>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</si>
  <si>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</si>
  <si>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</si>
  <si>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</si>
  <si>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</si>
  <si>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</si>
  <si>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</si>
  <si>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</si>
  <si>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</si>
  <si>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</si>
  <si>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</si>
  <si>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</si>
  <si>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</si>
  <si>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</si>
  <si>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</si>
  <si>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</si>
  <si>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</si>
  <si>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</si>
  <si>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</si>
  <si>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</si>
  <si>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</si>
  <si>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ACTIVOS INTERNACIONALES</t>
  </si>
  <si>
    <t xml:space="preserve">  ACTIVOS PROPIOS</t>
  </si>
  <si>
    <t xml:space="preserve">    Oro Físico</t>
  </si>
  <si>
    <t xml:space="preserve">    Divisas extranjeras</t>
  </si>
  <si>
    <t xml:space="preserve">    Varios Deudores Divisas</t>
  </si>
  <si>
    <t xml:space="preserve">    Créditos en el País en Divisas</t>
  </si>
  <si>
    <t xml:space="preserve">    Tenencias DEGS</t>
  </si>
  <si>
    <t xml:space="preserve">    Inversiones en M/E</t>
  </si>
  <si>
    <t xml:space="preserve">  APORTE FONDO MONETARIO INTERNACIONAL</t>
  </si>
  <si>
    <t xml:space="preserve">    Crédito fondos financ. bancos de desarrollo</t>
  </si>
  <si>
    <t xml:space="preserve">    Crédito fondos financ. inst. financ. públicas</t>
  </si>
  <si>
    <t xml:space="preserve">    Crédito fondos financ. bancos privados</t>
  </si>
  <si>
    <t xml:space="preserve">    Crédito fondos financ. inst. financ. privadas</t>
  </si>
  <si>
    <t xml:space="preserve"> Títulos de Crédito</t>
  </si>
  <si>
    <t xml:space="preserve">   Títulos Tesoro Nacional</t>
  </si>
  <si>
    <t xml:space="preserve">   Títulos gob. provinciales y locales</t>
  </si>
  <si>
    <t xml:space="preserve">   Títulos entidades oficiales</t>
  </si>
  <si>
    <t xml:space="preserve">   Títulos bancos de desarrollo</t>
  </si>
  <si>
    <t xml:space="preserve">   Títulos inst. financ. públicas</t>
  </si>
  <si>
    <t xml:space="preserve">   Títulos bancos privados</t>
  </si>
  <si>
    <t xml:space="preserve">   Títulos inst. financ. privadas</t>
  </si>
  <si>
    <t xml:space="preserve">   Títulos de particulares</t>
  </si>
  <si>
    <t xml:space="preserve">PASIVOS INTERNACIONALES </t>
  </si>
  <si>
    <t xml:space="preserve">   Obligaciones al Exterior en Divisas</t>
  </si>
  <si>
    <t xml:space="preserve">    Obligaciones en el País en Divisas</t>
  </si>
  <si>
    <t xml:space="preserve">    Obligaciones Fondo Monetario Internacional</t>
  </si>
  <si>
    <t>OBLIGACIONES MONETARIAS</t>
  </si>
  <si>
    <t xml:space="preserve">  Especies monetarias en circulación</t>
  </si>
  <si>
    <t xml:space="preserve">  Depósitos monetarios</t>
  </si>
  <si>
    <t xml:space="preserve">     Depósitos monetarios Tesoro Nacional</t>
  </si>
  <si>
    <t xml:space="preserve">     Depósitos monetarios gob. prov. y locales</t>
  </si>
  <si>
    <t xml:space="preserve">     Depósitos monetarios entidades oficiales</t>
  </si>
  <si>
    <t xml:space="preserve">     Depósitos monetarios bancos de desarrollo</t>
  </si>
  <si>
    <t xml:space="preserve">     Depósitos monetarios inst. financ. públicas</t>
  </si>
  <si>
    <t xml:space="preserve">     Depósitos monetarios bancos privados</t>
  </si>
  <si>
    <t xml:space="preserve">     Depósitos monetarios inst. financ. privadas</t>
  </si>
  <si>
    <t xml:space="preserve">     Depósitos monetarios particulares</t>
  </si>
  <si>
    <t xml:space="preserve">     Depósitos monetarios fondos financieros</t>
  </si>
  <si>
    <t>ASIGNACIONES DEG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</si>
  <si>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</si>
  <si>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</si>
  <si>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</si>
  <si>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</si>
  <si>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</si>
  <si>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</si>
  <si>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</si>
  <si>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</si>
  <si>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</si>
  <si>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</si>
  <si>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</si>
  <si>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</si>
  <si>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RESERVAS</t>
  </si>
  <si>
    <t xml:space="preserve">      Oro acuñado y en barras (Depto. de Reserva)</t>
  </si>
  <si>
    <t xml:space="preserve">       Aporte en Oro: FMI</t>
  </si>
  <si>
    <t xml:space="preserve">      Oro acuñado y en barras (Depto. Bancario)</t>
  </si>
  <si>
    <t xml:space="preserve">      Divisas o Cambio Extranjero</t>
  </si>
  <si>
    <t>Recursos Afectos a Obligaciones en Oro y</t>
  </si>
  <si>
    <t>Moneda Extranjera</t>
  </si>
  <si>
    <t>APORTE FMI.- Moneda Nacional</t>
  </si>
  <si>
    <t>MONEDAS DE PLATA Y MENORES</t>
  </si>
  <si>
    <t>Cheques y Valores de Cobro Inmediato</t>
  </si>
  <si>
    <t>OPERACIONES GENERALES</t>
  </si>
  <si>
    <t xml:space="preserve">    Del Público</t>
  </si>
  <si>
    <t xml:space="preserve">        Anticipos</t>
  </si>
  <si>
    <t xml:space="preserve">        Descuentos con Colateral Prendaria</t>
  </si>
  <si>
    <t xml:space="preserve">        Aceptaciones Bancarias</t>
  </si>
  <si>
    <t xml:space="preserve">        Préstamos</t>
  </si>
  <si>
    <t xml:space="preserve">        Descuentos</t>
  </si>
  <si>
    <t xml:space="preserve">        Contratos por compras de oro</t>
  </si>
  <si>
    <t xml:space="preserve">        Cartera Vencida</t>
  </si>
  <si>
    <t xml:space="preserve">    De Bancos Asociados</t>
  </si>
  <si>
    <t xml:space="preserve">       Redescuentos Bancos Asociados</t>
  </si>
  <si>
    <t xml:space="preserve">       Créditos Simples</t>
  </si>
  <si>
    <t xml:space="preserve">       Créditos en Cuenta Corriente</t>
  </si>
  <si>
    <t xml:space="preserve">    Del Gobierno Nacional</t>
  </si>
  <si>
    <t xml:space="preserve">        Varias Cuentas Deudoras</t>
  </si>
  <si>
    <t xml:space="preserve">        Empréstito Consolidado</t>
  </si>
  <si>
    <t>OTRAS CUENTAS</t>
  </si>
  <si>
    <t>INVERSIONES TRANSITORIAS (En títulos)</t>
  </si>
  <si>
    <t>INVERSIONES PERMANENTES (Muebles e inmuebles)</t>
  </si>
  <si>
    <t>SUCURSALES</t>
  </si>
  <si>
    <t>VARIOS CARGOS DIFERIDOS</t>
  </si>
  <si>
    <t>OBLIGACIONES SUJETAS A RESERVA</t>
  </si>
  <si>
    <t>Billetes en Circulación</t>
  </si>
  <si>
    <t xml:space="preserve">     Cuenta Billetes</t>
  </si>
  <si>
    <t xml:space="preserve">     Billetes en Caja</t>
  </si>
  <si>
    <t>Depósitos y Exigibilidades en sucres</t>
  </si>
  <si>
    <t xml:space="preserve">     Del Público</t>
  </si>
  <si>
    <t xml:space="preserve">     Depósito FMI</t>
  </si>
  <si>
    <t xml:space="preserve">     BIRF</t>
  </si>
  <si>
    <t xml:space="preserve">     De Bancos Asociados</t>
  </si>
  <si>
    <t xml:space="preserve">     De Bancos no Asociados</t>
  </si>
  <si>
    <t xml:space="preserve">    Del Estado</t>
  </si>
  <si>
    <t xml:space="preserve">         Cuenta General del Tesoro</t>
  </si>
  <si>
    <t xml:space="preserve">          Otros Depósitos del Gobierno </t>
  </si>
  <si>
    <t xml:space="preserve">          Depósitos de Reparticiones</t>
  </si>
  <si>
    <t xml:space="preserve">          Depósitos en Garantía</t>
  </si>
  <si>
    <t xml:space="preserve">          Otras Instituciones del Estado</t>
  </si>
  <si>
    <t xml:space="preserve">          Depósitos para cubrir sobregiro</t>
  </si>
  <si>
    <t>OBLIGACIONES EN MONEDAS EXTRANJERAS</t>
  </si>
  <si>
    <t xml:space="preserve">          Depósitos a la Vista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</si>
  <si>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</si>
  <si>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</si>
  <si>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</si>
  <si>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</si>
  <si>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</si>
  <si>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</si>
  <si>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</si>
  <si>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</si>
  <si>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</si>
  <si>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 xml:space="preserve">     Oro en Bóveda</t>
  </si>
  <si>
    <t xml:space="preserve">     Depósitos convertibles en Oro</t>
  </si>
  <si>
    <t xml:space="preserve">     Oro Movilizable y Comprado</t>
  </si>
  <si>
    <t>RESERVA LEGAL</t>
  </si>
  <si>
    <t xml:space="preserve">     Otros Dep en Bancos Ext.</t>
  </si>
  <si>
    <t xml:space="preserve">     Rems al Ext y Letras Comps</t>
  </si>
  <si>
    <t xml:space="preserve">     Incautación</t>
  </si>
  <si>
    <t>RESERVA ORO</t>
  </si>
  <si>
    <t xml:space="preserve">     Plata, Niquel</t>
  </si>
  <si>
    <t xml:space="preserve">     Cheques y otras monedas</t>
  </si>
  <si>
    <t>RESERVA TOTAL</t>
  </si>
  <si>
    <t>CARTERA</t>
  </si>
  <si>
    <t xml:space="preserve">     Bancos Asociados</t>
  </si>
  <si>
    <t xml:space="preserve">     Público</t>
  </si>
  <si>
    <t xml:space="preserve">     Gobierno Nacional</t>
  </si>
  <si>
    <t>Mobiliario y Gastos de Inst.</t>
  </si>
  <si>
    <t>Edificios</t>
  </si>
  <si>
    <t xml:space="preserve">Gastos </t>
  </si>
  <si>
    <t>Otras Cuentas</t>
  </si>
  <si>
    <t>Pérdidas y Ganancias</t>
  </si>
  <si>
    <t>Ajustes</t>
  </si>
  <si>
    <t>Gastos Incautación</t>
  </si>
  <si>
    <t>Intereses ganados y no percibidos</t>
  </si>
  <si>
    <t>CIRCULACION</t>
  </si>
  <si>
    <t xml:space="preserve">        Bancos Asociados</t>
  </si>
  <si>
    <t xml:space="preserve">        Público</t>
  </si>
  <si>
    <t xml:space="preserve">        Gobierno Nacional</t>
  </si>
  <si>
    <t xml:space="preserve">        Dependencias Gob. Ncnal</t>
  </si>
  <si>
    <t xml:space="preserve">        Otros Depósitos</t>
  </si>
  <si>
    <t>CIRCULACION Y DEPOSITOS</t>
  </si>
  <si>
    <t>Exigibilidades en Monedas Extranjeras</t>
  </si>
  <si>
    <t>Intereres Percibidos y no ganados</t>
  </si>
  <si>
    <t>Otras Obligaciones</t>
  </si>
  <si>
    <t>CAPITAL PAGADO</t>
  </si>
  <si>
    <t>Intereses, Comisiones Cambios</t>
  </si>
  <si>
    <t>Fondo para Conversión</t>
  </si>
  <si>
    <t>CUASIDINERO  (1)</t>
  </si>
  <si>
    <t>a=b+c</t>
  </si>
  <si>
    <t>b=e+g+i+k+m</t>
  </si>
  <si>
    <t>c=d+f+h+j+l</t>
  </si>
  <si>
    <t>h</t>
  </si>
  <si>
    <t>m</t>
  </si>
  <si>
    <t>(6)</t>
  </si>
  <si>
    <t xml:space="preserve">CARTERA </t>
  </si>
  <si>
    <t>a=b+c+d+e+f</t>
  </si>
  <si>
    <t>1927 (5)</t>
  </si>
  <si>
    <t>CAPTACIONES</t>
  </si>
  <si>
    <t>Depósitos a la vista (1)</t>
  </si>
  <si>
    <t>Ahorro</t>
  </si>
  <si>
    <t>Garantía</t>
  </si>
  <si>
    <t xml:space="preserve">    b</t>
  </si>
  <si>
    <t xml:space="preserve">     c</t>
  </si>
  <si>
    <t xml:space="preserve">        g</t>
  </si>
  <si>
    <t xml:space="preserve">    h</t>
  </si>
  <si>
    <t xml:space="preserve">    i</t>
  </si>
  <si>
    <t xml:space="preserve"> -</t>
  </si>
  <si>
    <t>a=b+c+d+e</t>
  </si>
  <si>
    <t>CREDITO DE CAPACITACION</t>
  </si>
  <si>
    <t>a=b+f+j</t>
  </si>
  <si>
    <t>b=c+d+e</t>
  </si>
  <si>
    <t>f=g+h+i</t>
  </si>
  <si>
    <t>1965 (7)</t>
  </si>
  <si>
    <t>1966 (7)</t>
  </si>
  <si>
    <t>1967 (7)</t>
  </si>
  <si>
    <t>a=b+c+d+e+f+g</t>
  </si>
  <si>
    <t>Liquidez bancaria (M2)</t>
  </si>
  <si>
    <t>Base monetaria (BM)</t>
  </si>
  <si>
    <t>Total</t>
  </si>
  <si>
    <t>a = b+c</t>
  </si>
  <si>
    <t>d = e+f</t>
  </si>
  <si>
    <t>g = a/d</t>
  </si>
  <si>
    <t>En millones de sucres</t>
  </si>
  <si>
    <t>Contribuciones (1)</t>
  </si>
  <si>
    <t>Interacción</t>
  </si>
  <si>
    <t>a = f+g+h</t>
  </si>
  <si>
    <t>En porcentajes</t>
  </si>
  <si>
    <t>Estructura porcentual (M2)</t>
  </si>
  <si>
    <t>Estructura porcentual de los determinantes (1)</t>
  </si>
  <si>
    <t>d = b+c</t>
  </si>
  <si>
    <t>d = e+f+g</t>
  </si>
  <si>
    <t>Coeficientes</t>
  </si>
  <si>
    <t>m=1+e/r+e</t>
  </si>
  <si>
    <t>Contribuciones</t>
  </si>
  <si>
    <t>r</t>
  </si>
  <si>
    <t>MULTIPLICADOR MONETARIO E INTERACCION (1928-1999)</t>
  </si>
  <si>
    <t>TASAS</t>
  </si>
  <si>
    <t xml:space="preserve"> Regulación No.</t>
  </si>
  <si>
    <t>Fecha</t>
  </si>
  <si>
    <t xml:space="preserve"> 001-48</t>
  </si>
  <si>
    <t xml:space="preserve"> 13-may-48</t>
  </si>
  <si>
    <t xml:space="preserve"> 107-52</t>
  </si>
  <si>
    <t xml:space="preserve"> 15-jul-52</t>
  </si>
  <si>
    <t xml:space="preserve"> 183-56</t>
  </si>
  <si>
    <t xml:space="preserve"> 15-nov-56</t>
  </si>
  <si>
    <t xml:space="preserve"> 545-70</t>
  </si>
  <si>
    <t xml:space="preserve">  22-ene-70</t>
  </si>
  <si>
    <t xml:space="preserve"> 755 - 75</t>
  </si>
  <si>
    <t xml:space="preserve"> 16-ene-75</t>
  </si>
  <si>
    <t xml:space="preserve"> 1170 -82</t>
  </si>
  <si>
    <t xml:space="preserve"> 07-ene-82</t>
  </si>
  <si>
    <t xml:space="preserve"> 125 -83</t>
  </si>
  <si>
    <t xml:space="preserve"> 18-oct-83</t>
  </si>
  <si>
    <t xml:space="preserve"> 214-84</t>
  </si>
  <si>
    <t xml:space="preserve"> 11-dic-84</t>
  </si>
  <si>
    <t xml:space="preserve"> 367-86</t>
  </si>
  <si>
    <t xml:space="preserve"> 11-ago-86</t>
  </si>
  <si>
    <t xml:space="preserve"> 419-87 </t>
  </si>
  <si>
    <t xml:space="preserve"> 05-may-87</t>
  </si>
  <si>
    <t xml:space="preserve"> 607-89</t>
  </si>
  <si>
    <t xml:space="preserve"> 06-jul-89</t>
  </si>
  <si>
    <t xml:space="preserve"> 693-90</t>
  </si>
  <si>
    <t xml:space="preserve"> 06-jul-90</t>
  </si>
  <si>
    <t xml:space="preserve"> 747-91</t>
  </si>
  <si>
    <t xml:space="preserve"> 18-jul-91</t>
  </si>
  <si>
    <t xml:space="preserve"> 837-93</t>
  </si>
  <si>
    <t xml:space="preserve"> 20-ene-93</t>
  </si>
  <si>
    <t>LIBRETAS ORDINARIAS DE AHORRO</t>
  </si>
  <si>
    <t>DEPOSITOS  PLAZO MAYOR</t>
  </si>
  <si>
    <t>POLIZAS DE ACUMULACION</t>
  </si>
  <si>
    <t>CERTIFICADOS FINANCIEROS</t>
  </si>
  <si>
    <t>Bancos privados</t>
  </si>
  <si>
    <t>No.Regulación</t>
  </si>
  <si>
    <t>001-48</t>
  </si>
  <si>
    <t>31-90 dias</t>
  </si>
  <si>
    <t>91-180dias</t>
  </si>
  <si>
    <t>181-360 dias</t>
  </si>
  <si>
    <t>026-49</t>
  </si>
  <si>
    <t>28-jun-49</t>
  </si>
  <si>
    <t>517-68</t>
  </si>
  <si>
    <t>14-may-68</t>
  </si>
  <si>
    <t>31-180 dias</t>
  </si>
  <si>
    <t>31 - 90 dias</t>
  </si>
  <si>
    <t>181 días o más</t>
  </si>
  <si>
    <t>91 -180 dias</t>
  </si>
  <si>
    <t xml:space="preserve">181 dìas o más </t>
  </si>
  <si>
    <t>545-70</t>
  </si>
  <si>
    <t>22-ene-70</t>
  </si>
  <si>
    <t>31 - 180 dias</t>
  </si>
  <si>
    <t>181 - 360 dias</t>
  </si>
  <si>
    <t>361 dias o más</t>
  </si>
  <si>
    <t>755-75</t>
  </si>
  <si>
    <t>16-ene-75</t>
  </si>
  <si>
    <t>31 -180 dias</t>
  </si>
  <si>
    <t>1094-80</t>
  </si>
  <si>
    <t>16-sep-80</t>
  </si>
  <si>
    <t>1123-81</t>
  </si>
  <si>
    <t>31-180dias</t>
  </si>
  <si>
    <t>270 - 360 dìas</t>
  </si>
  <si>
    <t>361 - 540 dìas</t>
  </si>
  <si>
    <t>361-540 dias</t>
  </si>
  <si>
    <t>541 dìas - 2 años</t>
  </si>
  <si>
    <t>541 días - 2 años</t>
  </si>
  <si>
    <t>541 dìas -2 años</t>
  </si>
  <si>
    <t>más de 2 años - 3 años</t>
  </si>
  <si>
    <t xml:space="preserve">más de 2 años </t>
  </si>
  <si>
    <t>más de 2 años</t>
  </si>
  <si>
    <t>1170-82</t>
  </si>
  <si>
    <t xml:space="preserve">7-ene-82  </t>
  </si>
  <si>
    <t>hasta 180 dias</t>
  </si>
  <si>
    <t>181 dias o más</t>
  </si>
  <si>
    <t>361 dìas o más</t>
  </si>
  <si>
    <t>061-83</t>
  </si>
  <si>
    <t>(7)</t>
  </si>
  <si>
    <t>min  13</t>
  </si>
  <si>
    <t>max 15</t>
  </si>
  <si>
    <t>074-83</t>
  </si>
  <si>
    <t>21-abr-83</t>
  </si>
  <si>
    <t>(8)</t>
  </si>
  <si>
    <t>min 13</t>
  </si>
  <si>
    <t>max 16</t>
  </si>
  <si>
    <t>125-83</t>
  </si>
  <si>
    <t>(9)</t>
  </si>
  <si>
    <t>min 16</t>
  </si>
  <si>
    <t>151-84</t>
  </si>
  <si>
    <t>10-feb-84</t>
  </si>
  <si>
    <t>(10)</t>
  </si>
  <si>
    <t>30 -180 dias</t>
  </si>
  <si>
    <t>181 -360 dias</t>
  </si>
  <si>
    <t>361 días o más</t>
  </si>
  <si>
    <t>361 días o mas</t>
  </si>
  <si>
    <t>175-84</t>
  </si>
  <si>
    <t>(11)</t>
  </si>
  <si>
    <t>214-84</t>
  </si>
  <si>
    <t xml:space="preserve">11-dic-84 </t>
  </si>
  <si>
    <t>(12)</t>
  </si>
  <si>
    <t>367-86</t>
  </si>
  <si>
    <t xml:space="preserve">11-agos-86 </t>
  </si>
  <si>
    <t>(13)</t>
  </si>
  <si>
    <t>BANCOS PRIVADOS</t>
  </si>
  <si>
    <t>COMPAÑIAS FINANCIERAS PRIVADAS</t>
  </si>
  <si>
    <t xml:space="preserve">                     COMPAÑIAS DE INTERMEDIACION FINANCIERA</t>
  </si>
  <si>
    <t>COMPAÑIAS DE ARRENDAMIENTO MERCANTIL</t>
  </si>
  <si>
    <t>Depósitos a plazo (2)</t>
  </si>
  <si>
    <t>COMPAÑIAS FINANCIERAS</t>
  </si>
  <si>
    <t>COMPAÑIAS DE INTERMEDIACION FINANCIERA</t>
  </si>
  <si>
    <t>Operaciones de libre  contratación</t>
  </si>
  <si>
    <t>1.28 TASAS DE INTERES REFERENCIALES NOMINALES EN SUCRES (1993 - 1999) (1)</t>
  </si>
  <si>
    <t>regresar al índice</t>
  </si>
  <si>
    <t xml:space="preserve">           c.1 Crédito neto al gobierno central</t>
  </si>
  <si>
    <t xml:space="preserve">            f.1 Bonos de estabilización </t>
  </si>
  <si>
    <t xml:space="preserve">            f.4 Cuentas por pagar </t>
  </si>
  <si>
    <t xml:space="preserve">                  f.3.1 Depósitos gobiernos locales </t>
  </si>
  <si>
    <t xml:space="preserve">                  f.3.3 Depósitos sector privado (empresas y hogares)</t>
  </si>
  <si>
    <t xml:space="preserve">                  e.2.2 Depósitos Otras Sociedades Financieras (CFN)</t>
  </si>
  <si>
    <t xml:space="preserve">         d.1 Activos</t>
  </si>
  <si>
    <t xml:space="preserve">        d.2 Pasivos </t>
  </si>
  <si>
    <t xml:space="preserve">                 c. 4.2  Crédito otras sociedades financieras (CFN) </t>
  </si>
  <si>
    <t xml:space="preserve">                             c.4.1.3 Otros Títulos Valores (repos) </t>
  </si>
  <si>
    <t xml:space="preserve">                             c.4.1.4 Otros (Capitalización bancos + Otros activos)</t>
  </si>
  <si>
    <t xml:space="preserve">                             c.4.1.1 Crédito </t>
  </si>
  <si>
    <t xml:space="preserve">           c.4 Crédito al sistema financiero </t>
  </si>
  <si>
    <t xml:space="preserve">                    c.1.2.3 Cuentas por pagar  </t>
  </si>
  <si>
    <t xml:space="preserve">                    c.1.2.2 Otros Depósitos (Brady) </t>
  </si>
  <si>
    <t xml:space="preserve">           b.2 Pasivos</t>
  </si>
  <si>
    <t xml:space="preserve">           b.1 Activos</t>
  </si>
  <si>
    <t xml:space="preserve">             c.1.2 Depósitos y otros pasivos (c.1.2.1+c.1.2.2)</t>
  </si>
  <si>
    <t xml:space="preserve">                     c.1.2.1 Depósitos</t>
  </si>
  <si>
    <t xml:space="preserve">         d.2.   Pasivos (d.2.1+d.2.2+d.2.3)</t>
  </si>
  <si>
    <t xml:space="preserve">                    d.2.1 Depósitos</t>
  </si>
  <si>
    <t xml:space="preserve">                    d.2.3 Operaciones de reporto</t>
  </si>
  <si>
    <t xml:space="preserve">         f.1  Depósitos a la vista (f.1.1+f.1.2+f.1.3+f.1.4)</t>
  </si>
  <si>
    <t xml:space="preserve">                      f.1.1 Sociedades públicas no financieras</t>
  </si>
  <si>
    <t xml:space="preserve">                      f.1.2 Gobiernos estatales y provinciales</t>
  </si>
  <si>
    <t xml:space="preserve">                      f.1.3 Otras sociedades no financieras</t>
  </si>
  <si>
    <t xml:space="preserve">                      f.1.4 Otros sectores residentes</t>
  </si>
  <si>
    <t xml:space="preserve">g. Instrumentos financieros </t>
  </si>
  <si>
    <t xml:space="preserve">     a. Activos </t>
  </si>
  <si>
    <t xml:space="preserve">     b. Pasivos </t>
  </si>
  <si>
    <t xml:space="preserve">             c.1.1 Crédito </t>
  </si>
  <si>
    <t xml:space="preserve">                    d.1.1 Caja</t>
  </si>
  <si>
    <t xml:space="preserve">                    d.1.3 Bonos estabilización </t>
  </si>
  <si>
    <t xml:space="preserve">         e.2  Pasivos </t>
  </si>
  <si>
    <t xml:space="preserve">         f.2 Cuasidinero (f.2.1+f.2.2+f.2.3+f.2.4+f.2.5)</t>
  </si>
  <si>
    <t>I.   ACTIVOS EXTERNOS NETOS  (a-b)</t>
  </si>
  <si>
    <t>II.  ACTIVOS INTERNOS NETOS (c+d+e)</t>
  </si>
  <si>
    <t>c. Crédito interno (c.1+c.2+c.3+c.4+c.5+c.6+c.7)</t>
  </si>
  <si>
    <t xml:space="preserve">       c.1  Crédito neto al gobierno central (c.1.1-c.1.2)</t>
  </si>
  <si>
    <t>f. Pasivos monetarios (f.1+f.2)</t>
  </si>
  <si>
    <t xml:space="preserve">POR SEGMENTO DE CREDITO </t>
  </si>
  <si>
    <t>Segmento Productivo</t>
  </si>
  <si>
    <t>Segmento Consumo</t>
  </si>
  <si>
    <t>Segmento Microcrédito</t>
  </si>
  <si>
    <t>Segmento Vivienda</t>
  </si>
  <si>
    <t>Período / Segmento</t>
  </si>
  <si>
    <t xml:space="preserve">Septiembre </t>
  </si>
  <si>
    <t xml:space="preserve">Noviembre </t>
  </si>
  <si>
    <t xml:space="preserve">Julio </t>
  </si>
  <si>
    <t xml:space="preserve">Agosto </t>
  </si>
  <si>
    <t xml:space="preserve">                 c.4.1 Crédito otras sociedades de depósito (c.4.1.1+c.4.1.2+c.4.1.3+c.4.1.4)</t>
  </si>
  <si>
    <t>En millones de dólares al final del período</t>
  </si>
  <si>
    <t>Especies Monetarias en Circulación (1)</t>
  </si>
  <si>
    <t>Moneda Fraccionaria</t>
  </si>
  <si>
    <t xml:space="preserve">Depósitos a la vista (2) </t>
  </si>
  <si>
    <t>Oferta Monetaria M1 (3)</t>
  </si>
  <si>
    <t>Cuasidinero (4)</t>
  </si>
  <si>
    <t>LIQUIDEZ TOTAL M2 (5)</t>
  </si>
  <si>
    <t xml:space="preserve">Reservas Bancarias (6) </t>
  </si>
  <si>
    <t>Caja BCE</t>
  </si>
  <si>
    <t>Caja OSD</t>
  </si>
  <si>
    <t>BASE MONETARIA BM (7)</t>
  </si>
  <si>
    <t>Multiplicador  M1/BM (8)</t>
  </si>
  <si>
    <t>Multiplicador M2/BM (8)</t>
  </si>
  <si>
    <t>1. Posición neta en divisas (1.1+1.2+1.3)</t>
  </si>
  <si>
    <t xml:space="preserve">  1.1 Caja en divisas</t>
  </si>
  <si>
    <t xml:space="preserve">  1.2 Depósitos netos en bancos e instituciones financieras del exterior (1)</t>
  </si>
  <si>
    <t xml:space="preserve">  1.3 Inversiones, depósitos a plazo y títulos</t>
  </si>
  <si>
    <t xml:space="preserve">2. Oro </t>
  </si>
  <si>
    <t>3. DEGs</t>
  </si>
  <si>
    <t>4. Posición de reserva en FMI</t>
  </si>
  <si>
    <t>5. Posición con ALADI</t>
  </si>
  <si>
    <t>1.1 OFERTA MONETARIA (M1) Y LIQUIDEZ TOTAL (M2)</t>
  </si>
  <si>
    <t>1.3  BANCO CENTRAL DEL ECUADOR</t>
  </si>
  <si>
    <t xml:space="preserve">1.6     Tasas de Interés Referenciales Nominales en dólares (2000 ­ 2007) </t>
  </si>
  <si>
    <t>1.11 PRINCIPALES AGREGADOS MONETARIOS</t>
  </si>
  <si>
    <t>1.14  BANCO CENTRAL DEL ECUADOR</t>
  </si>
  <si>
    <t>Saldos en millones de Dólares</t>
  </si>
  <si>
    <t>1.22 BANCO NACIONAL DE FOMENTO</t>
  </si>
  <si>
    <t>1.21b BANCO NACIONAL DE FOMENTO (1)</t>
  </si>
  <si>
    <t>1.21 BANCO NACIONAL DE FOMENTO (1)</t>
  </si>
  <si>
    <t>1.20 SISTEMA BANCARIO</t>
  </si>
  <si>
    <t>1.19  BANCOS PRIVADOS</t>
  </si>
  <si>
    <t>1.18 BANCOS PRIVADOS</t>
  </si>
  <si>
    <t>1.17 SISTEMA BANCARIO</t>
  </si>
  <si>
    <t xml:space="preserve">1.16 BANCO CENTRAL DEL ECUADOR </t>
  </si>
  <si>
    <t>1.15  BANCO CENTRAL DEL ECUADOR</t>
  </si>
  <si>
    <t>1.13   BANCO CENTRAL DEL ECUADOR</t>
  </si>
  <si>
    <t>1.12 BASE MONETARIA, LIQUIDEZ BANCARIA (M2) Y MULTIPLICADOR</t>
  </si>
  <si>
    <t xml:space="preserve">1.23 CAMBIOS ANUALES ABSOLUTOS EN LA LIQUIDEZ BANCARIA (M2), BASE MONETARIA, </t>
  </si>
  <si>
    <t>1.24  ESTRUCTURA PORCENTUAL DE LOS DETERMINANTES EN LA VARIACION ANUAL DE LA LIQUIDEZ BANCARIA (M2) (1928-1999)</t>
  </si>
  <si>
    <t>1.25 DETERMINANTES DEL MULTIPLICADOR (M2/BM)</t>
  </si>
  <si>
    <t xml:space="preserve">1.26  CAMBIOS ANUALES ABSOLUTOS EN EL MULTIPLICADOR, </t>
  </si>
  <si>
    <t>1.27 ESTRUCTURA PORCENTUAL DE LOS DETERMINANTES DEL</t>
  </si>
  <si>
    <t>1.32 TASAS DE INTERES: OPERACIONES ACTIVAS DE LIBRE CONTRATACION EN SUCRES (1988 - 1999) (1)</t>
  </si>
  <si>
    <t xml:space="preserve">1.31 TASAS DE INTERES: OPERACIONES PASIVAS DE LIBRE CONTRATACION EN SUCRES (1987 -1999) (1)                                           </t>
  </si>
  <si>
    <t>1.30 TASAS DE INTERES : OPERACIONES PASIVAS DE  BANCOS PRIVADOS E INSTITUCIONES FINANCIERAS (1948 - 1986) (1)</t>
  </si>
  <si>
    <t>1.29 TASAS DE INTERES:  LEGAL Y MAXIMA CONVENCIONAL (1948 - 1999)</t>
  </si>
  <si>
    <t>1.29   Tasas de Interés:  Legal y Máxima Convencional (1948 ­ 1999)</t>
  </si>
  <si>
    <t>1.32   Tasas de Interés: Operaciones Activas de Libre Contratación en Sucres (1988 ­ 1999)</t>
  </si>
  <si>
    <t xml:space="preserve">1.31   Tasas se Interés Operaciones Pasivas de Libre Contratación en Sucres (1987-1999)  </t>
  </si>
  <si>
    <t xml:space="preserve">1.30   Tasas de Interés: Operaciones Pasivas de  Bancos Privados e Instituciones Financieras (1948 - 1986)  </t>
  </si>
  <si>
    <t xml:space="preserve">1.26   Cambios Anuales Absolutos en el Multiplicador, Contribución de los Determinantes e Interacción (1928-1999)  </t>
  </si>
  <si>
    <t>1.27   Estructura Porcentual de los Determinantes del Multiplicador Monetario e Interacción (1928-1999)</t>
  </si>
  <si>
    <t xml:space="preserve">1.24   Estructura Porcentual de los Determinantes en la Variación Anual de la Liquidez Bancaria (M2) (1928-1999)  </t>
  </si>
  <si>
    <t>INFORMACIÓN EN SUCRES</t>
  </si>
  <si>
    <t>Notas metodológicas de este capítulo</t>
  </si>
  <si>
    <t>Otros activos en moneda extranjera</t>
  </si>
  <si>
    <t>Convenios y acuerdos de pago</t>
  </si>
  <si>
    <t>Uso de crédito del FMI</t>
  </si>
  <si>
    <t>Numerario y depósitos en moneda extranjera</t>
  </si>
  <si>
    <t>Posición tramo de reserva en el FMI y DEG</t>
  </si>
  <si>
    <t>Oro Monetario</t>
  </si>
  <si>
    <t>RESERVA MONETARIA INTERNACIONAL NETA</t>
  </si>
  <si>
    <t>Legal (5) (7)</t>
  </si>
  <si>
    <t>Activa (4)</t>
  </si>
  <si>
    <t>Pasiva (3)</t>
  </si>
  <si>
    <t>Básica (2)</t>
  </si>
  <si>
    <t>Legal (4)</t>
  </si>
  <si>
    <t>Activa (3)(*)</t>
  </si>
  <si>
    <t>Pasiva (2)(*)</t>
  </si>
  <si>
    <t>REFERENCIALES EFECTIVAS</t>
  </si>
  <si>
    <t>Productivo Corporativo (1)(*)</t>
  </si>
  <si>
    <t>Máxima Productivo Corporativo (9)</t>
  </si>
  <si>
    <t>Productivo Empresarial (2)(*)</t>
  </si>
  <si>
    <t>Máxima Productivo Empresarial (9)</t>
  </si>
  <si>
    <t>Máxima Productivo PYMES (9)</t>
  </si>
  <si>
    <t>Máxima Consumo (9)</t>
  </si>
  <si>
    <t>Máxima Consumo Minorista</t>
  </si>
  <si>
    <t>Máxima Microcrédito acumulación ampliada (9)</t>
  </si>
  <si>
    <t>Máxima Microcrédito acumulación simple (9)</t>
  </si>
  <si>
    <t>Máxima Microcrédito Minorista (9)</t>
  </si>
  <si>
    <t>Máxima Vivienda (9)</t>
  </si>
  <si>
    <t>Microcrédito Minorista       (7) (*)</t>
  </si>
  <si>
    <t>Vivienda             (8)(*)</t>
  </si>
  <si>
    <t>Microcrédito acumulación simple                 (6) (*)</t>
  </si>
  <si>
    <t>Microcrédito acumulación  ampliada        (5)(*)</t>
  </si>
  <si>
    <t>Consumo minorista        (**)</t>
  </si>
  <si>
    <t>Consumo            (4)(*)</t>
  </si>
  <si>
    <t>Productivo PYMES         (3)(*)</t>
  </si>
  <si>
    <t>OPERACIONES DE LIBRE CONTRATACIÓN</t>
  </si>
  <si>
    <t>1.9 TASAS DE INTERÉS: OPERACIONES ACTIVAS EN DÓLARES (1995 - 2006)(1)</t>
  </si>
  <si>
    <t>1.10 TASAS DE INTERÉS: OPERACIONES PASIVAS EN DÓLARES (1995 - 2006) (1)</t>
  </si>
  <si>
    <t>Depósitos de ahorro</t>
  </si>
  <si>
    <t>Otros depósitos</t>
  </si>
  <si>
    <t>Operaciones de reporto</t>
  </si>
  <si>
    <t>EMISION MONETARIA (1)</t>
  </si>
  <si>
    <t>BASE  MONETARIA BM</t>
  </si>
  <si>
    <t>Especies monetarias en circulación</t>
  </si>
  <si>
    <t>Depósitos monetarios (2)</t>
  </si>
  <si>
    <t>LIQUIDEZ BANCARIA (M2)</t>
  </si>
  <si>
    <t>Moneda nacional</t>
  </si>
  <si>
    <t>Moneda extranjera</t>
  </si>
  <si>
    <t>Especies monetarias en circulación (EMC)</t>
  </si>
  <si>
    <t>Multiplicador monetario (m)</t>
  </si>
  <si>
    <t>Moneda      extranjera</t>
  </si>
  <si>
    <t>Moneda        nacional</t>
  </si>
  <si>
    <t>Reservas      bancarias ( R )</t>
  </si>
  <si>
    <t>ACTIVOS INTERNOS NETOS</t>
  </si>
  <si>
    <t>Crédito neto sector público no financiero (1)</t>
  </si>
  <si>
    <t>Crédito neto sistema financiero (2)</t>
  </si>
  <si>
    <t>Crédito neto sector privado (3)</t>
  </si>
  <si>
    <t>Préstamos externos de mediano y largo plazos</t>
  </si>
  <si>
    <t>Otros activos netos no clasificados</t>
  </si>
  <si>
    <t>EMISION MONETARIA</t>
  </si>
  <si>
    <t>Moneda Nacional (1)</t>
  </si>
  <si>
    <t>Moneda Nacional (2) (3)</t>
  </si>
  <si>
    <t>Moneda Nacional (4)</t>
  </si>
  <si>
    <t xml:space="preserve">Moneda Nacional </t>
  </si>
  <si>
    <t>Moneda extranjera (5)</t>
  </si>
  <si>
    <t>TOTAL CRÉDITO NETO</t>
  </si>
  <si>
    <t>SECTOR PÚBLICO NO FINANCIERO</t>
  </si>
  <si>
    <t xml:space="preserve"> CRÉDITO</t>
  </si>
  <si>
    <t xml:space="preserve">      CRÉDITO</t>
  </si>
  <si>
    <t xml:space="preserve">     DEPÓSITOS</t>
  </si>
  <si>
    <t>DEPÓSITOS</t>
  </si>
  <si>
    <t>CRÉDITO</t>
  </si>
  <si>
    <t>CRÉDITO NETO POR SECTORES</t>
  </si>
  <si>
    <t>Sector público no financiero</t>
  </si>
  <si>
    <t>Sector privado (4)</t>
  </si>
  <si>
    <t>Bonos de estabilización monetaria (5)</t>
  </si>
  <si>
    <t>Otros activos netos no clasificados (3)</t>
  </si>
  <si>
    <t>FUENTES</t>
  </si>
  <si>
    <t>BASE MONETARIA</t>
  </si>
  <si>
    <t>USOS</t>
  </si>
  <si>
    <t>Emisión monetaria</t>
  </si>
  <si>
    <t>Depósitos monetarios del público</t>
  </si>
  <si>
    <t>Instituciones financieras privadas</t>
  </si>
  <si>
    <t>Depósitos y Obligaciones (6 )</t>
  </si>
  <si>
    <t>h=a+b+c+d+e+f+g</t>
  </si>
  <si>
    <t>Sector financiero        (1) (2) (3)</t>
  </si>
  <si>
    <t>OPERACIONES DE REPORTO</t>
  </si>
  <si>
    <t>FONDOS DE TARJETA-HABIENTES</t>
  </si>
  <si>
    <t>DEPÓSITOS  MONETARIOS (2)</t>
  </si>
  <si>
    <t>DEPÓSITOS DE AHORRO (3)</t>
  </si>
  <si>
    <t>DEPÓSITOS A PLAZO (4)</t>
  </si>
  <si>
    <t>OTROS DEPÓSITOS (5)</t>
  </si>
  <si>
    <t>TOTAL CREDITO</t>
  </si>
  <si>
    <t>TOTAL CRÉDITO</t>
  </si>
  <si>
    <t>Créditos sobre firmas (1)</t>
  </si>
  <si>
    <t>Créditos prendarios</t>
  </si>
  <si>
    <t>Créditos hipotecarios (2)</t>
  </si>
  <si>
    <t>Créditos     especiales (3)</t>
  </si>
  <si>
    <t>Otros               Créditos (4)</t>
  </si>
  <si>
    <t>Monetarios (2)</t>
  </si>
  <si>
    <t>Otros depósitos (3)</t>
  </si>
  <si>
    <t>Depósitos a plazo (4)</t>
  </si>
  <si>
    <t xml:space="preserve"> Fondos de tarjeta-habientes</t>
  </si>
  <si>
    <t>Depósitos en moneda extranjera</t>
  </si>
  <si>
    <t>TOTAL                      CAPTACIONES</t>
  </si>
  <si>
    <t>a=b+c+d+e+f+g+h+i</t>
  </si>
  <si>
    <t>BNF (1)</t>
  </si>
  <si>
    <t>Bancos Privados</t>
  </si>
  <si>
    <t>Banco Central</t>
  </si>
  <si>
    <t>Créditos de fomento (2)</t>
  </si>
  <si>
    <t>Créditos comerciales (3)</t>
  </si>
  <si>
    <t>Créditos vencidos</t>
  </si>
  <si>
    <t>Otros (4)</t>
  </si>
  <si>
    <t>Agrícola y pecuario</t>
  </si>
  <si>
    <t>Industrial, artesanal y pesca</t>
  </si>
  <si>
    <t>Comercial (5)</t>
  </si>
  <si>
    <t xml:space="preserve">OTROS  (6) </t>
  </si>
  <si>
    <t>CREDITO BANCARIO</t>
  </si>
  <si>
    <t>TOTAL DEPÓSITOS</t>
  </si>
  <si>
    <t>Monetarios del público</t>
  </si>
  <si>
    <t>Monetarios de entidades oficiales</t>
  </si>
  <si>
    <t>Plazo menor (1)</t>
  </si>
  <si>
    <t>Bancos e instituciones financieras</t>
  </si>
  <si>
    <t>Plazo mayor</t>
  </si>
  <si>
    <t>Total (m*DBM)</t>
  </si>
  <si>
    <t>m (BM*Dm)</t>
  </si>
  <si>
    <r>
      <rPr>
        <b/>
        <sz val="10"/>
        <color indexed="56"/>
        <rFont val="Symbol"/>
        <family val="1"/>
        <charset val="2"/>
      </rPr>
      <t>D</t>
    </r>
    <r>
      <rPr>
        <b/>
        <sz val="10"/>
        <color indexed="56"/>
        <rFont val="Calibri"/>
        <family val="2"/>
      </rPr>
      <t xml:space="preserve"> Liquidez Bancaria (M2)</t>
    </r>
  </si>
  <si>
    <r>
      <rPr>
        <b/>
        <sz val="10"/>
        <color indexed="56"/>
        <rFont val="Symbol"/>
        <family val="1"/>
        <charset val="2"/>
      </rPr>
      <t>D</t>
    </r>
    <r>
      <rPr>
        <b/>
        <sz val="10"/>
        <color indexed="56"/>
        <rFont val="Calibri"/>
        <family val="2"/>
      </rPr>
      <t xml:space="preserve"> Base monetaria (BM)</t>
    </r>
  </si>
  <si>
    <r>
      <rPr>
        <b/>
        <sz val="10"/>
        <color indexed="56"/>
        <rFont val="Symbol"/>
        <family val="1"/>
        <charset val="2"/>
      </rPr>
      <t>D</t>
    </r>
    <r>
      <rPr>
        <b/>
        <sz val="10"/>
        <color indexed="56"/>
        <rFont val="Calibri"/>
        <family val="2"/>
      </rPr>
      <t xml:space="preserve"> Multiplicador Monetario (m)</t>
    </r>
  </si>
  <si>
    <r>
      <t xml:space="preserve">Liquidez bancaria (M2) </t>
    </r>
    <r>
      <rPr>
        <b/>
        <sz val="10"/>
        <color indexed="56"/>
        <rFont val="Symbol"/>
        <family val="1"/>
        <charset val="2"/>
      </rPr>
      <t>D</t>
    </r>
    <r>
      <rPr>
        <b/>
        <sz val="10"/>
        <color indexed="56"/>
        <rFont val="Calibri"/>
        <family val="2"/>
      </rPr>
      <t xml:space="preserve"> anual</t>
    </r>
  </si>
  <si>
    <t xml:space="preserve">Preferencia por reservas ( r ) (2)   r=R/DT  </t>
  </si>
  <si>
    <t>Preferencia por efectivo (e)             e=EMC/DT (1)</t>
  </si>
  <si>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Calibri"/>
        <family val="2"/>
      </rPr>
      <t xml:space="preserve"> m (1)</t>
    </r>
  </si>
  <si>
    <t>Multiplicador monetario m</t>
  </si>
  <si>
    <t>Máxima Convencional (6)</t>
  </si>
  <si>
    <t>Legal (5)</t>
  </si>
  <si>
    <t>Máxima Convencional</t>
  </si>
  <si>
    <t>Asociaciones Mutualistas (1)</t>
  </si>
  <si>
    <t>Bancos comerciales y secc. comercial de otros bancos</t>
  </si>
  <si>
    <t>Bancos privados sección ahorros</t>
  </si>
  <si>
    <t>Compañias  Financieras privadas</t>
  </si>
  <si>
    <t>Depósitos  de ahorro</t>
  </si>
  <si>
    <t xml:space="preserve"> 1-29</t>
  </si>
  <si>
    <t>Asociaciones mutualistas (2)</t>
  </si>
  <si>
    <t xml:space="preserve">PRINCIPALES CUENTAS DEL BALANCE  </t>
  </si>
  <si>
    <t>MULTIPLICADOR Y CONTRIBUCION DE CADA DETERMINANTE E INTERACCION (1928-1999)</t>
  </si>
  <si>
    <t>CONTRIBUCION DE LOS DETERMINANTES E INTERACCION (1928-1999)</t>
  </si>
  <si>
    <t xml:space="preserve">           c.3 Crédito neto fondos de seguridad social (1)</t>
  </si>
  <si>
    <t xml:space="preserve">                  e.1.1 Emisión Monetaria (antigua) (2)</t>
  </si>
  <si>
    <t xml:space="preserve">                  e.1.2 Emisión Monetaria (nueva) (3)</t>
  </si>
  <si>
    <t xml:space="preserve">                     c.1.2.2 Otros pasivos (2)</t>
  </si>
  <si>
    <t xml:space="preserve">       c.2  Depósitos fondos seguridad social (3)</t>
  </si>
  <si>
    <t xml:space="preserve">              c.5.1 Crédito (4)</t>
  </si>
  <si>
    <t xml:space="preserve">              c.5.2 Depósitos y otros pasivos (5)</t>
  </si>
  <si>
    <t xml:space="preserve">                c.6.1 Crédito (6)</t>
  </si>
  <si>
    <t xml:space="preserve">                c.6.2 Depósitos y otros pasivos (7)</t>
  </si>
  <si>
    <t xml:space="preserve">                  c.7.3 Otros activos (8)</t>
  </si>
  <si>
    <t xml:space="preserve">                    d.1.2 Depósitos en el BCE (9)</t>
  </si>
  <si>
    <t xml:space="preserve">                    d.2.2 Otros pasivos (Préstamos) (10)</t>
  </si>
  <si>
    <t xml:space="preserve">         e.1  Activos (11) (12)</t>
  </si>
  <si>
    <t xml:space="preserve">                      f.2.3 Depósitos restringidos (13)</t>
  </si>
  <si>
    <t xml:space="preserve">                      f.2.5 Otros depósitos (14)</t>
  </si>
  <si>
    <t>1.6 TASAS DE INTERÉS REFERENCIALES NOMINALES EN DÓLARES (2000 - 2007) (1)</t>
  </si>
  <si>
    <t>Máxima Convencional (5)</t>
  </si>
  <si>
    <t>BALANCE ANALITICO AL 31 DE DICIEMBRE (1) (1927 - 1935)</t>
  </si>
  <si>
    <t>BALANCE ANALITICO AL 31 DE DICIEMBRE (1) (1936 - 1947)</t>
  </si>
  <si>
    <t>BALANCE ANALITICO AL 31 DE DICIEMBRE (1) (1948- 1975)</t>
  </si>
  <si>
    <t>BALANCE ANALITICO AL 31 DE DICIEMBRE (1) (1976 - 1998)</t>
  </si>
  <si>
    <t xml:space="preserve">1.23     Cambios Anuales Absolutos en la Liquidez Bancaria (M2), Base Monetaria, Multiplicador y Contribución </t>
  </si>
  <si>
    <t xml:space="preserve">             cada Determinante e Interacción (1928-1999)  </t>
  </si>
  <si>
    <t>1.16     Banco Central del Ecuador  / Balance Analítico al 31 de Diciembre (1927 - 1935)</t>
  </si>
  <si>
    <t>1.16b   Banco Central del Ecuador  / Balance Analítico al 31 de Diciembre (1948 - 1975)</t>
  </si>
  <si>
    <t>1.16a   Banco Central del Ecuador  / Balance Analítico al 31 de Diciembre (1936 - 1947)</t>
  </si>
  <si>
    <t>1.16c   Banco Central del Ecuador  / Balance Analítico al 31 de Diciembre (1976 - 1998)</t>
  </si>
  <si>
    <t>INFORMACIÓN DESDE DOLARIZACIÓN</t>
  </si>
  <si>
    <t>1.11     Principales Agregados Monetarios (1927 - 1999)</t>
  </si>
  <si>
    <t>1.12     Base Monetaria, Liquidez Bancaria (M2) y Multiplicador (1927 - 1999)</t>
  </si>
  <si>
    <t>1.13     Banco Central del Ecuador  / Principales Cuentas del Balance (1927 - 1999)</t>
  </si>
  <si>
    <t>1.14     Banco Central del Ecuador  / Crédito Neto por Sectores (1927 - 1999)</t>
  </si>
  <si>
    <t>1.15     Banco Central del Ecuador /   Fuentes y Usos de la Base Monetaria (1927 - 1999)</t>
  </si>
  <si>
    <t>1.17     Sistema Bancario / Cuasidinero (1927 - 1999)</t>
  </si>
  <si>
    <t>1.18     Bancos Privados / Cartera (1927 - 1999)</t>
  </si>
  <si>
    <t>1.19     Bancos Privados / Captaciones (1927 - 1999)</t>
  </si>
  <si>
    <t>1.20     Sistema Bancario / Capital y Reservas (1927 - 1999)</t>
  </si>
  <si>
    <t>1.21     Banco Nacional de Fomento / Crédito (1928 - 1964)</t>
  </si>
  <si>
    <t>1.21b  Banco Nacional de Fomento / Crédito (1965 - 1999)</t>
  </si>
  <si>
    <t>1.22     Banco Nacional de Fomento /  Depósitos (1927 - 1999)</t>
  </si>
  <si>
    <t>1.25   Determinantes del Multiplicador (M2/Bm) (1927 - 1999)</t>
  </si>
  <si>
    <t>1.16a BANCO CENTRAL DEL ECUADOR (Cont.)</t>
  </si>
  <si>
    <t>1.16b BANCO CENTRAL DEL ECUADOR (Cont.)</t>
  </si>
  <si>
    <t>1.16c BANCO CENTRAL DEL ECUADOR (cont.)</t>
  </si>
  <si>
    <t>g=e+f</t>
  </si>
  <si>
    <t>k=a+b+c+h+i+j</t>
  </si>
  <si>
    <t>l=e/k</t>
  </si>
  <si>
    <t>m=g/k</t>
  </si>
  <si>
    <t xml:space="preserve">            e.3 Reservas bancarias  (e.2.1 + e.2.2) </t>
  </si>
  <si>
    <t xml:space="preserve">       e. Pasivos Monetarios (e.1+e.2+e.3)</t>
  </si>
  <si>
    <t>Dinero Electrónico
(9)*</t>
  </si>
  <si>
    <t xml:space="preserve">     a. Reservas internacionales (*)</t>
  </si>
  <si>
    <t>1.2 CUENTAS MONETARIAS: BANCO CENTRAL DEL ECUADOR (1990-2016)</t>
  </si>
  <si>
    <t xml:space="preserve">            e.2 Dinero Electrónico (**)</t>
  </si>
  <si>
    <t>1.4 RESERVAS INTERNACIONALES (*)</t>
  </si>
  <si>
    <t>6. Posición con SUCRE (2)</t>
  </si>
  <si>
    <t>RESERVAS INTERNACIONALES (1+2+3+4+5+6)</t>
  </si>
  <si>
    <t>1.7 TASAS DE INTERÉS REFERENCIALES EFECTIVAS  EN DÓLARES (2007 - 2016) (1)</t>
  </si>
  <si>
    <t xml:space="preserve">1.7     Tasas de Interés Referenciales Efectivas en dólares (2007 ­ 2016) </t>
  </si>
  <si>
    <t>Vivienda de Interés Público            (10)(*)</t>
  </si>
  <si>
    <t>Máxima Vivienda de Interés Público (9)</t>
  </si>
  <si>
    <t>Segmento Comercial Ordinario</t>
  </si>
  <si>
    <t>Segmento Comercial Prioritario</t>
  </si>
  <si>
    <t>Segmento Consumo Ordinario</t>
  </si>
  <si>
    <t>Segmento Consumo Prioritario</t>
  </si>
  <si>
    <t>Segmento Educativo</t>
  </si>
  <si>
    <t>Segmento Vivienda de Interés Público</t>
  </si>
  <si>
    <t>Segmento Inmobiliario</t>
  </si>
  <si>
    <t>Segmento Inversión Pública</t>
  </si>
  <si>
    <t>Máxima Productivo Corporativo (**)</t>
  </si>
  <si>
    <t>Máxima Productivo Empresarial (**)</t>
  </si>
  <si>
    <t>Máxima Productivo PYMES (**)</t>
  </si>
  <si>
    <t>Comercial Ordinario             (4)(*)</t>
  </si>
  <si>
    <t>Máxima Comercial Ordinario (**)</t>
  </si>
  <si>
    <t>Comercial Prioritario Corporativo (5)(*)</t>
  </si>
  <si>
    <t>Máxima Comercial Prioritario Corporativo (**)</t>
  </si>
  <si>
    <t>Comercial Prioritario Empresarial (6)(*)</t>
  </si>
  <si>
    <t>Máxima Comercial Prioritario Empresarial (**)</t>
  </si>
  <si>
    <t>Productivo PYMES         (7)(*)</t>
  </si>
  <si>
    <t>Máxima Comercial Prioritario PYMES (**)</t>
  </si>
  <si>
    <t>Consumo Ordinario             (8)(*)</t>
  </si>
  <si>
    <t>Máxima Consumo Ordinario (**)</t>
  </si>
  <si>
    <t>Consumo Prioritario            (9)(*)</t>
  </si>
  <si>
    <t>Máxima Consumo Prioritario (**)</t>
  </si>
  <si>
    <t>Educativo            (10)(*)</t>
  </si>
  <si>
    <t>Máxima Educativo (**)</t>
  </si>
  <si>
    <t>Vivienda de Interés Público            (11)(*)</t>
  </si>
  <si>
    <t>Máxima Vivienda de Interés Público (**)</t>
  </si>
  <si>
    <t>Inmobiliario            (12)(*)</t>
  </si>
  <si>
    <t>Máxima Inmobiliario  (**)</t>
  </si>
  <si>
    <t>Microcrédito acumulación  ampliada        (13)(*)</t>
  </si>
  <si>
    <t>Máxima Microcrédito acumulación ampliada (**)</t>
  </si>
  <si>
    <t>Microcrédito acumulación simple                 (14) (*)</t>
  </si>
  <si>
    <t>Máxima Microcrédito acumulación simple (**)</t>
  </si>
  <si>
    <t>Microcrédito Minorista       (15) (*)</t>
  </si>
  <si>
    <t>Máxima Microcrédito Minorista (**)</t>
  </si>
  <si>
    <t>Inversión Pública             (16)(*)</t>
  </si>
  <si>
    <t>Máxima Inversión Pública (**)</t>
  </si>
  <si>
    <t>1.4     Banco Central del Ecuador  / Reservas Internacionales(2000 - 2016)</t>
  </si>
  <si>
    <t>1.1     Oferta Monetaria (M1) y Liquidez Total (M2) (2000­2016)</t>
  </si>
  <si>
    <t>1.2     Cuentas Monetarias: Banco Central del Ecuador (1990­2016)</t>
  </si>
  <si>
    <t>1.5     Bancos Privados / Cuentas Monetarias (1990 - 2016)</t>
  </si>
  <si>
    <t xml:space="preserve">1.8a     Tasas de Interés Activas Efectivas  y Máximas Referenciales Vigentes por Segmento de Crédito (2007 ­ julio 2015) </t>
  </si>
  <si>
    <t>1.8b     Tasas de Interés Activas Efectivas  y Máximas Referenciales Vigentes por Segmento de Crédito ( agosto 2015 -2016)</t>
  </si>
  <si>
    <t>1.8a TASAS DE INTERÉS ACTIVAS EFECTIVAS  Y MÁXIMAS REFERENCIALES VIGENTES EN DÓLARES (2007 - julio 2015)</t>
  </si>
  <si>
    <t>1.8b TASAS DE INTERÉS ACTIVAS EFECTIVAS  Y MÁXIMAS REFERENCIALES VIGENTES EN DÓLARES (agosto 2015 -2016)</t>
  </si>
  <si>
    <t xml:space="preserve"> </t>
  </si>
  <si>
    <t>1.3     Banco Central del Ecuador  / Reserva Monetaria Internacional (1927 - 1999)</t>
  </si>
  <si>
    <t>1.5 CUENTAS MONETARIAS: BANCOS PRIVADOS (1990-2016) (1)</t>
  </si>
  <si>
    <t>1.10   Tasas de Interés: Operaciones Pasivas en dólares (1995 ­ 2006)</t>
  </si>
  <si>
    <t>1.9     Tasas de Interés: Operaciones Activas en dólares (1995 ­ 2006)</t>
  </si>
  <si>
    <t>e=a+b+c+d</t>
  </si>
  <si>
    <t xml:space="preserve">Máxima Convencional (6) (7) (8)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</si>
</sst>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 * #,##0.0_ ;_ * \-#,##0.0_ ;_ * &quot;-&quot;??_ ;_ @_ "/>
    <numFmt numFmtId="167" formatCode="dd\-mmm\-yyyy"/>
    <numFmt numFmtId="168" formatCode="#,##0.0"/>
    <numFmt numFmtId="169" formatCode="General_)"/>
    <numFmt numFmtId="170" formatCode="0.0"/>
    <numFmt numFmtId="171" formatCode="_ * #,##0_ ;_ * \-#,##0_ ;_ * &quot;-&quot;??_ ;_ @_ "/>
    <numFmt numFmtId="172" formatCode="_ * #,##0.00000_ ;_ * \-#,##0.00000_ ;_ * &quot;-&quot;?????_ ;_ @_ "/>
    <numFmt numFmtId="173" formatCode="_ * #,##0.00000_ ;_ * \-#,##0.00000_ ;_ * &quot;-&quot;??_ ;_ @_ "/>
    <numFmt numFmtId="174" formatCode="#,##0.0_);\(#,##0.0\)"/>
    <numFmt numFmtId="175" formatCode="#,##0.00000_);\(#,##0.00000\)"/>
    <numFmt numFmtId="176" formatCode="_ * #,##0.0000_ ;_ * \-#,##0.0000_ ;_ * &quot;-&quot;??_ ;_ @_ "/>
    <numFmt numFmtId="177" formatCode="#,##0.0_ ;\-#,##0.0\ "/>
    <numFmt numFmtId="178" formatCode="#,##0_ ;\-#,##0\ "/>
    <numFmt numFmtId="179" formatCode="0.00000_)"/>
    <numFmt numFmtId="180" formatCode="#,##0.00_ ;\-#,##0.00\ "/>
    <numFmt numFmtId="181" formatCode="_ * #,##0.00_ ;_ * \-#,##0.00_ ;_ * &quot;-&quot;_ ;_ @_ "/>
    <numFmt numFmtId="182" formatCode="_ * #,##0.0000_ ;_ * \-#,##0.0000_ ;_ * &quot;-&quot;_ ;_ @_ "/>
    <numFmt numFmtId="183" formatCode="_ * #,##0.0000_ ;_ * \-#,##0.0000_ ;_ * &quot;-&quot;????_ ;_ @_ "/>
    <numFmt numFmtId="184" formatCode="_(* #,##0.0_);_(* \(#,##0.0\);_(* &quot;-&quot;??_);_(@_)"/>
  </numFmts>
  <fonts count="6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Helv"/>
    </font>
    <font>
      <sz val="10"/>
      <name val="Courier"/>
      <family val="3"/>
    </font>
    <font>
      <sz val="10"/>
      <name val="Arial"/>
      <family val="2"/>
    </font>
    <font>
      <b/>
      <sz val="10"/>
      <color indexed="18"/>
      <name val="Calibri"/>
      <family val="2"/>
    </font>
    <font>
      <b/>
      <sz val="10"/>
      <color indexed="56"/>
      <name val="Calibri"/>
      <family val="2"/>
    </font>
    <font>
      <b/>
      <sz val="10"/>
      <color indexed="18"/>
      <name val="Symbol"/>
      <family val="1"/>
      <charset val="2"/>
    </font>
    <font>
      <b/>
      <sz val="10"/>
      <color indexed="56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u/>
      <sz val="11"/>
      <color theme="3" tint="-0.499984740745262"/>
      <name val="Calibri"/>
      <family val="2"/>
    </font>
    <font>
      <u/>
      <sz val="10"/>
      <color theme="3" tint="-0.499984740745262"/>
      <name val="Calibri"/>
      <family val="2"/>
      <scheme val="minor"/>
    </font>
    <font>
      <u/>
      <sz val="10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10"/>
      <name val="Calibri"/>
      <family val="2"/>
    </font>
    <font>
      <sz val="11"/>
      <color theme="4" tint="-0.49998474074526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theme="1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9">
    <xf numFmtId="0" fontId="0" fillId="0" borderId="0"/>
    <xf numFmtId="43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35" applyNumberFormat="0" applyFill="0" applyAlignment="0" applyProtection="0"/>
    <xf numFmtId="0" fontId="34" fillId="0" borderId="36" applyNumberFormat="0" applyFill="0" applyAlignment="0" applyProtection="0"/>
    <xf numFmtId="0" fontId="35" fillId="0" borderId="37" applyNumberFormat="0" applyFill="0" applyAlignment="0" applyProtection="0"/>
    <xf numFmtId="0" fontId="35" fillId="0" borderId="0" applyNumberFormat="0" applyFill="0" applyBorder="0" applyAlignment="0" applyProtection="0"/>
    <xf numFmtId="0" fontId="36" fillId="10" borderId="0" applyNumberFormat="0" applyBorder="0" applyAlignment="0" applyProtection="0"/>
    <xf numFmtId="0" fontId="37" fillId="11" borderId="0" applyNumberFormat="0" applyBorder="0" applyAlignment="0" applyProtection="0"/>
    <xf numFmtId="0" fontId="38" fillId="12" borderId="0" applyNumberFormat="0" applyBorder="0" applyAlignment="0" applyProtection="0"/>
    <xf numFmtId="0" fontId="39" fillId="13" borderId="38" applyNumberFormat="0" applyAlignment="0" applyProtection="0"/>
    <xf numFmtId="0" fontId="40" fillId="14" borderId="39" applyNumberFormat="0" applyAlignment="0" applyProtection="0"/>
    <xf numFmtId="0" fontId="41" fillId="14" borderId="38" applyNumberFormat="0" applyAlignment="0" applyProtection="0"/>
    <xf numFmtId="0" fontId="42" fillId="0" borderId="40" applyNumberFormat="0" applyFill="0" applyAlignment="0" applyProtection="0"/>
    <xf numFmtId="0" fontId="43" fillId="15" borderId="41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43" applyNumberFormat="0" applyFill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1" fillId="40" borderId="0" applyNumberFormat="0" applyBorder="0" applyAlignment="0" applyProtection="0"/>
    <xf numFmtId="0" fontId="47" fillId="0" borderId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8" borderId="0" applyNumberFormat="0" applyBorder="0" applyAlignment="0" applyProtection="0"/>
    <xf numFmtId="0" fontId="49" fillId="49" borderId="0" applyNumberFormat="0" applyBorder="0" applyAlignment="0" applyProtection="0"/>
    <xf numFmtId="0" fontId="49" fillId="49" borderId="0" applyNumberFormat="0" applyBorder="0" applyAlignment="0" applyProtection="0"/>
    <xf numFmtId="0" fontId="49" fillId="49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1" fillId="0" borderId="0" applyNumberFormat="0" applyFill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1" fillId="55" borderId="44" applyNumberFormat="0" applyAlignment="0" applyProtection="0"/>
    <xf numFmtId="0" fontId="51" fillId="55" borderId="44" applyNumberFormat="0" applyAlignment="0" applyProtection="0"/>
    <xf numFmtId="0" fontId="51" fillId="55" borderId="44" applyNumberFormat="0" applyAlignment="0" applyProtection="0"/>
    <xf numFmtId="0" fontId="52" fillId="56" borderId="45" applyNumberFormat="0" applyAlignment="0" applyProtection="0"/>
    <xf numFmtId="0" fontId="52" fillId="56" borderId="45" applyNumberFormat="0" applyAlignment="0" applyProtection="0"/>
    <xf numFmtId="0" fontId="52" fillId="56" borderId="45" applyNumberFormat="0" applyAlignment="0" applyProtection="0"/>
    <xf numFmtId="0" fontId="53" fillId="0" borderId="46" applyNumberFormat="0" applyFill="0" applyAlignment="0" applyProtection="0"/>
    <xf numFmtId="0" fontId="53" fillId="0" borderId="46" applyNumberFormat="0" applyFill="0" applyAlignment="0" applyProtection="0"/>
    <xf numFmtId="0" fontId="53" fillId="0" borderId="46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9" fillId="57" borderId="0" applyNumberFormat="0" applyBorder="0" applyAlignment="0" applyProtection="0"/>
    <xf numFmtId="0" fontId="49" fillId="57" borderId="0" applyNumberFormat="0" applyBorder="0" applyAlignment="0" applyProtection="0"/>
    <xf numFmtId="0" fontId="49" fillId="57" borderId="0" applyNumberFormat="0" applyBorder="0" applyAlignment="0" applyProtection="0"/>
    <xf numFmtId="0" fontId="49" fillId="58" borderId="0" applyNumberFormat="0" applyBorder="0" applyAlignment="0" applyProtection="0"/>
    <xf numFmtId="0" fontId="49" fillId="58" borderId="0" applyNumberFormat="0" applyBorder="0" applyAlignment="0" applyProtection="0"/>
    <xf numFmtId="0" fontId="49" fillId="58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55" fillId="46" borderId="44" applyNumberFormat="0" applyAlignment="0" applyProtection="0"/>
    <xf numFmtId="0" fontId="55" fillId="46" borderId="44" applyNumberFormat="0" applyAlignment="0" applyProtection="0"/>
    <xf numFmtId="0" fontId="55" fillId="46" borderId="44" applyNumberFormat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16" borderId="42" applyNumberFormat="0" applyFont="0" applyAlignment="0" applyProtection="0"/>
    <xf numFmtId="0" fontId="10" fillId="16" borderId="42" applyNumberFormat="0" applyFont="0" applyAlignment="0" applyProtection="0"/>
    <xf numFmtId="0" fontId="1" fillId="62" borderId="47" applyNumberFormat="0" applyFont="0" applyAlignment="0" applyProtection="0"/>
    <xf numFmtId="0" fontId="1" fillId="62" borderId="47" applyNumberFormat="0" applyFont="0" applyAlignment="0" applyProtection="0"/>
    <xf numFmtId="0" fontId="1" fillId="62" borderId="47" applyNumberFormat="0" applyFont="0" applyAlignment="0" applyProtection="0"/>
    <xf numFmtId="0" fontId="10" fillId="16" borderId="42" applyNumberFormat="0" applyFont="0" applyAlignment="0" applyProtection="0"/>
    <xf numFmtId="9" fontId="1" fillId="0" borderId="0" applyFont="0" applyFill="0" applyBorder="0" applyAlignment="0" applyProtection="0"/>
    <xf numFmtId="0" fontId="58" fillId="55" borderId="48" applyNumberFormat="0" applyAlignment="0" applyProtection="0"/>
    <xf numFmtId="0" fontId="58" fillId="55" borderId="48" applyNumberFormat="0" applyAlignment="0" applyProtection="0"/>
    <xf numFmtId="0" fontId="58" fillId="55" borderId="48" applyNumberFormat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2" fillId="0" borderId="49" applyNumberFormat="0" applyFill="0" applyAlignment="0" applyProtection="0"/>
    <xf numFmtId="0" fontId="62" fillId="0" borderId="49" applyNumberFormat="0" applyFill="0" applyAlignment="0" applyProtection="0"/>
    <xf numFmtId="0" fontId="62" fillId="0" borderId="49" applyNumberFormat="0" applyFill="0" applyAlignment="0" applyProtection="0"/>
    <xf numFmtId="0" fontId="63" fillId="0" borderId="50" applyNumberFormat="0" applyFill="0" applyAlignment="0" applyProtection="0"/>
    <xf numFmtId="0" fontId="63" fillId="0" borderId="50" applyNumberFormat="0" applyFill="0" applyAlignment="0" applyProtection="0"/>
    <xf numFmtId="0" fontId="63" fillId="0" borderId="50" applyNumberFormat="0" applyFill="0" applyAlignment="0" applyProtection="0"/>
    <xf numFmtId="0" fontId="54" fillId="0" borderId="51" applyNumberFormat="0" applyFill="0" applyAlignment="0" applyProtection="0"/>
    <xf numFmtId="0" fontId="54" fillId="0" borderId="51" applyNumberFormat="0" applyFill="0" applyAlignment="0" applyProtection="0"/>
    <xf numFmtId="0" fontId="54" fillId="0" borderId="51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</cellStyleXfs>
  <cellXfs count="671">
    <xf numFmtId="0" fontId="0" fillId="0" borderId="0" xfId="0"/>
    <xf numFmtId="0" fontId="13" fillId="2" borderId="0" xfId="5" applyFont="1" applyFill="1"/>
    <xf numFmtId="0" fontId="14" fillId="4" borderId="5" xfId="5" applyFont="1" applyFill="1" applyBorder="1" applyAlignment="1">
      <alignment horizontal="center" vertical="center" wrapText="1"/>
    </xf>
    <xf numFmtId="0" fontId="14" fillId="4" borderId="5" xfId="5" applyFont="1" applyFill="1" applyBorder="1" applyAlignment="1">
      <alignment horizontal="center" vertical="center"/>
    </xf>
    <xf numFmtId="0" fontId="14" fillId="4" borderId="6" xfId="5" applyFont="1" applyFill="1" applyBorder="1" applyAlignment="1">
      <alignment horizontal="center" vertical="center" wrapText="1"/>
    </xf>
    <xf numFmtId="0" fontId="14" fillId="0" borderId="7" xfId="5" applyFont="1" applyBorder="1" applyAlignment="1">
      <alignment horizontal="center"/>
    </xf>
    <xf numFmtId="0" fontId="14" fillId="0" borderId="8" xfId="5" applyFont="1" applyBorder="1" applyAlignment="1">
      <alignment horizontal="center"/>
    </xf>
    <xf numFmtId="0" fontId="14" fillId="5" borderId="8" xfId="5" applyFont="1" applyFill="1" applyBorder="1" applyAlignment="1">
      <alignment horizontal="center"/>
    </xf>
    <xf numFmtId="0" fontId="14" fillId="5" borderId="9" xfId="5" applyFont="1" applyFill="1" applyBorder="1" applyAlignment="1">
      <alignment horizontal="center"/>
    </xf>
    <xf numFmtId="0" fontId="14" fillId="2" borderId="0" xfId="5" applyFont="1" applyFill="1" applyAlignment="1">
      <alignment horizontal="center" vertical="center"/>
    </xf>
    <xf numFmtId="0" fontId="14" fillId="2" borderId="0" xfId="5" applyFont="1" applyFill="1" applyAlignment="1">
      <alignment horizontal="center"/>
    </xf>
    <xf numFmtId="0" fontId="14" fillId="6" borderId="0" xfId="5" applyFont="1" applyFill="1"/>
    <xf numFmtId="169" fontId="13" fillId="6" borderId="0" xfId="15" applyNumberFormat="1" applyFont="1" applyFill="1"/>
    <xf numFmtId="168" fontId="13" fillId="6" borderId="0" xfId="5" applyNumberFormat="1" applyFont="1" applyFill="1" applyAlignment="1">
      <alignment horizontal="right"/>
    </xf>
    <xf numFmtId="0" fontId="13" fillId="2" borderId="0" xfId="5" applyFont="1" applyFill="1" applyAlignment="1">
      <alignment horizontal="center"/>
    </xf>
    <xf numFmtId="0" fontId="13" fillId="2" borderId="1" xfId="5" applyFont="1" applyFill="1" applyBorder="1"/>
    <xf numFmtId="169" fontId="13" fillId="2" borderId="1" xfId="15" applyNumberFormat="1" applyFont="1" applyFill="1" applyBorder="1"/>
    <xf numFmtId="3" fontId="13" fillId="2" borderId="1" xfId="5" applyNumberFormat="1" applyFont="1" applyFill="1" applyBorder="1" applyAlignment="1">
      <alignment horizontal="center"/>
    </xf>
    <xf numFmtId="1" fontId="13" fillId="2" borderId="1" xfId="5" applyNumberFormat="1" applyFont="1" applyFill="1" applyBorder="1"/>
    <xf numFmtId="3" fontId="13" fillId="2" borderId="1" xfId="5" applyNumberFormat="1" applyFont="1" applyFill="1" applyBorder="1"/>
    <xf numFmtId="170" fontId="13" fillId="2" borderId="1" xfId="5" applyNumberFormat="1" applyFont="1" applyFill="1" applyBorder="1"/>
    <xf numFmtId="0" fontId="15" fillId="0" borderId="0" xfId="0" applyFont="1" applyAlignment="1">
      <alignment horizontal="left"/>
    </xf>
    <xf numFmtId="0" fontId="15" fillId="0" borderId="0" xfId="9" applyFont="1"/>
    <xf numFmtId="0" fontId="16" fillId="0" borderId="0" xfId="0" applyFont="1"/>
    <xf numFmtId="0" fontId="15" fillId="0" borderId="0" xfId="0" applyFont="1"/>
    <xf numFmtId="166" fontId="15" fillId="0" borderId="0" xfId="1" applyNumberFormat="1" applyFont="1" applyFill="1"/>
    <xf numFmtId="0" fontId="15" fillId="0" borderId="0" xfId="9" applyFont="1" applyAlignment="1">
      <alignment horizontal="left"/>
    </xf>
    <xf numFmtId="168" fontId="15" fillId="0" borderId="0" xfId="1" applyNumberFormat="1" applyFont="1" applyFill="1"/>
    <xf numFmtId="168" fontId="15" fillId="0" borderId="0" xfId="9" applyNumberFormat="1" applyFont="1"/>
    <xf numFmtId="0" fontId="16" fillId="0" borderId="0" xfId="9" applyFont="1"/>
    <xf numFmtId="169" fontId="15" fillId="0" borderId="0" xfId="10" applyNumberFormat="1" applyFont="1" applyAlignment="1">
      <alignment horizontal="left"/>
    </xf>
    <xf numFmtId="0" fontId="16" fillId="0" borderId="2" xfId="9" applyFont="1" applyBorder="1" applyAlignment="1">
      <alignment horizontal="left"/>
    </xf>
    <xf numFmtId="168" fontId="16" fillId="0" borderId="2" xfId="9" applyNumberFormat="1" applyFont="1" applyBorder="1"/>
    <xf numFmtId="0" fontId="16" fillId="3" borderId="0" xfId="9" applyFont="1" applyFill="1"/>
    <xf numFmtId="17" fontId="16" fillId="0" borderId="0" xfId="0" applyNumberFormat="1" applyFont="1"/>
    <xf numFmtId="17" fontId="16" fillId="4" borderId="10" xfId="0" applyNumberFormat="1" applyFont="1" applyFill="1" applyBorder="1" applyAlignment="1">
      <alignment horizontal="center" vertical="center"/>
    </xf>
    <xf numFmtId="17" fontId="16" fillId="4" borderId="1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6" borderId="0" xfId="0" applyFont="1" applyFill="1"/>
    <xf numFmtId="168" fontId="16" fillId="6" borderId="0" xfId="0" applyNumberFormat="1" applyFont="1" applyFill="1"/>
    <xf numFmtId="0" fontId="15" fillId="6" borderId="0" xfId="0" applyFont="1" applyFill="1"/>
    <xf numFmtId="166" fontId="16" fillId="6" borderId="0" xfId="1" applyNumberFormat="1" applyFont="1" applyFill="1"/>
    <xf numFmtId="168" fontId="16" fillId="6" borderId="0" xfId="9" applyNumberFormat="1" applyFont="1" applyFill="1"/>
    <xf numFmtId="0" fontId="16" fillId="6" borderId="0" xfId="9" applyFont="1" applyFill="1"/>
    <xf numFmtId="0" fontId="15" fillId="6" borderId="0" xfId="9" applyFont="1" applyFill="1" applyAlignment="1">
      <alignment horizontal="left"/>
    </xf>
    <xf numFmtId="168" fontId="15" fillId="6" borderId="0" xfId="1" applyNumberFormat="1" applyFont="1" applyFill="1"/>
    <xf numFmtId="168" fontId="15" fillId="6" borderId="0" xfId="9" applyNumberFormat="1" applyFont="1" applyFill="1"/>
    <xf numFmtId="169" fontId="16" fillId="6" borderId="0" xfId="10" applyNumberFormat="1" applyFont="1" applyFill="1" applyAlignment="1">
      <alignment horizontal="left"/>
    </xf>
    <xf numFmtId="168" fontId="16" fillId="6" borderId="0" xfId="1" applyNumberFormat="1" applyFont="1" applyFill="1"/>
    <xf numFmtId="2" fontId="16" fillId="6" borderId="0" xfId="0" applyNumberFormat="1" applyFont="1" applyFill="1" applyAlignment="1">
      <alignment horizontal="left"/>
    </xf>
    <xf numFmtId="168" fontId="15" fillId="6" borderId="0" xfId="1" applyNumberFormat="1" applyFont="1" applyFill="1" applyAlignment="1">
      <alignment horizontal="right"/>
    </xf>
    <xf numFmtId="168" fontId="16" fillId="6" borderId="0" xfId="1" applyNumberFormat="1" applyFont="1" applyFill="1" applyAlignment="1">
      <alignment horizontal="right"/>
    </xf>
    <xf numFmtId="0" fontId="15" fillId="6" borderId="0" xfId="10" applyFont="1" applyFill="1" applyAlignment="1">
      <alignment horizontal="left"/>
    </xf>
    <xf numFmtId="0" fontId="16" fillId="6" borderId="0" xfId="10" applyFont="1" applyFill="1" applyAlignment="1">
      <alignment horizontal="left"/>
    </xf>
    <xf numFmtId="0" fontId="16" fillId="6" borderId="0" xfId="9" applyFont="1" applyFill="1" applyAlignment="1">
      <alignment horizontal="left"/>
    </xf>
    <xf numFmtId="0" fontId="15" fillId="6" borderId="0" xfId="9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2" applyFont="1" applyAlignment="1" applyProtection="1"/>
    <xf numFmtId="0" fontId="20" fillId="0" borderId="0" xfId="2" quotePrefix="1" applyFont="1" applyAlignment="1" applyProtection="1"/>
    <xf numFmtId="0" fontId="19" fillId="6" borderId="0" xfId="0" applyFont="1" applyFill="1"/>
    <xf numFmtId="0" fontId="20" fillId="5" borderId="0" xfId="2" applyFont="1" applyFill="1" applyAlignment="1" applyProtection="1"/>
    <xf numFmtId="0" fontId="12" fillId="5" borderId="0" xfId="2" applyFill="1" applyAlignment="1" applyProtection="1"/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5" fillId="0" borderId="0" xfId="0" applyFont="1" applyAlignment="1">
      <alignment horizontal="center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5" borderId="14" xfId="0" applyFont="1" applyFill="1" applyBorder="1" applyAlignment="1">
      <alignment horizontal="centerContinuous"/>
    </xf>
    <xf numFmtId="0" fontId="16" fillId="5" borderId="10" xfId="0" applyFont="1" applyFill="1" applyBorder="1" applyAlignment="1">
      <alignment horizontal="centerContinuous"/>
    </xf>
    <xf numFmtId="0" fontId="16" fillId="5" borderId="11" xfId="0" applyFont="1" applyFill="1" applyBorder="1" applyAlignment="1">
      <alignment horizontal="centerContinuous"/>
    </xf>
    <xf numFmtId="0" fontId="16" fillId="0" borderId="0" xfId="0" applyFont="1" applyAlignment="1">
      <alignment horizontal="center"/>
    </xf>
    <xf numFmtId="3" fontId="15" fillId="6" borderId="0" xfId="0" applyNumberFormat="1" applyFont="1" applyFill="1"/>
    <xf numFmtId="3" fontId="15" fillId="6" borderId="0" xfId="0" applyNumberFormat="1" applyFont="1" applyFill="1" applyAlignment="1">
      <alignment horizontal="right"/>
    </xf>
    <xf numFmtId="0" fontId="15" fillId="0" borderId="1" xfId="0" applyFont="1" applyBorder="1"/>
    <xf numFmtId="0" fontId="16" fillId="0" borderId="1" xfId="0" applyFont="1" applyBorder="1"/>
    <xf numFmtId="0" fontId="15" fillId="0" borderId="0" xfId="4" applyFont="1"/>
    <xf numFmtId="0" fontId="16" fillId="0" borderId="0" xfId="4" applyFont="1"/>
    <xf numFmtId="170" fontId="16" fillId="0" borderId="0" xfId="4" applyNumberFormat="1" applyFont="1"/>
    <xf numFmtId="170" fontId="15" fillId="0" borderId="0" xfId="4" applyNumberFormat="1" applyFont="1"/>
    <xf numFmtId="0" fontId="15" fillId="0" borderId="1" xfId="4" applyFont="1" applyBorder="1"/>
    <xf numFmtId="170" fontId="15" fillId="0" borderId="1" xfId="4" applyNumberFormat="1" applyFont="1" applyBorder="1"/>
    <xf numFmtId="0" fontId="21" fillId="0" borderId="0" xfId="2" applyFont="1" applyFill="1" applyAlignment="1" applyProtection="1"/>
    <xf numFmtId="0" fontId="15" fillId="0" borderId="0" xfId="4" applyFont="1" applyAlignment="1">
      <alignment horizontal="left"/>
    </xf>
    <xf numFmtId="167" fontId="16" fillId="0" borderId="0" xfId="4" applyNumberFormat="1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6" fillId="6" borderId="0" xfId="4" applyFont="1" applyFill="1"/>
    <xf numFmtId="170" fontId="16" fillId="6" borderId="0" xfId="4" applyNumberFormat="1" applyFont="1" applyFill="1"/>
    <xf numFmtId="0" fontId="15" fillId="6" borderId="0" xfId="4" applyFont="1" applyFill="1"/>
    <xf numFmtId="170" fontId="15" fillId="6" borderId="0" xfId="4" applyNumberFormat="1" applyFont="1" applyFill="1"/>
    <xf numFmtId="0" fontId="16" fillId="4" borderId="14" xfId="4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170" fontId="15" fillId="0" borderId="0" xfId="0" applyNumberFormat="1" applyFont="1"/>
    <xf numFmtId="170" fontId="16" fillId="0" borderId="0" xfId="0" applyNumberFormat="1" applyFont="1" applyAlignment="1">
      <alignment horizontal="right"/>
    </xf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170" fontId="16" fillId="0" borderId="2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left" indent="2"/>
    </xf>
    <xf numFmtId="0" fontId="16" fillId="4" borderId="10" xfId="0" applyFont="1" applyFill="1" applyBorder="1" applyAlignment="1">
      <alignment horizontal="center" vertical="center"/>
    </xf>
    <xf numFmtId="170" fontId="16" fillId="6" borderId="0" xfId="0" applyNumberFormat="1" applyFont="1" applyFill="1"/>
    <xf numFmtId="170" fontId="15" fillId="6" borderId="0" xfId="0" applyNumberFormat="1" applyFont="1" applyFill="1"/>
    <xf numFmtId="0" fontId="16" fillId="6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169" fontId="15" fillId="6" borderId="0" xfId="10" applyNumberFormat="1" applyFont="1" applyFill="1" applyAlignment="1">
      <alignment horizontal="left"/>
    </xf>
    <xf numFmtId="169" fontId="13" fillId="0" borderId="0" xfId="16" applyNumberFormat="1" applyFont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39" fontId="14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39" fontId="14" fillId="4" borderId="16" xfId="0" applyNumberFormat="1" applyFont="1" applyFill="1" applyBorder="1" applyAlignment="1">
      <alignment horizontal="center" vertical="center"/>
    </xf>
    <xf numFmtId="39" fontId="14" fillId="4" borderId="17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6" borderId="0" xfId="0" applyFont="1" applyFill="1" applyAlignment="1">
      <alignment horizontal="left"/>
    </xf>
    <xf numFmtId="4" fontId="13" fillId="6" borderId="0" xfId="0" applyNumberFormat="1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4" fontId="13" fillId="0" borderId="0" xfId="0" applyNumberFormat="1" applyFont="1"/>
    <xf numFmtId="4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left"/>
    </xf>
    <xf numFmtId="4" fontId="13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2" fillId="0" borderId="0" xfId="2" applyFont="1" applyFill="1" applyAlignment="1" applyProtection="1"/>
    <xf numFmtId="0" fontId="13" fillId="0" borderId="0" xfId="0" applyFont="1" applyAlignment="1">
      <alignment horizontal="left"/>
    </xf>
    <xf numFmtId="2" fontId="13" fillId="0" borderId="0" xfId="0" applyNumberFormat="1" applyFont="1"/>
    <xf numFmtId="2" fontId="13" fillId="0" borderId="0" xfId="0" applyNumberFormat="1" applyFont="1" applyAlignment="1">
      <alignment horizontal="center"/>
    </xf>
    <xf numFmtId="0" fontId="23" fillId="0" borderId="0" xfId="2" applyFont="1" applyFill="1" applyAlignment="1" applyProtection="1"/>
    <xf numFmtId="169" fontId="13" fillId="0" borderId="0" xfId="16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2" fontId="13" fillId="6" borderId="0" xfId="0" applyNumberFormat="1" applyFont="1" applyFill="1"/>
    <xf numFmtId="2" fontId="13" fillId="6" borderId="0" xfId="0" applyNumberFormat="1" applyFont="1" applyFill="1" applyAlignment="1">
      <alignment horizontal="center"/>
    </xf>
    <xf numFmtId="169" fontId="13" fillId="0" borderId="0" xfId="17" applyNumberFormat="1" applyFont="1"/>
    <xf numFmtId="0" fontId="14" fillId="0" borderId="0" xfId="11" applyFont="1"/>
    <xf numFmtId="0" fontId="14" fillId="0" borderId="0" xfId="11" applyFont="1" applyAlignment="1">
      <alignment horizontal="center"/>
    </xf>
    <xf numFmtId="49" fontId="14" fillId="0" borderId="0" xfId="11" applyNumberFormat="1" applyFont="1" applyAlignment="1">
      <alignment horizontal="center"/>
    </xf>
    <xf numFmtId="0" fontId="14" fillId="0" borderId="0" xfId="11" applyFont="1" applyAlignment="1">
      <alignment horizontal="right"/>
    </xf>
    <xf numFmtId="169" fontId="13" fillId="0" borderId="0" xfId="17" applyNumberFormat="1" applyFont="1" applyAlignment="1">
      <alignment horizontal="center"/>
    </xf>
    <xf numFmtId="4" fontId="13" fillId="0" borderId="0" xfId="11" applyNumberFormat="1" applyFont="1" applyAlignment="1">
      <alignment horizontal="center"/>
    </xf>
    <xf numFmtId="0" fontId="13" fillId="0" borderId="0" xfId="11" applyFont="1" applyAlignment="1">
      <alignment horizontal="left"/>
    </xf>
    <xf numFmtId="4" fontId="13" fillId="0" borderId="0" xfId="11" applyNumberFormat="1" applyFont="1"/>
    <xf numFmtId="0" fontId="14" fillId="0" borderId="2" xfId="11" applyFont="1" applyBorder="1"/>
    <xf numFmtId="4" fontId="13" fillId="0" borderId="2" xfId="11" applyNumberFormat="1" applyFont="1" applyBorder="1"/>
    <xf numFmtId="0" fontId="13" fillId="0" borderId="0" xfId="11" applyFont="1"/>
    <xf numFmtId="169" fontId="14" fillId="0" borderId="0" xfId="17" applyNumberFormat="1" applyFont="1"/>
    <xf numFmtId="169" fontId="13" fillId="0" borderId="0" xfId="17" applyNumberFormat="1" applyFont="1" applyAlignment="1">
      <alignment horizontal="center" vertical="center"/>
    </xf>
    <xf numFmtId="39" fontId="13" fillId="0" borderId="0" xfId="11" applyNumberFormat="1" applyFont="1"/>
    <xf numFmtId="0" fontId="14" fillId="7" borderId="0" xfId="11" applyFont="1" applyFill="1" applyAlignment="1">
      <alignment horizontal="center"/>
    </xf>
    <xf numFmtId="0" fontId="14" fillId="7" borderId="0" xfId="11" applyFont="1" applyFill="1" applyAlignment="1">
      <alignment horizontal="center" vertical="center" wrapText="1"/>
    </xf>
    <xf numFmtId="169" fontId="14" fillId="7" borderId="0" xfId="17" applyNumberFormat="1" applyFont="1" applyFill="1" applyAlignment="1">
      <alignment horizontal="center" vertical="center" wrapText="1"/>
    </xf>
    <xf numFmtId="169" fontId="14" fillId="7" borderId="0" xfId="17" applyNumberFormat="1" applyFont="1" applyFill="1" applyAlignment="1">
      <alignment horizontal="center"/>
    </xf>
    <xf numFmtId="39" fontId="14" fillId="4" borderId="18" xfId="11" applyNumberFormat="1" applyFont="1" applyFill="1" applyBorder="1" applyAlignment="1">
      <alignment horizontal="center" vertical="center" wrapText="1"/>
    </xf>
    <xf numFmtId="0" fontId="14" fillId="4" borderId="18" xfId="11" applyFont="1" applyFill="1" applyBorder="1" applyAlignment="1">
      <alignment horizontal="center" vertical="center" wrapText="1"/>
    </xf>
    <xf numFmtId="0" fontId="14" fillId="4" borderId="13" xfId="11" applyFont="1" applyFill="1" applyBorder="1" applyAlignment="1">
      <alignment horizontal="center" vertical="center" wrapText="1"/>
    </xf>
    <xf numFmtId="39" fontId="14" fillId="4" borderId="12" xfId="11" applyNumberFormat="1" applyFont="1" applyFill="1" applyBorder="1" applyAlignment="1">
      <alignment horizontal="center" vertical="center" wrapText="1"/>
    </xf>
    <xf numFmtId="169" fontId="14" fillId="4" borderId="18" xfId="17" applyNumberFormat="1" applyFont="1" applyFill="1" applyBorder="1" applyAlignment="1">
      <alignment horizontal="center" vertical="center" wrapText="1"/>
    </xf>
    <xf numFmtId="169" fontId="14" fillId="4" borderId="13" xfId="17" applyNumberFormat="1" applyFont="1" applyFill="1" applyBorder="1" applyAlignment="1">
      <alignment horizontal="center" vertical="center" wrapText="1"/>
    </xf>
    <xf numFmtId="169" fontId="14" fillId="4" borderId="12" xfId="17" applyNumberFormat="1" applyFont="1" applyFill="1" applyBorder="1" applyAlignment="1">
      <alignment horizontal="center" vertical="center" wrapText="1"/>
    </xf>
    <xf numFmtId="0" fontId="14" fillId="4" borderId="12" xfId="11" applyFont="1" applyFill="1" applyBorder="1" applyAlignment="1">
      <alignment horizontal="center" vertical="center" wrapText="1"/>
    </xf>
    <xf numFmtId="169" fontId="13" fillId="6" borderId="0" xfId="17" applyNumberFormat="1" applyFont="1" applyFill="1"/>
    <xf numFmtId="169" fontId="13" fillId="6" borderId="0" xfId="17" applyNumberFormat="1" applyFont="1" applyFill="1" applyAlignment="1">
      <alignment horizontal="center"/>
    </xf>
    <xf numFmtId="4" fontId="13" fillId="6" borderId="0" xfId="11" applyNumberFormat="1" applyFont="1" applyFill="1" applyAlignment="1">
      <alignment horizontal="center"/>
    </xf>
    <xf numFmtId="0" fontId="14" fillId="6" borderId="0" xfId="11" applyFont="1" applyFill="1" applyAlignment="1">
      <alignment horizontal="right"/>
    </xf>
    <xf numFmtId="2" fontId="13" fillId="6" borderId="0" xfId="17" applyNumberFormat="1" applyFont="1" applyFill="1" applyAlignment="1">
      <alignment horizontal="center"/>
    </xf>
    <xf numFmtId="0" fontId="14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4" fillId="4" borderId="1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4" fontId="13" fillId="6" borderId="0" xfId="0" applyNumberFormat="1" applyFont="1" applyFill="1" applyAlignment="1">
      <alignment horizontal="right"/>
    </xf>
    <xf numFmtId="4" fontId="13" fillId="6" borderId="14" xfId="0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39" fontId="13" fillId="6" borderId="0" xfId="0" applyNumberFormat="1" applyFont="1" applyFill="1"/>
    <xf numFmtId="39" fontId="13" fillId="6" borderId="14" xfId="0" applyNumberFormat="1" applyFont="1" applyFill="1" applyBorder="1"/>
    <xf numFmtId="39" fontId="13" fillId="6" borderId="0" xfId="0" applyNumberFormat="1" applyFont="1" applyFill="1" applyAlignment="1">
      <alignment horizontal="right"/>
    </xf>
    <xf numFmtId="0" fontId="13" fillId="6" borderId="0" xfId="0" applyFont="1" applyFill="1" applyAlignment="1">
      <alignment horizontal="right"/>
    </xf>
    <xf numFmtId="0" fontId="13" fillId="6" borderId="0" xfId="0" applyFont="1" applyFill="1"/>
    <xf numFmtId="39" fontId="13" fillId="6" borderId="14" xfId="0" applyNumberFormat="1" applyFont="1" applyFill="1" applyBorder="1" applyAlignment="1">
      <alignment horizontal="right"/>
    </xf>
    <xf numFmtId="0" fontId="13" fillId="0" borderId="1" xfId="0" applyFont="1" applyBorder="1" applyAlignment="1">
      <alignment horizontal="right"/>
    </xf>
    <xf numFmtId="39" fontId="13" fillId="0" borderId="0" xfId="0" applyNumberFormat="1" applyFont="1"/>
    <xf numFmtId="0" fontId="13" fillId="0" borderId="0" xfId="14" applyFont="1"/>
    <xf numFmtId="2" fontId="13" fillId="0" borderId="0" xfId="14" applyNumberFormat="1" applyFont="1"/>
    <xf numFmtId="0" fontId="13" fillId="0" borderId="0" xfId="0" applyFont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4" fontId="13" fillId="6" borderId="0" xfId="0" applyNumberFormat="1" applyFont="1" applyFill="1"/>
    <xf numFmtId="2" fontId="13" fillId="6" borderId="0" xfId="0" applyNumberFormat="1" applyFont="1" applyFill="1" applyAlignment="1">
      <alignment horizontal="right"/>
    </xf>
    <xf numFmtId="0" fontId="13" fillId="0" borderId="1" xfId="0" applyFont="1" applyBorder="1"/>
    <xf numFmtId="3" fontId="13" fillId="0" borderId="0" xfId="0" applyNumberFormat="1" applyFont="1"/>
    <xf numFmtId="164" fontId="13" fillId="0" borderId="0" xfId="3" applyNumberFormat="1" applyFont="1" applyProtection="1"/>
    <xf numFmtId="165" fontId="13" fillId="0" borderId="0" xfId="3" applyNumberFormat="1" applyFont="1"/>
    <xf numFmtId="173" fontId="13" fillId="0" borderId="0" xfId="3" applyNumberFormat="1" applyFont="1"/>
    <xf numFmtId="0" fontId="14" fillId="4" borderId="20" xfId="0" applyFont="1" applyFill="1" applyBorder="1" applyAlignment="1">
      <alignment horizontal="centerContinuous" vertical="center" wrapText="1"/>
    </xf>
    <xf numFmtId="0" fontId="13" fillId="4" borderId="20" xfId="0" applyFont="1" applyFill="1" applyBorder="1" applyAlignment="1">
      <alignment horizontal="centerContinuous" vertical="center" wrapText="1"/>
    </xf>
    <xf numFmtId="0" fontId="14" fillId="4" borderId="21" xfId="0" applyFont="1" applyFill="1" applyBorder="1" applyAlignment="1">
      <alignment horizontal="centerContinuous" vertical="center" wrapText="1"/>
    </xf>
    <xf numFmtId="0" fontId="14" fillId="4" borderId="18" xfId="0" applyFont="1" applyFill="1" applyBorder="1" applyAlignment="1">
      <alignment horizontal="center" vertical="center" wrapText="1"/>
    </xf>
    <xf numFmtId="3" fontId="14" fillId="5" borderId="14" xfId="0" applyNumberFormat="1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49" fontId="13" fillId="6" borderId="0" xfId="0" applyNumberFormat="1" applyFont="1" applyFill="1"/>
    <xf numFmtId="164" fontId="13" fillId="6" borderId="0" xfId="3" applyNumberFormat="1" applyFont="1" applyFill="1" applyProtection="1"/>
    <xf numFmtId="164" fontId="13" fillId="6" borderId="0" xfId="0" applyNumberFormat="1" applyFont="1" applyFill="1"/>
    <xf numFmtId="171" fontId="13" fillId="6" borderId="0" xfId="3" applyNumberFormat="1" applyFont="1" applyFill="1"/>
    <xf numFmtId="172" fontId="13" fillId="6" borderId="0" xfId="3" applyNumberFormat="1" applyFont="1" applyFill="1"/>
    <xf numFmtId="165" fontId="13" fillId="6" borderId="0" xfId="3" applyNumberFormat="1" applyFont="1" applyFill="1"/>
    <xf numFmtId="169" fontId="14" fillId="0" borderId="0" xfId="0" applyNumberFormat="1" applyFont="1" applyAlignment="1">
      <alignment horizontal="centerContinuous"/>
    </xf>
    <xf numFmtId="169" fontId="13" fillId="0" borderId="0" xfId="0" applyNumberFormat="1" applyFont="1"/>
    <xf numFmtId="169" fontId="14" fillId="4" borderId="18" xfId="0" applyNumberFormat="1" applyFont="1" applyFill="1" applyBorder="1" applyAlignment="1">
      <alignment horizontal="center" vertical="center" wrapText="1"/>
    </xf>
    <xf numFmtId="169" fontId="13" fillId="0" borderId="0" xfId="0" applyNumberFormat="1" applyFont="1" applyAlignment="1">
      <alignment wrapText="1"/>
    </xf>
    <xf numFmtId="169" fontId="14" fillId="5" borderId="12" xfId="0" applyNumberFormat="1" applyFont="1" applyFill="1" applyBorder="1" applyAlignment="1">
      <alignment horizontal="center" wrapText="1"/>
    </xf>
    <xf numFmtId="37" fontId="14" fillId="5" borderId="18" xfId="0" applyNumberFormat="1" applyFont="1" applyFill="1" applyBorder="1" applyAlignment="1">
      <alignment horizontal="center" wrapText="1"/>
    </xf>
    <xf numFmtId="171" fontId="14" fillId="5" borderId="18" xfId="3" applyNumberFormat="1" applyFont="1" applyFill="1" applyBorder="1" applyAlignment="1" applyProtection="1">
      <alignment horizontal="center" wrapText="1"/>
    </xf>
    <xf numFmtId="169" fontId="14" fillId="5" borderId="13" xfId="0" applyNumberFormat="1" applyFont="1" applyFill="1" applyBorder="1" applyAlignment="1">
      <alignment horizontal="center" wrapText="1"/>
    </xf>
    <xf numFmtId="164" fontId="13" fillId="0" borderId="1" xfId="3" applyNumberFormat="1" applyFont="1" applyBorder="1" applyProtection="1"/>
    <xf numFmtId="169" fontId="13" fillId="6" borderId="0" xfId="0" applyNumberFormat="1" applyFont="1" applyFill="1" applyAlignment="1">
      <alignment horizontal="left"/>
    </xf>
    <xf numFmtId="171" fontId="13" fillId="6" borderId="0" xfId="3" applyNumberFormat="1" applyFont="1" applyFill="1" applyProtection="1"/>
    <xf numFmtId="171" fontId="13" fillId="6" borderId="0" xfId="3" applyNumberFormat="1" applyFont="1" applyFill="1" applyBorder="1" applyProtection="1"/>
    <xf numFmtId="171" fontId="13" fillId="6" borderId="0" xfId="3" applyNumberFormat="1" applyFont="1" applyFill="1" applyBorder="1" applyAlignment="1" applyProtection="1">
      <alignment horizontal="right"/>
    </xf>
    <xf numFmtId="176" fontId="13" fillId="6" borderId="0" xfId="3" applyNumberFormat="1" applyFont="1" applyFill="1" applyBorder="1" applyProtection="1"/>
    <xf numFmtId="0" fontId="13" fillId="0" borderId="0" xfId="0" applyFont="1" applyAlignment="1">
      <alignment vertical="center"/>
    </xf>
    <xf numFmtId="37" fontId="13" fillId="0" borderId="0" xfId="0" applyNumberFormat="1" applyFont="1"/>
    <xf numFmtId="0" fontId="14" fillId="4" borderId="11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/>
    </xf>
    <xf numFmtId="3" fontId="13" fillId="6" borderId="0" xfId="0" applyNumberFormat="1" applyFont="1" applyFill="1"/>
    <xf numFmtId="3" fontId="13" fillId="6" borderId="0" xfId="0" applyNumberFormat="1" applyFont="1" applyFill="1" applyAlignment="1">
      <alignment horizontal="right"/>
    </xf>
    <xf numFmtId="0" fontId="13" fillId="6" borderId="0" xfId="0" applyFont="1" applyFill="1" applyAlignment="1">
      <alignment horizontal="left"/>
    </xf>
    <xf numFmtId="37" fontId="13" fillId="0" borderId="1" xfId="0" applyNumberFormat="1" applyFont="1" applyBorder="1"/>
    <xf numFmtId="0" fontId="14" fillId="0" borderId="20" xfId="0" applyFont="1" applyBorder="1" applyAlignment="1">
      <alignment wrapText="1"/>
    </xf>
    <xf numFmtId="0" fontId="14" fillId="0" borderId="19" xfId="0" applyFont="1" applyBorder="1" applyAlignment="1">
      <alignment vertical="center" wrapText="1"/>
    </xf>
    <xf numFmtId="0" fontId="14" fillId="0" borderId="18" xfId="0" applyFont="1" applyBorder="1" applyAlignment="1">
      <alignment horizontal="right" vertical="center" wrapText="1"/>
    </xf>
    <xf numFmtId="3" fontId="14" fillId="6" borderId="0" xfId="0" applyNumberFormat="1" applyFont="1" applyFill="1" applyAlignment="1">
      <alignment horizontal="right"/>
    </xf>
    <xf numFmtId="0" fontId="14" fillId="4" borderId="14" xfId="0" applyFont="1" applyFill="1" applyBorder="1" applyAlignment="1">
      <alignment horizontal="center" vertical="center" wrapText="1"/>
    </xf>
    <xf numFmtId="3" fontId="14" fillId="6" borderId="0" xfId="0" applyNumberFormat="1" applyFont="1" applyFill="1"/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171" fontId="13" fillId="0" borderId="0" xfId="0" applyNumberFormat="1" applyFont="1"/>
    <xf numFmtId="37" fontId="13" fillId="0" borderId="1" xfId="0" quotePrefix="1" applyNumberFormat="1" applyFont="1" applyBorder="1"/>
    <xf numFmtId="0" fontId="14" fillId="4" borderId="10" xfId="0" applyFont="1" applyFill="1" applyBorder="1" applyAlignment="1">
      <alignment horizontal="center" vertical="center" wrapText="1"/>
    </xf>
    <xf numFmtId="171" fontId="13" fillId="6" borderId="0" xfId="3" quotePrefix="1" applyNumberFormat="1" applyFont="1" applyFill="1" applyAlignment="1">
      <alignment horizontal="right"/>
    </xf>
    <xf numFmtId="0" fontId="13" fillId="6" borderId="0" xfId="0" quotePrefix="1" applyFont="1" applyFill="1"/>
    <xf numFmtId="169" fontId="13" fillId="0" borderId="0" xfId="13" applyNumberFormat="1" applyFont="1"/>
    <xf numFmtId="169" fontId="14" fillId="0" borderId="0" xfId="13" applyNumberFormat="1" applyFont="1"/>
    <xf numFmtId="169" fontId="14" fillId="0" borderId="0" xfId="13" applyNumberFormat="1" applyFont="1" applyAlignment="1">
      <alignment horizontal="center"/>
    </xf>
    <xf numFmtId="169" fontId="14" fillId="0" borderId="0" xfId="13" quotePrefix="1" applyNumberFormat="1" applyFont="1" applyAlignment="1">
      <alignment horizontal="right"/>
    </xf>
    <xf numFmtId="169" fontId="14" fillId="0" borderId="0" xfId="13" applyNumberFormat="1" applyFont="1" applyAlignment="1">
      <alignment horizontal="right"/>
    </xf>
    <xf numFmtId="3" fontId="13" fillId="0" borderId="0" xfId="13" applyNumberFormat="1" applyFont="1" applyAlignment="1">
      <alignment horizontal="right"/>
    </xf>
    <xf numFmtId="169" fontId="13" fillId="0" borderId="3" xfId="13" applyNumberFormat="1" applyFont="1" applyBorder="1"/>
    <xf numFmtId="3" fontId="13" fillId="0" borderId="3" xfId="13" applyNumberFormat="1" applyFont="1" applyBorder="1" applyAlignment="1">
      <alignment horizontal="right"/>
    </xf>
    <xf numFmtId="37" fontId="14" fillId="4" borderId="22" xfId="13" applyNumberFormat="1" applyFont="1" applyFill="1" applyBorder="1" applyAlignment="1">
      <alignment horizontal="center" vertical="center" wrapText="1"/>
    </xf>
    <xf numFmtId="169" fontId="14" fillId="4" borderId="20" xfId="13" applyNumberFormat="1" applyFont="1" applyFill="1" applyBorder="1" applyAlignment="1">
      <alignment horizontal="center" vertical="center" wrapText="1"/>
    </xf>
    <xf numFmtId="169" fontId="14" fillId="4" borderId="21" xfId="13" applyNumberFormat="1" applyFont="1" applyFill="1" applyBorder="1" applyAlignment="1">
      <alignment horizontal="center" vertical="center" wrapText="1"/>
    </xf>
    <xf numFmtId="169" fontId="14" fillId="0" borderId="12" xfId="13" applyNumberFormat="1" applyFont="1" applyBorder="1" applyAlignment="1">
      <alignment horizontal="center" vertical="center"/>
    </xf>
    <xf numFmtId="169" fontId="14" fillId="5" borderId="18" xfId="13" quotePrefix="1" applyNumberFormat="1" applyFont="1" applyFill="1" applyBorder="1" applyAlignment="1">
      <alignment horizontal="center" vertical="center"/>
    </xf>
    <xf numFmtId="169" fontId="14" fillId="5" borderId="18" xfId="13" applyNumberFormat="1" applyFont="1" applyFill="1" applyBorder="1" applyAlignment="1">
      <alignment horizontal="center" vertical="center"/>
    </xf>
    <xf numFmtId="169" fontId="14" fillId="5" borderId="13" xfId="13" applyNumberFormat="1" applyFont="1" applyFill="1" applyBorder="1" applyAlignment="1">
      <alignment horizontal="center" vertical="center"/>
    </xf>
    <xf numFmtId="169" fontId="13" fillId="0" borderId="0" xfId="13" applyNumberFormat="1" applyFont="1" applyAlignment="1">
      <alignment horizontal="center" vertical="center"/>
    </xf>
    <xf numFmtId="169" fontId="13" fillId="6" borderId="0" xfId="13" applyNumberFormat="1" applyFont="1" applyFill="1" applyAlignment="1">
      <alignment horizontal="left"/>
    </xf>
    <xf numFmtId="3" fontId="13" fillId="6" borderId="0" xfId="13" applyNumberFormat="1" applyFont="1" applyFill="1" applyAlignment="1">
      <alignment horizontal="right"/>
    </xf>
    <xf numFmtId="3" fontId="13" fillId="6" borderId="0" xfId="13" applyNumberFormat="1" applyFont="1" applyFill="1"/>
    <xf numFmtId="169" fontId="13" fillId="6" borderId="0" xfId="13" applyNumberFormat="1" applyFont="1" applyFill="1" applyAlignment="1">
      <alignment horizontal="right"/>
    </xf>
    <xf numFmtId="169" fontId="14" fillId="0" borderId="0" xfId="0" applyNumberFormat="1" applyFont="1"/>
    <xf numFmtId="0" fontId="13" fillId="0" borderId="3" xfId="0" applyFont="1" applyBorder="1"/>
    <xf numFmtId="0" fontId="13" fillId="0" borderId="12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169" fontId="14" fillId="5" borderId="18" xfId="0" applyNumberFormat="1" applyFont="1" applyFill="1" applyBorder="1" applyAlignment="1">
      <alignment horizontal="center" wrapText="1"/>
    </xf>
    <xf numFmtId="3" fontId="13" fillId="6" borderId="0" xfId="0" quotePrefix="1" applyNumberFormat="1" applyFont="1" applyFill="1"/>
    <xf numFmtId="3" fontId="13" fillId="6" borderId="0" xfId="0" quotePrefix="1" applyNumberFormat="1" applyFont="1" applyFill="1" applyAlignment="1">
      <alignment horizontal="right"/>
    </xf>
    <xf numFmtId="49" fontId="14" fillId="0" borderId="0" xfId="0" applyNumberFormat="1" applyFont="1" applyAlignment="1">
      <alignment horizontal="right"/>
    </xf>
    <xf numFmtId="3" fontId="13" fillId="0" borderId="3" xfId="0" applyNumberFormat="1" applyFont="1" applyBorder="1"/>
    <xf numFmtId="0" fontId="14" fillId="4" borderId="11" xfId="0" applyFont="1" applyFill="1" applyBorder="1" applyAlignment="1">
      <alignment horizontal="center" vertical="center"/>
    </xf>
    <xf numFmtId="169" fontId="14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right"/>
    </xf>
    <xf numFmtId="169" fontId="13" fillId="0" borderId="0" xfId="0" applyNumberFormat="1" applyFont="1" applyAlignment="1">
      <alignment horizontal="left"/>
    </xf>
    <xf numFmtId="169" fontId="14" fillId="0" borderId="12" xfId="0" applyNumberFormat="1" applyFont="1" applyBorder="1"/>
    <xf numFmtId="169" fontId="14" fillId="5" borderId="18" xfId="0" applyNumberFormat="1" applyFont="1" applyFill="1" applyBorder="1" applyAlignment="1">
      <alignment horizontal="center" vertical="center"/>
    </xf>
    <xf numFmtId="169" fontId="14" fillId="5" borderId="13" xfId="0" applyNumberFormat="1" applyFont="1" applyFill="1" applyBorder="1" applyAlignment="1">
      <alignment horizontal="center" vertical="center"/>
    </xf>
    <xf numFmtId="37" fontId="13" fillId="0" borderId="3" xfId="0" applyNumberFormat="1" applyFont="1" applyBorder="1"/>
    <xf numFmtId="37" fontId="13" fillId="6" borderId="0" xfId="0" applyNumberFormat="1" applyFont="1" applyFill="1"/>
    <xf numFmtId="169" fontId="14" fillId="5" borderId="12" xfId="0" applyNumberFormat="1" applyFont="1" applyFill="1" applyBorder="1" applyAlignment="1">
      <alignment horizontal="center"/>
    </xf>
    <xf numFmtId="169" fontId="14" fillId="5" borderId="18" xfId="0" applyNumberFormat="1" applyFont="1" applyFill="1" applyBorder="1" applyAlignment="1">
      <alignment horizontal="center"/>
    </xf>
    <xf numFmtId="169" fontId="14" fillId="5" borderId="13" xfId="0" applyNumberFormat="1" applyFont="1" applyFill="1" applyBorder="1" applyAlignment="1">
      <alignment horizontal="center"/>
    </xf>
    <xf numFmtId="1" fontId="13" fillId="6" borderId="0" xfId="0" applyNumberFormat="1" applyFont="1" applyFill="1" applyAlignment="1">
      <alignment horizontal="right"/>
    </xf>
    <xf numFmtId="169" fontId="16" fillId="0" borderId="0" xfId="0" applyNumberFormat="1" applyFont="1" applyAlignment="1">
      <alignment horizontal="centerContinuous"/>
    </xf>
    <xf numFmtId="169" fontId="15" fillId="0" borderId="0" xfId="0" applyNumberFormat="1" applyFont="1"/>
    <xf numFmtId="169" fontId="15" fillId="0" borderId="0" xfId="0" applyNumberFormat="1" applyFont="1" applyAlignment="1">
      <alignment horizontal="center"/>
    </xf>
    <xf numFmtId="171" fontId="15" fillId="0" borderId="0" xfId="0" applyNumberFormat="1" applyFont="1"/>
    <xf numFmtId="164" fontId="15" fillId="0" borderId="1" xfId="3" applyNumberFormat="1" applyFont="1" applyBorder="1" applyProtection="1"/>
    <xf numFmtId="164" fontId="15" fillId="0" borderId="0" xfId="3" applyNumberFormat="1" applyFont="1" applyProtection="1"/>
    <xf numFmtId="169" fontId="16" fillId="4" borderId="18" xfId="0" applyNumberFormat="1" applyFont="1" applyFill="1" applyBorder="1" applyAlignment="1">
      <alignment horizontal="center" vertical="center" wrapText="1"/>
    </xf>
    <xf numFmtId="169" fontId="16" fillId="4" borderId="13" xfId="0" applyNumberFormat="1" applyFont="1" applyFill="1" applyBorder="1" applyAlignment="1">
      <alignment horizontal="center" vertical="center" wrapText="1"/>
    </xf>
    <xf numFmtId="169" fontId="16" fillId="5" borderId="14" xfId="0" applyNumberFormat="1" applyFont="1" applyFill="1" applyBorder="1" applyAlignment="1">
      <alignment horizontal="center" vertical="center"/>
    </xf>
    <xf numFmtId="169" fontId="15" fillId="6" borderId="0" xfId="0" applyNumberFormat="1" applyFont="1" applyFill="1" applyAlignment="1">
      <alignment horizontal="left"/>
    </xf>
    <xf numFmtId="171" fontId="15" fillId="6" borderId="0" xfId="3" applyNumberFormat="1" applyFont="1" applyFill="1" applyProtection="1"/>
    <xf numFmtId="171" fontId="15" fillId="6" borderId="0" xfId="3" applyNumberFormat="1" applyFont="1" applyFill="1" applyAlignment="1" applyProtection="1">
      <alignment horizontal="right"/>
    </xf>
    <xf numFmtId="166" fontId="15" fillId="6" borderId="0" xfId="3" applyNumberFormat="1" applyFont="1" applyFill="1" applyProtection="1"/>
    <xf numFmtId="0" fontId="24" fillId="0" borderId="0" xfId="0" applyFont="1"/>
    <xf numFmtId="0" fontId="25" fillId="0" borderId="0" xfId="0" applyFont="1" applyAlignment="1">
      <alignment horizontal="center"/>
    </xf>
    <xf numFmtId="0" fontId="16" fillId="5" borderId="10" xfId="0" applyFont="1" applyFill="1" applyBorder="1" applyAlignment="1">
      <alignment horizontal="center" vertical="center"/>
    </xf>
    <xf numFmtId="10" fontId="15" fillId="0" borderId="0" xfId="0" applyNumberFormat="1" applyFont="1"/>
    <xf numFmtId="177" fontId="15" fillId="6" borderId="0" xfId="3" applyNumberFormat="1" applyFont="1" applyFill="1" applyBorder="1" applyProtection="1"/>
    <xf numFmtId="178" fontId="15" fillId="6" borderId="0" xfId="3" applyNumberFormat="1" applyFont="1" applyFill="1" applyBorder="1" applyProtection="1"/>
    <xf numFmtId="177" fontId="15" fillId="0" borderId="0" xfId="0" applyNumberFormat="1" applyFont="1"/>
    <xf numFmtId="183" fontId="13" fillId="0" borderId="0" xfId="0" applyNumberFormat="1" applyFont="1"/>
    <xf numFmtId="179" fontId="14" fillId="0" borderId="0" xfId="0" applyNumberFormat="1" applyFont="1" applyAlignment="1">
      <alignment horizontal="center"/>
    </xf>
    <xf numFmtId="179" fontId="14" fillId="4" borderId="11" xfId="0" applyNumberFormat="1" applyFont="1" applyFill="1" applyBorder="1" applyAlignment="1">
      <alignment horizontal="center" vertical="center" wrapText="1"/>
    </xf>
    <xf numFmtId="180" fontId="13" fillId="6" borderId="0" xfId="3" applyNumberFormat="1" applyFont="1" applyFill="1" applyProtection="1"/>
    <xf numFmtId="181" fontId="13" fillId="6" borderId="0" xfId="3" applyNumberFormat="1" applyFont="1" applyFill="1" applyProtection="1"/>
    <xf numFmtId="182" fontId="13" fillId="6" borderId="0" xfId="3" applyNumberFormat="1" applyFont="1" applyFill="1" applyProtection="1"/>
    <xf numFmtId="0" fontId="26" fillId="0" borderId="0" xfId="2" applyFont="1" applyFill="1" applyAlignment="1" applyProtection="1"/>
    <xf numFmtId="179" fontId="13" fillId="0" borderId="0" xfId="0" applyNumberFormat="1" applyFont="1" applyAlignment="1">
      <alignment horizontal="center"/>
    </xf>
    <xf numFmtId="181" fontId="13" fillId="0" borderId="0" xfId="0" applyNumberFormat="1" applyFont="1"/>
    <xf numFmtId="179" fontId="14" fillId="0" borderId="0" xfId="0" applyNumberFormat="1" applyFont="1" applyAlignment="1">
      <alignment horizontal="center" vertical="center"/>
    </xf>
    <xf numFmtId="179" fontId="14" fillId="4" borderId="18" xfId="0" applyNumberFormat="1" applyFont="1" applyFill="1" applyBorder="1" applyAlignment="1">
      <alignment horizontal="center"/>
    </xf>
    <xf numFmtId="179" fontId="14" fillId="4" borderId="13" xfId="0" applyNumberFormat="1" applyFont="1" applyFill="1" applyBorder="1" applyAlignment="1">
      <alignment horizontal="center"/>
    </xf>
    <xf numFmtId="0" fontId="13" fillId="0" borderId="0" xfId="0" applyFont="1" applyAlignment="1">
      <alignment wrapText="1"/>
    </xf>
    <xf numFmtId="166" fontId="13" fillId="0" borderId="0" xfId="0" applyNumberFormat="1" applyFont="1"/>
    <xf numFmtId="165" fontId="13" fillId="0" borderId="1" xfId="0" applyNumberFormat="1" applyFont="1" applyBorder="1"/>
    <xf numFmtId="165" fontId="13" fillId="0" borderId="0" xfId="0" applyNumberFormat="1" applyFont="1"/>
    <xf numFmtId="179" fontId="14" fillId="4" borderId="18" xfId="0" applyNumberFormat="1" applyFont="1" applyFill="1" applyBorder="1" applyAlignment="1">
      <alignment horizontal="center" vertical="center" wrapText="1"/>
    </xf>
    <xf numFmtId="179" fontId="14" fillId="4" borderId="13" xfId="0" applyNumberFormat="1" applyFont="1" applyFill="1" applyBorder="1" applyAlignment="1">
      <alignment horizontal="center" vertical="center" wrapText="1"/>
    </xf>
    <xf numFmtId="3" fontId="13" fillId="6" borderId="0" xfId="3" applyNumberFormat="1" applyFont="1" applyFill="1" applyProtection="1"/>
    <xf numFmtId="165" fontId="13" fillId="6" borderId="0" xfId="3" applyNumberFormat="1" applyFont="1" applyFill="1" applyProtection="1"/>
    <xf numFmtId="39" fontId="14" fillId="4" borderId="18" xfId="0" applyNumberFormat="1" applyFont="1" applyFill="1" applyBorder="1" applyAlignment="1">
      <alignment horizontal="center" vertical="center" wrapText="1"/>
    </xf>
    <xf numFmtId="39" fontId="14" fillId="4" borderId="13" xfId="0" applyNumberFormat="1" applyFont="1" applyFill="1" applyBorder="1" applyAlignment="1">
      <alignment horizontal="center" vertical="center" wrapText="1"/>
    </xf>
    <xf numFmtId="39" fontId="13" fillId="0" borderId="0" xfId="0" applyNumberFormat="1" applyFont="1" applyAlignment="1">
      <alignment horizontal="center"/>
    </xf>
    <xf numFmtId="0" fontId="24" fillId="0" borderId="0" xfId="0" applyFont="1" applyAlignment="1">
      <alignment horizontal="centerContinuous"/>
    </xf>
    <xf numFmtId="0" fontId="24" fillId="0" borderId="0" xfId="0" applyFont="1" applyAlignment="1">
      <alignment horizontal="right"/>
    </xf>
    <xf numFmtId="0" fontId="24" fillId="6" borderId="0" xfId="0" applyFont="1" applyFill="1" applyAlignment="1">
      <alignment horizontal="right"/>
    </xf>
    <xf numFmtId="0" fontId="27" fillId="0" borderId="0" xfId="0" applyFont="1"/>
    <xf numFmtId="0" fontId="27" fillId="0" borderId="0" xfId="0" applyFont="1" applyAlignment="1">
      <alignment horizontal="right"/>
    </xf>
    <xf numFmtId="0" fontId="13" fillId="0" borderId="0" xfId="0" applyFont="1" applyAlignment="1">
      <alignment horizontal="center" vertical="justify"/>
    </xf>
    <xf numFmtId="0" fontId="14" fillId="0" borderId="0" xfId="0" applyFont="1" applyAlignment="1">
      <alignment horizontal="right" vertical="justify"/>
    </xf>
    <xf numFmtId="0" fontId="14" fillId="0" borderId="0" xfId="0" applyFont="1" applyAlignment="1">
      <alignment horizontal="center" vertical="justify"/>
    </xf>
    <xf numFmtId="39" fontId="13" fillId="0" borderId="0" xfId="0" applyNumberFormat="1" applyFont="1" applyAlignment="1">
      <alignment horizontal="right"/>
    </xf>
    <xf numFmtId="49" fontId="13" fillId="6" borderId="0" xfId="0" applyNumberFormat="1" applyFont="1" applyFill="1" applyAlignment="1">
      <alignment horizontal="right"/>
    </xf>
    <xf numFmtId="39" fontId="13" fillId="0" borderId="1" xfId="0" applyNumberFormat="1" applyFont="1" applyBorder="1" applyAlignment="1">
      <alignment horizontal="right"/>
    </xf>
    <xf numFmtId="0" fontId="24" fillId="0" borderId="11" xfId="0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0" fontId="2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centerContinuous"/>
    </xf>
    <xf numFmtId="15" fontId="24" fillId="6" borderId="0" xfId="0" applyNumberFormat="1" applyFont="1" applyFill="1" applyAlignment="1">
      <alignment horizontal="right"/>
    </xf>
    <xf numFmtId="1" fontId="24" fillId="6" borderId="0" xfId="19" applyNumberFormat="1" applyFont="1" applyFill="1" applyBorder="1" applyAlignment="1">
      <alignment horizontal="right"/>
    </xf>
    <xf numFmtId="9" fontId="24" fillId="6" borderId="0" xfId="19" applyFont="1" applyFill="1" applyBorder="1" applyAlignment="1">
      <alignment horizontal="right"/>
    </xf>
    <xf numFmtId="49" fontId="24" fillId="6" borderId="0" xfId="0" applyNumberFormat="1" applyFont="1" applyFill="1" applyAlignment="1">
      <alignment horizontal="right"/>
    </xf>
    <xf numFmtId="10" fontId="24" fillId="6" borderId="0" xfId="19" applyNumberFormat="1" applyFont="1" applyFill="1" applyBorder="1" applyAlignment="1">
      <alignment horizontal="right"/>
    </xf>
    <xf numFmtId="49" fontId="24" fillId="0" borderId="0" xfId="0" applyNumberFormat="1" applyFont="1" applyAlignment="1">
      <alignment horizontal="right"/>
    </xf>
    <xf numFmtId="9" fontId="24" fillId="0" borderId="0" xfId="19" applyFont="1" applyBorder="1" applyAlignment="1">
      <alignment horizontal="right"/>
    </xf>
    <xf numFmtId="10" fontId="24" fillId="0" borderId="0" xfId="19" applyNumberFormat="1" applyFont="1" applyBorder="1" applyAlignment="1">
      <alignment horizontal="right"/>
    </xf>
    <xf numFmtId="9" fontId="24" fillId="0" borderId="0" xfId="19" applyFont="1" applyBorder="1" applyAlignment="1">
      <alignment horizontal="center"/>
    </xf>
    <xf numFmtId="0" fontId="25" fillId="0" borderId="0" xfId="0" applyFont="1"/>
    <xf numFmtId="2" fontId="25" fillId="0" borderId="0" xfId="0" applyNumberFormat="1" applyFont="1"/>
    <xf numFmtId="2" fontId="24" fillId="0" borderId="0" xfId="0" applyNumberFormat="1" applyFont="1"/>
    <xf numFmtId="39" fontId="24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/>
    </xf>
    <xf numFmtId="39" fontId="24" fillId="0" borderId="0" xfId="0" applyNumberFormat="1" applyFont="1"/>
    <xf numFmtId="0" fontId="24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4" fillId="6" borderId="0" xfId="0" applyNumberFormat="1" applyFont="1" applyFill="1" applyAlignment="1">
      <alignment horizontal="right"/>
    </xf>
    <xf numFmtId="4" fontId="24" fillId="6" borderId="0" xfId="0" applyNumberFormat="1" applyFont="1" applyFill="1" applyAlignment="1">
      <alignment horizontal="right"/>
    </xf>
    <xf numFmtId="39" fontId="24" fillId="6" borderId="0" xfId="0" applyNumberFormat="1" applyFont="1" applyFill="1" applyAlignment="1">
      <alignment horizontal="right"/>
    </xf>
    <xf numFmtId="0" fontId="25" fillId="4" borderId="18" xfId="0" applyFont="1" applyFill="1" applyBorder="1" applyAlignment="1">
      <alignment horizontal="center" vertical="center"/>
    </xf>
    <xf numFmtId="2" fontId="25" fillId="4" borderId="18" xfId="0" applyNumberFormat="1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4" fontId="13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4" fillId="4" borderId="23" xfId="0" applyFont="1" applyFill="1" applyBorder="1" applyAlignment="1">
      <alignment horizontal="centerContinuous"/>
    </xf>
    <xf numFmtId="2" fontId="14" fillId="4" borderId="23" xfId="0" applyNumberFormat="1" applyFont="1" applyFill="1" applyBorder="1" applyAlignment="1">
      <alignment horizontal="centerContinuous"/>
    </xf>
    <xf numFmtId="0" fontId="14" fillId="4" borderId="23" xfId="0" applyFont="1" applyFill="1" applyBorder="1" applyAlignment="1">
      <alignment horizontal="left"/>
    </xf>
    <xf numFmtId="0" fontId="14" fillId="4" borderId="23" xfId="0" applyFont="1" applyFill="1" applyBorder="1"/>
    <xf numFmtId="0" fontId="14" fillId="4" borderId="24" xfId="0" applyFont="1" applyFill="1" applyBorder="1" applyAlignment="1">
      <alignment horizontal="centerContinuous"/>
    </xf>
    <xf numFmtId="0" fontId="14" fillId="4" borderId="25" xfId="0" applyFont="1" applyFill="1" applyBorder="1"/>
    <xf numFmtId="0" fontId="14" fillId="4" borderId="25" xfId="0" applyFont="1" applyFill="1" applyBorder="1" applyAlignment="1">
      <alignment horizontal="center"/>
    </xf>
    <xf numFmtId="2" fontId="14" fillId="4" borderId="25" xfId="0" applyNumberFormat="1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 vertical="center"/>
    </xf>
    <xf numFmtId="0" fontId="27" fillId="0" borderId="0" xfId="0" applyFont="1" applyAlignment="1">
      <alignment wrapText="1"/>
    </xf>
    <xf numFmtId="0" fontId="25" fillId="0" borderId="0" xfId="0" applyFont="1" applyAlignment="1">
      <alignment horizontal="right"/>
    </xf>
    <xf numFmtId="0" fontId="28" fillId="8" borderId="0" xfId="0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169" fontId="28" fillId="8" borderId="0" xfId="0" applyNumberFormat="1" applyFont="1" applyFill="1" applyAlignment="1">
      <alignment horizontal="left"/>
    </xf>
    <xf numFmtId="0" fontId="14" fillId="4" borderId="21" xfId="0" applyFont="1" applyFill="1" applyBorder="1" applyAlignment="1">
      <alignment horizontal="center" vertical="center" wrapText="1"/>
    </xf>
    <xf numFmtId="169" fontId="14" fillId="4" borderId="22" xfId="0" applyNumberFormat="1" applyFont="1" applyFill="1" applyBorder="1" applyAlignment="1">
      <alignment horizontal="center" vertical="center" wrapText="1"/>
    </xf>
    <xf numFmtId="169" fontId="14" fillId="4" borderId="20" xfId="0" applyNumberFormat="1" applyFont="1" applyFill="1" applyBorder="1" applyAlignment="1">
      <alignment horizontal="center" vertical="center" wrapText="1"/>
    </xf>
    <xf numFmtId="169" fontId="14" fillId="4" borderId="19" xfId="0" applyNumberFormat="1" applyFont="1" applyFill="1" applyBorder="1" applyAlignment="1">
      <alignment horizontal="center" vertical="center" wrapText="1"/>
    </xf>
    <xf numFmtId="169" fontId="14" fillId="4" borderId="21" xfId="0" applyNumberFormat="1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29" fillId="8" borderId="0" xfId="0" applyFont="1" applyFill="1" applyAlignment="1">
      <alignment horizontal="left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12" fillId="6" borderId="0" xfId="2" applyFill="1" applyAlignment="1" applyProtection="1"/>
    <xf numFmtId="0" fontId="12" fillId="2" borderId="0" xfId="2" applyFill="1" applyAlignment="1" applyProtection="1"/>
    <xf numFmtId="0" fontId="14" fillId="2" borderId="0" xfId="8" applyFont="1" applyFill="1" applyAlignment="1">
      <alignment horizontal="left"/>
    </xf>
    <xf numFmtId="0" fontId="30" fillId="2" borderId="0" xfId="2" applyFont="1" applyFill="1" applyAlignment="1" applyProtection="1"/>
    <xf numFmtId="0" fontId="22" fillId="0" borderId="0" xfId="2" applyFont="1" applyFill="1" applyBorder="1" applyAlignment="1" applyProtection="1"/>
    <xf numFmtId="0" fontId="13" fillId="2" borderId="0" xfId="8" applyFont="1" applyFill="1" applyAlignment="1">
      <alignment horizontal="left"/>
    </xf>
    <xf numFmtId="168" fontId="13" fillId="2" borderId="0" xfId="5" applyNumberFormat="1" applyFont="1" applyFill="1"/>
    <xf numFmtId="49" fontId="14" fillId="4" borderId="18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/>
    </xf>
    <xf numFmtId="2" fontId="13" fillId="0" borderId="1" xfId="0" applyNumberFormat="1" applyFont="1" applyBorder="1"/>
    <xf numFmtId="37" fontId="13" fillId="0" borderId="0" xfId="0" quotePrefix="1" applyNumberFormat="1" applyFont="1"/>
    <xf numFmtId="0" fontId="27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right"/>
    </xf>
    <xf numFmtId="9" fontId="24" fillId="0" borderId="3" xfId="19" applyFont="1" applyBorder="1" applyAlignment="1">
      <alignment horizontal="right"/>
    </xf>
    <xf numFmtId="10" fontId="24" fillId="0" borderId="3" xfId="19" applyNumberFormat="1" applyFont="1" applyBorder="1" applyAlignment="1">
      <alignment horizontal="right"/>
    </xf>
    <xf numFmtId="49" fontId="24" fillId="0" borderId="3" xfId="0" applyNumberFormat="1" applyFont="1" applyBorder="1" applyAlignment="1">
      <alignment horizontal="right"/>
    </xf>
    <xf numFmtId="2" fontId="13" fillId="0" borderId="1" xfId="0" applyNumberFormat="1" applyFont="1" applyBorder="1" applyAlignment="1">
      <alignment horizontal="right"/>
    </xf>
    <xf numFmtId="39" fontId="24" fillId="0" borderId="1" xfId="0" applyNumberFormat="1" applyFont="1" applyBorder="1"/>
    <xf numFmtId="0" fontId="24" fillId="0" borderId="1" xfId="0" applyFont="1" applyBorder="1"/>
    <xf numFmtId="2" fontId="24" fillId="0" borderId="1" xfId="0" applyNumberFormat="1" applyFont="1" applyBorder="1"/>
    <xf numFmtId="39" fontId="24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174" fontId="25" fillId="0" borderId="0" xfId="12" applyNumberFormat="1" applyFont="1" applyAlignment="1">
      <alignment horizontal="left"/>
    </xf>
    <xf numFmtId="169" fontId="24" fillId="0" borderId="0" xfId="12" applyNumberFormat="1" applyFont="1" applyAlignment="1">
      <alignment horizontal="centerContinuous"/>
    </xf>
    <xf numFmtId="169" fontId="25" fillId="0" borderId="0" xfId="12" applyNumberFormat="1" applyFont="1" applyAlignment="1">
      <alignment horizontal="left"/>
    </xf>
    <xf numFmtId="169" fontId="25" fillId="0" borderId="0" xfId="12" applyNumberFormat="1" applyFont="1" applyAlignment="1">
      <alignment horizontal="centerContinuous"/>
    </xf>
    <xf numFmtId="169" fontId="24" fillId="0" borderId="0" xfId="12" applyNumberFormat="1" applyFont="1"/>
    <xf numFmtId="169" fontId="25" fillId="0" borderId="4" xfId="12" applyNumberFormat="1" applyFont="1" applyBorder="1"/>
    <xf numFmtId="169" fontId="25" fillId="0" borderId="0" xfId="12" quotePrefix="1" applyNumberFormat="1" applyFont="1" applyAlignment="1">
      <alignment horizontal="center"/>
    </xf>
    <xf numFmtId="169" fontId="24" fillId="0" borderId="4" xfId="12" applyNumberFormat="1" applyFont="1" applyBorder="1"/>
    <xf numFmtId="3" fontId="24" fillId="0" borderId="0" xfId="12" applyNumberFormat="1" applyFont="1"/>
    <xf numFmtId="3" fontId="25" fillId="0" borderId="0" xfId="12" applyNumberFormat="1" applyFont="1"/>
    <xf numFmtId="37" fontId="24" fillId="0" borderId="0" xfId="12" applyNumberFormat="1" applyFont="1"/>
    <xf numFmtId="169" fontId="25" fillId="0" borderId="0" xfId="12" applyNumberFormat="1" applyFont="1"/>
    <xf numFmtId="169" fontId="25" fillId="0" borderId="3" xfId="12" applyNumberFormat="1" applyFont="1" applyBorder="1" applyAlignment="1">
      <alignment horizontal="left"/>
    </xf>
    <xf numFmtId="3" fontId="24" fillId="0" borderId="3" xfId="12" applyNumberFormat="1" applyFont="1" applyBorder="1"/>
    <xf numFmtId="169" fontId="25" fillId="0" borderId="0" xfId="12" applyNumberFormat="1" applyFont="1" applyAlignment="1">
      <alignment horizontal="center"/>
    </xf>
    <xf numFmtId="3" fontId="25" fillId="0" borderId="0" xfId="18" applyNumberFormat="1" applyFont="1"/>
    <xf numFmtId="37" fontId="25" fillId="0" borderId="0" xfId="12" applyNumberFormat="1" applyFont="1"/>
    <xf numFmtId="174" fontId="24" fillId="0" borderId="0" xfId="12" applyNumberFormat="1" applyFont="1"/>
    <xf numFmtId="37" fontId="24" fillId="0" borderId="0" xfId="12" applyNumberFormat="1" applyFont="1" applyAlignment="1">
      <alignment horizontal="center"/>
    </xf>
    <xf numFmtId="37" fontId="24" fillId="0" borderId="0" xfId="12" applyNumberFormat="1" applyFont="1" applyAlignment="1">
      <alignment horizontal="right"/>
    </xf>
    <xf numFmtId="37" fontId="24" fillId="0" borderId="4" xfId="12" applyNumberFormat="1" applyFont="1" applyBorder="1"/>
    <xf numFmtId="169" fontId="25" fillId="0" borderId="1" xfId="12" applyNumberFormat="1" applyFont="1" applyBorder="1"/>
    <xf numFmtId="37" fontId="25" fillId="0" borderId="4" xfId="12" applyNumberFormat="1" applyFont="1" applyBorder="1"/>
    <xf numFmtId="169" fontId="25" fillId="4" borderId="14" xfId="12" applyNumberFormat="1" applyFont="1" applyFill="1" applyBorder="1" applyAlignment="1">
      <alignment horizontal="left"/>
    </xf>
    <xf numFmtId="169" fontId="25" fillId="4" borderId="10" xfId="12" quotePrefix="1" applyNumberFormat="1" applyFont="1" applyFill="1" applyBorder="1" applyAlignment="1">
      <alignment horizontal="center"/>
    </xf>
    <xf numFmtId="169" fontId="25" fillId="4" borderId="11" xfId="12" quotePrefix="1" applyNumberFormat="1" applyFont="1" applyFill="1" applyBorder="1" applyAlignment="1">
      <alignment horizontal="center"/>
    </xf>
    <xf numFmtId="169" fontId="25" fillId="4" borderId="14" xfId="12" applyNumberFormat="1" applyFont="1" applyFill="1" applyBorder="1" applyAlignment="1">
      <alignment horizontal="left" vertical="center"/>
    </xf>
    <xf numFmtId="169" fontId="25" fillId="4" borderId="10" xfId="12" quotePrefix="1" applyNumberFormat="1" applyFont="1" applyFill="1" applyBorder="1" applyAlignment="1">
      <alignment horizontal="center" vertical="center"/>
    </xf>
    <xf numFmtId="169" fontId="25" fillId="4" borderId="11" xfId="12" quotePrefix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169" fontId="25" fillId="6" borderId="0" xfId="12" applyNumberFormat="1" applyFont="1" applyFill="1" applyAlignment="1">
      <alignment horizontal="left"/>
    </xf>
    <xf numFmtId="2" fontId="25" fillId="6" borderId="0" xfId="12" quotePrefix="1" applyNumberFormat="1" applyFont="1" applyFill="1" applyAlignment="1">
      <alignment horizontal="center"/>
    </xf>
    <xf numFmtId="169" fontId="25" fillId="6" borderId="0" xfId="12" quotePrefix="1" applyNumberFormat="1" applyFont="1" applyFill="1" applyAlignment="1">
      <alignment horizontal="center"/>
    </xf>
    <xf numFmtId="169" fontId="24" fillId="6" borderId="0" xfId="12" applyNumberFormat="1" applyFont="1" applyFill="1"/>
    <xf numFmtId="169" fontId="24" fillId="6" borderId="0" xfId="12" applyNumberFormat="1" applyFont="1" applyFill="1" applyAlignment="1">
      <alignment horizontal="left"/>
    </xf>
    <xf numFmtId="3" fontId="24" fillId="6" borderId="0" xfId="12" applyNumberFormat="1" applyFont="1" applyFill="1"/>
    <xf numFmtId="3" fontId="25" fillId="6" borderId="0" xfId="12" applyNumberFormat="1" applyFont="1" applyFill="1"/>
    <xf numFmtId="37" fontId="24" fillId="6" borderId="0" xfId="12" applyNumberFormat="1" applyFont="1" applyFill="1"/>
    <xf numFmtId="169" fontId="25" fillId="6" borderId="0" xfId="12" applyNumberFormat="1" applyFont="1" applyFill="1"/>
    <xf numFmtId="169" fontId="25" fillId="0" borderId="1" xfId="12" applyNumberFormat="1" applyFont="1" applyBorder="1" applyAlignment="1">
      <alignment horizontal="left"/>
    </xf>
    <xf numFmtId="3" fontId="24" fillId="0" borderId="1" xfId="12" applyNumberFormat="1" applyFont="1" applyBorder="1"/>
    <xf numFmtId="169" fontId="24" fillId="0" borderId="1" xfId="12" applyNumberFormat="1" applyFont="1" applyBorder="1"/>
    <xf numFmtId="169" fontId="28" fillId="8" borderId="0" xfId="12" applyNumberFormat="1" applyFont="1" applyFill="1" applyAlignment="1">
      <alignment horizontal="left"/>
    </xf>
    <xf numFmtId="169" fontId="29" fillId="8" borderId="0" xfId="12" applyNumberFormat="1" applyFont="1" applyFill="1" applyAlignment="1">
      <alignment horizontal="left"/>
    </xf>
    <xf numFmtId="174" fontId="28" fillId="0" borderId="0" xfId="12" applyNumberFormat="1" applyFont="1" applyAlignment="1">
      <alignment horizontal="left"/>
    </xf>
    <xf numFmtId="169" fontId="29" fillId="0" borderId="0" xfId="12" applyNumberFormat="1" applyFont="1" applyAlignment="1">
      <alignment horizontal="left"/>
    </xf>
    <xf numFmtId="3" fontId="25" fillId="6" borderId="0" xfId="18" applyNumberFormat="1" applyFont="1" applyFill="1"/>
    <xf numFmtId="3" fontId="24" fillId="6" borderId="0" xfId="12" applyNumberFormat="1" applyFont="1" applyFill="1" applyAlignment="1">
      <alignment horizontal="right"/>
    </xf>
    <xf numFmtId="3" fontId="25" fillId="6" borderId="0" xfId="12" applyNumberFormat="1" applyFont="1" applyFill="1" applyAlignment="1">
      <alignment horizontal="right"/>
    </xf>
    <xf numFmtId="37" fontId="25" fillId="6" borderId="0" xfId="12" applyNumberFormat="1" applyFont="1" applyFill="1"/>
    <xf numFmtId="37" fontId="24" fillId="6" borderId="0" xfId="12" applyNumberFormat="1" applyFont="1" applyFill="1" applyAlignment="1">
      <alignment horizontal="right"/>
    </xf>
    <xf numFmtId="37" fontId="25" fillId="6" borderId="0" xfId="12" applyNumberFormat="1" applyFont="1" applyFill="1" applyAlignment="1">
      <alignment horizontal="right"/>
    </xf>
    <xf numFmtId="169" fontId="25" fillId="4" borderId="10" xfId="12" applyNumberFormat="1" applyFont="1" applyFill="1" applyBorder="1" applyAlignment="1">
      <alignment horizontal="center"/>
    </xf>
    <xf numFmtId="169" fontId="25" fillId="4" borderId="11" xfId="12" applyNumberFormat="1" applyFont="1" applyFill="1" applyBorder="1" applyAlignment="1">
      <alignment horizontal="center"/>
    </xf>
    <xf numFmtId="174" fontId="24" fillId="6" borderId="0" xfId="12" applyNumberFormat="1" applyFont="1" applyFill="1"/>
    <xf numFmtId="37" fontId="24" fillId="6" borderId="0" xfId="12" applyNumberFormat="1" applyFont="1" applyFill="1" applyAlignment="1">
      <alignment horizontal="center"/>
    </xf>
    <xf numFmtId="4" fontId="15" fillId="0" borderId="0" xfId="9" applyNumberFormat="1" applyFont="1"/>
    <xf numFmtId="184" fontId="16" fillId="6" borderId="0" xfId="3" applyNumberFormat="1" applyFont="1" applyFill="1" applyAlignment="1">
      <alignment horizontal="right"/>
    </xf>
    <xf numFmtId="184" fontId="15" fillId="6" borderId="0" xfId="3" applyNumberFormat="1" applyFont="1" applyFill="1" applyAlignment="1">
      <alignment horizontal="right"/>
    </xf>
    <xf numFmtId="184" fontId="15" fillId="0" borderId="0" xfId="3" applyNumberFormat="1" applyFont="1" applyFill="1" applyAlignment="1">
      <alignment horizontal="right"/>
    </xf>
    <xf numFmtId="0" fontId="28" fillId="8" borderId="0" xfId="11" applyFont="1" applyFill="1"/>
    <xf numFmtId="169" fontId="28" fillId="8" borderId="0" xfId="15" applyNumberFormat="1" applyFont="1" applyFill="1" applyAlignment="1">
      <alignment horizontal="left" vertical="top"/>
    </xf>
    <xf numFmtId="0" fontId="14" fillId="4" borderId="0" xfId="5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8" fillId="8" borderId="0" xfId="0" applyFont="1" applyFill="1" applyAlignment="1">
      <alignment horizontal="left"/>
    </xf>
    <xf numFmtId="0" fontId="29" fillId="8" borderId="0" xfId="0" applyFont="1" applyFill="1" applyAlignment="1">
      <alignment horizontal="left"/>
    </xf>
    <xf numFmtId="0" fontId="16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/>
    </xf>
    <xf numFmtId="0" fontId="27" fillId="4" borderId="20" xfId="0" applyFont="1" applyFill="1" applyBorder="1" applyAlignment="1">
      <alignment horizontal="center"/>
    </xf>
    <xf numFmtId="0" fontId="27" fillId="4" borderId="2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 vertical="center"/>
    </xf>
    <xf numFmtId="0" fontId="27" fillId="4" borderId="14" xfId="0" applyFont="1" applyFill="1" applyBorder="1" applyAlignment="1">
      <alignment vertical="center"/>
    </xf>
    <xf numFmtId="0" fontId="28" fillId="8" borderId="0" xfId="4" applyFont="1" applyFill="1" applyAlignment="1">
      <alignment horizontal="left"/>
    </xf>
    <xf numFmtId="0" fontId="14" fillId="4" borderId="21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4" fillId="4" borderId="22" xfId="11" applyFont="1" applyFill="1" applyBorder="1" applyAlignment="1">
      <alignment horizontal="center" vertical="center"/>
    </xf>
    <xf numFmtId="0" fontId="27" fillId="4" borderId="20" xfId="0" applyFont="1" applyFill="1" applyBorder="1"/>
    <xf numFmtId="0" fontId="27" fillId="4" borderId="12" xfId="0" applyFont="1" applyFill="1" applyBorder="1"/>
    <xf numFmtId="0" fontId="27" fillId="4" borderId="18" xfId="0" applyFont="1" applyFill="1" applyBorder="1"/>
    <xf numFmtId="0" fontId="14" fillId="4" borderId="20" xfId="11" applyFont="1" applyFill="1" applyBorder="1" applyAlignment="1">
      <alignment horizontal="center"/>
    </xf>
    <xf numFmtId="0" fontId="14" fillId="4" borderId="21" xfId="11" applyFont="1" applyFill="1" applyBorder="1" applyAlignment="1">
      <alignment horizontal="center"/>
    </xf>
    <xf numFmtId="0" fontId="14" fillId="4" borderId="22" xfId="11" applyFont="1" applyFill="1" applyBorder="1" applyAlignment="1">
      <alignment horizontal="center"/>
    </xf>
    <xf numFmtId="169" fontId="14" fillId="4" borderId="22" xfId="17" applyNumberFormat="1" applyFont="1" applyFill="1" applyBorder="1" applyAlignment="1">
      <alignment horizontal="center" vertical="center"/>
    </xf>
    <xf numFmtId="169" fontId="14" fillId="4" borderId="20" xfId="17" applyNumberFormat="1" applyFont="1" applyFill="1" applyBorder="1" applyAlignment="1">
      <alignment horizontal="center" vertical="center"/>
    </xf>
    <xf numFmtId="169" fontId="14" fillId="4" borderId="21" xfId="17" applyNumberFormat="1" applyFont="1" applyFill="1" applyBorder="1" applyAlignment="1">
      <alignment horizontal="center" vertical="center"/>
    </xf>
    <xf numFmtId="0" fontId="14" fillId="4" borderId="28" xfId="11" applyFont="1" applyFill="1" applyBorder="1" applyAlignment="1">
      <alignment horizontal="center" vertical="center"/>
    </xf>
    <xf numFmtId="0" fontId="14" fillId="4" borderId="21" xfId="11" applyFont="1" applyFill="1" applyBorder="1" applyAlignment="1">
      <alignment horizontal="center" vertical="center"/>
    </xf>
    <xf numFmtId="0" fontId="14" fillId="4" borderId="28" xfId="11" applyFont="1" applyFill="1" applyBorder="1" applyAlignment="1">
      <alignment horizontal="center" wrapText="1"/>
    </xf>
    <xf numFmtId="0" fontId="14" fillId="4" borderId="22" xfId="11" applyFont="1" applyFill="1" applyBorder="1" applyAlignment="1">
      <alignment horizontal="center" wrapText="1"/>
    </xf>
    <xf numFmtId="0" fontId="14" fillId="4" borderId="20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11" fillId="8" borderId="0" xfId="0" applyFont="1" applyFill="1" applyAlignment="1">
      <alignment horizontal="left"/>
    </xf>
    <xf numFmtId="0" fontId="14" fillId="4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31" fillId="4" borderId="19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3" fontId="14" fillId="4" borderId="20" xfId="0" applyNumberFormat="1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169" fontId="14" fillId="4" borderId="19" xfId="0" applyNumberFormat="1" applyFont="1" applyFill="1" applyBorder="1" applyAlignment="1">
      <alignment horizontal="center" wrapText="1"/>
    </xf>
    <xf numFmtId="169" fontId="14" fillId="4" borderId="30" xfId="0" applyNumberFormat="1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169" fontId="14" fillId="4" borderId="13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75" fontId="28" fillId="8" borderId="0" xfId="0" applyNumberFormat="1" applyFont="1" applyFill="1" applyAlignment="1">
      <alignment horizontal="left"/>
    </xf>
    <xf numFmtId="169" fontId="28" fillId="8" borderId="0" xfId="0" applyNumberFormat="1" applyFont="1" applyFill="1" applyAlignment="1">
      <alignment horizontal="left"/>
    </xf>
    <xf numFmtId="0" fontId="27" fillId="4" borderId="14" xfId="0" applyFont="1" applyFill="1" applyBorder="1" applyAlignment="1">
      <alignment horizontal="center" vertical="center" wrapText="1"/>
    </xf>
    <xf numFmtId="0" fontId="14" fillId="4" borderId="29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wrapText="1"/>
    </xf>
    <xf numFmtId="0" fontId="27" fillId="4" borderId="18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31" fillId="4" borderId="18" xfId="0" applyFont="1" applyFill="1" applyBorder="1" applyAlignment="1">
      <alignment vertical="center" wrapText="1"/>
    </xf>
    <xf numFmtId="0" fontId="31" fillId="4" borderId="14" xfId="0" applyFont="1" applyFill="1" applyBorder="1" applyAlignment="1">
      <alignment horizontal="center" wrapText="1"/>
    </xf>
    <xf numFmtId="0" fontId="31" fillId="4" borderId="19" xfId="0" applyFont="1" applyFill="1" applyBorder="1" applyAlignment="1">
      <alignment wrapText="1"/>
    </xf>
    <xf numFmtId="0" fontId="31" fillId="4" borderId="18" xfId="0" applyFont="1" applyFill="1" applyBorder="1" applyAlignment="1">
      <alignment wrapText="1"/>
    </xf>
    <xf numFmtId="0" fontId="31" fillId="4" borderId="20" xfId="0" applyFont="1" applyFill="1" applyBorder="1" applyAlignment="1">
      <alignment wrapText="1"/>
    </xf>
    <xf numFmtId="0" fontId="31" fillId="4" borderId="21" xfId="0" applyFont="1" applyFill="1" applyBorder="1" applyAlignment="1">
      <alignment wrapText="1"/>
    </xf>
    <xf numFmtId="0" fontId="31" fillId="4" borderId="19" xfId="0" applyFont="1" applyFill="1" applyBorder="1" applyAlignment="1">
      <alignment horizontal="center" wrapText="1"/>
    </xf>
    <xf numFmtId="0" fontId="31" fillId="4" borderId="13" xfId="0" applyFont="1" applyFill="1" applyBorder="1" applyAlignment="1">
      <alignment wrapText="1"/>
    </xf>
    <xf numFmtId="174" fontId="28" fillId="8" borderId="0" xfId="12" applyNumberFormat="1" applyFont="1" applyFill="1" applyAlignment="1">
      <alignment horizontal="left"/>
    </xf>
    <xf numFmtId="0" fontId="11" fillId="8" borderId="0" xfId="0" applyFont="1" applyFill="1"/>
    <xf numFmtId="169" fontId="28" fillId="8" borderId="0" xfId="12" applyNumberFormat="1" applyFont="1" applyFill="1" applyAlignment="1">
      <alignment horizontal="left"/>
    </xf>
    <xf numFmtId="174" fontId="28" fillId="9" borderId="0" xfId="12" applyNumberFormat="1" applyFont="1" applyFill="1" applyAlignment="1">
      <alignment horizontal="left"/>
    </xf>
    <xf numFmtId="0" fontId="11" fillId="9" borderId="0" xfId="0" applyFont="1" applyFill="1"/>
    <xf numFmtId="169" fontId="28" fillId="9" borderId="0" xfId="12" applyNumberFormat="1" applyFont="1" applyFill="1" applyAlignment="1">
      <alignment horizontal="left"/>
    </xf>
    <xf numFmtId="0" fontId="14" fillId="4" borderId="10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37" fontId="28" fillId="8" borderId="0" xfId="13" applyNumberFormat="1" applyFont="1" applyFill="1" applyAlignment="1">
      <alignment horizontal="left"/>
    </xf>
    <xf numFmtId="169" fontId="14" fillId="4" borderId="22" xfId="0" applyNumberFormat="1" applyFont="1" applyFill="1" applyBorder="1" applyAlignment="1">
      <alignment horizontal="center" vertical="center" wrapText="1"/>
    </xf>
    <xf numFmtId="169" fontId="14" fillId="4" borderId="20" xfId="0" applyNumberFormat="1" applyFont="1" applyFill="1" applyBorder="1" applyAlignment="1">
      <alignment horizontal="center" vertical="center" wrapText="1"/>
    </xf>
    <xf numFmtId="169" fontId="14" fillId="4" borderId="19" xfId="0" applyNumberFormat="1" applyFont="1" applyFill="1" applyBorder="1" applyAlignment="1">
      <alignment horizontal="center" vertical="center" wrapText="1"/>
    </xf>
    <xf numFmtId="169" fontId="14" fillId="4" borderId="21" xfId="0" applyNumberFormat="1" applyFont="1" applyFill="1" applyBorder="1" applyAlignment="1">
      <alignment horizontal="center" vertical="center" wrapText="1"/>
    </xf>
    <xf numFmtId="169" fontId="14" fillId="4" borderId="29" xfId="0" applyNumberFormat="1" applyFont="1" applyFill="1" applyBorder="1" applyAlignment="1">
      <alignment horizontal="center" vertical="center" wrapText="1"/>
    </xf>
    <xf numFmtId="169" fontId="28" fillId="8" borderId="0" xfId="0" applyNumberFormat="1" applyFont="1" applyFill="1" applyAlignment="1">
      <alignment horizontal="left" vertical="center"/>
    </xf>
    <xf numFmtId="0" fontId="29" fillId="8" borderId="0" xfId="0" applyFont="1" applyFill="1" applyAlignment="1">
      <alignment horizontal="left" vertical="center"/>
    </xf>
    <xf numFmtId="169" fontId="14" fillId="4" borderId="10" xfId="0" applyNumberFormat="1" applyFont="1" applyFill="1" applyBorder="1" applyAlignment="1">
      <alignment horizontal="center" vertical="center" wrapText="1"/>
    </xf>
    <xf numFmtId="0" fontId="27" fillId="4" borderId="30" xfId="0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center" vertical="center" wrapText="1"/>
    </xf>
    <xf numFmtId="169" fontId="16" fillId="4" borderId="20" xfId="0" applyNumberFormat="1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169" fontId="16" fillId="4" borderId="21" xfId="0" applyNumberFormat="1" applyFont="1" applyFill="1" applyBorder="1" applyAlignment="1">
      <alignment horizontal="center" vertical="center" wrapText="1"/>
    </xf>
    <xf numFmtId="169" fontId="16" fillId="4" borderId="14" xfId="0" applyNumberFormat="1" applyFont="1" applyFill="1" applyBorder="1" applyAlignment="1">
      <alignment horizontal="center" vertical="center" wrapText="1"/>
    </xf>
    <xf numFmtId="169" fontId="16" fillId="5" borderId="10" xfId="0" applyNumberFormat="1" applyFont="1" applyFill="1" applyBorder="1" applyAlignment="1">
      <alignment horizontal="center" vertical="center"/>
    </xf>
    <xf numFmtId="169" fontId="16" fillId="5" borderId="11" xfId="0" applyNumberFormat="1" applyFont="1" applyFill="1" applyBorder="1" applyAlignment="1">
      <alignment horizontal="center" vertical="center"/>
    </xf>
    <xf numFmtId="169" fontId="16" fillId="4" borderId="19" xfId="0" applyNumberFormat="1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10" fontId="16" fillId="5" borderId="10" xfId="0" applyNumberFormat="1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179" fontId="14" fillId="4" borderId="19" xfId="0" applyNumberFormat="1" applyFont="1" applyFill="1" applyBorder="1" applyAlignment="1">
      <alignment horizontal="center"/>
    </xf>
    <xf numFmtId="0" fontId="27" fillId="4" borderId="19" xfId="0" applyFont="1" applyFill="1" applyBorder="1" applyAlignment="1">
      <alignment horizontal="center"/>
    </xf>
    <xf numFmtId="0" fontId="27" fillId="4" borderId="29" xfId="0" applyFont="1" applyFill="1" applyBorder="1" applyAlignment="1">
      <alignment horizontal="center"/>
    </xf>
    <xf numFmtId="179" fontId="14" fillId="4" borderId="19" xfId="0" applyNumberFormat="1" applyFont="1" applyFill="1" applyBorder="1" applyAlignment="1">
      <alignment horizontal="center" vertical="center"/>
    </xf>
    <xf numFmtId="179" fontId="14" fillId="4" borderId="18" xfId="0" applyNumberFormat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179" fontId="14" fillId="4" borderId="20" xfId="0" applyNumberFormat="1" applyFont="1" applyFill="1" applyBorder="1" applyAlignment="1">
      <alignment horizontal="center" vertical="center" wrapText="1"/>
    </xf>
    <xf numFmtId="179" fontId="14" fillId="4" borderId="18" xfId="0" applyNumberFormat="1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4" borderId="0" xfId="0" applyFont="1" applyFill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5" fillId="4" borderId="10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vertical="center" wrapText="1"/>
    </xf>
    <xf numFmtId="0" fontId="27" fillId="4" borderId="11" xfId="0" applyFont="1" applyFill="1" applyBorder="1" applyAlignment="1">
      <alignment vertical="center" wrapText="1"/>
    </xf>
    <xf numFmtId="0" fontId="25" fillId="4" borderId="28" xfId="0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28" fillId="9" borderId="0" xfId="0" applyFont="1" applyFill="1" applyAlignment="1">
      <alignment horizontal="left"/>
    </xf>
    <xf numFmtId="0" fontId="29" fillId="9" borderId="0" xfId="0" applyFont="1" applyFill="1" applyAlignment="1">
      <alignment horizontal="left"/>
    </xf>
    <xf numFmtId="0" fontId="14" fillId="4" borderId="25" xfId="0" applyFont="1" applyFill="1" applyBorder="1" applyAlignment="1">
      <alignment horizontal="center" vertical="center" wrapText="1"/>
    </xf>
    <xf numFmtId="0" fontId="27" fillId="0" borderId="8" xfId="0" applyFont="1" applyBorder="1"/>
    <xf numFmtId="2" fontId="14" fillId="4" borderId="27" xfId="0" applyNumberFormat="1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vertical="center"/>
    </xf>
    <xf numFmtId="0" fontId="27" fillId="4" borderId="33" xfId="0" applyFont="1" applyFill="1" applyBorder="1" applyAlignment="1">
      <alignment vertical="center"/>
    </xf>
    <xf numFmtId="0" fontId="27" fillId="4" borderId="27" xfId="0" applyFont="1" applyFill="1" applyBorder="1" applyAlignment="1">
      <alignment vertical="center"/>
    </xf>
    <xf numFmtId="0" fontId="27" fillId="4" borderId="34" xfId="0" applyFont="1" applyFill="1" applyBorder="1" applyAlignment="1">
      <alignment vertical="center"/>
    </xf>
    <xf numFmtId="0" fontId="27" fillId="4" borderId="25" xfId="0" applyFont="1" applyFill="1" applyBorder="1" applyAlignment="1">
      <alignment vertical="center"/>
    </xf>
    <xf numFmtId="0" fontId="25" fillId="4" borderId="19" xfId="0" applyFont="1" applyFill="1" applyBorder="1" applyAlignment="1">
      <alignment horizontal="center" vertical="center" wrapText="1"/>
    </xf>
    <xf numFmtId="0" fontId="27" fillId="4" borderId="19" xfId="0" applyFont="1" applyFill="1" applyBorder="1" applyAlignment="1">
      <alignment horizontal="center" vertical="center" wrapText="1"/>
    </xf>
    <xf numFmtId="0" fontId="27" fillId="4" borderId="20" xfId="0" applyFont="1" applyFill="1" applyBorder="1" applyAlignment="1">
      <alignment horizontal="center" vertical="center" wrapText="1"/>
    </xf>
    <xf numFmtId="0" fontId="25" fillId="4" borderId="22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7" fillId="4" borderId="19" xfId="0" applyFont="1" applyFill="1" applyBorder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 wrapText="1"/>
    </xf>
  </cellXfs>
  <cellStyles count="219">
    <cellStyle name="20% - Accent1" xfId="37" builtinId="30" customBuiltin="1"/>
    <cellStyle name="20% - Accent2" xfId="41" builtinId="34" customBuiltin="1"/>
    <cellStyle name="20% - Accent3" xfId="45" builtinId="38" customBuiltin="1"/>
    <cellStyle name="20% - Accent4" xfId="49" builtinId="42" customBuiltin="1"/>
    <cellStyle name="20% - Accent5" xfId="53" builtinId="46" customBuiltin="1"/>
    <cellStyle name="20% - Accent6" xfId="57" builtinId="50" customBuiltin="1"/>
    <cellStyle name="20% - Énfasis1 2" xfId="61" xr:uid="{00000000-0005-0000-0000-000001000000}"/>
    <cellStyle name="20% - Énfasis1 3" xfId="62" xr:uid="{00000000-0005-0000-0000-000002000000}"/>
    <cellStyle name="20% - Énfasis1 4" xfId="63" xr:uid="{00000000-0005-0000-0000-000003000000}"/>
    <cellStyle name="20% - Énfasis2 2" xfId="64" xr:uid="{00000000-0005-0000-0000-000005000000}"/>
    <cellStyle name="20% - Énfasis2 3" xfId="65" xr:uid="{00000000-0005-0000-0000-000006000000}"/>
    <cellStyle name="20% - Énfasis2 4" xfId="66" xr:uid="{00000000-0005-0000-0000-000007000000}"/>
    <cellStyle name="20% - Énfasis3 2" xfId="67" xr:uid="{00000000-0005-0000-0000-000009000000}"/>
    <cellStyle name="20% - Énfasis3 3" xfId="68" xr:uid="{00000000-0005-0000-0000-00000A000000}"/>
    <cellStyle name="20% - Énfasis3 4" xfId="69" xr:uid="{00000000-0005-0000-0000-00000B000000}"/>
    <cellStyle name="20% - Énfasis4 2" xfId="70" xr:uid="{00000000-0005-0000-0000-00000D000000}"/>
    <cellStyle name="20% - Énfasis4 3" xfId="71" xr:uid="{00000000-0005-0000-0000-00000E000000}"/>
    <cellStyle name="20% - Énfasis4 4" xfId="72" xr:uid="{00000000-0005-0000-0000-00000F000000}"/>
    <cellStyle name="20% - Énfasis5 2" xfId="73" xr:uid="{00000000-0005-0000-0000-000011000000}"/>
    <cellStyle name="20% - Énfasis5 3" xfId="74" xr:uid="{00000000-0005-0000-0000-000012000000}"/>
    <cellStyle name="20% - Énfasis5 4" xfId="75" xr:uid="{00000000-0005-0000-0000-000013000000}"/>
    <cellStyle name="20% - Énfasis6 2" xfId="76" xr:uid="{00000000-0005-0000-0000-000015000000}"/>
    <cellStyle name="20% - Énfasis6 3" xfId="77" xr:uid="{00000000-0005-0000-0000-000016000000}"/>
    <cellStyle name="20% - Énfasis6 4" xfId="78" xr:uid="{00000000-0005-0000-0000-000017000000}"/>
    <cellStyle name="40% - Accent1" xfId="38" builtinId="31" customBuiltin="1"/>
    <cellStyle name="40% - Accent2" xfId="42" builtinId="35" customBuiltin="1"/>
    <cellStyle name="40% - Accent3" xfId="46" builtinId="39" customBuiltin="1"/>
    <cellStyle name="40% - Accent4" xfId="50" builtinId="43" customBuiltin="1"/>
    <cellStyle name="40% - Accent5" xfId="54" builtinId="47" customBuiltin="1"/>
    <cellStyle name="40% - Accent6" xfId="58" builtinId="51" customBuiltin="1"/>
    <cellStyle name="40% - Énfasis1 2" xfId="79" xr:uid="{00000000-0005-0000-0000-000019000000}"/>
    <cellStyle name="40% - Énfasis1 3" xfId="80" xr:uid="{00000000-0005-0000-0000-00001A000000}"/>
    <cellStyle name="40% - Énfasis1 4" xfId="81" xr:uid="{00000000-0005-0000-0000-00001B000000}"/>
    <cellStyle name="40% - Énfasis2 2" xfId="82" xr:uid="{00000000-0005-0000-0000-00001D000000}"/>
    <cellStyle name="40% - Énfasis2 3" xfId="83" xr:uid="{00000000-0005-0000-0000-00001E000000}"/>
    <cellStyle name="40% - Énfasis2 4" xfId="84" xr:uid="{00000000-0005-0000-0000-00001F000000}"/>
    <cellStyle name="40% - Énfasis3 2" xfId="85" xr:uid="{00000000-0005-0000-0000-000021000000}"/>
    <cellStyle name="40% - Énfasis3 3" xfId="86" xr:uid="{00000000-0005-0000-0000-000022000000}"/>
    <cellStyle name="40% - Énfasis3 4" xfId="87" xr:uid="{00000000-0005-0000-0000-000023000000}"/>
    <cellStyle name="40% - Énfasis4 2" xfId="88" xr:uid="{00000000-0005-0000-0000-000025000000}"/>
    <cellStyle name="40% - Énfasis4 3" xfId="89" xr:uid="{00000000-0005-0000-0000-000026000000}"/>
    <cellStyle name="40% - Énfasis4 4" xfId="90" xr:uid="{00000000-0005-0000-0000-000027000000}"/>
    <cellStyle name="40% - Énfasis5 2" xfId="91" xr:uid="{00000000-0005-0000-0000-000029000000}"/>
    <cellStyle name="40% - Énfasis5 3" xfId="92" xr:uid="{00000000-0005-0000-0000-00002A000000}"/>
    <cellStyle name="40% - Énfasis5 4" xfId="93" xr:uid="{00000000-0005-0000-0000-00002B000000}"/>
    <cellStyle name="40% - Énfasis6 2" xfId="94" xr:uid="{00000000-0005-0000-0000-00002D000000}"/>
    <cellStyle name="40% - Énfasis6 3" xfId="95" xr:uid="{00000000-0005-0000-0000-00002E000000}"/>
    <cellStyle name="40% - Énfasis6 4" xfId="96" xr:uid="{00000000-0005-0000-0000-00002F00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60% - Énfasis1 2" xfId="97" xr:uid="{00000000-0005-0000-0000-000031000000}"/>
    <cellStyle name="60% - Énfasis1 3" xfId="98" xr:uid="{00000000-0005-0000-0000-000032000000}"/>
    <cellStyle name="60% - Énfasis1 4" xfId="99" xr:uid="{00000000-0005-0000-0000-000033000000}"/>
    <cellStyle name="60% - Énfasis2 2" xfId="100" xr:uid="{00000000-0005-0000-0000-000035000000}"/>
    <cellStyle name="60% - Énfasis2 3" xfId="101" xr:uid="{00000000-0005-0000-0000-000036000000}"/>
    <cellStyle name="60% - Énfasis2 4" xfId="102" xr:uid="{00000000-0005-0000-0000-000037000000}"/>
    <cellStyle name="60% - Énfasis3 2" xfId="103" xr:uid="{00000000-0005-0000-0000-000039000000}"/>
    <cellStyle name="60% - Énfasis3 3" xfId="104" xr:uid="{00000000-0005-0000-0000-00003A000000}"/>
    <cellStyle name="60% - Énfasis3 4" xfId="105" xr:uid="{00000000-0005-0000-0000-00003B000000}"/>
    <cellStyle name="60% - Énfasis4 2" xfId="106" xr:uid="{00000000-0005-0000-0000-00003D000000}"/>
    <cellStyle name="60% - Énfasis4 3" xfId="107" xr:uid="{00000000-0005-0000-0000-00003E000000}"/>
    <cellStyle name="60% - Énfasis4 4" xfId="108" xr:uid="{00000000-0005-0000-0000-00003F000000}"/>
    <cellStyle name="60% - Énfasis5 2" xfId="109" xr:uid="{00000000-0005-0000-0000-000041000000}"/>
    <cellStyle name="60% - Énfasis5 3" xfId="110" xr:uid="{00000000-0005-0000-0000-000042000000}"/>
    <cellStyle name="60% - Énfasis5 4" xfId="111" xr:uid="{00000000-0005-0000-0000-000043000000}"/>
    <cellStyle name="60% - Énfasis6 2" xfId="112" xr:uid="{00000000-0005-0000-0000-000045000000}"/>
    <cellStyle name="60% - Énfasis6 3" xfId="113" xr:uid="{00000000-0005-0000-0000-000046000000}"/>
    <cellStyle name="60% - Énfasis6 4" xfId="114" xr:uid="{00000000-0005-0000-0000-000047000000}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ANCLAS,REZONES Y SUS PARTES,DE FUNDICION,DE HIERRO O DE ACERO" xfId="115" xr:uid="{00000000-0005-0000-0000-000048000000}"/>
    <cellStyle name="Bad" xfId="26" builtinId="27" customBuiltin="1"/>
    <cellStyle name="Buena 2" xfId="116" xr:uid="{00000000-0005-0000-0000-000049000000}"/>
    <cellStyle name="Buena 3" xfId="117" xr:uid="{00000000-0005-0000-0000-00004A000000}"/>
    <cellStyle name="Buena 4" xfId="118" xr:uid="{00000000-0005-0000-0000-00004B000000}"/>
    <cellStyle name="Calculation" xfId="30" builtinId="22" customBuiltin="1"/>
    <cellStyle name="Cálculo 2" xfId="119" xr:uid="{00000000-0005-0000-0000-00004E000000}"/>
    <cellStyle name="Cálculo 3" xfId="120" xr:uid="{00000000-0005-0000-0000-00004F000000}"/>
    <cellStyle name="Cálculo 4" xfId="121" xr:uid="{00000000-0005-0000-0000-000050000000}"/>
    <cellStyle name="Celda de comprobación 2" xfId="122" xr:uid="{00000000-0005-0000-0000-000052000000}"/>
    <cellStyle name="Celda de comprobación 3" xfId="123" xr:uid="{00000000-0005-0000-0000-000053000000}"/>
    <cellStyle name="Celda de comprobación 4" xfId="124" xr:uid="{00000000-0005-0000-0000-000054000000}"/>
    <cellStyle name="Celda vinculada 2" xfId="125" xr:uid="{00000000-0005-0000-0000-000056000000}"/>
    <cellStyle name="Celda vinculada 3" xfId="126" xr:uid="{00000000-0005-0000-0000-000057000000}"/>
    <cellStyle name="Celda vinculada 4" xfId="127" xr:uid="{00000000-0005-0000-0000-000058000000}"/>
    <cellStyle name="Check Cell" xfId="32" builtinId="23" customBuiltin="1"/>
    <cellStyle name="Comma" xfId="3" builtinId="3"/>
    <cellStyle name="Comma_10R&amp;monet" xfId="1" xr:uid="{00000000-0005-0000-0000-000059000000}"/>
    <cellStyle name="Encabezado 4 2" xfId="128" xr:uid="{00000000-0005-0000-0000-00005C000000}"/>
    <cellStyle name="Encabezado 4 3" xfId="129" xr:uid="{00000000-0005-0000-0000-00005D000000}"/>
    <cellStyle name="Encabezado 4 4" xfId="130" xr:uid="{00000000-0005-0000-0000-00005E000000}"/>
    <cellStyle name="Énfasis1 2" xfId="131" xr:uid="{00000000-0005-0000-0000-000060000000}"/>
    <cellStyle name="Énfasis1 3" xfId="132" xr:uid="{00000000-0005-0000-0000-000061000000}"/>
    <cellStyle name="Énfasis1 4" xfId="133" xr:uid="{00000000-0005-0000-0000-000062000000}"/>
    <cellStyle name="Énfasis2 2" xfId="134" xr:uid="{00000000-0005-0000-0000-000064000000}"/>
    <cellStyle name="Énfasis2 3" xfId="135" xr:uid="{00000000-0005-0000-0000-000065000000}"/>
    <cellStyle name="Énfasis2 4" xfId="136" xr:uid="{00000000-0005-0000-0000-000066000000}"/>
    <cellStyle name="Énfasis3 2" xfId="137" xr:uid="{00000000-0005-0000-0000-000068000000}"/>
    <cellStyle name="Énfasis3 3" xfId="138" xr:uid="{00000000-0005-0000-0000-000069000000}"/>
    <cellStyle name="Énfasis3 4" xfId="139" xr:uid="{00000000-0005-0000-0000-00006A000000}"/>
    <cellStyle name="Énfasis4 2" xfId="140" xr:uid="{00000000-0005-0000-0000-00006C000000}"/>
    <cellStyle name="Énfasis4 3" xfId="141" xr:uid="{00000000-0005-0000-0000-00006D000000}"/>
    <cellStyle name="Énfasis4 4" xfId="142" xr:uid="{00000000-0005-0000-0000-00006E000000}"/>
    <cellStyle name="Énfasis5 2" xfId="143" xr:uid="{00000000-0005-0000-0000-000070000000}"/>
    <cellStyle name="Énfasis5 3" xfId="144" xr:uid="{00000000-0005-0000-0000-000071000000}"/>
    <cellStyle name="Énfasis5 4" xfId="145" xr:uid="{00000000-0005-0000-0000-000072000000}"/>
    <cellStyle name="Énfasis6 2" xfId="146" xr:uid="{00000000-0005-0000-0000-000074000000}"/>
    <cellStyle name="Énfasis6 3" xfId="147" xr:uid="{00000000-0005-0000-0000-000075000000}"/>
    <cellStyle name="Énfasis6 4" xfId="148" xr:uid="{00000000-0005-0000-0000-000076000000}"/>
    <cellStyle name="Entrada 2" xfId="149" xr:uid="{00000000-0005-0000-0000-000078000000}"/>
    <cellStyle name="Entrada 3" xfId="150" xr:uid="{00000000-0005-0000-0000-000079000000}"/>
    <cellStyle name="Entrada 4" xfId="151" xr:uid="{00000000-0005-0000-0000-00007A000000}"/>
    <cellStyle name="Explanatory Text" xfId="34" builtinId="53" customBuilti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ipervínculo 2" xfId="152" xr:uid="{00000000-0005-0000-0000-00007C000000}"/>
    <cellStyle name="Hyperlink" xfId="2" builtinId="8"/>
    <cellStyle name="Incorrecto 2" xfId="153" xr:uid="{00000000-0005-0000-0000-00007E000000}"/>
    <cellStyle name="Incorrecto 3" xfId="154" xr:uid="{00000000-0005-0000-0000-00007F000000}"/>
    <cellStyle name="Incorrecto 4" xfId="155" xr:uid="{00000000-0005-0000-0000-000080000000}"/>
    <cellStyle name="Input" xfId="28" builtinId="20" customBuiltin="1"/>
    <cellStyle name="Linked Cell" xfId="31" builtinId="24" customBuiltin="1"/>
    <cellStyle name="Millares 2" xfId="157" xr:uid="{00000000-0005-0000-0000-000082000000}"/>
    <cellStyle name="Millares 3" xfId="156" xr:uid="{00000000-0005-0000-0000-000083000000}"/>
    <cellStyle name="Neutral" xfId="27" builtinId="28" customBuiltin="1"/>
    <cellStyle name="Neutral 2" xfId="158" xr:uid="{00000000-0005-0000-0000-000085000000}"/>
    <cellStyle name="Neutral 3" xfId="159" xr:uid="{00000000-0005-0000-0000-000086000000}"/>
    <cellStyle name="Neutral 4" xfId="160" xr:uid="{00000000-0005-0000-0000-000087000000}"/>
    <cellStyle name="Normal" xfId="0" builtinId="0"/>
    <cellStyle name="Normal 10" xfId="161" xr:uid="{00000000-0005-0000-0000-000089000000}"/>
    <cellStyle name="Normal 10 10 4" xfId="162" xr:uid="{00000000-0005-0000-0000-00008A000000}"/>
    <cellStyle name="Normal 11" xfId="163" xr:uid="{00000000-0005-0000-0000-00008B000000}"/>
    <cellStyle name="Normal 12" xfId="164" xr:uid="{00000000-0005-0000-0000-00008C000000}"/>
    <cellStyle name="Normal 13" xfId="165" xr:uid="{00000000-0005-0000-0000-00008D000000}"/>
    <cellStyle name="Normal 14" xfId="166" xr:uid="{00000000-0005-0000-0000-00008E000000}"/>
    <cellStyle name="Normal 15" xfId="167" xr:uid="{00000000-0005-0000-0000-00008F000000}"/>
    <cellStyle name="Normal 16" xfId="168" xr:uid="{00000000-0005-0000-0000-000090000000}"/>
    <cellStyle name="Normal 17" xfId="169" xr:uid="{00000000-0005-0000-0000-000091000000}"/>
    <cellStyle name="Normal 18" xfId="60" xr:uid="{00000000-0005-0000-0000-000092000000}"/>
    <cellStyle name="Normal 2" xfId="4" xr:uid="{00000000-0005-0000-0000-000093000000}"/>
    <cellStyle name="Normal 2 2" xfId="5" xr:uid="{00000000-0005-0000-0000-000094000000}"/>
    <cellStyle name="Normal 2 2 12" xfId="170" xr:uid="{00000000-0005-0000-0000-000095000000}"/>
    <cellStyle name="Normal 2 2 2" xfId="171" xr:uid="{00000000-0005-0000-0000-000096000000}"/>
    <cellStyle name="Normal 2 2 3" xfId="172" xr:uid="{00000000-0005-0000-0000-000097000000}"/>
    <cellStyle name="Normal 2 3" xfId="173" xr:uid="{00000000-0005-0000-0000-000098000000}"/>
    <cellStyle name="Normal 2 4" xfId="174" xr:uid="{00000000-0005-0000-0000-000099000000}"/>
    <cellStyle name="Normal 2 5" xfId="175" xr:uid="{00000000-0005-0000-0000-00009A000000}"/>
    <cellStyle name="Normal 3" xfId="6" xr:uid="{00000000-0005-0000-0000-00009B000000}"/>
    <cellStyle name="Normal 3 2" xfId="177" xr:uid="{00000000-0005-0000-0000-00009C000000}"/>
    <cellStyle name="Normal 3 3" xfId="178" xr:uid="{00000000-0005-0000-0000-00009D000000}"/>
    <cellStyle name="Normal 3 4" xfId="179" xr:uid="{00000000-0005-0000-0000-00009E000000}"/>
    <cellStyle name="Normal 3 5" xfId="180" xr:uid="{00000000-0005-0000-0000-00009F000000}"/>
    <cellStyle name="Normal 3 6" xfId="181" xr:uid="{00000000-0005-0000-0000-0000A0000000}"/>
    <cellStyle name="Normal 3 7" xfId="176" xr:uid="{00000000-0005-0000-0000-0000A1000000}"/>
    <cellStyle name="Normal 4" xfId="7" xr:uid="{00000000-0005-0000-0000-0000A2000000}"/>
    <cellStyle name="Normal 4 2" xfId="182" xr:uid="{00000000-0005-0000-0000-0000A3000000}"/>
    <cellStyle name="Normal 5" xfId="8" xr:uid="{00000000-0005-0000-0000-0000A4000000}"/>
    <cellStyle name="Normal 5 2" xfId="183" xr:uid="{00000000-0005-0000-0000-0000A5000000}"/>
    <cellStyle name="Normal 6" xfId="184" xr:uid="{00000000-0005-0000-0000-0000A6000000}"/>
    <cellStyle name="Normal 7" xfId="185" xr:uid="{00000000-0005-0000-0000-0000A7000000}"/>
    <cellStyle name="Normal 8" xfId="186" xr:uid="{00000000-0005-0000-0000-0000A8000000}"/>
    <cellStyle name="Normal 9" xfId="187" xr:uid="{00000000-0005-0000-0000-0000A9000000}"/>
    <cellStyle name="Normal_10R&amp;monet" xfId="9" xr:uid="{00000000-0005-0000-0000-0000AA000000}"/>
    <cellStyle name="Normal_Analitico_1" xfId="10" xr:uid="{00000000-0005-0000-0000-0000AB000000}"/>
    <cellStyle name="Normal_COYUNT2" xfId="11" xr:uid="{00000000-0005-0000-0000-0000AC000000}"/>
    <cellStyle name="Normal_Hoja5" xfId="12" xr:uid="{00000000-0005-0000-0000-0000AD000000}"/>
    <cellStyle name="Normal_Hoja7" xfId="13" xr:uid="{00000000-0005-0000-0000-0000AE000000}"/>
    <cellStyle name="Normal_IEM" xfId="14" xr:uid="{00000000-0005-0000-0000-0000AF000000}"/>
    <cellStyle name="Normal_Pag. 1 2" xfId="15" xr:uid="{00000000-0005-0000-0000-0000B0000000}"/>
    <cellStyle name="Normal_Pag. 9" xfId="16" xr:uid="{00000000-0005-0000-0000-0000B1000000}"/>
    <cellStyle name="Normal_Pag. 9 2" xfId="17" xr:uid="{00000000-0005-0000-0000-0000B2000000}"/>
    <cellStyle name="Normal_PUBLICACION" xfId="18" xr:uid="{00000000-0005-0000-0000-0000B3000000}"/>
    <cellStyle name="Notas 2" xfId="188" xr:uid="{00000000-0005-0000-0000-0000B4000000}"/>
    <cellStyle name="Notas 2 2" xfId="189" xr:uid="{00000000-0005-0000-0000-0000B5000000}"/>
    <cellStyle name="Notas 2 3" xfId="190" xr:uid="{00000000-0005-0000-0000-0000B6000000}"/>
    <cellStyle name="Notas 3" xfId="191" xr:uid="{00000000-0005-0000-0000-0000B7000000}"/>
    <cellStyle name="Notas 4" xfId="192" xr:uid="{00000000-0005-0000-0000-0000B8000000}"/>
    <cellStyle name="Notas 5" xfId="193" xr:uid="{00000000-0005-0000-0000-0000B9000000}"/>
    <cellStyle name="Output" xfId="29" builtinId="21" customBuiltin="1"/>
    <cellStyle name="Percent" xfId="19" builtinId="5"/>
    <cellStyle name="Porcentual 2" xfId="194" xr:uid="{00000000-0005-0000-0000-0000BB000000}"/>
    <cellStyle name="Salida 2" xfId="195" xr:uid="{00000000-0005-0000-0000-0000BD000000}"/>
    <cellStyle name="Salida 3" xfId="196" xr:uid="{00000000-0005-0000-0000-0000BE000000}"/>
    <cellStyle name="Salida 4" xfId="197" xr:uid="{00000000-0005-0000-0000-0000BF000000}"/>
    <cellStyle name="Texto de advertencia 2" xfId="198" xr:uid="{00000000-0005-0000-0000-0000C1000000}"/>
    <cellStyle name="Texto de advertencia 3" xfId="199" xr:uid="{00000000-0005-0000-0000-0000C2000000}"/>
    <cellStyle name="Texto de advertencia 4" xfId="200" xr:uid="{00000000-0005-0000-0000-0000C3000000}"/>
    <cellStyle name="Texto explicativo 2" xfId="201" xr:uid="{00000000-0005-0000-0000-0000C5000000}"/>
    <cellStyle name="Texto explicativo 3" xfId="202" xr:uid="{00000000-0005-0000-0000-0000C6000000}"/>
    <cellStyle name="Texto explicativo 4" xfId="203" xr:uid="{00000000-0005-0000-0000-0000C7000000}"/>
    <cellStyle name="Title" xfId="20" builtinId="15" customBuiltin="1"/>
    <cellStyle name="Título 1 2" xfId="204" xr:uid="{00000000-0005-0000-0000-0000C9000000}"/>
    <cellStyle name="Título 1 3" xfId="205" xr:uid="{00000000-0005-0000-0000-0000CA000000}"/>
    <cellStyle name="Título 1 4" xfId="206" xr:uid="{00000000-0005-0000-0000-0000CB000000}"/>
    <cellStyle name="Título 2 2" xfId="207" xr:uid="{00000000-0005-0000-0000-0000CD000000}"/>
    <cellStyle name="Título 2 3" xfId="208" xr:uid="{00000000-0005-0000-0000-0000CE000000}"/>
    <cellStyle name="Título 2 4" xfId="209" xr:uid="{00000000-0005-0000-0000-0000CF000000}"/>
    <cellStyle name="Título 3 2" xfId="210" xr:uid="{00000000-0005-0000-0000-0000D1000000}"/>
    <cellStyle name="Título 3 3" xfId="211" xr:uid="{00000000-0005-0000-0000-0000D2000000}"/>
    <cellStyle name="Título 3 4" xfId="212" xr:uid="{00000000-0005-0000-0000-0000D3000000}"/>
    <cellStyle name="Título 4" xfId="213" xr:uid="{00000000-0005-0000-0000-0000D4000000}"/>
    <cellStyle name="Título 5" xfId="214" xr:uid="{00000000-0005-0000-0000-0000D5000000}"/>
    <cellStyle name="Título 6" xfId="215" xr:uid="{00000000-0005-0000-0000-0000D6000000}"/>
    <cellStyle name="Total" xfId="35" builtinId="25" customBuiltin="1"/>
    <cellStyle name="Total 2" xfId="216" xr:uid="{00000000-0005-0000-0000-0000D8000000}"/>
    <cellStyle name="Total 3" xfId="217" xr:uid="{00000000-0005-0000-0000-0000D9000000}"/>
    <cellStyle name="Total 4" xfId="218" xr:uid="{00000000-0005-0000-0000-0000DA000000}"/>
    <cellStyle name="Warning Text" xfId="3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tenido.bce.fin.ec/documentos/PublicacionesNotas/Catalogo/Anuario/80anios/NOTAS%20Cap1-90anio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zoomScaleNormal="100" workbookViewId="0">
      <selection activeCell="A6" sqref="A6"/>
    </sheetView>
  </sheetViews>
  <sheetFormatPr defaultColWidth="11.42578125" defaultRowHeight="15" x14ac:dyDescent="0.25"/>
  <cols>
    <col min="1" max="1" width="108.85546875" style="57" customWidth="1"/>
    <col min="2" max="16384" width="11.42578125" style="57"/>
  </cols>
  <sheetData>
    <row r="1" spans="1:6" ht="23.25" x14ac:dyDescent="0.35">
      <c r="A1" s="56" t="s">
        <v>2</v>
      </c>
    </row>
    <row r="2" spans="1:6" x14ac:dyDescent="0.25">
      <c r="A2" s="58" t="s">
        <v>1</v>
      </c>
    </row>
    <row r="3" spans="1:6" x14ac:dyDescent="0.25">
      <c r="A3" s="58"/>
    </row>
    <row r="4" spans="1:6" x14ac:dyDescent="0.25">
      <c r="A4" s="61" t="s">
        <v>878</v>
      </c>
    </row>
    <row r="5" spans="1:6" x14ac:dyDescent="0.25">
      <c r="A5" s="58"/>
    </row>
    <row r="6" spans="1:6" x14ac:dyDescent="0.25">
      <c r="A6" s="63" t="s">
        <v>950</v>
      </c>
    </row>
    <row r="7" spans="1:6" x14ac:dyDescent="0.25">
      <c r="A7" s="62" t="s">
        <v>951</v>
      </c>
      <c r="B7" s="60"/>
      <c r="C7" s="59"/>
      <c r="D7" s="59"/>
      <c r="E7" s="59"/>
      <c r="F7" s="59"/>
    </row>
    <row r="8" spans="1:6" x14ac:dyDescent="0.25">
      <c r="A8" s="62" t="s">
        <v>958</v>
      </c>
      <c r="B8" s="59"/>
      <c r="C8" s="59"/>
      <c r="D8" s="59"/>
      <c r="E8" s="59"/>
    </row>
    <row r="9" spans="1:6" x14ac:dyDescent="0.25">
      <c r="A9" s="62" t="s">
        <v>949</v>
      </c>
      <c r="B9" s="59"/>
      <c r="C9" s="59"/>
      <c r="D9" s="59"/>
      <c r="E9" s="59"/>
    </row>
    <row r="10" spans="1:6" x14ac:dyDescent="0.25">
      <c r="A10" s="62" t="s">
        <v>952</v>
      </c>
      <c r="B10" s="59"/>
      <c r="C10" s="59"/>
      <c r="D10" s="59"/>
      <c r="E10" s="59"/>
    </row>
    <row r="11" spans="1:6" x14ac:dyDescent="0.25">
      <c r="A11" s="62" t="s">
        <v>673</v>
      </c>
    </row>
    <row r="12" spans="1:6" x14ac:dyDescent="0.25">
      <c r="A12" s="62" t="s">
        <v>909</v>
      </c>
      <c r="B12" s="59"/>
      <c r="C12" s="59"/>
      <c r="D12" s="59"/>
      <c r="E12" s="59"/>
      <c r="F12" s="59"/>
    </row>
    <row r="13" spans="1:6" x14ac:dyDescent="0.25">
      <c r="A13" s="63" t="s">
        <v>953</v>
      </c>
      <c r="B13" s="59"/>
      <c r="C13" s="59"/>
      <c r="D13" s="59"/>
      <c r="E13" s="59"/>
      <c r="F13" s="59"/>
    </row>
    <row r="14" spans="1:6" x14ac:dyDescent="0.25">
      <c r="A14" s="63" t="s">
        <v>954</v>
      </c>
      <c r="B14" s="59"/>
      <c r="C14" s="59"/>
      <c r="D14" s="59"/>
      <c r="E14" s="59"/>
      <c r="F14" s="59"/>
    </row>
    <row r="15" spans="1:6" x14ac:dyDescent="0.25">
      <c r="A15" s="62" t="s">
        <v>961</v>
      </c>
    </row>
    <row r="16" spans="1:6" x14ac:dyDescent="0.25">
      <c r="A16" s="62" t="s">
        <v>960</v>
      </c>
    </row>
    <row r="17" spans="1:6" x14ac:dyDescent="0.25">
      <c r="A17" s="59"/>
      <c r="B17" s="59"/>
      <c r="C17" s="59"/>
      <c r="D17" s="59"/>
      <c r="E17" s="59"/>
      <c r="F17" s="59"/>
    </row>
    <row r="18" spans="1:6" x14ac:dyDescent="0.25">
      <c r="A18" s="61" t="s">
        <v>704</v>
      </c>
      <c r="B18" s="59"/>
      <c r="C18" s="59"/>
      <c r="D18" s="59"/>
      <c r="E18" s="59"/>
      <c r="F18" s="59"/>
    </row>
    <row r="19" spans="1:6" x14ac:dyDescent="0.25">
      <c r="A19" s="58"/>
      <c r="B19" s="59"/>
      <c r="C19" s="59"/>
      <c r="D19" s="59"/>
      <c r="E19" s="59"/>
      <c r="F19" s="59"/>
    </row>
    <row r="20" spans="1:6" x14ac:dyDescent="0.25">
      <c r="A20" s="62" t="s">
        <v>879</v>
      </c>
    </row>
    <row r="21" spans="1:6" x14ac:dyDescent="0.25">
      <c r="A21" s="62" t="s">
        <v>880</v>
      </c>
      <c r="B21" s="59"/>
      <c r="C21" s="59"/>
      <c r="D21" s="59"/>
    </row>
    <row r="22" spans="1:6" x14ac:dyDescent="0.25">
      <c r="A22" s="62" t="s">
        <v>881</v>
      </c>
    </row>
    <row r="23" spans="1:6" x14ac:dyDescent="0.25">
      <c r="A23" s="62" t="s">
        <v>882</v>
      </c>
    </row>
    <row r="24" spans="1:6" x14ac:dyDescent="0.25">
      <c r="A24" s="62" t="s">
        <v>883</v>
      </c>
      <c r="D24" s="57" t="s">
        <v>957</v>
      </c>
    </row>
    <row r="25" spans="1:6" x14ac:dyDescent="0.25">
      <c r="A25" s="62" t="s">
        <v>874</v>
      </c>
    </row>
    <row r="26" spans="1:6" x14ac:dyDescent="0.25">
      <c r="A26" s="63" t="s">
        <v>876</v>
      </c>
    </row>
    <row r="27" spans="1:6" x14ac:dyDescent="0.25">
      <c r="A27" s="63" t="s">
        <v>875</v>
      </c>
    </row>
    <row r="28" spans="1:6" x14ac:dyDescent="0.25">
      <c r="A28" s="63" t="s">
        <v>877</v>
      </c>
    </row>
    <row r="29" spans="1:6" x14ac:dyDescent="0.25">
      <c r="A29" s="62" t="s">
        <v>884</v>
      </c>
    </row>
    <row r="30" spans="1:6" x14ac:dyDescent="0.25">
      <c r="A30" s="62" t="s">
        <v>885</v>
      </c>
    </row>
    <row r="31" spans="1:6" x14ac:dyDescent="0.25">
      <c r="A31" s="62" t="s">
        <v>886</v>
      </c>
    </row>
    <row r="32" spans="1:6" x14ac:dyDescent="0.25">
      <c r="A32" s="62" t="s">
        <v>887</v>
      </c>
    </row>
    <row r="33" spans="1:7" x14ac:dyDescent="0.25">
      <c r="A33" s="62" t="s">
        <v>888</v>
      </c>
    </row>
    <row r="34" spans="1:7" x14ac:dyDescent="0.25">
      <c r="A34" s="62" t="s">
        <v>889</v>
      </c>
    </row>
    <row r="35" spans="1:7" x14ac:dyDescent="0.25">
      <c r="A35" s="62" t="s">
        <v>890</v>
      </c>
    </row>
    <row r="36" spans="1:7" x14ac:dyDescent="0.25">
      <c r="A36" s="62" t="s">
        <v>872</v>
      </c>
      <c r="B36" s="59"/>
      <c r="C36" s="59"/>
      <c r="D36" s="59"/>
      <c r="E36" s="59"/>
      <c r="F36" s="59"/>
      <c r="G36" s="59"/>
    </row>
    <row r="37" spans="1:7" x14ac:dyDescent="0.25">
      <c r="A37" s="62" t="s">
        <v>873</v>
      </c>
      <c r="B37" s="59"/>
      <c r="C37" s="59"/>
      <c r="D37" s="59"/>
      <c r="E37" s="59"/>
      <c r="F37" s="59"/>
      <c r="G37" s="59"/>
    </row>
    <row r="38" spans="1:7" x14ac:dyDescent="0.25">
      <c r="A38" s="62" t="s">
        <v>703</v>
      </c>
    </row>
    <row r="39" spans="1:7" x14ac:dyDescent="0.25">
      <c r="A39" s="62" t="s">
        <v>891</v>
      </c>
    </row>
    <row r="40" spans="1:7" x14ac:dyDescent="0.25">
      <c r="A40" s="62" t="s">
        <v>701</v>
      </c>
    </row>
    <row r="41" spans="1:7" x14ac:dyDescent="0.25">
      <c r="A41" s="62" t="s">
        <v>702</v>
      </c>
    </row>
    <row r="42" spans="1:7" x14ac:dyDescent="0.25">
      <c r="A42" s="62" t="s">
        <v>0</v>
      </c>
      <c r="B42" s="59"/>
      <c r="C42" s="59"/>
      <c r="D42" s="59"/>
      <c r="E42" s="59"/>
      <c r="F42" s="59"/>
    </row>
    <row r="43" spans="1:7" x14ac:dyDescent="0.25">
      <c r="A43" s="62" t="s">
        <v>697</v>
      </c>
    </row>
    <row r="44" spans="1:7" x14ac:dyDescent="0.25">
      <c r="A44" s="62" t="s">
        <v>700</v>
      </c>
    </row>
    <row r="45" spans="1:7" x14ac:dyDescent="0.25">
      <c r="A45" s="62" t="s">
        <v>699</v>
      </c>
    </row>
    <row r="46" spans="1:7" x14ac:dyDescent="0.25">
      <c r="A46" s="62" t="s">
        <v>698</v>
      </c>
    </row>
    <row r="48" spans="1:7" x14ac:dyDescent="0.25">
      <c r="A48" s="407" t="s">
        <v>705</v>
      </c>
    </row>
  </sheetData>
  <hyperlinks>
    <hyperlink ref="A8" location="'1.3'!A1" display="1.3     Banco Central del Ecuador  / Reserva Monetaria Internacional" xr:uid="{00000000-0004-0000-0000-000000000000}"/>
    <hyperlink ref="A9" location="'1.4'!A1" display="1.4     Banco Central del Ecuador  / Reserva Internacional de Libre Disponibilidad" xr:uid="{00000000-0004-0000-0000-000001000000}"/>
    <hyperlink ref="A10" location="'1.5'!A1" display="1.5     Bancos Privados / Cuentas Monetarias" xr:uid="{00000000-0004-0000-0000-000002000000}"/>
    <hyperlink ref="A12" location="'1.7'!A1" display="1.7     Tasas de Interés Referenciales Efectivas en dólares (2007 ­ 2011) " xr:uid="{00000000-0004-0000-0000-000003000000}"/>
    <hyperlink ref="A13" location="'1.8a'!A1" display="1.8a     Tasas de Interés Activas Efectivas  y Máximas Referenciales Vigentes por Segmento de Crédito (2007 ­ julio 2015) " xr:uid="{00000000-0004-0000-0000-000004000000}"/>
    <hyperlink ref="A21" location="'1.12'!A1" display="1.12     Base Monetaria, Liquidez Bancaria (M2) y Multiplicador" xr:uid="{00000000-0004-0000-0000-000005000000}"/>
    <hyperlink ref="A42" location="'1.28'!A1" display="1.28   Tasas de Interés Referenciales Nominales en Sucres (1993 ­ 1999)" xr:uid="{00000000-0004-0000-0000-000006000000}"/>
    <hyperlink ref="A6" location="'1.1'!Área_de_impresión" display="1.1     Oferta Monetaria (M1) y Liquidez Total (M2) (2000­2011)" xr:uid="{00000000-0004-0000-0000-000007000000}"/>
    <hyperlink ref="A7" location="'1.2'!A1" display="1.2     Cuentas Monetarias: Banco Central del Ecuador (1990­2011)" xr:uid="{00000000-0004-0000-0000-000008000000}"/>
    <hyperlink ref="A11" location="'1.6'!A1" display="1.6     Tasas de Interés Referenciales Nominales en dólares (2000 ­ 2007) " xr:uid="{00000000-0004-0000-0000-000009000000}"/>
    <hyperlink ref="A15" location="'1.9'!A1" display="1.9     Tasas de Interés: Operaciones Activas en dólares (1995 ­ 2007)" xr:uid="{00000000-0004-0000-0000-00000A000000}"/>
    <hyperlink ref="A16" location="'1.10'!A1" display="1.10     Tasas de Interés: Operaciones Pasivas en dólares (1995 ­ 2007)" xr:uid="{00000000-0004-0000-0000-00000B000000}"/>
    <hyperlink ref="A20" location="'1.11'!A1" display="1.11     Principales Agregados Monetarios" xr:uid="{00000000-0004-0000-0000-00000C000000}"/>
    <hyperlink ref="A22" location="'1.13'!A1" display="1.13     Banco Central del Ecuador  / Principales Cuentas del Balance " xr:uid="{00000000-0004-0000-0000-00000D000000}"/>
    <hyperlink ref="A23" location="'1.14'!A1" display="1.14     Banco Central del Ecuador  / Crédito Neto por Sectores" xr:uid="{00000000-0004-0000-0000-00000E000000}"/>
    <hyperlink ref="A24" location="'1.15'!A1" display="1.15  Banco Central del Ecuador /   Fuentes y Usos de la Base Monetaria" xr:uid="{00000000-0004-0000-0000-00000F000000}"/>
    <hyperlink ref="A25" location="'1.16'!A1" display="1.16   Banco Central del Ecuador  / Balance Analítico al 31 de Diciembre " xr:uid="{00000000-0004-0000-0000-000010000000}"/>
    <hyperlink ref="A29" location="'1.17'!A1" display="1.17  Sistema Bancario / Cuasidinero " xr:uid="{00000000-0004-0000-0000-000011000000}"/>
    <hyperlink ref="A30" location="'1.18'!A1" display="1.18   Bancos Privados / Cartera" xr:uid="{00000000-0004-0000-0000-000012000000}"/>
    <hyperlink ref="A31" location="'1.19'!A1" display="1.19  Bancos Privados / Captaciones" xr:uid="{00000000-0004-0000-0000-000013000000}"/>
    <hyperlink ref="A32" location="'1.20'!A1" display="1.20   Sistema Bancario / Capital y Reservas" xr:uid="{00000000-0004-0000-0000-000014000000}"/>
    <hyperlink ref="A33" location="'1.21'!A1" display="1.21   Banco Nacional de Fomento / Crédito" xr:uid="{00000000-0004-0000-0000-000015000000}"/>
    <hyperlink ref="A35" location="'1.22'!A1" display="1.22   Banco Nacional de Fomento /  Depósitos" xr:uid="{00000000-0004-0000-0000-000016000000}"/>
    <hyperlink ref="A36" location="'1.23'!A1" display="1.23   Cambios Anuales Absolutos en la Liquidez Bancaria (M2), Base Monetaria,   " xr:uid="{00000000-0004-0000-0000-000017000000}"/>
    <hyperlink ref="A38" location="'1.24'!A1" display="1.24   Estructura Porcentual de los Determinantes en la  " xr:uid="{00000000-0004-0000-0000-000018000000}"/>
    <hyperlink ref="A39" location="'1.25'!A1" display="1.25   Determinantes del Multiplicador (M2/Bm)" xr:uid="{00000000-0004-0000-0000-000019000000}"/>
    <hyperlink ref="A40" location="'1.26'!A1" display="1.26   Cambios Anuales Absolutos en el Multiplicador, Contribución  " xr:uid="{00000000-0004-0000-0000-00001A000000}"/>
    <hyperlink ref="A41" location="'1.27'!A1" display="1.27   Estructura Porcentual de los Determinantes del " xr:uid="{00000000-0004-0000-0000-00001B000000}"/>
    <hyperlink ref="A43" location="'1.29'!A1" display="1.29   Tasas de Interés:  Legal y Máxima Convencional (1948 ­ 1999)" xr:uid="{00000000-0004-0000-0000-00001C000000}"/>
    <hyperlink ref="A44" location="'1.30'!A1" display="1.30   Tasas de Interés: Operaciones Pasivas de  Bancos Privados e Instituciones Financieras (1948 - 1986)  " xr:uid="{00000000-0004-0000-0000-00001D000000}"/>
    <hyperlink ref="A45" location="'1.31'!A1" display="1.31   Tasas se Interés Operaciones Pasivas de Libre Contratación en Sucres (1987-1999)  " xr:uid="{00000000-0004-0000-0000-00001E000000}"/>
    <hyperlink ref="A46" location="'1.32'!A1" display="1.32   Tasas de Interés: Operaciones Activas de Libre Contratación en Sucres (1988 ­ 1999)" xr:uid="{00000000-0004-0000-0000-00001F000000}"/>
    <hyperlink ref="A34" location="'1.21b'!A1" display="1.21b  Banco Nacional de Fomento / Crédito" xr:uid="{00000000-0004-0000-0000-000020000000}"/>
    <hyperlink ref="A37" location="'1.23'!A1" display="1.23   Cambios Anuales Absolutos en la Liquidez Bancaria (M2), Base Monetaria,   " xr:uid="{00000000-0004-0000-0000-000021000000}"/>
    <hyperlink ref="A48" r:id="rId1" xr:uid="{00000000-0004-0000-0000-000022000000}"/>
    <hyperlink ref="A26:A28" location="'1.16'!A1" display="1.16   Banco Central del Ecuador  / Balance Analítico al 31 de Diciembre " xr:uid="{00000000-0004-0000-0000-000023000000}"/>
    <hyperlink ref="A26" location="'1.16a'!A1" display="1.16a   Banco Central del Ecuador  / Balance Analítico al 31 de Diciembre (1936 - 1947)" xr:uid="{00000000-0004-0000-0000-000024000000}"/>
    <hyperlink ref="A27" location="'1.16b'!A1" display="1.16b   Banco Central del Ecuador  / Balance Analítico al 31 de Diciembre (1948 - 1975)" xr:uid="{00000000-0004-0000-0000-000025000000}"/>
    <hyperlink ref="A28" location="'1.16c'!A1" display="1.16c   Banco Central del Ecuador  / Balance Analítico al 31 de Diciembre (1976 - 1998)" xr:uid="{00000000-0004-0000-0000-000026000000}"/>
    <hyperlink ref="A14" location="'1.8b'!A1" display="1.8b     Tasas de Interés Activas Efectivas  y Máximas Referenciales Vigentes por Segmento de Crédito ( agosto 2015 -2016)" xr:uid="{00000000-0004-0000-0000-000027000000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8"/>
  <sheetViews>
    <sheetView zoomScaleNormal="100" zoomScaleSheetLayoutView="80" workbookViewId="0">
      <selection sqref="A1:O2"/>
    </sheetView>
  </sheetViews>
  <sheetFormatPr defaultColWidth="11.42578125" defaultRowHeight="12.75" x14ac:dyDescent="0.2"/>
  <cols>
    <col min="1" max="2" width="11.42578125" style="1"/>
    <col min="3" max="15" width="15.7109375" style="1" customWidth="1"/>
    <col min="16" max="16" width="19.42578125" style="1" customWidth="1"/>
    <col min="17" max="16384" width="11.42578125" style="1"/>
  </cols>
  <sheetData>
    <row r="1" spans="1:16" ht="12" customHeight="1" x14ac:dyDescent="0.2">
      <c r="A1" s="490" t="s">
        <v>671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</row>
    <row r="2" spans="1:16" ht="12" customHeight="1" x14ac:dyDescent="0.2">
      <c r="A2" s="490" t="s">
        <v>650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</row>
    <row r="3" spans="1:16" ht="12" customHeight="1" x14ac:dyDescent="0.2"/>
    <row r="4" spans="1:16" ht="65.099999999999994" customHeight="1" x14ac:dyDescent="0.2">
      <c r="A4" s="491" t="s">
        <v>45</v>
      </c>
      <c r="B4" s="492"/>
      <c r="C4" s="2" t="s">
        <v>651</v>
      </c>
      <c r="D4" s="2" t="s">
        <v>652</v>
      </c>
      <c r="E4" s="2" t="s">
        <v>901</v>
      </c>
      <c r="F4" s="2" t="s">
        <v>653</v>
      </c>
      <c r="G4" s="2" t="s">
        <v>654</v>
      </c>
      <c r="H4" s="2" t="s">
        <v>655</v>
      </c>
      <c r="I4" s="2" t="s">
        <v>656</v>
      </c>
      <c r="J4" s="2" t="s">
        <v>657</v>
      </c>
      <c r="K4" s="3" t="s">
        <v>658</v>
      </c>
      <c r="L4" s="3" t="s">
        <v>659</v>
      </c>
      <c r="M4" s="2" t="s">
        <v>660</v>
      </c>
      <c r="N4" s="2" t="s">
        <v>661</v>
      </c>
      <c r="O4" s="4" t="s">
        <v>662</v>
      </c>
    </row>
    <row r="5" spans="1:16" ht="12" customHeight="1" x14ac:dyDescent="0.2">
      <c r="A5" s="5"/>
      <c r="B5" s="6"/>
      <c r="C5" s="7" t="s">
        <v>97</v>
      </c>
      <c r="D5" s="7" t="s">
        <v>98</v>
      </c>
      <c r="E5" s="7" t="s">
        <v>113</v>
      </c>
      <c r="F5" s="7" t="s">
        <v>100</v>
      </c>
      <c r="G5" s="7" t="s">
        <v>962</v>
      </c>
      <c r="H5" s="7" t="s">
        <v>102</v>
      </c>
      <c r="I5" s="7" t="s">
        <v>895</v>
      </c>
      <c r="J5" s="7" t="s">
        <v>441</v>
      </c>
      <c r="K5" s="7" t="s">
        <v>116</v>
      </c>
      <c r="L5" s="7" t="s">
        <v>117</v>
      </c>
      <c r="M5" s="7" t="s">
        <v>896</v>
      </c>
      <c r="N5" s="7" t="s">
        <v>897</v>
      </c>
      <c r="O5" s="8" t="s">
        <v>898</v>
      </c>
    </row>
    <row r="6" spans="1:16" ht="12" customHeight="1" x14ac:dyDescent="0.2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6" ht="12" customHeight="1" x14ac:dyDescent="0.2">
      <c r="A7" s="11">
        <v>2000</v>
      </c>
      <c r="B7" s="12"/>
      <c r="C7" s="13">
        <v>1120.242</v>
      </c>
      <c r="D7" s="13">
        <v>23.49</v>
      </c>
      <c r="E7" s="13"/>
      <c r="F7" s="13">
        <v>948.46</v>
      </c>
      <c r="G7" s="13">
        <v>2092.192</v>
      </c>
      <c r="H7" s="13">
        <v>2782.51</v>
      </c>
      <c r="I7" s="13">
        <v>4874.7020000000002</v>
      </c>
      <c r="J7" s="13">
        <v>225.92</v>
      </c>
      <c r="K7" s="13">
        <v>115.41</v>
      </c>
      <c r="L7" s="13">
        <v>121.47</v>
      </c>
      <c r="M7" s="13">
        <v>1606.5320000000002</v>
      </c>
      <c r="N7" s="13">
        <v>1.3023033465875562</v>
      </c>
      <c r="O7" s="13">
        <v>3.034301215288584</v>
      </c>
      <c r="P7" s="14"/>
    </row>
    <row r="8" spans="1:16" ht="12" customHeight="1" x14ac:dyDescent="0.2">
      <c r="A8" s="11">
        <v>2001</v>
      </c>
      <c r="B8" s="12"/>
      <c r="C8" s="13">
        <v>1511.4713999999997</v>
      </c>
      <c r="D8" s="13">
        <v>27.210505000000001</v>
      </c>
      <c r="E8" s="13"/>
      <c r="F8" s="13">
        <v>1425.98</v>
      </c>
      <c r="G8" s="13">
        <v>2964.6619049999999</v>
      </c>
      <c r="H8" s="13">
        <v>3192.48</v>
      </c>
      <c r="I8" s="13">
        <v>6157.1419050000004</v>
      </c>
      <c r="J8" s="13">
        <v>261.37105099999997</v>
      </c>
      <c r="K8" s="13">
        <v>79.395600000000002</v>
      </c>
      <c r="L8" s="13">
        <v>149.93</v>
      </c>
      <c r="M8" s="13">
        <v>2029.3785559999997</v>
      </c>
      <c r="N8" s="13">
        <v>1.4608718005000938</v>
      </c>
      <c r="O8" s="13">
        <v>3.0340036297298894</v>
      </c>
      <c r="P8" s="14"/>
    </row>
    <row r="9" spans="1:16" ht="12" customHeight="1" x14ac:dyDescent="0.2">
      <c r="A9" s="11">
        <v>2002</v>
      </c>
      <c r="B9" s="12"/>
      <c r="C9" s="13">
        <v>1839.7847059999997</v>
      </c>
      <c r="D9" s="13">
        <v>39.633884000000002</v>
      </c>
      <c r="E9" s="13"/>
      <c r="F9" s="13">
        <v>1823.59</v>
      </c>
      <c r="G9" s="13">
        <v>3703.0085899999995</v>
      </c>
      <c r="H9" s="13">
        <v>3749.65</v>
      </c>
      <c r="I9" s="13">
        <v>7452.6585899999991</v>
      </c>
      <c r="J9" s="13">
        <v>264.08578900000003</v>
      </c>
      <c r="K9" s="13">
        <v>81.982935999999995</v>
      </c>
      <c r="L9" s="13">
        <v>206.4</v>
      </c>
      <c r="M9" s="13">
        <v>2431.8873149999999</v>
      </c>
      <c r="N9" s="13">
        <v>1.5226892163792547</v>
      </c>
      <c r="O9" s="13">
        <v>3.0645575327572279</v>
      </c>
      <c r="P9" s="14"/>
    </row>
    <row r="10" spans="1:16" ht="12" customHeight="1" x14ac:dyDescent="0.2">
      <c r="A10" s="11">
        <v>2003</v>
      </c>
      <c r="B10" s="12"/>
      <c r="C10" s="13">
        <v>2121.3020799999999</v>
      </c>
      <c r="D10" s="13">
        <v>49.714886</v>
      </c>
      <c r="E10" s="13"/>
      <c r="F10" s="13">
        <v>1765.0900000000001</v>
      </c>
      <c r="G10" s="13">
        <v>3936.1069660000003</v>
      </c>
      <c r="H10" s="13">
        <v>3240.51</v>
      </c>
      <c r="I10" s="13">
        <v>7176.6169660000005</v>
      </c>
      <c r="J10" s="13">
        <v>271.40951599999994</v>
      </c>
      <c r="K10" s="13">
        <v>93.723562000000001</v>
      </c>
      <c r="L10" s="13">
        <v>240.71</v>
      </c>
      <c r="M10" s="13">
        <v>2776.860044</v>
      </c>
      <c r="N10" s="13">
        <v>1.4174668163434456</v>
      </c>
      <c r="O10" s="13">
        <v>2.584435964465194</v>
      </c>
      <c r="P10" s="14"/>
    </row>
    <row r="11" spans="1:16" ht="12" customHeight="1" x14ac:dyDescent="0.2">
      <c r="A11" s="11">
        <v>2004</v>
      </c>
      <c r="B11" s="12"/>
      <c r="C11" s="13">
        <v>2255.2866419999991</v>
      </c>
      <c r="D11" s="13">
        <v>58.1</v>
      </c>
      <c r="E11" s="13"/>
      <c r="F11" s="13">
        <v>2273.04</v>
      </c>
      <c r="G11" s="13">
        <v>4586.4266419999985</v>
      </c>
      <c r="H11" s="13">
        <v>4092.1200000000003</v>
      </c>
      <c r="I11" s="13">
        <v>8678.5466419999993</v>
      </c>
      <c r="J11" s="13">
        <v>332.79999999999995</v>
      </c>
      <c r="K11" s="13">
        <v>191.37</v>
      </c>
      <c r="L11" s="13">
        <v>247.22</v>
      </c>
      <c r="M11" s="13">
        <v>3084.7766419999984</v>
      </c>
      <c r="N11" s="13">
        <v>1.4867937534130229</v>
      </c>
      <c r="O11" s="13">
        <v>2.8133468478201746</v>
      </c>
      <c r="P11" s="14"/>
    </row>
    <row r="12" spans="1:16" ht="12" customHeight="1" x14ac:dyDescent="0.2">
      <c r="A12" s="11">
        <v>2005</v>
      </c>
      <c r="B12" s="12"/>
      <c r="C12" s="13">
        <v>2688.7559759999999</v>
      </c>
      <c r="D12" s="13">
        <v>62.753293999999997</v>
      </c>
      <c r="E12" s="13"/>
      <c r="F12" s="13">
        <v>2659.45</v>
      </c>
      <c r="G12" s="13">
        <v>5410.9592699999994</v>
      </c>
      <c r="H12" s="13">
        <v>5040.4400000000005</v>
      </c>
      <c r="I12" s="13">
        <v>10451.39927</v>
      </c>
      <c r="J12" s="13">
        <v>493.45803000000006</v>
      </c>
      <c r="K12" s="13">
        <v>123.69366599999999</v>
      </c>
      <c r="L12" s="13">
        <v>282.39</v>
      </c>
      <c r="M12" s="13">
        <v>3651.0509660000002</v>
      </c>
      <c r="N12" s="13">
        <v>1.482027865507479</v>
      </c>
      <c r="O12" s="13">
        <v>2.8625728228193679</v>
      </c>
      <c r="P12" s="14"/>
    </row>
    <row r="13" spans="1:16" ht="12" customHeight="1" x14ac:dyDescent="0.2">
      <c r="A13" s="11">
        <v>2006</v>
      </c>
      <c r="B13" s="12"/>
      <c r="C13" s="13">
        <v>3030.0649409999987</v>
      </c>
      <c r="D13" s="13">
        <v>65.95</v>
      </c>
      <c r="E13" s="13"/>
      <c r="F13" s="13">
        <v>3163.7799999999997</v>
      </c>
      <c r="G13" s="13">
        <v>6259.7949409999983</v>
      </c>
      <c r="H13" s="13">
        <v>5823.7499999999991</v>
      </c>
      <c r="I13" s="13">
        <v>12083.544940999996</v>
      </c>
      <c r="J13" s="13">
        <v>519.15</v>
      </c>
      <c r="K13" s="13">
        <v>124.41</v>
      </c>
      <c r="L13" s="13">
        <v>332.9</v>
      </c>
      <c r="M13" s="13">
        <v>4072.4749409999986</v>
      </c>
      <c r="N13" s="13">
        <v>1.5370984552854983</v>
      </c>
      <c r="O13" s="13">
        <v>2.9671256707678784</v>
      </c>
      <c r="P13" s="14"/>
    </row>
    <row r="14" spans="1:16" ht="12" customHeight="1" x14ac:dyDescent="0.2">
      <c r="A14" s="11">
        <v>2007</v>
      </c>
      <c r="B14" s="12"/>
      <c r="C14" s="13">
        <v>3279.3032309999999</v>
      </c>
      <c r="D14" s="13">
        <v>71.42</v>
      </c>
      <c r="E14" s="13"/>
      <c r="F14" s="13">
        <v>3658.49</v>
      </c>
      <c r="G14" s="13">
        <v>7009.2132309999997</v>
      </c>
      <c r="H14" s="13">
        <v>7004.06</v>
      </c>
      <c r="I14" s="13">
        <v>14013.273230999999</v>
      </c>
      <c r="J14" s="13">
        <v>692.24</v>
      </c>
      <c r="K14" s="13">
        <v>121.79</v>
      </c>
      <c r="L14" s="13">
        <v>397.55</v>
      </c>
      <c r="M14" s="13">
        <v>4562.3032309999999</v>
      </c>
      <c r="N14" s="13">
        <v>1.5363321717359124</v>
      </c>
      <c r="O14" s="13">
        <v>3.0715348194706613</v>
      </c>
      <c r="P14" s="14"/>
    </row>
    <row r="15" spans="1:16" ht="12" customHeight="1" x14ac:dyDescent="0.2">
      <c r="A15" s="11">
        <v>2008</v>
      </c>
      <c r="B15" s="12"/>
      <c r="C15" s="13">
        <v>4098.2599979999995</v>
      </c>
      <c r="D15" s="13">
        <v>77.321218999999999</v>
      </c>
      <c r="E15" s="13"/>
      <c r="F15" s="13">
        <v>4704.7299999999996</v>
      </c>
      <c r="G15" s="13">
        <v>8880.3112169999986</v>
      </c>
      <c r="H15" s="13">
        <v>8296.9500000000007</v>
      </c>
      <c r="I15" s="13">
        <v>17177.261216999999</v>
      </c>
      <c r="J15" s="13">
        <v>1239.022475</v>
      </c>
      <c r="K15" s="13">
        <v>191.56964400000001</v>
      </c>
      <c r="L15" s="13">
        <v>522.16</v>
      </c>
      <c r="M15" s="13">
        <v>6128.3333359999997</v>
      </c>
      <c r="N15" s="13">
        <v>1.4490581256136814</v>
      </c>
      <c r="O15" s="13">
        <v>2.8029254081357955</v>
      </c>
      <c r="P15" s="14"/>
    </row>
    <row r="16" spans="1:16" ht="12" customHeight="1" x14ac:dyDescent="0.2">
      <c r="A16" s="11">
        <v>2009</v>
      </c>
      <c r="B16" s="12"/>
      <c r="C16" s="13">
        <v>4230.094243999999</v>
      </c>
      <c r="D16" s="13">
        <v>77.364671000000001</v>
      </c>
      <c r="E16" s="13"/>
      <c r="F16" s="13">
        <v>4902.21</v>
      </c>
      <c r="G16" s="13">
        <v>9209.6689149999984</v>
      </c>
      <c r="H16" s="13">
        <v>9378.7899999999991</v>
      </c>
      <c r="I16" s="13">
        <v>18588.458914999996</v>
      </c>
      <c r="J16" s="13">
        <v>1702.566804</v>
      </c>
      <c r="K16" s="13">
        <v>358.895398</v>
      </c>
      <c r="L16" s="13">
        <v>554.21</v>
      </c>
      <c r="M16" s="13">
        <v>6923.131116999999</v>
      </c>
      <c r="N16" s="13">
        <v>1.3302750965362078</v>
      </c>
      <c r="O16" s="13">
        <v>2.6849786030132177</v>
      </c>
      <c r="P16" s="14"/>
    </row>
    <row r="17" spans="1:15" ht="12" customHeight="1" x14ac:dyDescent="0.2">
      <c r="A17" s="11">
        <v>2010</v>
      </c>
      <c r="B17" s="12"/>
      <c r="C17" s="13">
        <v>4545.3839959999996</v>
      </c>
      <c r="D17" s="13">
        <v>82.432862</v>
      </c>
      <c r="E17" s="13"/>
      <c r="F17" s="13">
        <v>6148.33</v>
      </c>
      <c r="G17" s="13">
        <v>10776.146858</v>
      </c>
      <c r="H17" s="13">
        <v>11413.22</v>
      </c>
      <c r="I17" s="13">
        <v>22189.366858000001</v>
      </c>
      <c r="J17" s="13">
        <v>1606.7281529999998</v>
      </c>
      <c r="K17" s="13">
        <v>519.19564600000001</v>
      </c>
      <c r="L17" s="13">
        <v>677.2</v>
      </c>
      <c r="M17" s="13">
        <v>7430.9406569999992</v>
      </c>
      <c r="N17" s="13">
        <v>1.4501726437350557</v>
      </c>
      <c r="O17" s="13">
        <v>2.9860777904473585</v>
      </c>
    </row>
    <row r="18" spans="1:15" ht="12" customHeight="1" x14ac:dyDescent="0.2">
      <c r="A18" s="11">
        <v>2011</v>
      </c>
      <c r="B18" s="12"/>
      <c r="C18" s="13">
        <v>5290.9794160000001</v>
      </c>
      <c r="D18" s="13">
        <v>83.197873999999999</v>
      </c>
      <c r="E18" s="13"/>
      <c r="F18" s="13">
        <v>6718.79</v>
      </c>
      <c r="G18" s="13">
        <v>12092.967290000001</v>
      </c>
      <c r="H18" s="13">
        <v>14464.010000000002</v>
      </c>
      <c r="I18" s="13">
        <v>26556.977290000003</v>
      </c>
      <c r="J18" s="13">
        <v>1594.7785430000001</v>
      </c>
      <c r="K18" s="13">
        <v>649.25622599999997</v>
      </c>
      <c r="L18" s="13">
        <v>773.52</v>
      </c>
      <c r="M18" s="13">
        <v>8391.7320590000018</v>
      </c>
      <c r="N18" s="13">
        <v>1.4410573651515102</v>
      </c>
      <c r="O18" s="13">
        <v>3.1646598227022822</v>
      </c>
    </row>
    <row r="19" spans="1:15" ht="12" customHeight="1" x14ac:dyDescent="0.2">
      <c r="A19" s="11">
        <v>2012</v>
      </c>
      <c r="B19" s="12"/>
      <c r="C19" s="13">
        <v>6326.7377989999995</v>
      </c>
      <c r="D19" s="13">
        <v>84.516947000000002</v>
      </c>
      <c r="E19" s="13"/>
      <c r="F19" s="13">
        <v>8100.37</v>
      </c>
      <c r="G19" s="13">
        <v>14511.624746</v>
      </c>
      <c r="H19" s="13">
        <v>16393.88</v>
      </c>
      <c r="I19" s="13">
        <v>30905.504745999999</v>
      </c>
      <c r="J19" s="13">
        <v>2360.2392610000002</v>
      </c>
      <c r="K19" s="13">
        <v>244.18684300000001</v>
      </c>
      <c r="L19" s="13">
        <v>987.82</v>
      </c>
      <c r="M19" s="13">
        <v>10003.500849999999</v>
      </c>
      <c r="N19" s="13">
        <v>1.4506546221765955</v>
      </c>
      <c r="O19" s="13">
        <v>3.0894688978808857</v>
      </c>
    </row>
    <row r="20" spans="1:15" ht="12" customHeight="1" x14ac:dyDescent="0.2">
      <c r="A20" s="11">
        <v>2013</v>
      </c>
      <c r="B20" s="12"/>
      <c r="C20" s="13">
        <v>7367.0561909999979</v>
      </c>
      <c r="D20" s="13">
        <v>87.330005</v>
      </c>
      <c r="E20" s="13"/>
      <c r="F20" s="13">
        <v>8818.0400000000009</v>
      </c>
      <c r="G20" s="13">
        <v>16272.426195999999</v>
      </c>
      <c r="H20" s="13">
        <v>18778.71</v>
      </c>
      <c r="I20" s="13">
        <v>35051.136195999999</v>
      </c>
      <c r="J20" s="13">
        <v>3898.1353149999995</v>
      </c>
      <c r="K20" s="13">
        <v>360.43945100000002</v>
      </c>
      <c r="L20" s="13">
        <v>1025.6600000000001</v>
      </c>
      <c r="M20" s="13">
        <v>12738.620961999997</v>
      </c>
      <c r="N20" s="13">
        <v>1.2774087748227643</v>
      </c>
      <c r="O20" s="13">
        <v>2.7515644197719249</v>
      </c>
    </row>
    <row r="21" spans="1:15" ht="12" customHeight="1" x14ac:dyDescent="0.2">
      <c r="A21" s="11">
        <v>2014</v>
      </c>
      <c r="B21" s="12"/>
      <c r="C21" s="13">
        <v>9539.8967329999978</v>
      </c>
      <c r="D21" s="13">
        <v>86.581903999999994</v>
      </c>
      <c r="E21" s="13">
        <v>7.8390000000000001E-2</v>
      </c>
      <c r="F21" s="13">
        <v>9068.7599999999984</v>
      </c>
      <c r="G21" s="13">
        <v>18695.317026999994</v>
      </c>
      <c r="H21" s="13">
        <v>21409.05</v>
      </c>
      <c r="I21" s="13">
        <v>40104.367026999993</v>
      </c>
      <c r="J21" s="13">
        <v>3506.0468250000004</v>
      </c>
      <c r="K21" s="13">
        <v>360.96490899999998</v>
      </c>
      <c r="L21" s="13">
        <v>1237.52</v>
      </c>
      <c r="M21" s="13">
        <v>14731.088760999999</v>
      </c>
      <c r="N21" s="13">
        <v>1.2691062643309257</v>
      </c>
      <c r="O21" s="13">
        <v>2.7224306144413974</v>
      </c>
    </row>
    <row r="22" spans="1:15" ht="12" customHeight="1" x14ac:dyDescent="0.2">
      <c r="A22" s="11">
        <v>2015</v>
      </c>
      <c r="B22" s="12"/>
      <c r="C22" s="13">
        <v>11753.669446999998</v>
      </c>
      <c r="D22" s="13">
        <v>86.256283999999994</v>
      </c>
      <c r="E22" s="13">
        <v>0.77738799999999997</v>
      </c>
      <c r="F22" s="13">
        <v>7200.9500000000007</v>
      </c>
      <c r="G22" s="13">
        <v>19041.653118999999</v>
      </c>
      <c r="H22" s="13">
        <v>20608.95</v>
      </c>
      <c r="I22" s="13">
        <v>39650.603118999999</v>
      </c>
      <c r="J22" s="13">
        <v>3053.4450179999999</v>
      </c>
      <c r="K22" s="13">
        <v>434.56019500000002</v>
      </c>
      <c r="L22" s="13">
        <v>1284.56</v>
      </c>
      <c r="M22" s="13">
        <v>16613.268331999996</v>
      </c>
      <c r="N22" s="13">
        <v>1.1461714057987324</v>
      </c>
      <c r="O22" s="13">
        <v>2.3866828806121285</v>
      </c>
    </row>
    <row r="23" spans="1:15" ht="12" customHeight="1" x14ac:dyDescent="0.2">
      <c r="A23" s="11">
        <v>2016</v>
      </c>
      <c r="B23" s="12"/>
      <c r="C23" s="13">
        <v>13261.119466999997</v>
      </c>
      <c r="D23" s="13">
        <v>88.194712999999993</v>
      </c>
      <c r="E23" s="13">
        <v>4.1267149999999999</v>
      </c>
      <c r="F23" s="13">
        <v>9281.3599999999988</v>
      </c>
      <c r="G23" s="13">
        <v>22634.800894999993</v>
      </c>
      <c r="H23" s="13">
        <v>23553.47</v>
      </c>
      <c r="I23" s="13">
        <v>46188.270894999994</v>
      </c>
      <c r="J23" s="13">
        <v>6044.0540229999997</v>
      </c>
      <c r="K23" s="13">
        <v>357.68917499999998</v>
      </c>
      <c r="L23" s="13">
        <v>1527.52</v>
      </c>
      <c r="M23" s="13">
        <v>21282.704092999997</v>
      </c>
      <c r="N23" s="13">
        <v>1.0635303106264917</v>
      </c>
      <c r="O23" s="13">
        <v>2.1702256768298338</v>
      </c>
    </row>
    <row r="24" spans="1:15" ht="12" customHeight="1" x14ac:dyDescent="0.2">
      <c r="A24" s="11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2" customHeight="1" x14ac:dyDescent="0.2">
      <c r="A25" s="15"/>
      <c r="B25" s="16"/>
      <c r="C25" s="17"/>
      <c r="D25" s="17"/>
      <c r="E25" s="17"/>
      <c r="F25" s="17"/>
      <c r="G25" s="17"/>
      <c r="H25" s="17"/>
      <c r="I25" s="17"/>
      <c r="J25" s="18"/>
      <c r="K25" s="19"/>
      <c r="L25" s="19"/>
      <c r="M25" s="19"/>
      <c r="N25" s="20"/>
      <c r="O25" s="20"/>
    </row>
    <row r="26" spans="1:15" ht="12" customHeight="1" x14ac:dyDescent="0.2">
      <c r="A26" s="409"/>
    </row>
    <row r="27" spans="1:15" ht="12" customHeight="1" x14ac:dyDescent="0.2"/>
    <row r="28" spans="1:15" ht="12" customHeight="1" x14ac:dyDescent="0.2">
      <c r="A28" s="410"/>
    </row>
    <row r="29" spans="1:15" ht="12" customHeight="1" x14ac:dyDescent="0.2">
      <c r="A29" s="411" t="s">
        <v>598</v>
      </c>
    </row>
    <row r="30" spans="1:15" ht="12" customHeight="1" x14ac:dyDescent="0.2"/>
    <row r="31" spans="1:15" ht="12" customHeight="1" x14ac:dyDescent="0.2">
      <c r="A31" s="412"/>
    </row>
    <row r="32" spans="1:15" ht="12" customHeight="1" x14ac:dyDescent="0.2">
      <c r="A32" s="409"/>
    </row>
    <row r="33" spans="1:1" x14ac:dyDescent="0.2">
      <c r="A33" s="409"/>
    </row>
    <row r="34" spans="1:1" x14ac:dyDescent="0.2">
      <c r="A34" s="409"/>
    </row>
    <row r="35" spans="1:1" x14ac:dyDescent="0.2">
      <c r="A35" s="412"/>
    </row>
    <row r="36" spans="1:1" x14ac:dyDescent="0.2">
      <c r="A36" s="409"/>
    </row>
    <row r="37" spans="1:1" x14ac:dyDescent="0.2">
      <c r="A37" s="412"/>
    </row>
    <row r="38" spans="1:1" x14ac:dyDescent="0.2">
      <c r="A38" s="412"/>
    </row>
    <row r="39" spans="1:1" x14ac:dyDescent="0.2">
      <c r="A39" s="409"/>
    </row>
    <row r="55" spans="6:15" x14ac:dyDescent="0.2">
      <c r="F55" s="413"/>
      <c r="G55" s="413"/>
      <c r="H55" s="413"/>
      <c r="I55" s="413"/>
      <c r="J55" s="413"/>
      <c r="K55" s="413"/>
      <c r="L55" s="413"/>
      <c r="M55" s="413"/>
      <c r="N55" s="413"/>
      <c r="O55" s="413"/>
    </row>
    <row r="86" spans="3:16" x14ac:dyDescent="0.2">
      <c r="C86" s="413"/>
      <c r="D86" s="413"/>
      <c r="E86" s="413"/>
      <c r="F86" s="413"/>
      <c r="G86" s="413"/>
      <c r="H86" s="413"/>
      <c r="I86" s="413"/>
      <c r="J86" s="413"/>
      <c r="K86" s="413"/>
      <c r="L86" s="413"/>
      <c r="M86" s="413"/>
      <c r="N86" s="413"/>
      <c r="O86" s="413"/>
      <c r="P86" s="413"/>
    </row>
    <row r="87" spans="3:16" x14ac:dyDescent="0.2">
      <c r="C87" s="413"/>
      <c r="D87" s="413"/>
      <c r="E87" s="413"/>
      <c r="F87" s="413"/>
      <c r="G87" s="413"/>
      <c r="H87" s="413"/>
      <c r="I87" s="413"/>
      <c r="J87" s="413"/>
      <c r="K87" s="413"/>
      <c r="L87" s="413"/>
      <c r="M87" s="413"/>
      <c r="N87" s="413"/>
      <c r="O87" s="413"/>
      <c r="P87" s="413"/>
    </row>
    <row r="88" spans="3:16" x14ac:dyDescent="0.2">
      <c r="C88" s="413"/>
      <c r="D88" s="413"/>
      <c r="E88" s="413"/>
      <c r="F88" s="413"/>
      <c r="G88" s="413"/>
      <c r="H88" s="413"/>
      <c r="I88" s="413"/>
      <c r="J88" s="413"/>
      <c r="K88" s="413"/>
      <c r="L88" s="413"/>
      <c r="M88" s="413"/>
      <c r="N88" s="413"/>
      <c r="O88" s="413"/>
      <c r="P88" s="413"/>
    </row>
    <row r="89" spans="3:16" x14ac:dyDescent="0.2">
      <c r="C89" s="413"/>
      <c r="D89" s="413"/>
      <c r="E89" s="413"/>
      <c r="F89" s="413"/>
      <c r="G89" s="413"/>
      <c r="H89" s="413"/>
      <c r="I89" s="413"/>
      <c r="J89" s="413"/>
      <c r="K89" s="413"/>
      <c r="L89" s="413"/>
      <c r="M89" s="413"/>
      <c r="N89" s="413"/>
      <c r="O89" s="413"/>
      <c r="P89" s="413"/>
    </row>
    <row r="90" spans="3:16" x14ac:dyDescent="0.2"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</row>
    <row r="91" spans="3:16" x14ac:dyDescent="0.2">
      <c r="C91" s="413"/>
      <c r="D91" s="413"/>
      <c r="E91" s="413"/>
      <c r="F91" s="413"/>
      <c r="G91" s="413"/>
      <c r="H91" s="413"/>
      <c r="I91" s="413"/>
      <c r="J91" s="413"/>
      <c r="K91" s="413"/>
      <c r="L91" s="413"/>
      <c r="M91" s="413"/>
      <c r="N91" s="413"/>
      <c r="O91" s="413"/>
      <c r="P91" s="413"/>
    </row>
    <row r="92" spans="3:16" x14ac:dyDescent="0.2">
      <c r="C92" s="413"/>
      <c r="D92" s="413"/>
      <c r="E92" s="413"/>
      <c r="F92" s="413"/>
      <c r="G92" s="413"/>
      <c r="H92" s="413"/>
      <c r="I92" s="413"/>
      <c r="J92" s="413"/>
      <c r="K92" s="413"/>
      <c r="L92" s="413"/>
      <c r="M92" s="413"/>
      <c r="N92" s="413"/>
      <c r="O92" s="413"/>
      <c r="P92" s="413"/>
    </row>
    <row r="93" spans="3:16" x14ac:dyDescent="0.2">
      <c r="C93" s="413"/>
      <c r="D93" s="413"/>
      <c r="E93" s="413"/>
      <c r="F93" s="413"/>
      <c r="G93" s="413"/>
      <c r="H93" s="413"/>
      <c r="I93" s="413"/>
      <c r="J93" s="413"/>
      <c r="K93" s="413"/>
      <c r="L93" s="413"/>
      <c r="M93" s="413"/>
      <c r="N93" s="413"/>
      <c r="O93" s="413"/>
      <c r="P93" s="413"/>
    </row>
    <row r="94" spans="3:16" x14ac:dyDescent="0.2">
      <c r="C94" s="413"/>
      <c r="D94" s="413"/>
      <c r="E94" s="413"/>
      <c r="F94" s="413"/>
      <c r="G94" s="413"/>
      <c r="H94" s="413"/>
      <c r="I94" s="413"/>
      <c r="J94" s="413"/>
      <c r="K94" s="413"/>
      <c r="L94" s="413"/>
      <c r="M94" s="413"/>
      <c r="N94" s="413"/>
      <c r="O94" s="413"/>
      <c r="P94" s="413"/>
    </row>
    <row r="95" spans="3:16" x14ac:dyDescent="0.2">
      <c r="C95" s="413"/>
      <c r="D95" s="413"/>
      <c r="E95" s="413"/>
      <c r="F95" s="413"/>
      <c r="G95" s="413"/>
      <c r="H95" s="413"/>
      <c r="I95" s="413"/>
      <c r="J95" s="413"/>
      <c r="K95" s="413"/>
      <c r="L95" s="413"/>
      <c r="M95" s="413"/>
      <c r="N95" s="413"/>
      <c r="O95" s="413"/>
      <c r="P95" s="413"/>
    </row>
    <row r="96" spans="3:16" x14ac:dyDescent="0.2">
      <c r="C96" s="413"/>
      <c r="D96" s="413"/>
      <c r="E96" s="413"/>
      <c r="F96" s="413"/>
      <c r="G96" s="413"/>
      <c r="H96" s="413"/>
      <c r="I96" s="413"/>
      <c r="J96" s="413"/>
      <c r="K96" s="413"/>
      <c r="L96" s="413"/>
      <c r="M96" s="413"/>
      <c r="N96" s="413"/>
      <c r="O96" s="413"/>
      <c r="P96" s="413"/>
    </row>
    <row r="97" spans="3:16" x14ac:dyDescent="0.2">
      <c r="C97" s="413"/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</row>
    <row r="98" spans="3:16" x14ac:dyDescent="0.2">
      <c r="C98" s="413"/>
      <c r="D98" s="413"/>
      <c r="E98" s="413"/>
      <c r="F98" s="413"/>
      <c r="G98" s="413"/>
      <c r="H98" s="413"/>
      <c r="I98" s="413"/>
      <c r="J98" s="413"/>
      <c r="K98" s="413"/>
      <c r="L98" s="413"/>
      <c r="M98" s="413"/>
      <c r="N98" s="413"/>
      <c r="O98" s="413"/>
      <c r="P98" s="413"/>
    </row>
    <row r="99" spans="3:16" x14ac:dyDescent="0.2">
      <c r="C99" s="413"/>
      <c r="D99" s="413"/>
      <c r="E99" s="413"/>
      <c r="F99" s="413"/>
      <c r="G99" s="413"/>
      <c r="H99" s="413"/>
      <c r="I99" s="413"/>
      <c r="J99" s="413"/>
      <c r="K99" s="413"/>
      <c r="L99" s="413"/>
      <c r="M99" s="413"/>
      <c r="N99" s="413"/>
      <c r="O99" s="413"/>
      <c r="P99" s="413"/>
    </row>
    <row r="100" spans="3:16" x14ac:dyDescent="0.2"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</row>
    <row r="101" spans="3:16" x14ac:dyDescent="0.2"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</row>
    <row r="102" spans="3:16" x14ac:dyDescent="0.2"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</row>
    <row r="103" spans="3:16" x14ac:dyDescent="0.2"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</row>
    <row r="104" spans="3:16" x14ac:dyDescent="0.2"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</row>
    <row r="105" spans="3:16" x14ac:dyDescent="0.2">
      <c r="C105" s="413"/>
      <c r="D105" s="413"/>
      <c r="E105" s="413"/>
      <c r="F105" s="413"/>
      <c r="G105" s="413"/>
      <c r="H105" s="413"/>
      <c r="I105" s="413"/>
      <c r="J105" s="413"/>
      <c r="K105" s="413"/>
      <c r="L105" s="413"/>
      <c r="M105" s="413"/>
      <c r="N105" s="413"/>
      <c r="O105" s="413"/>
      <c r="P105" s="413"/>
    </row>
    <row r="106" spans="3:16" x14ac:dyDescent="0.2"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</row>
    <row r="107" spans="3:16" x14ac:dyDescent="0.2">
      <c r="C107" s="413"/>
      <c r="D107" s="413"/>
      <c r="E107" s="413"/>
      <c r="F107" s="413"/>
      <c r="G107" s="413"/>
      <c r="H107" s="413"/>
      <c r="I107" s="413"/>
      <c r="J107" s="413"/>
      <c r="K107" s="413"/>
      <c r="L107" s="413"/>
      <c r="M107" s="413"/>
      <c r="N107" s="413"/>
      <c r="O107" s="413"/>
      <c r="P107" s="413"/>
    </row>
    <row r="108" spans="3:16" x14ac:dyDescent="0.2">
      <c r="C108" s="413"/>
      <c r="D108" s="413"/>
      <c r="E108" s="413"/>
      <c r="F108" s="413"/>
      <c r="G108" s="413"/>
      <c r="H108" s="413"/>
      <c r="I108" s="413"/>
      <c r="J108" s="413"/>
      <c r="K108" s="413"/>
      <c r="L108" s="413"/>
      <c r="M108" s="413"/>
      <c r="N108" s="413"/>
      <c r="O108" s="413"/>
      <c r="P108" s="413"/>
    </row>
    <row r="109" spans="3:16" x14ac:dyDescent="0.2">
      <c r="C109" s="413"/>
      <c r="D109" s="413"/>
      <c r="E109" s="413"/>
      <c r="F109" s="413"/>
      <c r="G109" s="413"/>
      <c r="H109" s="413"/>
      <c r="I109" s="413"/>
      <c r="J109" s="413"/>
      <c r="K109" s="413"/>
      <c r="L109" s="413"/>
      <c r="M109" s="413"/>
      <c r="N109" s="413"/>
      <c r="O109" s="413"/>
      <c r="P109" s="413"/>
    </row>
    <row r="110" spans="3:16" x14ac:dyDescent="0.2"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/>
    </row>
    <row r="111" spans="3:16" x14ac:dyDescent="0.2">
      <c r="C111" s="413"/>
      <c r="D111" s="413"/>
      <c r="E111" s="413"/>
      <c r="F111" s="413"/>
      <c r="G111" s="413"/>
      <c r="H111" s="413"/>
      <c r="I111" s="413"/>
      <c r="J111" s="413"/>
      <c r="K111" s="413"/>
      <c r="L111" s="413"/>
      <c r="M111" s="413"/>
      <c r="N111" s="413"/>
      <c r="O111" s="413"/>
      <c r="P111" s="413"/>
    </row>
    <row r="112" spans="3:16" x14ac:dyDescent="0.2">
      <c r="C112" s="413"/>
      <c r="D112" s="413"/>
      <c r="E112" s="413"/>
      <c r="F112" s="413"/>
      <c r="G112" s="413"/>
      <c r="H112" s="413"/>
      <c r="I112" s="413"/>
      <c r="J112" s="413"/>
      <c r="K112" s="413"/>
      <c r="L112" s="413"/>
      <c r="M112" s="413"/>
      <c r="N112" s="413"/>
      <c r="O112" s="413"/>
      <c r="P112" s="413"/>
    </row>
    <row r="113" spans="3:16" x14ac:dyDescent="0.2">
      <c r="C113" s="413"/>
      <c r="D113" s="413"/>
      <c r="E113" s="413"/>
      <c r="F113" s="413"/>
      <c r="G113" s="413"/>
      <c r="H113" s="413"/>
      <c r="I113" s="413"/>
      <c r="J113" s="413"/>
      <c r="K113" s="413"/>
      <c r="L113" s="413"/>
      <c r="M113" s="413"/>
      <c r="N113" s="413"/>
      <c r="O113" s="413"/>
      <c r="P113" s="413"/>
    </row>
    <row r="114" spans="3:16" x14ac:dyDescent="0.2"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</row>
    <row r="115" spans="3:16" x14ac:dyDescent="0.2">
      <c r="C115" s="413"/>
      <c r="D115" s="413"/>
      <c r="E115" s="413"/>
      <c r="F115" s="413"/>
      <c r="G115" s="413"/>
      <c r="H115" s="413"/>
      <c r="I115" s="413"/>
      <c r="J115" s="413"/>
      <c r="K115" s="413"/>
      <c r="L115" s="413"/>
      <c r="M115" s="413"/>
      <c r="N115" s="413"/>
      <c r="O115" s="413"/>
      <c r="P115" s="413"/>
    </row>
    <row r="116" spans="3:16" x14ac:dyDescent="0.2">
      <c r="C116" s="413"/>
      <c r="D116" s="413"/>
      <c r="E116" s="413"/>
      <c r="F116" s="413"/>
      <c r="G116" s="413"/>
      <c r="H116" s="413"/>
      <c r="I116" s="413"/>
      <c r="J116" s="413"/>
      <c r="K116" s="413"/>
      <c r="L116" s="413"/>
      <c r="M116" s="413"/>
      <c r="N116" s="413"/>
      <c r="O116" s="413"/>
      <c r="P116" s="413"/>
    </row>
    <row r="117" spans="3:16" x14ac:dyDescent="0.2">
      <c r="C117" s="413"/>
      <c r="D117" s="413"/>
      <c r="E117" s="413"/>
      <c r="F117" s="413"/>
      <c r="G117" s="413"/>
      <c r="H117" s="413"/>
      <c r="I117" s="413"/>
      <c r="J117" s="413"/>
      <c r="K117" s="413"/>
      <c r="L117" s="413"/>
      <c r="M117" s="413"/>
      <c r="N117" s="413"/>
      <c r="O117" s="413"/>
      <c r="P117" s="413"/>
    </row>
    <row r="118" spans="3:16" x14ac:dyDescent="0.2">
      <c r="C118" s="413"/>
      <c r="D118" s="413"/>
      <c r="E118" s="413"/>
      <c r="F118" s="413"/>
      <c r="G118" s="413"/>
      <c r="H118" s="413"/>
      <c r="I118" s="413"/>
      <c r="J118" s="413"/>
      <c r="K118" s="413"/>
      <c r="L118" s="413"/>
      <c r="M118" s="413"/>
      <c r="N118" s="413"/>
      <c r="O118" s="413"/>
      <c r="P118" s="413"/>
    </row>
    <row r="119" spans="3:16" x14ac:dyDescent="0.2">
      <c r="C119" s="413"/>
      <c r="D119" s="413"/>
      <c r="E119" s="413"/>
      <c r="F119" s="413"/>
      <c r="G119" s="413"/>
      <c r="H119" s="413"/>
      <c r="I119" s="413"/>
      <c r="J119" s="413"/>
      <c r="K119" s="413"/>
      <c r="L119" s="413"/>
      <c r="M119" s="413"/>
      <c r="N119" s="413"/>
      <c r="O119" s="413"/>
      <c r="P119" s="413"/>
    </row>
    <row r="120" spans="3:16" x14ac:dyDescent="0.2">
      <c r="C120" s="413"/>
      <c r="D120" s="413"/>
      <c r="E120" s="413"/>
      <c r="F120" s="413"/>
      <c r="G120" s="413"/>
      <c r="H120" s="413"/>
      <c r="I120" s="413"/>
      <c r="J120" s="413"/>
      <c r="K120" s="413"/>
      <c r="L120" s="413"/>
      <c r="M120" s="413"/>
      <c r="N120" s="413"/>
      <c r="O120" s="413"/>
      <c r="P120" s="413"/>
    </row>
    <row r="121" spans="3:16" x14ac:dyDescent="0.2">
      <c r="C121" s="413"/>
      <c r="D121" s="413"/>
      <c r="E121" s="413"/>
      <c r="F121" s="413"/>
      <c r="G121" s="413"/>
      <c r="H121" s="413"/>
      <c r="I121" s="413"/>
      <c r="J121" s="413"/>
      <c r="K121" s="413"/>
      <c r="L121" s="413"/>
      <c r="M121" s="413"/>
      <c r="N121" s="413"/>
      <c r="O121" s="413"/>
      <c r="P121" s="413"/>
    </row>
    <row r="122" spans="3:16" x14ac:dyDescent="0.2">
      <c r="C122" s="413"/>
      <c r="D122" s="413"/>
      <c r="E122" s="413"/>
      <c r="F122" s="413"/>
      <c r="G122" s="413"/>
      <c r="H122" s="413"/>
      <c r="I122" s="413"/>
      <c r="J122" s="413"/>
      <c r="K122" s="413"/>
      <c r="L122" s="413"/>
      <c r="M122" s="413"/>
      <c r="N122" s="413"/>
      <c r="O122" s="413"/>
      <c r="P122" s="413"/>
    </row>
    <row r="123" spans="3:16" x14ac:dyDescent="0.2">
      <c r="C123" s="413"/>
      <c r="D123" s="413"/>
      <c r="E123" s="413"/>
      <c r="F123" s="413"/>
      <c r="G123" s="413"/>
      <c r="H123" s="413"/>
      <c r="I123" s="413"/>
      <c r="J123" s="413"/>
      <c r="K123" s="413"/>
      <c r="L123" s="413"/>
      <c r="M123" s="413"/>
      <c r="N123" s="413"/>
      <c r="O123" s="413"/>
      <c r="P123" s="413"/>
    </row>
    <row r="124" spans="3:16" x14ac:dyDescent="0.2">
      <c r="C124" s="413"/>
      <c r="I124" s="413"/>
    </row>
    <row r="125" spans="3:16" x14ac:dyDescent="0.2">
      <c r="C125" s="413"/>
      <c r="I125" s="413"/>
    </row>
    <row r="126" spans="3:16" x14ac:dyDescent="0.2">
      <c r="C126" s="413"/>
      <c r="I126" s="413"/>
    </row>
    <row r="127" spans="3:16" x14ac:dyDescent="0.2">
      <c r="C127" s="413"/>
      <c r="I127" s="413"/>
    </row>
    <row r="128" spans="3:16" x14ac:dyDescent="0.2">
      <c r="C128" s="413"/>
      <c r="I128" s="413"/>
    </row>
    <row r="129" spans="3:9" x14ac:dyDescent="0.2">
      <c r="C129" s="413"/>
      <c r="I129" s="413"/>
    </row>
    <row r="130" spans="3:9" x14ac:dyDescent="0.2">
      <c r="C130" s="413"/>
      <c r="I130" s="413"/>
    </row>
    <row r="131" spans="3:9" x14ac:dyDescent="0.2">
      <c r="I131" s="413"/>
    </row>
    <row r="132" spans="3:9" x14ac:dyDescent="0.2">
      <c r="I132" s="413"/>
    </row>
    <row r="133" spans="3:9" x14ac:dyDescent="0.2">
      <c r="I133" s="413"/>
    </row>
    <row r="134" spans="3:9" x14ac:dyDescent="0.2">
      <c r="I134" s="413"/>
    </row>
    <row r="135" spans="3:9" x14ac:dyDescent="0.2">
      <c r="I135" s="413"/>
    </row>
    <row r="136" spans="3:9" x14ac:dyDescent="0.2">
      <c r="I136" s="413"/>
    </row>
    <row r="137" spans="3:9" x14ac:dyDescent="0.2">
      <c r="I137" s="413"/>
    </row>
    <row r="138" spans="3:9" x14ac:dyDescent="0.2">
      <c r="I138" s="413"/>
    </row>
  </sheetData>
  <mergeCells count="3">
    <mergeCell ref="A1:O1"/>
    <mergeCell ref="A2:O2"/>
    <mergeCell ref="A4:B4"/>
  </mergeCells>
  <hyperlinks>
    <hyperlink ref="A29" location="'indice cap.1'!A1" display="regresar al índice" xr:uid="{00000000-0004-0000-0100-000000000000}"/>
  </hyperlinks>
  <pageMargins left="0" right="0" top="0.98425196850393704" bottom="0" header="0" footer="0"/>
  <pageSetup paperSize="9"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7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12" sqref="N12"/>
    </sheetView>
  </sheetViews>
  <sheetFormatPr defaultColWidth="8" defaultRowHeight="12.75" x14ac:dyDescent="0.2"/>
  <cols>
    <col min="1" max="1" width="65" style="22" customWidth="1"/>
    <col min="2" max="28" width="10.7109375" style="22" customWidth="1"/>
    <col min="29" max="16384" width="8" style="22"/>
  </cols>
  <sheetData>
    <row r="1" spans="1:29" ht="12" customHeight="1" x14ac:dyDescent="0.2">
      <c r="A1" s="493" t="s">
        <v>903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02"/>
      <c r="Y1" s="402"/>
      <c r="Z1" s="402"/>
      <c r="AA1" s="402"/>
      <c r="AB1" s="402"/>
    </row>
    <row r="2" spans="1:29" ht="12" customHeight="1" x14ac:dyDescent="0.2">
      <c r="A2" s="493" t="s">
        <v>3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02"/>
      <c r="Y2" s="402"/>
      <c r="Z2" s="402"/>
      <c r="AA2" s="402"/>
      <c r="AB2" s="402"/>
    </row>
    <row r="3" spans="1:29" ht="12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9" s="37" customFormat="1" ht="30" customHeight="1" x14ac:dyDescent="0.25">
      <c r="A4" s="391" t="s">
        <v>45</v>
      </c>
      <c r="B4" s="35">
        <v>33238</v>
      </c>
      <c r="C4" s="35">
        <v>33603</v>
      </c>
      <c r="D4" s="35">
        <v>33969</v>
      </c>
      <c r="E4" s="35">
        <v>34334</v>
      </c>
      <c r="F4" s="35">
        <v>34699</v>
      </c>
      <c r="G4" s="35">
        <v>35064</v>
      </c>
      <c r="H4" s="35">
        <v>35430</v>
      </c>
      <c r="I4" s="35">
        <v>35795</v>
      </c>
      <c r="J4" s="35">
        <v>36160</v>
      </c>
      <c r="K4" s="35">
        <v>36525</v>
      </c>
      <c r="L4" s="35">
        <v>36891</v>
      </c>
      <c r="M4" s="35">
        <v>37256</v>
      </c>
      <c r="N4" s="35">
        <v>37621</v>
      </c>
      <c r="O4" s="35">
        <v>37986</v>
      </c>
      <c r="P4" s="35">
        <v>38352</v>
      </c>
      <c r="Q4" s="35">
        <v>38717</v>
      </c>
      <c r="R4" s="35">
        <v>39082</v>
      </c>
      <c r="S4" s="35">
        <v>39447</v>
      </c>
      <c r="T4" s="35">
        <v>39813</v>
      </c>
      <c r="U4" s="35">
        <v>40178</v>
      </c>
      <c r="V4" s="35">
        <v>40543</v>
      </c>
      <c r="W4" s="36">
        <v>40908</v>
      </c>
      <c r="X4" s="35">
        <v>41274</v>
      </c>
      <c r="Y4" s="36">
        <v>41639</v>
      </c>
      <c r="Z4" s="35">
        <v>42004</v>
      </c>
      <c r="AA4" s="36">
        <v>42369</v>
      </c>
      <c r="AB4" s="35">
        <v>42735</v>
      </c>
    </row>
    <row r="5" spans="1:29" s="24" customFormat="1" ht="12" customHeight="1" x14ac:dyDescent="0.2">
      <c r="A5" s="2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9" s="24" customFormat="1" ht="12" customHeight="1" x14ac:dyDescent="0.2">
      <c r="A6" s="38" t="s">
        <v>4</v>
      </c>
      <c r="B6" s="39">
        <v>390</v>
      </c>
      <c r="C6" s="39">
        <v>390</v>
      </c>
      <c r="D6" s="39">
        <v>390</v>
      </c>
      <c r="E6" s="39">
        <v>2029</v>
      </c>
      <c r="F6" s="39">
        <v>2297</v>
      </c>
      <c r="G6" s="39">
        <v>2922</v>
      </c>
      <c r="H6" s="39">
        <v>3627</v>
      </c>
      <c r="I6" s="39">
        <v>4438</v>
      </c>
      <c r="J6" s="39">
        <v>6521</v>
      </c>
      <c r="K6" s="39">
        <v>18287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9" ht="12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9" ht="12" customHeight="1" x14ac:dyDescent="0.2">
      <c r="A8" s="41" t="s">
        <v>5</v>
      </c>
      <c r="B8" s="42">
        <v>-2874.1153846153843</v>
      </c>
      <c r="C8" s="42">
        <v>-3746.6538461538462</v>
      </c>
      <c r="D8" s="42">
        <v>-3440.6538461538466</v>
      </c>
      <c r="E8" s="42">
        <v>-2769.1350418925576</v>
      </c>
      <c r="F8" s="42">
        <v>-2323.2916848062696</v>
      </c>
      <c r="G8" s="42">
        <v>1293.8975953410904</v>
      </c>
      <c r="H8" s="42">
        <v>1750.5510094222423</v>
      </c>
      <c r="I8" s="42">
        <v>1982.1836465971812</v>
      </c>
      <c r="J8" s="42">
        <v>1282.895448834186</v>
      </c>
      <c r="K8" s="42">
        <v>808.75</v>
      </c>
      <c r="L8" s="42">
        <v>989.99</v>
      </c>
      <c r="M8" s="42">
        <v>993.26102399999991</v>
      </c>
      <c r="N8" s="42">
        <v>1163.1229410000001</v>
      </c>
      <c r="O8" s="42">
        <v>1564.5077809999998</v>
      </c>
      <c r="P8" s="42">
        <v>1976.08</v>
      </c>
      <c r="Q8" s="42">
        <v>2851.4671980000003</v>
      </c>
      <c r="R8" s="42">
        <v>3680.23</v>
      </c>
      <c r="S8" s="42">
        <v>4592.58</v>
      </c>
      <c r="T8" s="42">
        <v>5872.1684399999995</v>
      </c>
      <c r="U8" s="42">
        <v>4982.1396629999999</v>
      </c>
      <c r="V8" s="42">
        <v>3856.0156569999999</v>
      </c>
      <c r="W8" s="42">
        <v>4584.486637</v>
      </c>
      <c r="X8" s="42">
        <v>4659.1539920000005</v>
      </c>
      <c r="Y8" s="42">
        <v>5215.5999700000002</v>
      </c>
      <c r="Z8" s="42">
        <v>4535.6635619999997</v>
      </c>
      <c r="AA8" s="42">
        <v>2964.113096</v>
      </c>
      <c r="AB8" s="42">
        <v>4434.9764199999991</v>
      </c>
      <c r="AC8" s="485"/>
    </row>
    <row r="9" spans="1:29" ht="12" customHeight="1" x14ac:dyDescent="0.2">
      <c r="A9" s="41" t="s">
        <v>902</v>
      </c>
      <c r="B9" s="42">
        <v>371.84102564102557</v>
      </c>
      <c r="C9" s="42">
        <v>531.15384615384608</v>
      </c>
      <c r="D9" s="42">
        <v>631.00512820512824</v>
      </c>
      <c r="E9" s="42">
        <v>1093.3494332183343</v>
      </c>
      <c r="F9" s="42">
        <v>1541.5807575097954</v>
      </c>
      <c r="G9" s="42">
        <v>1364.0444125895503</v>
      </c>
      <c r="H9" s="42">
        <v>1583.4663380685065</v>
      </c>
      <c r="I9" s="42">
        <v>1762.614544073522</v>
      </c>
      <c r="J9" s="42">
        <v>1252.5281837053424</v>
      </c>
      <c r="K9" s="42">
        <v>872.66</v>
      </c>
      <c r="L9" s="42">
        <v>1179.69</v>
      </c>
      <c r="M9" s="42">
        <v>1073.806646</v>
      </c>
      <c r="N9" s="42">
        <v>1007.9871900000001</v>
      </c>
      <c r="O9" s="42">
        <v>1160.3997019999999</v>
      </c>
      <c r="P9" s="42">
        <v>1437.32</v>
      </c>
      <c r="Q9" s="42">
        <v>2146.8973790000005</v>
      </c>
      <c r="R9" s="42">
        <v>2023.3500000000001</v>
      </c>
      <c r="S9" s="42">
        <v>3520.83</v>
      </c>
      <c r="T9" s="42">
        <v>4473.0690239999994</v>
      </c>
      <c r="U9" s="42">
        <v>3792.0509430000002</v>
      </c>
      <c r="V9" s="42">
        <v>2622.0537079999999</v>
      </c>
      <c r="W9" s="42">
        <v>2957.6202840000001</v>
      </c>
      <c r="X9" s="42">
        <v>2482.528069</v>
      </c>
      <c r="Y9" s="42">
        <v>4360.5216580000006</v>
      </c>
      <c r="Z9" s="42">
        <v>3949.0695749999995</v>
      </c>
      <c r="AA9" s="42">
        <v>2495.9566260000001</v>
      </c>
      <c r="AB9" s="42">
        <v>4258.8499459999994</v>
      </c>
    </row>
    <row r="10" spans="1:29" ht="12" customHeight="1" x14ac:dyDescent="0.2">
      <c r="A10" s="43" t="s">
        <v>6</v>
      </c>
      <c r="B10" s="42">
        <v>-3245.95641025641</v>
      </c>
      <c r="C10" s="42">
        <v>-4277.8076923076924</v>
      </c>
      <c r="D10" s="42">
        <v>-4071.6589743589748</v>
      </c>
      <c r="E10" s="42">
        <v>-3862.4844751108917</v>
      </c>
      <c r="F10" s="42">
        <v>-3864.8724423160647</v>
      </c>
      <c r="G10" s="42">
        <v>-70.146817248459996</v>
      </c>
      <c r="H10" s="42">
        <v>167.08467135373579</v>
      </c>
      <c r="I10" s="42">
        <v>219.56910252365927</v>
      </c>
      <c r="J10" s="42">
        <v>30.367265128843769</v>
      </c>
      <c r="K10" s="42">
        <v>-63.909999999999854</v>
      </c>
      <c r="L10" s="42">
        <v>-189.7</v>
      </c>
      <c r="M10" s="42">
        <v>-80.545622000000037</v>
      </c>
      <c r="N10" s="42">
        <v>155.13575100000003</v>
      </c>
      <c r="O10" s="42">
        <v>404.10807899999998</v>
      </c>
      <c r="P10" s="42">
        <v>538.75999999999988</v>
      </c>
      <c r="Q10" s="42">
        <v>704.56981899999994</v>
      </c>
      <c r="R10" s="42">
        <v>1656.8799999999999</v>
      </c>
      <c r="S10" s="42">
        <v>1071.75</v>
      </c>
      <c r="T10" s="42">
        <v>1399.099416</v>
      </c>
      <c r="U10" s="42">
        <v>1190.08872</v>
      </c>
      <c r="V10" s="42">
        <v>1233.961949</v>
      </c>
      <c r="W10" s="42">
        <v>1626.8663529999999</v>
      </c>
      <c r="X10" s="42">
        <v>2176.6259230000005</v>
      </c>
      <c r="Y10" s="42">
        <v>855.07831199999998</v>
      </c>
      <c r="Z10" s="42">
        <v>586.59398699999997</v>
      </c>
      <c r="AA10" s="42">
        <v>468.1564699999999</v>
      </c>
      <c r="AB10" s="42">
        <v>176.12647400000009</v>
      </c>
    </row>
    <row r="11" spans="1:29" ht="12" customHeight="1" x14ac:dyDescent="0.2">
      <c r="A11" s="44" t="s">
        <v>615</v>
      </c>
      <c r="B11" s="45">
        <v>248.2717948717949</v>
      </c>
      <c r="C11" s="45">
        <v>249.12307692307689</v>
      </c>
      <c r="D11" s="45">
        <v>185.11025641025643</v>
      </c>
      <c r="E11" s="45">
        <v>179.09216362740264</v>
      </c>
      <c r="F11" s="45">
        <v>183.78537222464084</v>
      </c>
      <c r="G11" s="45">
        <v>197.36379192334019</v>
      </c>
      <c r="H11" s="45">
        <v>398.74177750206775</v>
      </c>
      <c r="I11" s="45">
        <v>413.5223866606579</v>
      </c>
      <c r="J11" s="45">
        <v>410.5800722136467</v>
      </c>
      <c r="K11" s="45">
        <v>408.52</v>
      </c>
      <c r="L11" s="45">
        <v>310.27</v>
      </c>
      <c r="M11" s="45">
        <v>315.36649300000005</v>
      </c>
      <c r="N11" s="45">
        <v>430.51970200000005</v>
      </c>
      <c r="O11" s="45">
        <v>534.78540799999996</v>
      </c>
      <c r="P11" s="45">
        <v>592.8599999999999</v>
      </c>
      <c r="Q11" s="45">
        <v>711.59303299999999</v>
      </c>
      <c r="R11" s="45">
        <v>1661.82</v>
      </c>
      <c r="S11" s="45">
        <v>1075.95</v>
      </c>
      <c r="T11" s="45">
        <v>1402.785969</v>
      </c>
      <c r="U11" s="45">
        <v>1197.711736</v>
      </c>
      <c r="V11" s="45">
        <v>1246.1260179999999</v>
      </c>
      <c r="W11" s="45">
        <v>1631.2918729999999</v>
      </c>
      <c r="X11" s="45">
        <v>2184.2341650000003</v>
      </c>
      <c r="Y11" s="45">
        <v>858.85844299999997</v>
      </c>
      <c r="Z11" s="45">
        <v>588.90943800000002</v>
      </c>
      <c r="AA11" s="45">
        <v>470.80445399999991</v>
      </c>
      <c r="AB11" s="45">
        <v>530.42450300000007</v>
      </c>
    </row>
    <row r="12" spans="1:29" ht="12" customHeight="1" x14ac:dyDescent="0.2">
      <c r="A12" s="44" t="s">
        <v>614</v>
      </c>
      <c r="B12" s="46">
        <v>3494.228205128205</v>
      </c>
      <c r="C12" s="46">
        <v>4526.9307692307693</v>
      </c>
      <c r="D12" s="46">
        <v>4256.7692307692314</v>
      </c>
      <c r="E12" s="46">
        <v>4041.5766387382942</v>
      </c>
      <c r="F12" s="46">
        <v>4048.6578145407057</v>
      </c>
      <c r="G12" s="46">
        <v>267.51060917180018</v>
      </c>
      <c r="H12" s="46">
        <v>231.65710614833196</v>
      </c>
      <c r="I12" s="46">
        <v>193.95328413699863</v>
      </c>
      <c r="J12" s="46">
        <v>380.21280708480293</v>
      </c>
      <c r="K12" s="46">
        <v>472.43</v>
      </c>
      <c r="L12" s="46">
        <v>499.97</v>
      </c>
      <c r="M12" s="46">
        <v>395.91211500000009</v>
      </c>
      <c r="N12" s="46">
        <v>275.38395100000002</v>
      </c>
      <c r="O12" s="46">
        <v>130.67732900000001</v>
      </c>
      <c r="P12" s="46">
        <v>54.1</v>
      </c>
      <c r="Q12" s="46">
        <v>7.0232140000000003</v>
      </c>
      <c r="R12" s="46">
        <v>4.9400000000000004</v>
      </c>
      <c r="S12" s="46">
        <v>4.2</v>
      </c>
      <c r="T12" s="46">
        <v>3.686553</v>
      </c>
      <c r="U12" s="46">
        <v>7.6230159999999998</v>
      </c>
      <c r="V12" s="46">
        <v>12.164069</v>
      </c>
      <c r="W12" s="46">
        <v>4.4255199999999997</v>
      </c>
      <c r="X12" s="46">
        <v>7.6082420000000006</v>
      </c>
      <c r="Y12" s="46">
        <v>3.7801309999999999</v>
      </c>
      <c r="Z12" s="46">
        <v>2.3154509999999999</v>
      </c>
      <c r="AA12" s="46">
        <v>2.6479840000000001</v>
      </c>
      <c r="AB12" s="46">
        <v>354.29802899999999</v>
      </c>
    </row>
    <row r="13" spans="1:29" ht="12" customHeight="1" x14ac:dyDescent="0.2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9" ht="12" customHeight="1" x14ac:dyDescent="0.2">
      <c r="A14" s="43" t="s">
        <v>7</v>
      </c>
      <c r="B14" s="42">
        <v>5091.7666666666673</v>
      </c>
      <c r="C14" s="42">
        <v>6711.0743589743597</v>
      </c>
      <c r="D14" s="42">
        <v>7922.8589743589737</v>
      </c>
      <c r="E14" s="42">
        <v>4185.8659438146869</v>
      </c>
      <c r="F14" s="42">
        <v>3796.6978667827607</v>
      </c>
      <c r="G14" s="42">
        <v>-41.40204434861937</v>
      </c>
      <c r="H14" s="42">
        <v>-438.92610244678087</v>
      </c>
      <c r="I14" s="42">
        <v>-612.7080918393126</v>
      </c>
      <c r="J14" s="42">
        <v>91.446369905270785</v>
      </c>
      <c r="K14" s="42">
        <v>445.71</v>
      </c>
      <c r="L14" s="42">
        <v>-509.72</v>
      </c>
      <c r="M14" s="42">
        <v>-380.24412200000017</v>
      </c>
      <c r="N14" s="42">
        <v>-629.98471500000016</v>
      </c>
      <c r="O14" s="42">
        <v>-923.85874999999987</v>
      </c>
      <c r="P14" s="42">
        <v>-1238.1999999999998</v>
      </c>
      <c r="Q14" s="42">
        <v>-1771.4152729999994</v>
      </c>
      <c r="R14" s="42">
        <v>-2471.3199999999997</v>
      </c>
      <c r="S14" s="42">
        <v>-2966.96</v>
      </c>
      <c r="T14" s="42">
        <v>-3299.7170980000001</v>
      </c>
      <c r="U14" s="42">
        <v>-2072.0109040000002</v>
      </c>
      <c r="V14" s="42">
        <v>-1175.1376560000001</v>
      </c>
      <c r="W14" s="42">
        <v>-1733.0294740000002</v>
      </c>
      <c r="X14" s="42">
        <v>-735.48102900000026</v>
      </c>
      <c r="Y14" s="42">
        <v>500.20956800000044</v>
      </c>
      <c r="Z14" s="42">
        <v>1320.9634390000001</v>
      </c>
      <c r="AA14" s="42">
        <v>1747.152597</v>
      </c>
      <c r="AB14" s="42">
        <v>3917.9448419999999</v>
      </c>
    </row>
    <row r="15" spans="1:29" ht="12" customHeight="1" x14ac:dyDescent="0.2">
      <c r="A15" s="47" t="s">
        <v>8</v>
      </c>
      <c r="B15" s="48">
        <v>818.74358974358972</v>
      </c>
      <c r="C15" s="48">
        <v>1620.1179487179486</v>
      </c>
      <c r="D15" s="48">
        <v>6723.3538461538456</v>
      </c>
      <c r="E15" s="48">
        <v>3470.1020206998519</v>
      </c>
      <c r="F15" s="48">
        <v>3256.9116238572055</v>
      </c>
      <c r="G15" s="48">
        <v>-245.84668035592065</v>
      </c>
      <c r="H15" s="48">
        <v>-248.39805155776128</v>
      </c>
      <c r="I15" s="48">
        <v>-252.36483866259087</v>
      </c>
      <c r="J15" s="48">
        <v>874.22159178040158</v>
      </c>
      <c r="K15" s="48">
        <v>1513.47</v>
      </c>
      <c r="L15" s="48">
        <v>704.37</v>
      </c>
      <c r="M15" s="48">
        <v>825.0405199999999</v>
      </c>
      <c r="N15" s="48">
        <v>650.58764399999984</v>
      </c>
      <c r="O15" s="48">
        <v>359.01570300000009</v>
      </c>
      <c r="P15" s="48">
        <v>114.72000000000004</v>
      </c>
      <c r="Q15" s="48">
        <v>-329.73179399999964</v>
      </c>
      <c r="R15" s="48">
        <v>-819.28999999999974</v>
      </c>
      <c r="S15" s="48">
        <v>-1086.8000000000002</v>
      </c>
      <c r="T15" s="48">
        <v>-2473.019659</v>
      </c>
      <c r="U15" s="48">
        <v>-1386.6480490000001</v>
      </c>
      <c r="V15" s="48">
        <v>-212.34799200000003</v>
      </c>
      <c r="W15" s="48">
        <v>-407.5265629999999</v>
      </c>
      <c r="X15" s="48">
        <v>375.52086299999991</v>
      </c>
      <c r="Y15" s="48">
        <v>1275.6336080000001</v>
      </c>
      <c r="Z15" s="48">
        <v>2004.7633959999998</v>
      </c>
      <c r="AA15" s="48">
        <v>2266.6757369999996</v>
      </c>
      <c r="AB15" s="48">
        <v>4645.9966039999999</v>
      </c>
    </row>
    <row r="16" spans="1:29" ht="12" customHeight="1" x14ac:dyDescent="0.2">
      <c r="A16" s="47" t="s">
        <v>599</v>
      </c>
      <c r="B16" s="48">
        <v>336.33076923076919</v>
      </c>
      <c r="C16" s="48">
        <v>1247.7743589743591</v>
      </c>
      <c r="D16" s="48">
        <v>6145.3256410256399</v>
      </c>
      <c r="E16" s="48">
        <v>3373.7368161655986</v>
      </c>
      <c r="F16" s="48">
        <v>3245.2198519808449</v>
      </c>
      <c r="G16" s="48">
        <v>-497.69561943874061</v>
      </c>
      <c r="H16" s="48">
        <v>-540.4272197408327</v>
      </c>
      <c r="I16" s="48">
        <v>-487.79359463722403</v>
      </c>
      <c r="J16" s="48">
        <v>-85.559116699892741</v>
      </c>
      <c r="K16" s="48">
        <v>1094.78</v>
      </c>
      <c r="L16" s="48">
        <v>597.41</v>
      </c>
      <c r="M16" s="48">
        <v>757.40454199999988</v>
      </c>
      <c r="N16" s="48">
        <v>646.41194899999982</v>
      </c>
      <c r="O16" s="48">
        <v>715.92767400000002</v>
      </c>
      <c r="P16" s="48">
        <v>713.73</v>
      </c>
      <c r="Q16" s="48">
        <v>117.85951300000033</v>
      </c>
      <c r="R16" s="48">
        <v>-374.97999999999979</v>
      </c>
      <c r="S16" s="48">
        <v>-384.35000000000014</v>
      </c>
      <c r="T16" s="48">
        <v>-1081.0093539999998</v>
      </c>
      <c r="U16" s="48">
        <v>-825.00535400000012</v>
      </c>
      <c r="V16" s="48">
        <v>-896.79842799999994</v>
      </c>
      <c r="W16" s="48">
        <v>-1417.8898059999997</v>
      </c>
      <c r="X16" s="48">
        <v>-1267.0200729999999</v>
      </c>
      <c r="Y16" s="48">
        <v>-981.08822400000008</v>
      </c>
      <c r="Z16" s="48">
        <v>92.036632000000168</v>
      </c>
      <c r="AA16" s="48">
        <v>614.00496599999997</v>
      </c>
      <c r="AB16" s="48">
        <v>2839.6017519999996</v>
      </c>
    </row>
    <row r="17" spans="1:28" ht="12" customHeight="1" x14ac:dyDescent="0.2">
      <c r="A17" s="47" t="s">
        <v>9</v>
      </c>
      <c r="B17" s="48">
        <v>1668</v>
      </c>
      <c r="C17" s="48">
        <v>2486.7410256410258</v>
      </c>
      <c r="D17" s="48">
        <v>8155.041025641025</v>
      </c>
      <c r="E17" s="48">
        <v>4029.7644159684573</v>
      </c>
      <c r="F17" s="48">
        <v>4048.641271223335</v>
      </c>
      <c r="G17" s="48">
        <v>247.89472963723478</v>
      </c>
      <c r="H17" s="48">
        <v>258.75630465949826</v>
      </c>
      <c r="I17" s="48">
        <v>197.48470932852635</v>
      </c>
      <c r="J17" s="48">
        <v>302.97408372948934</v>
      </c>
      <c r="K17" s="48">
        <v>1479.22</v>
      </c>
      <c r="L17" s="48">
        <v>1424.95</v>
      </c>
      <c r="M17" s="48">
        <v>1278.7611419999998</v>
      </c>
      <c r="N17" s="48">
        <v>1103.6850579999998</v>
      </c>
      <c r="O17" s="48">
        <v>1244.321089</v>
      </c>
      <c r="P17" s="48">
        <v>1155.42</v>
      </c>
      <c r="Q17" s="48">
        <v>1146.9366600000003</v>
      </c>
      <c r="R17" s="48">
        <v>1168.9000000000001</v>
      </c>
      <c r="S17" s="48">
        <v>1168.32</v>
      </c>
      <c r="T17" s="48">
        <v>15.644600000000001</v>
      </c>
      <c r="U17" s="48">
        <v>69.137647000000001</v>
      </c>
      <c r="V17" s="48">
        <v>58.478180000000002</v>
      </c>
      <c r="W17" s="48">
        <v>61.105058</v>
      </c>
      <c r="X17" s="48">
        <v>70.379211999999995</v>
      </c>
      <c r="Y17" s="48">
        <v>70.625290000000007</v>
      </c>
      <c r="Z17" s="48">
        <v>903.33677200000011</v>
      </c>
      <c r="AA17" s="48">
        <v>1314.257134</v>
      </c>
      <c r="AB17" s="48">
        <v>4311.3759579999996</v>
      </c>
    </row>
    <row r="18" spans="1:28" ht="12" customHeight="1" x14ac:dyDescent="0.2">
      <c r="A18" s="47" t="s">
        <v>11</v>
      </c>
      <c r="B18" s="48">
        <v>1331.6692307692308</v>
      </c>
      <c r="C18" s="48">
        <v>1238.9666666666667</v>
      </c>
      <c r="D18" s="48">
        <v>2009.7153846153847</v>
      </c>
      <c r="E18" s="48">
        <v>656.0275998028585</v>
      </c>
      <c r="F18" s="48">
        <v>803.42141924249017</v>
      </c>
      <c r="G18" s="48">
        <v>745.59034907597538</v>
      </c>
      <c r="H18" s="48">
        <v>799.18352440033095</v>
      </c>
      <c r="I18" s="48">
        <v>685.27830396575041</v>
      </c>
      <c r="J18" s="48">
        <v>388.53320042938208</v>
      </c>
      <c r="K18" s="48">
        <v>384.44</v>
      </c>
      <c r="L18" s="48">
        <v>827.54</v>
      </c>
      <c r="M18" s="48">
        <v>521.35659999999996</v>
      </c>
      <c r="N18" s="48">
        <v>457.27310899999998</v>
      </c>
      <c r="O18" s="48">
        <v>528.393415</v>
      </c>
      <c r="P18" s="48">
        <v>441.69000000000005</v>
      </c>
      <c r="Q18" s="48">
        <v>1029.077147</v>
      </c>
      <c r="R18" s="48">
        <v>1543.8799999999999</v>
      </c>
      <c r="S18" s="48">
        <v>1552.67</v>
      </c>
      <c r="T18" s="48">
        <v>1096.6539539999999</v>
      </c>
      <c r="U18" s="48">
        <v>894.14300100000014</v>
      </c>
      <c r="V18" s="48">
        <v>955.2766079999999</v>
      </c>
      <c r="W18" s="48">
        <v>1478.9948639999998</v>
      </c>
      <c r="X18" s="48">
        <v>1337.399285</v>
      </c>
      <c r="Y18" s="48">
        <v>1051.713514</v>
      </c>
      <c r="Z18" s="48">
        <v>811.30013999999994</v>
      </c>
      <c r="AA18" s="48">
        <v>700.25216799999998</v>
      </c>
      <c r="AB18" s="48">
        <v>1471.774206</v>
      </c>
    </row>
    <row r="19" spans="1:28" ht="12" customHeight="1" x14ac:dyDescent="0.2">
      <c r="A19" s="49" t="s">
        <v>12</v>
      </c>
      <c r="B19" s="48">
        <v>733.22820512820522</v>
      </c>
      <c r="C19" s="48">
        <v>482.50512820512813</v>
      </c>
      <c r="D19" s="48">
        <v>1061.3410256410257</v>
      </c>
      <c r="E19" s="48">
        <v>240.41251848201085</v>
      </c>
      <c r="F19" s="48">
        <v>357.76752285589902</v>
      </c>
      <c r="G19" s="48">
        <v>346.19267624914448</v>
      </c>
      <c r="H19" s="48">
        <v>281.09030796801773</v>
      </c>
      <c r="I19" s="48">
        <v>204.55289477242002</v>
      </c>
      <c r="J19" s="48">
        <v>111.55472350866431</v>
      </c>
      <c r="K19" s="48">
        <v>102.56</v>
      </c>
      <c r="L19" s="48">
        <v>474.71</v>
      </c>
      <c r="M19" s="48">
        <v>214.20676099999997</v>
      </c>
      <c r="N19" s="48">
        <v>202.37732299999999</v>
      </c>
      <c r="O19" s="48">
        <v>204.809101</v>
      </c>
      <c r="P19" s="48">
        <v>265.18</v>
      </c>
      <c r="Q19" s="48">
        <v>746.959337</v>
      </c>
      <c r="R19" s="48">
        <v>541.9799999999999</v>
      </c>
      <c r="S19" s="48">
        <v>725.34</v>
      </c>
      <c r="T19" s="48">
        <v>423.85341799999998</v>
      </c>
      <c r="U19" s="48">
        <v>397.76047600000004</v>
      </c>
      <c r="V19" s="48">
        <v>551.80233099999998</v>
      </c>
      <c r="W19" s="48">
        <v>974.55676199999994</v>
      </c>
      <c r="X19" s="48">
        <v>582.870541</v>
      </c>
      <c r="Y19" s="48">
        <v>431.71476699999999</v>
      </c>
      <c r="Z19" s="48">
        <v>251.02192099999999</v>
      </c>
      <c r="AA19" s="48">
        <v>117.85968800000001</v>
      </c>
      <c r="AB19" s="48">
        <v>491.12522300000001</v>
      </c>
    </row>
    <row r="20" spans="1:28" ht="12" customHeight="1" x14ac:dyDescent="0.2">
      <c r="A20" s="49" t="s">
        <v>613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197.34</v>
      </c>
      <c r="I20" s="48">
        <v>194.43799999999999</v>
      </c>
      <c r="J20" s="48">
        <v>174.38178929612025</v>
      </c>
      <c r="K20" s="48">
        <v>172.92</v>
      </c>
      <c r="L20" s="48">
        <v>13.54</v>
      </c>
      <c r="M20" s="48">
        <v>13.540336999999999</v>
      </c>
      <c r="N20" s="48">
        <v>1.1644620000000001</v>
      </c>
      <c r="O20" s="48">
        <v>1.1644620000000001</v>
      </c>
      <c r="P20" s="48">
        <v>1.1599999999999999</v>
      </c>
      <c r="Q20" s="48">
        <v>1.1644620000000001</v>
      </c>
      <c r="R20" s="48">
        <v>1.1599999999999999</v>
      </c>
      <c r="S20" s="48">
        <v>1.1599999999999999</v>
      </c>
      <c r="T20" s="48">
        <v>1.1644620000000001</v>
      </c>
      <c r="U20" s="48">
        <v>1.1644620000000001</v>
      </c>
      <c r="V20" s="48">
        <v>1.1644620000000001</v>
      </c>
      <c r="W20" s="48">
        <v>1.1644620000000001</v>
      </c>
      <c r="X20" s="48">
        <v>1.1644620000000001</v>
      </c>
      <c r="Y20" s="48">
        <v>1.1644620000000001</v>
      </c>
      <c r="Z20" s="48">
        <v>1.1644620000000001</v>
      </c>
      <c r="AA20" s="48">
        <v>1.1644620000000001</v>
      </c>
      <c r="AB20" s="48">
        <v>1.1644620000000001</v>
      </c>
    </row>
    <row r="21" spans="1:28" ht="12" customHeight="1" x14ac:dyDescent="0.2">
      <c r="A21" s="49" t="s">
        <v>612</v>
      </c>
      <c r="B21" s="48">
        <v>137.4</v>
      </c>
      <c r="C21" s="48">
        <v>104.4076923076923</v>
      </c>
      <c r="D21" s="48">
        <v>132.74615384615385</v>
      </c>
      <c r="E21" s="48">
        <v>11.164613109906357</v>
      </c>
      <c r="F21" s="48">
        <v>46.679582063561163</v>
      </c>
      <c r="G21" s="48">
        <v>105.3021902806297</v>
      </c>
      <c r="H21" s="48">
        <v>89.919768403639367</v>
      </c>
      <c r="I21" s="48">
        <v>67.717214961694452</v>
      </c>
      <c r="J21" s="48">
        <v>15.31774267750345</v>
      </c>
      <c r="K21" s="48">
        <v>0.44</v>
      </c>
      <c r="L21" s="48">
        <v>57.38</v>
      </c>
      <c r="M21" s="48">
        <v>79.403428000000005</v>
      </c>
      <c r="N21" s="48">
        <v>45.945900999999999</v>
      </c>
      <c r="O21" s="48">
        <v>83.798316999999997</v>
      </c>
      <c r="P21" s="48">
        <v>1.45</v>
      </c>
      <c r="Q21" s="48">
        <v>3.158296</v>
      </c>
      <c r="R21" s="48">
        <v>780.2</v>
      </c>
      <c r="S21" s="48">
        <v>4.63</v>
      </c>
      <c r="T21" s="48">
        <v>1.541555</v>
      </c>
      <c r="U21" s="48">
        <v>1.962555</v>
      </c>
      <c r="V21" s="48">
        <v>1.50129</v>
      </c>
      <c r="W21" s="48">
        <v>13.271953999999999</v>
      </c>
      <c r="X21" s="48">
        <v>13.57714</v>
      </c>
      <c r="Y21" s="48">
        <v>48.555252000000003</v>
      </c>
      <c r="Z21" s="48">
        <v>48.902132999999999</v>
      </c>
      <c r="AA21" s="48">
        <v>49.560879999999997</v>
      </c>
      <c r="AB21" s="48">
        <v>40.289977999999998</v>
      </c>
    </row>
    <row r="22" spans="1:28" s="29" customFormat="1" ht="12" customHeight="1" x14ac:dyDescent="0.2">
      <c r="A22" s="49" t="s">
        <v>13</v>
      </c>
      <c r="B22" s="48">
        <v>461.04102564102561</v>
      </c>
      <c r="C22" s="48">
        <v>652.05384615384628</v>
      </c>
      <c r="D22" s="48">
        <v>815.6282051282052</v>
      </c>
      <c r="E22" s="48">
        <v>404.45046821094127</v>
      </c>
      <c r="F22" s="48">
        <v>398.97431432303006</v>
      </c>
      <c r="G22" s="48">
        <v>294.09548254620125</v>
      </c>
      <c r="H22" s="48">
        <v>230.83344802867384</v>
      </c>
      <c r="I22" s="48">
        <v>218.57019423163587</v>
      </c>
      <c r="J22" s="48">
        <v>87.278944947094004</v>
      </c>
      <c r="K22" s="48">
        <v>108.52</v>
      </c>
      <c r="L22" s="48">
        <v>281.91000000000003</v>
      </c>
      <c r="M22" s="48">
        <v>214.20607400000003</v>
      </c>
      <c r="N22" s="48">
        <v>207.78542300000004</v>
      </c>
      <c r="O22" s="48">
        <v>238.62153499999999</v>
      </c>
      <c r="P22" s="48">
        <v>173.9</v>
      </c>
      <c r="Q22" s="48">
        <v>277.795052</v>
      </c>
      <c r="R22" s="48">
        <v>220.54000000000002</v>
      </c>
      <c r="S22" s="48">
        <v>821.54000000000008</v>
      </c>
      <c r="T22" s="48">
        <v>670.09451899999999</v>
      </c>
      <c r="U22" s="48">
        <v>493.25550800000002</v>
      </c>
      <c r="V22" s="48">
        <v>400.80852499999997</v>
      </c>
      <c r="W22" s="48">
        <v>490.00168599999995</v>
      </c>
      <c r="X22" s="48">
        <v>739.78714200000002</v>
      </c>
      <c r="Y22" s="48">
        <v>570.27903299999991</v>
      </c>
      <c r="Z22" s="48">
        <v>510.21162399999997</v>
      </c>
      <c r="AA22" s="48">
        <v>531.66713799999991</v>
      </c>
      <c r="AB22" s="48">
        <v>939.19454299999995</v>
      </c>
    </row>
    <row r="23" spans="1:28" s="29" customFormat="1" ht="12" customHeight="1" x14ac:dyDescent="0.2">
      <c r="A23" s="49" t="s">
        <v>14</v>
      </c>
      <c r="B23" s="50" t="s">
        <v>10</v>
      </c>
      <c r="C23" s="50" t="s">
        <v>10</v>
      </c>
      <c r="D23" s="50" t="s">
        <v>10</v>
      </c>
      <c r="E23" s="50" t="s">
        <v>10</v>
      </c>
      <c r="F23" s="50" t="s">
        <v>10</v>
      </c>
      <c r="G23" s="50" t="s">
        <v>10</v>
      </c>
      <c r="H23" s="50" t="s">
        <v>10</v>
      </c>
      <c r="I23" s="50" t="s">
        <v>10</v>
      </c>
      <c r="J23" s="50" t="s">
        <v>10</v>
      </c>
      <c r="K23" s="50" t="s">
        <v>10</v>
      </c>
      <c r="L23" s="50" t="s">
        <v>10</v>
      </c>
      <c r="M23" s="50" t="s">
        <v>10</v>
      </c>
      <c r="N23" s="50" t="s">
        <v>10</v>
      </c>
      <c r="O23" s="51">
        <v>1.47</v>
      </c>
      <c r="P23" s="51">
        <v>2.6</v>
      </c>
      <c r="Q23" s="51">
        <v>1.8644769999999999</v>
      </c>
      <c r="R23" s="51">
        <v>1.45</v>
      </c>
      <c r="S23" s="51">
        <v>2.75</v>
      </c>
      <c r="T23" s="51">
        <v>2.599955</v>
      </c>
      <c r="U23" s="51">
        <v>2.4412189999999998</v>
      </c>
      <c r="V23" s="51">
        <v>2.2740100000000001</v>
      </c>
      <c r="W23" s="51">
        <v>2.0837500000000002</v>
      </c>
      <c r="X23" s="51">
        <v>1.8916280000000001</v>
      </c>
      <c r="Y23" s="51">
        <v>1.717384</v>
      </c>
      <c r="Z23" s="51">
        <v>1.4543889999999999</v>
      </c>
      <c r="AA23" s="51">
        <v>1.2230240000000001</v>
      </c>
      <c r="AB23" s="51">
        <v>0.97244399999999998</v>
      </c>
    </row>
    <row r="24" spans="1:28" s="29" customFormat="1" ht="12" customHeight="1" x14ac:dyDescent="0.2">
      <c r="A24" s="49" t="s">
        <v>851</v>
      </c>
      <c r="B24" s="48">
        <v>-107.55897435897435</v>
      </c>
      <c r="C24" s="48">
        <v>-233.91538461538462</v>
      </c>
      <c r="D24" s="48">
        <v>-139.75897435897437</v>
      </c>
      <c r="E24" s="48">
        <v>-33.078363725973389</v>
      </c>
      <c r="F24" s="48">
        <v>-61.868959512407493</v>
      </c>
      <c r="G24" s="48">
        <v>-14.72861054072553</v>
      </c>
      <c r="H24" s="48">
        <v>-13.683263303005239</v>
      </c>
      <c r="I24" s="48">
        <v>-7.864716538981523</v>
      </c>
      <c r="J24" s="48">
        <v>-2.66354853550069</v>
      </c>
      <c r="K24" s="48">
        <v>-7.59</v>
      </c>
      <c r="L24" s="48">
        <v>-113.18</v>
      </c>
      <c r="M24" s="48">
        <v>-313.64786399999997</v>
      </c>
      <c r="N24" s="48">
        <v>-406.82112900000004</v>
      </c>
      <c r="O24" s="48">
        <v>-548.26813099999993</v>
      </c>
      <c r="P24" s="48">
        <v>-777.17</v>
      </c>
      <c r="Q24" s="48">
        <v>-584.780395</v>
      </c>
      <c r="R24" s="48">
        <v>-580.24</v>
      </c>
      <c r="S24" s="48">
        <v>-855.91000000000008</v>
      </c>
      <c r="T24" s="48">
        <v>-1537.9507070000002</v>
      </c>
      <c r="U24" s="48">
        <v>-1229.799561</v>
      </c>
      <c r="V24" s="48">
        <v>-364.97366199999999</v>
      </c>
      <c r="W24" s="48">
        <v>-457.65333400000003</v>
      </c>
      <c r="X24" s="48">
        <v>-503.14355300000005</v>
      </c>
      <c r="Y24" s="48">
        <v>-508.13080599999995</v>
      </c>
      <c r="Z24" s="48">
        <v>-645.129549</v>
      </c>
      <c r="AA24" s="48">
        <v>-542.98333600000012</v>
      </c>
      <c r="AB24" s="48">
        <v>-405.63985599999995</v>
      </c>
    </row>
    <row r="25" spans="1:28" s="29" customFormat="1" ht="12" customHeight="1" x14ac:dyDescent="0.2">
      <c r="A25" s="47" t="s">
        <v>611</v>
      </c>
      <c r="B25" s="48">
        <v>415.47179487179488</v>
      </c>
      <c r="C25" s="48">
        <v>457.17435897435894</v>
      </c>
      <c r="D25" s="48">
        <v>491.34358974358975</v>
      </c>
      <c r="E25" s="48">
        <v>78.476589452932473</v>
      </c>
      <c r="F25" s="48">
        <v>15.509795385285155</v>
      </c>
      <c r="G25" s="48">
        <v>250.22847364818617</v>
      </c>
      <c r="H25" s="48">
        <v>289.03533912324235</v>
      </c>
      <c r="I25" s="48">
        <v>228.8682253301987</v>
      </c>
      <c r="J25" s="48">
        <v>944.03680417113935</v>
      </c>
      <c r="K25" s="48">
        <v>422.15</v>
      </c>
      <c r="L25" s="48">
        <v>212.31</v>
      </c>
      <c r="M25" s="48">
        <v>372.78849299999996</v>
      </c>
      <c r="N25" s="48">
        <v>396.20206300000001</v>
      </c>
      <c r="O25" s="48">
        <v>175.843401</v>
      </c>
      <c r="P25" s="48">
        <v>160.13999999999999</v>
      </c>
      <c r="Q25" s="48">
        <v>117.29364</v>
      </c>
      <c r="R25" s="48">
        <v>115.13999999999999</v>
      </c>
      <c r="S25" s="48">
        <v>109.89</v>
      </c>
      <c r="T25" s="48">
        <v>105.80812699999998</v>
      </c>
      <c r="U25" s="48">
        <v>625.42285500000003</v>
      </c>
      <c r="V25" s="48">
        <v>1011.8630189999999</v>
      </c>
      <c r="W25" s="48">
        <v>1433.3826299999998</v>
      </c>
      <c r="X25" s="48">
        <v>2107.7801239999999</v>
      </c>
      <c r="Y25" s="48">
        <v>2735.783684</v>
      </c>
      <c r="Z25" s="48">
        <v>2530.4488389999997</v>
      </c>
      <c r="AA25" s="48">
        <v>2167.1581169999999</v>
      </c>
      <c r="AB25" s="48">
        <v>2186.6655940000001</v>
      </c>
    </row>
    <row r="26" spans="1:28" ht="12" customHeight="1" x14ac:dyDescent="0.2">
      <c r="A26" s="47" t="s">
        <v>649</v>
      </c>
      <c r="B26" s="48">
        <v>399.80769230769232</v>
      </c>
      <c r="C26" s="48">
        <v>404.21538461538461</v>
      </c>
      <c r="D26" s="48">
        <v>481.22051282051279</v>
      </c>
      <c r="E26" s="48">
        <v>78.029571217348447</v>
      </c>
      <c r="F26" s="48">
        <v>15.472790596430126</v>
      </c>
      <c r="G26" s="48">
        <v>250.20725530458589</v>
      </c>
      <c r="H26" s="48">
        <v>289.02389716018746</v>
      </c>
      <c r="I26" s="48">
        <v>228.86536368080709</v>
      </c>
      <c r="J26" s="48">
        <v>944.03603741757399</v>
      </c>
      <c r="K26" s="48">
        <v>422.15</v>
      </c>
      <c r="L26" s="48">
        <v>187.75</v>
      </c>
      <c r="M26" s="48">
        <v>347.48819900000001</v>
      </c>
      <c r="N26" s="48">
        <v>369.54938900000002</v>
      </c>
      <c r="O26" s="48">
        <v>157.57952399999999</v>
      </c>
      <c r="P26" s="48">
        <v>151.07999999999998</v>
      </c>
      <c r="Q26" s="48">
        <v>115.707965</v>
      </c>
      <c r="R26" s="48">
        <v>114.98999999999998</v>
      </c>
      <c r="S26" s="48">
        <v>109.71</v>
      </c>
      <c r="T26" s="48">
        <v>105.62681099999999</v>
      </c>
      <c r="U26" s="48">
        <v>335.308179</v>
      </c>
      <c r="V26" s="48">
        <v>423.42574399999995</v>
      </c>
      <c r="W26" s="48">
        <v>704.29996499999993</v>
      </c>
      <c r="X26" s="48">
        <v>610.07958600000006</v>
      </c>
      <c r="Y26" s="48">
        <v>641.34832500000005</v>
      </c>
      <c r="Z26" s="48">
        <v>529.57364800000005</v>
      </c>
      <c r="AA26" s="48">
        <v>431.34772199999998</v>
      </c>
      <c r="AB26" s="48">
        <v>453.70527399999997</v>
      </c>
    </row>
    <row r="27" spans="1:28" ht="12" customHeight="1" x14ac:dyDescent="0.2">
      <c r="A27" s="52" t="s">
        <v>610</v>
      </c>
      <c r="B27" s="45">
        <v>350.81282051282051</v>
      </c>
      <c r="C27" s="45">
        <v>366.14871794871794</v>
      </c>
      <c r="D27" s="45">
        <v>452.72564102564098</v>
      </c>
      <c r="E27" s="45">
        <v>74.472153770330209</v>
      </c>
      <c r="F27" s="45">
        <v>13.80365694383979</v>
      </c>
      <c r="G27" s="45">
        <v>185.12696783025325</v>
      </c>
      <c r="H27" s="45">
        <v>133.87279818031431</v>
      </c>
      <c r="I27" s="45">
        <v>6.4993014871563753E-2</v>
      </c>
      <c r="J27" s="45">
        <v>522.6446863977917</v>
      </c>
      <c r="K27" s="45">
        <v>265.75</v>
      </c>
      <c r="L27" s="45">
        <v>164.09</v>
      </c>
      <c r="M27" s="45">
        <v>151.47762300000002</v>
      </c>
      <c r="N27" s="45">
        <v>97.089470000000006</v>
      </c>
      <c r="O27" s="45">
        <v>57.506081000000002</v>
      </c>
      <c r="P27" s="45">
        <v>58.35</v>
      </c>
      <c r="Q27" s="45">
        <v>23.970863000000001</v>
      </c>
      <c r="R27" s="45">
        <v>23.93</v>
      </c>
      <c r="S27" s="45">
        <v>18.75</v>
      </c>
      <c r="T27" s="45">
        <v>14.555043</v>
      </c>
      <c r="U27" s="45">
        <v>14.347104999999999</v>
      </c>
      <c r="V27" s="45">
        <v>14.552507</v>
      </c>
      <c r="W27" s="45">
        <v>14.474094000000001</v>
      </c>
      <c r="X27" s="45">
        <v>14.352961000000001</v>
      </c>
      <c r="Y27" s="45">
        <v>14.118730000000001</v>
      </c>
      <c r="Z27" s="45">
        <v>1.4042379999999999</v>
      </c>
      <c r="AA27" s="45">
        <v>1.435608</v>
      </c>
      <c r="AB27" s="45">
        <v>0.76360300000000003</v>
      </c>
    </row>
    <row r="28" spans="1:28" s="29" customFormat="1" ht="12" customHeight="1" x14ac:dyDescent="0.2">
      <c r="A28" s="52" t="s">
        <v>15</v>
      </c>
      <c r="B28" s="45">
        <v>48.994871794871798</v>
      </c>
      <c r="C28" s="45">
        <v>38.066666666666663</v>
      </c>
      <c r="D28" s="45">
        <v>28.494871794871798</v>
      </c>
      <c r="E28" s="45">
        <v>3.5574174470182358</v>
      </c>
      <c r="F28" s="45">
        <v>1.6691336525903351</v>
      </c>
      <c r="G28" s="45">
        <v>0.78028747433264889</v>
      </c>
      <c r="H28" s="45">
        <v>134.08663799283156</v>
      </c>
      <c r="I28" s="45">
        <v>200.65548558256464</v>
      </c>
      <c r="J28" s="45">
        <v>137.69789909523081</v>
      </c>
      <c r="K28" s="45">
        <v>48.65</v>
      </c>
      <c r="L28" s="45">
        <v>12.37</v>
      </c>
      <c r="M28" s="45">
        <v>12.36501</v>
      </c>
      <c r="N28" s="45">
        <v>111.25467399999999</v>
      </c>
      <c r="O28" s="45">
        <v>80</v>
      </c>
      <c r="P28" s="45">
        <v>76.38</v>
      </c>
      <c r="Q28" s="45">
        <v>80</v>
      </c>
      <c r="R28" s="45">
        <v>89.24</v>
      </c>
      <c r="S28" s="45">
        <v>89.24</v>
      </c>
      <c r="T28" s="45">
        <v>89.244394999999997</v>
      </c>
      <c r="U28" s="45">
        <v>319.244395</v>
      </c>
      <c r="V28" s="45">
        <v>380.82772799999998</v>
      </c>
      <c r="W28" s="45">
        <v>325</v>
      </c>
      <c r="X28" s="45">
        <v>553.77450999999996</v>
      </c>
      <c r="Y28" s="45">
        <v>585.08277900000007</v>
      </c>
      <c r="Z28" s="45">
        <v>483.26415400000002</v>
      </c>
      <c r="AA28" s="45">
        <v>387.5</v>
      </c>
      <c r="AB28" s="45">
        <v>317.83333299999998</v>
      </c>
    </row>
    <row r="29" spans="1:28" ht="12" customHeight="1" x14ac:dyDescent="0.2">
      <c r="A29" s="52" t="s">
        <v>608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64.3</v>
      </c>
      <c r="H29" s="45">
        <v>21.064460987041628</v>
      </c>
      <c r="I29" s="45">
        <v>28.144885083370887</v>
      </c>
      <c r="J29" s="45">
        <v>0</v>
      </c>
      <c r="K29" s="45">
        <v>60.26</v>
      </c>
      <c r="L29" s="45">
        <v>0</v>
      </c>
      <c r="M29" s="45">
        <v>50.237293999999999</v>
      </c>
      <c r="N29" s="45">
        <v>3.132444</v>
      </c>
      <c r="O29" s="45">
        <v>0.97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</row>
    <row r="30" spans="1:28" ht="12" customHeight="1" x14ac:dyDescent="0.2">
      <c r="A30" s="52" t="s">
        <v>609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283.69345192455143</v>
      </c>
      <c r="K30" s="45">
        <v>47.49</v>
      </c>
      <c r="L30" s="45">
        <v>11.29</v>
      </c>
      <c r="M30" s="45">
        <v>133.40827200000001</v>
      </c>
      <c r="N30" s="45">
        <v>158.072801</v>
      </c>
      <c r="O30" s="45">
        <v>19.103442999999999</v>
      </c>
      <c r="P30" s="45">
        <v>16.349999999999998</v>
      </c>
      <c r="Q30" s="45">
        <v>11.737102</v>
      </c>
      <c r="R30" s="45">
        <v>1.8199999999999998</v>
      </c>
      <c r="S30" s="45">
        <v>1.72</v>
      </c>
      <c r="T30" s="45">
        <v>1.8273730000000001</v>
      </c>
      <c r="U30" s="45">
        <v>1.7166790000000001</v>
      </c>
      <c r="V30" s="45">
        <v>28.045509000000003</v>
      </c>
      <c r="W30" s="45">
        <v>364.82587100000001</v>
      </c>
      <c r="X30" s="45">
        <v>41.952114999999999</v>
      </c>
      <c r="Y30" s="45">
        <v>42.146815999999994</v>
      </c>
      <c r="Z30" s="45">
        <v>44.905256000000001</v>
      </c>
      <c r="AA30" s="45">
        <v>42.412114000000003</v>
      </c>
      <c r="AB30" s="45">
        <v>135.108338</v>
      </c>
    </row>
    <row r="31" spans="1:28" s="29" customFormat="1" ht="12" customHeight="1" x14ac:dyDescent="0.2">
      <c r="A31" s="53" t="s">
        <v>607</v>
      </c>
      <c r="B31" s="48">
        <v>15.664102564102565</v>
      </c>
      <c r="C31" s="48">
        <v>52.958974358974359</v>
      </c>
      <c r="D31" s="48">
        <v>10.123076923076923</v>
      </c>
      <c r="E31" s="48">
        <v>0.44701823558403153</v>
      </c>
      <c r="F31" s="48">
        <v>3.7004788855028295E-2</v>
      </c>
      <c r="G31" s="48">
        <v>2.1218343600273786E-2</v>
      </c>
      <c r="H31" s="48">
        <v>1.1441963054866281E-2</v>
      </c>
      <c r="I31" s="48">
        <v>2.8616493916178458E-3</v>
      </c>
      <c r="J31" s="48">
        <v>0</v>
      </c>
      <c r="K31" s="48">
        <v>0</v>
      </c>
      <c r="L31" s="48">
        <v>24.56</v>
      </c>
      <c r="M31" s="48">
        <v>25.300294000000001</v>
      </c>
      <c r="N31" s="48">
        <v>26.652673999999998</v>
      </c>
      <c r="O31" s="48">
        <v>18.263877000000001</v>
      </c>
      <c r="P31" s="48">
        <v>9.06</v>
      </c>
      <c r="Q31" s="48">
        <v>1.5856750000000002</v>
      </c>
      <c r="R31" s="48">
        <v>0.15000000000000002</v>
      </c>
      <c r="S31" s="48">
        <v>0.18000000000000002</v>
      </c>
      <c r="T31" s="48">
        <v>0.181316</v>
      </c>
      <c r="U31" s="48">
        <v>290.11467599999997</v>
      </c>
      <c r="V31" s="48">
        <v>588.437275</v>
      </c>
      <c r="W31" s="48">
        <v>729.08266499999991</v>
      </c>
      <c r="X31" s="48">
        <v>1497.7005379999998</v>
      </c>
      <c r="Y31" s="48">
        <v>2094.4353590000001</v>
      </c>
      <c r="Z31" s="48">
        <v>2000.8751909999999</v>
      </c>
      <c r="AA31" s="48">
        <v>1735.810395</v>
      </c>
      <c r="AB31" s="48">
        <v>1732.9603199999999</v>
      </c>
    </row>
    <row r="32" spans="1:28" s="29" customFormat="1" ht="12" customHeight="1" x14ac:dyDescent="0.2">
      <c r="A32" s="53" t="s">
        <v>16</v>
      </c>
      <c r="B32" s="48">
        <v>174.5</v>
      </c>
      <c r="C32" s="48">
        <v>149.08461538461538</v>
      </c>
      <c r="D32" s="48">
        <v>226.44358974358974</v>
      </c>
      <c r="E32" s="48">
        <v>50.966978807294232</v>
      </c>
      <c r="F32" s="48">
        <v>58.050936003482803</v>
      </c>
      <c r="G32" s="48">
        <v>16.349075975359341</v>
      </c>
      <c r="H32" s="48">
        <v>16.677092362834298</v>
      </c>
      <c r="I32" s="48">
        <v>14.425247183415955</v>
      </c>
      <c r="J32" s="48">
        <v>18.40745284465573</v>
      </c>
      <c r="K32" s="48">
        <v>4.13</v>
      </c>
      <c r="L32" s="48">
        <v>7.83</v>
      </c>
      <c r="M32" s="48">
        <v>8.4953489999999992</v>
      </c>
      <c r="N32" s="48">
        <v>14.794761000000001</v>
      </c>
      <c r="O32" s="48">
        <v>14.042759</v>
      </c>
      <c r="P32" s="48">
        <v>15.420000000000002</v>
      </c>
      <c r="Q32" s="48">
        <v>18.030971000000001</v>
      </c>
      <c r="R32" s="48">
        <v>19.34</v>
      </c>
      <c r="S32" s="48">
        <v>40.82</v>
      </c>
      <c r="T32" s="48">
        <v>37.532319999999999</v>
      </c>
      <c r="U32" s="48">
        <v>40.292791999999999</v>
      </c>
      <c r="V32" s="48">
        <v>35.287068999999995</v>
      </c>
      <c r="W32" s="48">
        <v>32.550197000000004</v>
      </c>
      <c r="X32" s="48">
        <v>36.012737000000001</v>
      </c>
      <c r="Y32" s="48">
        <v>27.351569999999999</v>
      </c>
      <c r="Z32" s="48">
        <v>25.953084999999998</v>
      </c>
      <c r="AA32" s="48">
        <v>27.272966</v>
      </c>
      <c r="AB32" s="48">
        <v>24.396669999999997</v>
      </c>
    </row>
    <row r="33" spans="1:28" ht="12" customHeight="1" x14ac:dyDescent="0.2">
      <c r="A33" s="47" t="s">
        <v>17</v>
      </c>
      <c r="B33" s="42">
        <v>4273.0230769230775</v>
      </c>
      <c r="C33" s="42">
        <v>5090.9564102564109</v>
      </c>
      <c r="D33" s="42">
        <v>1199.5051282051284</v>
      </c>
      <c r="E33" s="42">
        <v>715.76392311483482</v>
      </c>
      <c r="F33" s="42">
        <v>539.78624292555514</v>
      </c>
      <c r="G33" s="42">
        <v>204.44463600730128</v>
      </c>
      <c r="H33" s="42">
        <v>-190.5280508890196</v>
      </c>
      <c r="I33" s="42">
        <v>-360.3432531767217</v>
      </c>
      <c r="J33" s="42">
        <v>-782.7752218751308</v>
      </c>
      <c r="K33" s="42">
        <v>-1067.76</v>
      </c>
      <c r="L33" s="42">
        <v>-1214.0899999999999</v>
      </c>
      <c r="M33" s="42">
        <v>-1205.2846420000001</v>
      </c>
      <c r="N33" s="42">
        <v>-1280.572359</v>
      </c>
      <c r="O33" s="42">
        <v>-1282.8744529999999</v>
      </c>
      <c r="P33" s="42">
        <v>-1352.9199999999998</v>
      </c>
      <c r="Q33" s="42">
        <v>-1441.6834789999998</v>
      </c>
      <c r="R33" s="42">
        <v>-1652.0300000000002</v>
      </c>
      <c r="S33" s="42">
        <v>-1880.1599999999999</v>
      </c>
      <c r="T33" s="42">
        <v>-826.69743900000003</v>
      </c>
      <c r="U33" s="42">
        <v>-685.36285500000008</v>
      </c>
      <c r="V33" s="42">
        <v>-962.78966400000013</v>
      </c>
      <c r="W33" s="42">
        <v>-1325.5029110000003</v>
      </c>
      <c r="X33" s="42">
        <v>-1111.0018920000002</v>
      </c>
      <c r="Y33" s="42">
        <v>-775.42403999999965</v>
      </c>
      <c r="Z33" s="42">
        <v>-683.79995699999972</v>
      </c>
      <c r="AA33" s="42">
        <v>-519.52313999999956</v>
      </c>
      <c r="AB33" s="42">
        <v>-728.05176200000005</v>
      </c>
    </row>
    <row r="34" spans="1:28" ht="12" customHeight="1" x14ac:dyDescent="0.2">
      <c r="A34" s="47" t="s">
        <v>605</v>
      </c>
      <c r="B34" s="42">
        <v>507.65128205128207</v>
      </c>
      <c r="C34" s="42">
        <v>564.78461538461534</v>
      </c>
      <c r="D34" s="42">
        <v>1528.7871794871796</v>
      </c>
      <c r="E34" s="42">
        <v>344.62148841793982</v>
      </c>
      <c r="F34" s="42">
        <v>363.74575533304312</v>
      </c>
      <c r="G34" s="42">
        <v>380.33299110198499</v>
      </c>
      <c r="H34" s="42">
        <v>190.2730035842294</v>
      </c>
      <c r="I34" s="42">
        <v>188.43230914826501</v>
      </c>
      <c r="J34" s="42">
        <v>122.91526468333079</v>
      </c>
      <c r="K34" s="42">
        <v>100.01</v>
      </c>
      <c r="L34" s="42">
        <v>317.93</v>
      </c>
      <c r="M34" s="42">
        <v>346.55375900000001</v>
      </c>
      <c r="N34" s="42">
        <v>335.502003</v>
      </c>
      <c r="O34" s="42">
        <v>493.41206499999998</v>
      </c>
      <c r="P34" s="42">
        <v>564.18000000000006</v>
      </c>
      <c r="Q34" s="42">
        <v>557.34635200000002</v>
      </c>
      <c r="R34" s="42">
        <v>572.16999999999996</v>
      </c>
      <c r="S34" s="42">
        <v>542</v>
      </c>
      <c r="T34" s="42">
        <v>589.365274</v>
      </c>
      <c r="U34" s="42">
        <v>521.38163200000008</v>
      </c>
      <c r="V34" s="42">
        <v>297.59733699999998</v>
      </c>
      <c r="W34" s="42">
        <v>341.37849200000005</v>
      </c>
      <c r="X34" s="42">
        <v>268.48901600000005</v>
      </c>
      <c r="Y34" s="42">
        <v>281.875675</v>
      </c>
      <c r="Z34" s="42">
        <v>280.451213</v>
      </c>
      <c r="AA34" s="42">
        <v>194.07933799999998</v>
      </c>
      <c r="AB34" s="42">
        <v>189.15581700000001</v>
      </c>
    </row>
    <row r="35" spans="1:28" s="29" customFormat="1" ht="12" customHeight="1" x14ac:dyDescent="0.2">
      <c r="A35" s="47" t="s">
        <v>606</v>
      </c>
      <c r="B35" s="42">
        <v>-3765.3717948717954</v>
      </c>
      <c r="C35" s="42">
        <v>-4526.1717948717951</v>
      </c>
      <c r="D35" s="42">
        <v>329.28205128205127</v>
      </c>
      <c r="E35" s="42">
        <v>-371.14243469689507</v>
      </c>
      <c r="F35" s="42">
        <v>-176.04048759251202</v>
      </c>
      <c r="G35" s="42">
        <v>175.8883550946837</v>
      </c>
      <c r="H35" s="42">
        <v>380.801054473249</v>
      </c>
      <c r="I35" s="42">
        <v>548.77556232498671</v>
      </c>
      <c r="J35" s="42">
        <v>905.69048655846154</v>
      </c>
      <c r="K35" s="42">
        <v>1167.77</v>
      </c>
      <c r="L35" s="42">
        <v>1532.02</v>
      </c>
      <c r="M35" s="42">
        <v>1551.838401</v>
      </c>
      <c r="N35" s="42">
        <v>1616.0743619999998</v>
      </c>
      <c r="O35" s="42">
        <v>1776.2865179999999</v>
      </c>
      <c r="P35" s="42">
        <v>1917.1</v>
      </c>
      <c r="Q35" s="42">
        <v>1999.0298309999998</v>
      </c>
      <c r="R35" s="42">
        <v>2224.2000000000003</v>
      </c>
      <c r="S35" s="42">
        <v>2422.16</v>
      </c>
      <c r="T35" s="42">
        <v>1416.062713</v>
      </c>
      <c r="U35" s="42">
        <v>1206.7444870000002</v>
      </c>
      <c r="V35" s="42">
        <v>1260.3870010000001</v>
      </c>
      <c r="W35" s="42">
        <v>1666.8814030000003</v>
      </c>
      <c r="X35" s="42">
        <v>1379.4909080000002</v>
      </c>
      <c r="Y35" s="42">
        <v>1057.2997149999997</v>
      </c>
      <c r="Z35" s="42">
        <v>964.25116999999977</v>
      </c>
      <c r="AA35" s="42">
        <v>713.60247799999956</v>
      </c>
      <c r="AB35" s="42">
        <v>917.20757900000012</v>
      </c>
    </row>
    <row r="36" spans="1:28" s="29" customFormat="1" ht="12" customHeight="1" x14ac:dyDescent="0.2">
      <c r="A36" s="30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s="29" customFormat="1" ht="12" customHeight="1" x14ac:dyDescent="0.2">
      <c r="A37" s="47" t="s">
        <v>18</v>
      </c>
      <c r="B37" s="48">
        <v>2217.6615384615384</v>
      </c>
      <c r="C37" s="48">
        <v>2964.4205128205131</v>
      </c>
      <c r="D37" s="48">
        <v>4482.1128205128207</v>
      </c>
      <c r="E37" s="48">
        <v>1416.7309019221291</v>
      </c>
      <c r="F37" s="48">
        <v>1473.4061819764911</v>
      </c>
      <c r="G37" s="48">
        <v>1252.495550992471</v>
      </c>
      <c r="H37" s="48">
        <v>1311.6249087400054</v>
      </c>
      <c r="I37" s="48">
        <v>1369.4561563767463</v>
      </c>
      <c r="J37" s="48">
        <v>1374.3422597761078</v>
      </c>
      <c r="K37" s="48">
        <v>1254.46</v>
      </c>
      <c r="L37" s="48">
        <v>480.27</v>
      </c>
      <c r="M37" s="48">
        <v>613.02741099999992</v>
      </c>
      <c r="N37" s="48">
        <v>533.07835999999998</v>
      </c>
      <c r="O37" s="48">
        <v>640.79337399999986</v>
      </c>
      <c r="P37" s="48">
        <v>737.86</v>
      </c>
      <c r="Q37" s="48">
        <v>1080.053042</v>
      </c>
      <c r="R37" s="48">
        <v>1208.94</v>
      </c>
      <c r="S37" s="48">
        <v>1625.6399999999999</v>
      </c>
      <c r="T37" s="48">
        <v>2572.4515670000001</v>
      </c>
      <c r="U37" s="48">
        <v>2910.1257340000002</v>
      </c>
      <c r="V37" s="48">
        <v>2680.8776079999998</v>
      </c>
      <c r="W37" s="48">
        <v>2851.4557029999996</v>
      </c>
      <c r="X37" s="48">
        <v>3923.6717020000006</v>
      </c>
      <c r="Y37" s="48">
        <v>5715.8087499999992</v>
      </c>
      <c r="Z37" s="48">
        <v>5856.6262100000004</v>
      </c>
      <c r="AA37" s="48">
        <v>4711.2694489999994</v>
      </c>
      <c r="AB37" s="48">
        <v>8352.9236010000004</v>
      </c>
    </row>
    <row r="38" spans="1:28" ht="12" customHeight="1" x14ac:dyDescent="0.2">
      <c r="A38" s="54" t="s">
        <v>900</v>
      </c>
      <c r="B38" s="48">
        <v>1531.7076923076922</v>
      </c>
      <c r="C38" s="48">
        <v>1984.669230769231</v>
      </c>
      <c r="D38" s="48">
        <v>3087.6589743589748</v>
      </c>
      <c r="E38" s="48">
        <v>882.75061606702809</v>
      </c>
      <c r="F38" s="48">
        <v>897.7849368741837</v>
      </c>
      <c r="G38" s="48">
        <v>887.39733059548257</v>
      </c>
      <c r="H38" s="48">
        <v>915.25627074717386</v>
      </c>
      <c r="I38" s="48">
        <v>1020.32056534475</v>
      </c>
      <c r="J38" s="48">
        <v>891.5761196135561</v>
      </c>
      <c r="K38" s="48">
        <v>770.23</v>
      </c>
      <c r="L38" s="48">
        <v>261.14999999999998</v>
      </c>
      <c r="M38" s="48">
        <v>288.58155599999998</v>
      </c>
      <c r="N38" s="48">
        <v>303.71967300000006</v>
      </c>
      <c r="O38" s="48">
        <v>321.12440199999992</v>
      </c>
      <c r="P38" s="48">
        <v>390.9</v>
      </c>
      <c r="Q38" s="48">
        <v>556.2113240000001</v>
      </c>
      <c r="R38" s="48">
        <v>585.1</v>
      </c>
      <c r="S38" s="48">
        <v>763.66</v>
      </c>
      <c r="T38" s="48">
        <v>1316.3436939999999</v>
      </c>
      <c r="U38" s="48">
        <v>1779.9314750000001</v>
      </c>
      <c r="V38" s="48">
        <v>1689.1610149999997</v>
      </c>
      <c r="W38" s="48">
        <v>1677.9764170000001</v>
      </c>
      <c r="X38" s="48">
        <v>2444.7562080000002</v>
      </c>
      <c r="Y38" s="48">
        <v>3985.4653199999993</v>
      </c>
      <c r="Z38" s="48">
        <v>3592.7071190000006</v>
      </c>
      <c r="AA38" s="48">
        <v>3140.4786899999999</v>
      </c>
      <c r="AB38" s="48">
        <v>6136.3754509999999</v>
      </c>
    </row>
    <row r="39" spans="1:28" ht="12" customHeight="1" x14ac:dyDescent="0.2">
      <c r="A39" s="54" t="s">
        <v>19</v>
      </c>
      <c r="B39" s="42">
        <v>755.68974358974356</v>
      </c>
      <c r="C39" s="42">
        <v>1091.0358974358974</v>
      </c>
      <c r="D39" s="42">
        <v>1694.9051282051282</v>
      </c>
      <c r="E39" s="42">
        <v>459.91030064070969</v>
      </c>
      <c r="F39" s="42">
        <v>552.31388767958208</v>
      </c>
      <c r="G39" s="42">
        <v>550.51368925393569</v>
      </c>
      <c r="H39" s="42">
        <v>640.11382382133991</v>
      </c>
      <c r="I39" s="42">
        <v>654.91096665164491</v>
      </c>
      <c r="J39" s="42">
        <v>642.86581812605425</v>
      </c>
      <c r="K39" s="42">
        <v>577.9</v>
      </c>
      <c r="L39" s="42">
        <v>35.229999999999997</v>
      </c>
      <c r="M39" s="42">
        <v>27.210505000000001</v>
      </c>
      <c r="N39" s="42">
        <v>39.633884000000002</v>
      </c>
      <c r="O39" s="42">
        <v>49.714886</v>
      </c>
      <c r="P39" s="42">
        <v>58.1</v>
      </c>
      <c r="Q39" s="42">
        <v>62.753293999999997</v>
      </c>
      <c r="R39" s="42">
        <v>65.95</v>
      </c>
      <c r="S39" s="42">
        <v>71.42</v>
      </c>
      <c r="T39" s="42">
        <v>77.321218999999999</v>
      </c>
      <c r="U39" s="42">
        <v>77.364671000000001</v>
      </c>
      <c r="V39" s="42">
        <v>82.432862</v>
      </c>
      <c r="W39" s="42">
        <v>83.197873999999999</v>
      </c>
      <c r="X39" s="42">
        <v>84.516947000000002</v>
      </c>
      <c r="Y39" s="42">
        <v>87.330005</v>
      </c>
      <c r="Z39" s="42">
        <v>86.581903999999994</v>
      </c>
      <c r="AA39" s="42">
        <v>86.256283999999994</v>
      </c>
      <c r="AB39" s="42">
        <v>88.194712999999993</v>
      </c>
    </row>
    <row r="40" spans="1:28" ht="12" customHeight="1" x14ac:dyDescent="0.2">
      <c r="A40" s="55" t="s">
        <v>852</v>
      </c>
      <c r="B40" s="46">
        <v>755.68974358974356</v>
      </c>
      <c r="C40" s="46">
        <v>1091.0358974358974</v>
      </c>
      <c r="D40" s="46">
        <v>1694.9051282051282</v>
      </c>
      <c r="E40" s="46">
        <v>459.91030064070969</v>
      </c>
      <c r="F40" s="46">
        <v>552.31388767958208</v>
      </c>
      <c r="G40" s="46">
        <v>550.51368925393569</v>
      </c>
      <c r="H40" s="46">
        <v>640.11382382133991</v>
      </c>
      <c r="I40" s="46">
        <v>654.91096665164491</v>
      </c>
      <c r="J40" s="46">
        <v>642.86581812605425</v>
      </c>
      <c r="K40" s="46">
        <v>577.9</v>
      </c>
      <c r="L40" s="46">
        <v>11.73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</row>
    <row r="41" spans="1:28" s="29" customFormat="1" ht="12" customHeight="1" x14ac:dyDescent="0.2">
      <c r="A41" s="55" t="s">
        <v>853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23.49</v>
      </c>
      <c r="M41" s="46">
        <v>27.210505000000001</v>
      </c>
      <c r="N41" s="46">
        <v>39.633884000000002</v>
      </c>
      <c r="O41" s="46">
        <v>49.714886</v>
      </c>
      <c r="P41" s="46">
        <v>58.1</v>
      </c>
      <c r="Q41" s="46">
        <v>62.753293999999997</v>
      </c>
      <c r="R41" s="46">
        <v>65.95</v>
      </c>
      <c r="S41" s="46">
        <v>71.42</v>
      </c>
      <c r="T41" s="46">
        <v>77.321218999999999</v>
      </c>
      <c r="U41" s="46">
        <v>77.364671000000001</v>
      </c>
      <c r="V41" s="46">
        <v>82.432862</v>
      </c>
      <c r="W41" s="46">
        <v>83.197873999999999</v>
      </c>
      <c r="X41" s="46">
        <v>84.516947000000002</v>
      </c>
      <c r="Y41" s="46">
        <v>87.330005</v>
      </c>
      <c r="Z41" s="46">
        <v>86.581903999999994</v>
      </c>
      <c r="AA41" s="46">
        <v>86.256283999999994</v>
      </c>
      <c r="AB41" s="46">
        <v>88.194712999999993</v>
      </c>
    </row>
    <row r="42" spans="1:28" s="29" customFormat="1" ht="12" customHeight="1" x14ac:dyDescent="0.2">
      <c r="A42" s="43" t="s">
        <v>904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>
        <v>7.8390000000000001E-2</v>
      </c>
      <c r="AA42" s="46">
        <v>0.77738799999999997</v>
      </c>
      <c r="AB42" s="46">
        <v>4.1267149999999999</v>
      </c>
    </row>
    <row r="43" spans="1:28" s="29" customFormat="1" ht="12" customHeight="1" x14ac:dyDescent="0.2">
      <c r="A43" s="54" t="s">
        <v>899</v>
      </c>
      <c r="B43" s="42">
        <v>776.01794871794868</v>
      </c>
      <c r="C43" s="42">
        <v>893.63333333333355</v>
      </c>
      <c r="D43" s="42">
        <v>1392.7538461538463</v>
      </c>
      <c r="E43" s="42">
        <v>422.8403154263184</v>
      </c>
      <c r="F43" s="42">
        <v>345.47104919460162</v>
      </c>
      <c r="G43" s="42">
        <v>336.88364134154682</v>
      </c>
      <c r="H43" s="42">
        <v>275.14244692583401</v>
      </c>
      <c r="I43" s="42">
        <v>365.40959869310507</v>
      </c>
      <c r="J43" s="42">
        <v>248.71030148750191</v>
      </c>
      <c r="K43" s="42">
        <v>192.33</v>
      </c>
      <c r="L43" s="42">
        <v>225.92</v>
      </c>
      <c r="M43" s="42">
        <v>261.37105099999997</v>
      </c>
      <c r="N43" s="42">
        <v>264.08578900000003</v>
      </c>
      <c r="O43" s="42">
        <v>271.40951599999994</v>
      </c>
      <c r="P43" s="42">
        <v>332.79999999999995</v>
      </c>
      <c r="Q43" s="42">
        <v>493.45803000000006</v>
      </c>
      <c r="R43" s="42">
        <v>519.15</v>
      </c>
      <c r="S43" s="42">
        <v>692.24</v>
      </c>
      <c r="T43" s="42">
        <v>1239.022475</v>
      </c>
      <c r="U43" s="42">
        <v>1702.566804</v>
      </c>
      <c r="V43" s="42">
        <v>1606.7281529999998</v>
      </c>
      <c r="W43" s="42">
        <v>1594.7785430000001</v>
      </c>
      <c r="X43" s="42">
        <v>2360.2392610000002</v>
      </c>
      <c r="Y43" s="42">
        <v>3898.1353149999995</v>
      </c>
      <c r="Z43" s="42">
        <v>3506.0468250000004</v>
      </c>
      <c r="AA43" s="42">
        <v>3053.4450179999999</v>
      </c>
      <c r="AB43" s="42">
        <v>6044.0540229999997</v>
      </c>
    </row>
    <row r="44" spans="1:28" s="29" customFormat="1" ht="12" customHeight="1" x14ac:dyDescent="0.2">
      <c r="A44" s="44" t="s">
        <v>20</v>
      </c>
      <c r="B44" s="46">
        <v>752.76666666666665</v>
      </c>
      <c r="C44" s="46">
        <v>851.45641025641044</v>
      </c>
      <c r="D44" s="46">
        <v>1339.1205128205129</v>
      </c>
      <c r="E44" s="46">
        <v>386.62493839329721</v>
      </c>
      <c r="F44" s="46">
        <v>301.82150631258162</v>
      </c>
      <c r="G44" s="46">
        <v>324.06297056810399</v>
      </c>
      <c r="H44" s="46">
        <v>261.91306920319823</v>
      </c>
      <c r="I44" s="46">
        <v>352.60568972510146</v>
      </c>
      <c r="J44" s="46">
        <v>241.70495322803251</v>
      </c>
      <c r="K44" s="46">
        <v>185</v>
      </c>
      <c r="L44" s="46">
        <v>213.98</v>
      </c>
      <c r="M44" s="46">
        <v>253.47064699999999</v>
      </c>
      <c r="N44" s="46">
        <v>258.28801500000003</v>
      </c>
      <c r="O44" s="46">
        <v>268.26593299999996</v>
      </c>
      <c r="P44" s="46">
        <v>326.24999999999994</v>
      </c>
      <c r="Q44" s="46">
        <v>479.29195100000004</v>
      </c>
      <c r="R44" s="46">
        <v>514.23</v>
      </c>
      <c r="S44" s="46">
        <v>670.32</v>
      </c>
      <c r="T44" s="46">
        <v>1191.129944</v>
      </c>
      <c r="U44" s="46">
        <v>1389.975717</v>
      </c>
      <c r="V44" s="46">
        <v>1260.8079549999998</v>
      </c>
      <c r="W44" s="46">
        <v>1362.9828180000002</v>
      </c>
      <c r="X44" s="46">
        <v>2031.6718020000001</v>
      </c>
      <c r="Y44" s="46">
        <v>3301.6156899999996</v>
      </c>
      <c r="Z44" s="46">
        <v>2696.9742510000001</v>
      </c>
      <c r="AA44" s="46">
        <v>1927.4438230000001</v>
      </c>
      <c r="AB44" s="46">
        <v>4824.987897</v>
      </c>
    </row>
    <row r="45" spans="1:28" ht="12" customHeight="1" x14ac:dyDescent="0.2">
      <c r="A45" s="44" t="s">
        <v>604</v>
      </c>
      <c r="B45" s="46">
        <v>23.25128205128205</v>
      </c>
      <c r="C45" s="46">
        <v>42.176923076923075</v>
      </c>
      <c r="D45" s="46">
        <v>53.633333333333333</v>
      </c>
      <c r="E45" s="46">
        <v>36.215377033021198</v>
      </c>
      <c r="F45" s="46">
        <v>43.649542882020029</v>
      </c>
      <c r="G45" s="46">
        <v>12.820670773442849</v>
      </c>
      <c r="H45" s="46">
        <v>13.229377722635787</v>
      </c>
      <c r="I45" s="46">
        <v>12.803908968003604</v>
      </c>
      <c r="J45" s="46">
        <v>7.0053482594694065</v>
      </c>
      <c r="K45" s="46">
        <v>7.33</v>
      </c>
      <c r="L45" s="46">
        <v>11.94</v>
      </c>
      <c r="M45" s="46">
        <v>7.900404</v>
      </c>
      <c r="N45" s="46">
        <v>5.7977739999999995</v>
      </c>
      <c r="O45" s="46">
        <v>3.143583</v>
      </c>
      <c r="P45" s="46">
        <v>6.55</v>
      </c>
      <c r="Q45" s="46">
        <v>14.166079</v>
      </c>
      <c r="R45" s="46">
        <v>4.92</v>
      </c>
      <c r="S45" s="46">
        <v>21.92</v>
      </c>
      <c r="T45" s="46">
        <v>47.892530999999998</v>
      </c>
      <c r="U45" s="46">
        <v>312.59108699999996</v>
      </c>
      <c r="V45" s="46">
        <v>345.92019799999997</v>
      </c>
      <c r="W45" s="46">
        <v>231.795725</v>
      </c>
      <c r="X45" s="46">
        <v>328.56745899999999</v>
      </c>
      <c r="Y45" s="46">
        <v>596.51962500000002</v>
      </c>
      <c r="Z45" s="46">
        <v>809.07257400000003</v>
      </c>
      <c r="AA45" s="46">
        <v>1126.0011949999998</v>
      </c>
      <c r="AB45" s="46">
        <v>1219.0661259999999</v>
      </c>
    </row>
    <row r="46" spans="1:28" ht="12" customHeight="1" x14ac:dyDescent="0.2">
      <c r="A46" s="54" t="s">
        <v>21</v>
      </c>
      <c r="B46" s="48">
        <v>685.95384615384626</v>
      </c>
      <c r="C46" s="48">
        <v>979.75128205128203</v>
      </c>
      <c r="D46" s="48">
        <v>1394.4538461538461</v>
      </c>
      <c r="E46" s="48">
        <v>533.98028585510099</v>
      </c>
      <c r="F46" s="48">
        <v>575.6212451023074</v>
      </c>
      <c r="G46" s="48">
        <v>365.09822039698838</v>
      </c>
      <c r="H46" s="48">
        <v>396.36863799283151</v>
      </c>
      <c r="I46" s="48">
        <v>349.13559103199634</v>
      </c>
      <c r="J46" s="48">
        <v>482.76614016255178</v>
      </c>
      <c r="K46" s="48">
        <v>484.23</v>
      </c>
      <c r="L46" s="48">
        <v>219.12</v>
      </c>
      <c r="M46" s="48">
        <v>324.44585499999994</v>
      </c>
      <c r="N46" s="48">
        <v>229.35868699999997</v>
      </c>
      <c r="O46" s="48">
        <v>319.668972</v>
      </c>
      <c r="P46" s="48">
        <v>346.96000000000004</v>
      </c>
      <c r="Q46" s="48">
        <v>523.84171800000001</v>
      </c>
      <c r="R46" s="48">
        <v>623.83999999999992</v>
      </c>
      <c r="S46" s="48">
        <v>861.9799999999999</v>
      </c>
      <c r="T46" s="48">
        <v>1256.1078730000002</v>
      </c>
      <c r="U46" s="48">
        <v>1130.1942589999999</v>
      </c>
      <c r="V46" s="48">
        <v>991.71659299999999</v>
      </c>
      <c r="W46" s="48">
        <v>1173.4792859999998</v>
      </c>
      <c r="X46" s="48">
        <v>1478.9154940000001</v>
      </c>
      <c r="Y46" s="48">
        <v>1730.3434299999999</v>
      </c>
      <c r="Z46" s="48">
        <v>2263.9190909999998</v>
      </c>
      <c r="AA46" s="48">
        <v>1570.790759</v>
      </c>
      <c r="AB46" s="48">
        <v>2216.5481500000005</v>
      </c>
    </row>
    <row r="47" spans="1:28" ht="12" customHeight="1" x14ac:dyDescent="0.2">
      <c r="A47" s="54" t="s">
        <v>600</v>
      </c>
      <c r="B47" s="42">
        <v>270.60000000000002</v>
      </c>
      <c r="C47" s="42">
        <v>234.81025641025641</v>
      </c>
      <c r="D47" s="42">
        <v>624.81794871794875</v>
      </c>
      <c r="E47" s="42">
        <v>201.82405125677673</v>
      </c>
      <c r="F47" s="42">
        <v>171.8545929473226</v>
      </c>
      <c r="G47" s="42">
        <v>136.9914442162902</v>
      </c>
      <c r="H47" s="42">
        <v>191.64269975186102</v>
      </c>
      <c r="I47" s="42">
        <v>156.61925078864351</v>
      </c>
      <c r="J47" s="42">
        <v>319.7954301487502</v>
      </c>
      <c r="K47" s="42">
        <v>356.12</v>
      </c>
      <c r="L47" s="42">
        <v>0.05</v>
      </c>
      <c r="M47" s="42">
        <v>5.1594000000000001E-2</v>
      </c>
      <c r="N47" s="42">
        <v>5.1436000000000003E-2</v>
      </c>
      <c r="O47" s="42">
        <v>4.1460000000000004E-3</v>
      </c>
      <c r="P47" s="42">
        <v>0.03</v>
      </c>
      <c r="Q47" s="42">
        <v>2.5639999999999999E-3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</row>
    <row r="48" spans="1:28" ht="12" customHeight="1" x14ac:dyDescent="0.2">
      <c r="A48" s="54" t="s">
        <v>22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6.1</v>
      </c>
      <c r="M48" s="42">
        <v>54.67</v>
      </c>
      <c r="N48" s="42">
        <v>8.61</v>
      </c>
      <c r="O48" s="42">
        <v>44</v>
      </c>
      <c r="P48" s="42">
        <v>31.18</v>
      </c>
      <c r="Q48" s="42">
        <v>26.7</v>
      </c>
      <c r="R48" s="42">
        <v>24.63</v>
      </c>
      <c r="S48" s="42">
        <v>50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81.687978999999999</v>
      </c>
      <c r="AB48" s="42">
        <v>67.202994000000004</v>
      </c>
    </row>
    <row r="49" spans="1:28" ht="12" customHeight="1" x14ac:dyDescent="0.2">
      <c r="A49" s="54" t="s">
        <v>23</v>
      </c>
      <c r="B49" s="48">
        <v>368.47435897435901</v>
      </c>
      <c r="C49" s="48">
        <v>672.2282051282051</v>
      </c>
      <c r="D49" s="48">
        <v>652.43333333333339</v>
      </c>
      <c r="E49" s="48">
        <v>302.43617545588961</v>
      </c>
      <c r="F49" s="48">
        <v>352.45450587723121</v>
      </c>
      <c r="G49" s="48">
        <v>227.74366872005476</v>
      </c>
      <c r="H49" s="48">
        <v>204.64625806451613</v>
      </c>
      <c r="I49" s="48">
        <v>192.45099549346551</v>
      </c>
      <c r="J49" s="48">
        <v>161.76920717681338</v>
      </c>
      <c r="K49" s="48">
        <v>125.17</v>
      </c>
      <c r="L49" s="48">
        <v>203.66</v>
      </c>
      <c r="M49" s="48">
        <v>261.56692299999997</v>
      </c>
      <c r="N49" s="48">
        <v>217.65099099999998</v>
      </c>
      <c r="O49" s="48">
        <v>242.43078</v>
      </c>
      <c r="P49" s="48">
        <v>289.34000000000003</v>
      </c>
      <c r="Q49" s="48">
        <v>477.900105</v>
      </c>
      <c r="R49" s="48">
        <v>528.16</v>
      </c>
      <c r="S49" s="48">
        <v>795.11999999999989</v>
      </c>
      <c r="T49" s="48">
        <v>1087.3451220000002</v>
      </c>
      <c r="U49" s="48">
        <v>974.587084</v>
      </c>
      <c r="V49" s="48">
        <v>977.58255699999995</v>
      </c>
      <c r="W49" s="48">
        <v>1135.8434359999999</v>
      </c>
      <c r="X49" s="48">
        <v>1432.8339270000001</v>
      </c>
      <c r="Y49" s="48">
        <v>1676.4217239999998</v>
      </c>
      <c r="Z49" s="48">
        <v>2194.2072909999997</v>
      </c>
      <c r="AA49" s="48">
        <v>1452.9514059999999</v>
      </c>
      <c r="AB49" s="48">
        <v>2123.1769940000004</v>
      </c>
    </row>
    <row r="50" spans="1:28" s="29" customFormat="1" ht="12" customHeight="1" x14ac:dyDescent="0.2">
      <c r="A50" s="44" t="s">
        <v>602</v>
      </c>
      <c r="B50" s="45">
        <v>51.535897435897439</v>
      </c>
      <c r="C50" s="45">
        <v>55.438461538461539</v>
      </c>
      <c r="D50" s="45">
        <v>139.82564102564103</v>
      </c>
      <c r="E50" s="45">
        <v>93.626416954164611</v>
      </c>
      <c r="F50" s="45">
        <v>105.51719634305616</v>
      </c>
      <c r="G50" s="45">
        <v>83.284394250513344</v>
      </c>
      <c r="H50" s="45">
        <v>62.501506754893846</v>
      </c>
      <c r="I50" s="45">
        <v>102.36605295178008</v>
      </c>
      <c r="J50" s="45">
        <v>103.56571078055514</v>
      </c>
      <c r="K50" s="45">
        <v>45.71</v>
      </c>
      <c r="L50" s="45">
        <v>73.13</v>
      </c>
      <c r="M50" s="45">
        <v>153.797965</v>
      </c>
      <c r="N50" s="45">
        <v>102.89861999999999</v>
      </c>
      <c r="O50" s="45">
        <v>108.848101</v>
      </c>
      <c r="P50" s="45">
        <v>109.41</v>
      </c>
      <c r="Q50" s="45">
        <v>186.98442400000002</v>
      </c>
      <c r="R50" s="45">
        <v>249.35000000000002</v>
      </c>
      <c r="S50" s="45">
        <v>447.65000000000003</v>
      </c>
      <c r="T50" s="45">
        <v>578.35973899999999</v>
      </c>
      <c r="U50" s="45">
        <v>512.27183100000002</v>
      </c>
      <c r="V50" s="45">
        <v>610.69858399999998</v>
      </c>
      <c r="W50" s="45">
        <v>640.69929100000002</v>
      </c>
      <c r="X50" s="45">
        <v>794.01010899999994</v>
      </c>
      <c r="Y50" s="45">
        <v>911.39430900000002</v>
      </c>
      <c r="Z50" s="45">
        <v>1262.6797790000001</v>
      </c>
      <c r="AA50" s="45">
        <v>839.36961199999996</v>
      </c>
      <c r="AB50" s="45">
        <v>1011.907366</v>
      </c>
    </row>
    <row r="51" spans="1:28" s="29" customFormat="1" ht="12" customHeight="1" x14ac:dyDescent="0.2">
      <c r="A51" s="44" t="s">
        <v>24</v>
      </c>
      <c r="B51" s="45">
        <v>274.0974358974359</v>
      </c>
      <c r="C51" s="45">
        <v>574.29230769230765</v>
      </c>
      <c r="D51" s="45">
        <v>418.31794871794875</v>
      </c>
      <c r="E51" s="45">
        <v>176.26367668802365</v>
      </c>
      <c r="F51" s="45">
        <v>218.10404875925121</v>
      </c>
      <c r="G51" s="45">
        <v>122.25804243668719</v>
      </c>
      <c r="H51" s="45">
        <v>106.02745988420182</v>
      </c>
      <c r="I51" s="45">
        <v>70.280895448400173</v>
      </c>
      <c r="J51" s="45">
        <v>50.569544548382154</v>
      </c>
      <c r="K51" s="45">
        <v>62.05</v>
      </c>
      <c r="L51" s="45">
        <v>122.4</v>
      </c>
      <c r="M51" s="45">
        <v>92.035538000000003</v>
      </c>
      <c r="N51" s="45">
        <v>106.02870899999999</v>
      </c>
      <c r="O51" s="45">
        <v>133.52845299999998</v>
      </c>
      <c r="P51" s="45">
        <v>179.83</v>
      </c>
      <c r="Q51" s="45">
        <v>290.78461800000002</v>
      </c>
      <c r="R51" s="45">
        <v>278.46999999999997</v>
      </c>
      <c r="S51" s="45">
        <v>347.16999999999996</v>
      </c>
      <c r="T51" s="45">
        <v>508.16067700000002</v>
      </c>
      <c r="U51" s="45">
        <v>460.91900199999998</v>
      </c>
      <c r="V51" s="45">
        <v>365.774158</v>
      </c>
      <c r="W51" s="45">
        <v>493.02124400000002</v>
      </c>
      <c r="X51" s="45">
        <v>634.469472</v>
      </c>
      <c r="Y51" s="45">
        <v>761.75981299999989</v>
      </c>
      <c r="Z51" s="45">
        <v>923.39441800000009</v>
      </c>
      <c r="AA51" s="45">
        <v>601.81748599999992</v>
      </c>
      <c r="AB51" s="45">
        <v>1099.9447990000001</v>
      </c>
    </row>
    <row r="52" spans="1:28" s="29" customFormat="1" ht="12" customHeight="1" x14ac:dyDescent="0.2">
      <c r="A52" s="44" t="s">
        <v>603</v>
      </c>
      <c r="B52" s="45">
        <v>42.841025641025645</v>
      </c>
      <c r="C52" s="45">
        <v>42.497435897435899</v>
      </c>
      <c r="D52" s="45">
        <v>94.289743589743608</v>
      </c>
      <c r="E52" s="45">
        <v>32.546081813701335</v>
      </c>
      <c r="F52" s="45">
        <v>28.833260774923815</v>
      </c>
      <c r="G52" s="45">
        <v>22.201232032854207</v>
      </c>
      <c r="H52" s="45">
        <v>36.117291425420454</v>
      </c>
      <c r="I52" s="45">
        <v>19.804047093285266</v>
      </c>
      <c r="J52" s="45">
        <v>7.6339518478760926</v>
      </c>
      <c r="K52" s="45">
        <v>17.41</v>
      </c>
      <c r="L52" s="45">
        <v>8.1300000000000008</v>
      </c>
      <c r="M52" s="45">
        <v>15.733419999999999</v>
      </c>
      <c r="N52" s="45">
        <v>8.7236620000000009</v>
      </c>
      <c r="O52" s="45">
        <v>5.4225999999999885E-2</v>
      </c>
      <c r="P52" s="45">
        <v>0.10000000000002274</v>
      </c>
      <c r="Q52" s="45">
        <v>0.13106299999998328</v>
      </c>
      <c r="R52" s="45">
        <v>0.34000000000003183</v>
      </c>
      <c r="S52" s="45">
        <v>0.29999999999995453</v>
      </c>
      <c r="T52" s="45">
        <v>0.82470600000010563</v>
      </c>
      <c r="U52" s="45">
        <v>1.3962510000000066</v>
      </c>
      <c r="V52" s="45">
        <v>1.109815000000026</v>
      </c>
      <c r="W52" s="45">
        <v>2.1229009999999562</v>
      </c>
      <c r="X52" s="45">
        <v>4.3543460000000778</v>
      </c>
      <c r="Y52" s="45">
        <v>3.2676019999998971</v>
      </c>
      <c r="Z52" s="45">
        <v>8.1330939999998009</v>
      </c>
      <c r="AA52" s="45">
        <v>11.764308000000028</v>
      </c>
      <c r="AB52" s="45">
        <v>11.324829000000136</v>
      </c>
    </row>
    <row r="53" spans="1:28" ht="12" customHeight="1" x14ac:dyDescent="0.2">
      <c r="A53" s="54" t="s">
        <v>601</v>
      </c>
      <c r="B53" s="42">
        <v>46.879487179487178</v>
      </c>
      <c r="C53" s="42">
        <v>72.7128205128205</v>
      </c>
      <c r="D53" s="42">
        <v>117.20256410256411</v>
      </c>
      <c r="E53" s="42">
        <v>29.720059142434696</v>
      </c>
      <c r="F53" s="42">
        <v>51.312146277753598</v>
      </c>
      <c r="G53" s="42">
        <v>0.36310746064339494</v>
      </c>
      <c r="H53" s="42">
        <v>7.9680176454370005E-2</v>
      </c>
      <c r="I53" s="42">
        <v>6.5344749887336642E-2</v>
      </c>
      <c r="J53" s="42">
        <v>1.2015028369881919</v>
      </c>
      <c r="K53" s="42">
        <v>2.94</v>
      </c>
      <c r="L53" s="42">
        <v>9.31</v>
      </c>
      <c r="M53" s="42">
        <v>8.1573380000000011</v>
      </c>
      <c r="N53" s="42">
        <v>3.0462599999999997</v>
      </c>
      <c r="O53" s="42">
        <v>33.234045999999999</v>
      </c>
      <c r="P53" s="42">
        <v>26.41</v>
      </c>
      <c r="Q53" s="42">
        <v>19.239048999999998</v>
      </c>
      <c r="R53" s="42">
        <v>71.049999999999983</v>
      </c>
      <c r="S53" s="42">
        <v>16.86</v>
      </c>
      <c r="T53" s="42">
        <v>168.76275100000001</v>
      </c>
      <c r="U53" s="42">
        <v>155.60717499999998</v>
      </c>
      <c r="V53" s="42">
        <v>14.134035999999998</v>
      </c>
      <c r="W53" s="42">
        <v>37.635849999999998</v>
      </c>
      <c r="X53" s="42">
        <v>46.081567</v>
      </c>
      <c r="Y53" s="42">
        <v>53.921706</v>
      </c>
      <c r="Z53" s="42">
        <v>69.711799999999982</v>
      </c>
      <c r="AA53" s="42">
        <v>36.151374000000004</v>
      </c>
      <c r="AB53" s="42">
        <v>26.168161999999999</v>
      </c>
    </row>
    <row r="54" spans="1:28" ht="12" customHeight="1" thickBot="1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28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s="29" customFormat="1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s="29" customFormat="1" x14ac:dyDescent="0.2">
      <c r="A57" s="41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x14ac:dyDescent="0.2">
      <c r="A58" s="84" t="s">
        <v>598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2" spans="1:28" s="29" customFormat="1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s="29" customFormat="1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5" spans="1:28" s="29" customFormat="1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s="29" customFormat="1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s="29" customFormat="1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70" spans="1:28" s="29" customFormat="1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3" spans="1:28" s="29" customForma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s="33" customFormat="1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s="33" customFormat="1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s="29" customFormat="1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82" spans="1:28" s="29" customForma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7" spans="1:28" s="29" customForma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</sheetData>
  <mergeCells count="2">
    <mergeCell ref="A1:W1"/>
    <mergeCell ref="A2:W2"/>
  </mergeCells>
  <hyperlinks>
    <hyperlink ref="A58" location="'indice cap.1'!A1" display="regresar al índice" xr:uid="{00000000-0004-0000-0200-000000000000}"/>
  </hyperlinks>
  <pageMargins left="0.39370078740157483" right="0" top="0.78740157480314965" bottom="0.78740157480314965" header="0.31496062992125984" footer="0"/>
  <pageSetup paperSize="9" scale="60" orientation="landscape" verticalDpi="59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6"/>
  <sheetViews>
    <sheetView showGridLines="0" workbookViewId="0">
      <selection sqref="A1:N1"/>
    </sheetView>
  </sheetViews>
  <sheetFormatPr defaultColWidth="11.42578125" defaultRowHeight="12.75" x14ac:dyDescent="0.2"/>
  <cols>
    <col min="1" max="1" width="12.42578125" style="24" customWidth="1"/>
    <col min="2" max="2" width="17.28515625" style="24" customWidth="1"/>
    <col min="3" max="8" width="12.7109375" style="24" customWidth="1"/>
    <col min="9" max="9" width="2.28515625" style="24" customWidth="1"/>
    <col min="10" max="10" width="11.42578125" style="24"/>
    <col min="11" max="11" width="15" style="24" customWidth="1"/>
    <col min="12" max="16384" width="11.42578125" style="24"/>
  </cols>
  <sheetData>
    <row r="1" spans="1:17" x14ac:dyDescent="0.2">
      <c r="A1" s="493" t="s">
        <v>672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</row>
    <row r="2" spans="1:17" x14ac:dyDescent="0.2">
      <c r="A2" s="493" t="s">
        <v>106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</row>
    <row r="3" spans="1:17" x14ac:dyDescent="0.2">
      <c r="A3" s="493" t="s">
        <v>25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</row>
    <row r="4" spans="1:17" x14ac:dyDescent="0.2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17" ht="15" customHeight="1" x14ac:dyDescent="0.2">
      <c r="A5" s="500" t="s">
        <v>87</v>
      </c>
      <c r="B5" s="495" t="s">
        <v>712</v>
      </c>
      <c r="C5" s="497" t="s">
        <v>108</v>
      </c>
      <c r="D5" s="498"/>
      <c r="E5" s="498"/>
      <c r="F5" s="498"/>
      <c r="G5" s="498"/>
      <c r="H5" s="499"/>
      <c r="I5" s="64"/>
      <c r="J5" s="497" t="s">
        <v>109</v>
      </c>
      <c r="K5" s="498"/>
      <c r="L5" s="498"/>
      <c r="M5" s="498"/>
      <c r="N5" s="499"/>
      <c r="O5" s="66"/>
      <c r="P5" s="66"/>
      <c r="Q5" s="66"/>
    </row>
    <row r="6" spans="1:17" s="37" customFormat="1" ht="57.75" customHeight="1" x14ac:dyDescent="0.25">
      <c r="A6" s="501"/>
      <c r="B6" s="496"/>
      <c r="C6" s="67" t="s">
        <v>92</v>
      </c>
      <c r="D6" s="400" t="s">
        <v>711</v>
      </c>
      <c r="E6" s="400" t="s">
        <v>710</v>
      </c>
      <c r="F6" s="400" t="s">
        <v>709</v>
      </c>
      <c r="G6" s="400" t="s">
        <v>707</v>
      </c>
      <c r="H6" s="68" t="s">
        <v>706</v>
      </c>
      <c r="I6" s="69"/>
      <c r="J6" s="67" t="s">
        <v>92</v>
      </c>
      <c r="K6" s="400" t="s">
        <v>110</v>
      </c>
      <c r="L6" s="400" t="s">
        <v>707</v>
      </c>
      <c r="M6" s="400" t="s">
        <v>708</v>
      </c>
      <c r="N6" s="68" t="s">
        <v>77</v>
      </c>
    </row>
    <row r="7" spans="1:17" x14ac:dyDescent="0.2">
      <c r="B7" s="70" t="s">
        <v>111</v>
      </c>
      <c r="C7" s="71" t="s">
        <v>112</v>
      </c>
      <c r="D7" s="71" t="s">
        <v>113</v>
      </c>
      <c r="E7" s="71" t="s">
        <v>100</v>
      </c>
      <c r="F7" s="71" t="s">
        <v>101</v>
      </c>
      <c r="G7" s="71" t="s">
        <v>102</v>
      </c>
      <c r="H7" s="72" t="s">
        <v>114</v>
      </c>
      <c r="I7" s="73"/>
      <c r="J7" s="70" t="s">
        <v>115</v>
      </c>
      <c r="K7" s="71" t="s">
        <v>116</v>
      </c>
      <c r="L7" s="71" t="s">
        <v>117</v>
      </c>
      <c r="M7" s="71" t="s">
        <v>118</v>
      </c>
      <c r="N7" s="72" t="s">
        <v>119</v>
      </c>
    </row>
    <row r="8" spans="1:17" x14ac:dyDescent="0.2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spans="1:17" x14ac:dyDescent="0.2">
      <c r="A9" s="40">
        <v>1927</v>
      </c>
      <c r="B9" s="74">
        <v>8.8167766000000007</v>
      </c>
      <c r="C9" s="74">
        <v>8.8167766000000007</v>
      </c>
      <c r="D9" s="74">
        <v>2.0455999999999999</v>
      </c>
      <c r="E9" s="75" t="s">
        <v>10</v>
      </c>
      <c r="F9" s="74">
        <v>6.7711766000000013</v>
      </c>
      <c r="G9" s="75" t="s">
        <v>10</v>
      </c>
      <c r="H9" s="75" t="s">
        <v>10</v>
      </c>
      <c r="I9" s="74"/>
      <c r="J9" s="75" t="s">
        <v>10</v>
      </c>
      <c r="K9" s="75" t="s">
        <v>10</v>
      </c>
      <c r="L9" s="75" t="s">
        <v>10</v>
      </c>
      <c r="M9" s="75" t="s">
        <v>10</v>
      </c>
      <c r="N9" s="75" t="s">
        <v>10</v>
      </c>
    </row>
    <row r="10" spans="1:17" x14ac:dyDescent="0.2">
      <c r="A10" s="40">
        <v>1928</v>
      </c>
      <c r="B10" s="74">
        <v>7.605599999999999</v>
      </c>
      <c r="C10" s="74">
        <v>7.605599999999999</v>
      </c>
      <c r="D10" s="74">
        <v>1.1236000000000002</v>
      </c>
      <c r="E10" s="75" t="s">
        <v>10</v>
      </c>
      <c r="F10" s="74">
        <v>6.4819999999999993</v>
      </c>
      <c r="G10" s="75" t="s">
        <v>10</v>
      </c>
      <c r="H10" s="75" t="s">
        <v>10</v>
      </c>
      <c r="I10" s="74"/>
      <c r="J10" s="75" t="s">
        <v>10</v>
      </c>
      <c r="K10" s="75" t="s">
        <v>10</v>
      </c>
      <c r="L10" s="75" t="s">
        <v>10</v>
      </c>
      <c r="M10" s="75" t="s">
        <v>10</v>
      </c>
      <c r="N10" s="75" t="s">
        <v>10</v>
      </c>
    </row>
    <row r="11" spans="1:17" x14ac:dyDescent="0.2">
      <c r="A11" s="40">
        <v>1929</v>
      </c>
      <c r="B11" s="74">
        <v>7.0123999999999995</v>
      </c>
      <c r="C11" s="74">
        <v>7.0123999999999995</v>
      </c>
      <c r="D11" s="74">
        <v>1.1140000000000001</v>
      </c>
      <c r="E11" s="75" t="s">
        <v>10</v>
      </c>
      <c r="F11" s="74">
        <v>5.8983999999999996</v>
      </c>
      <c r="G11" s="75" t="s">
        <v>10</v>
      </c>
      <c r="H11" s="75" t="s">
        <v>10</v>
      </c>
      <c r="I11" s="74"/>
      <c r="J11" s="75" t="s">
        <v>10</v>
      </c>
      <c r="K11" s="75" t="s">
        <v>10</v>
      </c>
      <c r="L11" s="75" t="s">
        <v>10</v>
      </c>
      <c r="M11" s="75" t="s">
        <v>10</v>
      </c>
      <c r="N11" s="75" t="s">
        <v>10</v>
      </c>
    </row>
    <row r="12" spans="1:17" x14ac:dyDescent="0.2">
      <c r="A12" s="40">
        <v>1930</v>
      </c>
      <c r="B12" s="74">
        <v>5.7667960000000003</v>
      </c>
      <c r="C12" s="74">
        <v>5.7667960000000003</v>
      </c>
      <c r="D12" s="74">
        <v>1.1308</v>
      </c>
      <c r="E12" s="75" t="s">
        <v>10</v>
      </c>
      <c r="F12" s="74">
        <v>4.6359960000000004</v>
      </c>
      <c r="G12" s="75" t="s">
        <v>10</v>
      </c>
      <c r="H12" s="75" t="s">
        <v>10</v>
      </c>
      <c r="I12" s="74"/>
      <c r="J12" s="75" t="s">
        <v>10</v>
      </c>
      <c r="K12" s="75" t="s">
        <v>10</v>
      </c>
      <c r="L12" s="75" t="s">
        <v>10</v>
      </c>
      <c r="M12" s="75" t="s">
        <v>10</v>
      </c>
      <c r="N12" s="75" t="s">
        <v>10</v>
      </c>
    </row>
    <row r="13" spans="1:17" x14ac:dyDescent="0.2">
      <c r="A13" s="40">
        <v>1931</v>
      </c>
      <c r="B13" s="74">
        <v>3.0946745526838964</v>
      </c>
      <c r="C13" s="74">
        <v>3.0946745526838964</v>
      </c>
      <c r="D13" s="74">
        <v>1.1258449304174951</v>
      </c>
      <c r="E13" s="75" t="s">
        <v>10</v>
      </c>
      <c r="F13" s="74">
        <v>1.9688296222664012</v>
      </c>
      <c r="G13" s="75" t="s">
        <v>10</v>
      </c>
      <c r="H13" s="75" t="s">
        <v>10</v>
      </c>
      <c r="I13" s="74"/>
      <c r="J13" s="75" t="s">
        <v>10</v>
      </c>
      <c r="K13" s="75" t="s">
        <v>10</v>
      </c>
      <c r="L13" s="75" t="s">
        <v>10</v>
      </c>
      <c r="M13" s="75" t="s">
        <v>10</v>
      </c>
      <c r="N13" s="75" t="s">
        <v>10</v>
      </c>
    </row>
    <row r="14" spans="1:17" x14ac:dyDescent="0.2">
      <c r="A14" s="40">
        <v>1932</v>
      </c>
      <c r="B14" s="74">
        <v>3.1768248175182476</v>
      </c>
      <c r="C14" s="74">
        <v>3.1768248175182476</v>
      </c>
      <c r="D14" s="74">
        <v>2.6045620437956201</v>
      </c>
      <c r="E14" s="75" t="s">
        <v>10</v>
      </c>
      <c r="F14" s="74">
        <v>0.57226277372262768</v>
      </c>
      <c r="G14" s="75" t="s">
        <v>10</v>
      </c>
      <c r="H14" s="75" t="s">
        <v>10</v>
      </c>
      <c r="I14" s="74"/>
      <c r="J14" s="75" t="s">
        <v>10</v>
      </c>
      <c r="K14" s="75" t="s">
        <v>10</v>
      </c>
      <c r="L14" s="75" t="s">
        <v>10</v>
      </c>
      <c r="M14" s="75" t="s">
        <v>10</v>
      </c>
      <c r="N14" s="75" t="s">
        <v>10</v>
      </c>
    </row>
    <row r="15" spans="1:17" x14ac:dyDescent="0.2">
      <c r="A15" s="40">
        <v>1933</v>
      </c>
      <c r="B15" s="74">
        <v>3.540488416988417</v>
      </c>
      <c r="C15" s="74">
        <v>3.6864343629343628</v>
      </c>
      <c r="D15" s="74">
        <v>2.7696911196911196</v>
      </c>
      <c r="E15" s="75" t="s">
        <v>10</v>
      </c>
      <c r="F15" s="74">
        <v>0.9167432432432433</v>
      </c>
      <c r="G15" s="75" t="s">
        <v>10</v>
      </c>
      <c r="H15" s="75" t="s">
        <v>10</v>
      </c>
      <c r="I15" s="74"/>
      <c r="J15" s="75" t="s">
        <v>10</v>
      </c>
      <c r="K15" s="75" t="s">
        <v>10</v>
      </c>
      <c r="L15" s="75" t="s">
        <v>10</v>
      </c>
      <c r="M15" s="75" t="s">
        <v>10</v>
      </c>
      <c r="N15" s="74">
        <v>0.14594594594594595</v>
      </c>
    </row>
    <row r="16" spans="1:17" x14ac:dyDescent="0.2">
      <c r="A16" s="40">
        <v>1934</v>
      </c>
      <c r="B16" s="74">
        <v>2.8615300546448084</v>
      </c>
      <c r="C16" s="74">
        <v>3.0254644808743167</v>
      </c>
      <c r="D16" s="74">
        <v>1.7292896174863388</v>
      </c>
      <c r="E16" s="75" t="s">
        <v>10</v>
      </c>
      <c r="F16" s="74">
        <v>1.2961748633879779</v>
      </c>
      <c r="G16" s="75" t="s">
        <v>10</v>
      </c>
      <c r="H16" s="75" t="s">
        <v>10</v>
      </c>
      <c r="I16" s="74"/>
      <c r="J16" s="75" t="s">
        <v>10</v>
      </c>
      <c r="K16" s="75" t="s">
        <v>10</v>
      </c>
      <c r="L16" s="75" t="s">
        <v>10</v>
      </c>
      <c r="M16" s="75" t="s">
        <v>10</v>
      </c>
      <c r="N16" s="74">
        <v>0.16393442622950818</v>
      </c>
    </row>
    <row r="17" spans="1:14" x14ac:dyDescent="0.2">
      <c r="A17" s="40">
        <v>1935</v>
      </c>
      <c r="B17" s="74">
        <v>3.9881407035175886</v>
      </c>
      <c r="C17" s="74">
        <v>4.9931658291457293</v>
      </c>
      <c r="D17" s="74">
        <v>3.6747738693467338</v>
      </c>
      <c r="E17" s="75" t="s">
        <v>10</v>
      </c>
      <c r="F17" s="74">
        <v>1.3183919597989953</v>
      </c>
      <c r="G17" s="75" t="s">
        <v>10</v>
      </c>
      <c r="H17" s="75" t="s">
        <v>10</v>
      </c>
      <c r="I17" s="74"/>
      <c r="J17" s="74">
        <v>1.0050251256281408</v>
      </c>
      <c r="K17" s="75" t="s">
        <v>10</v>
      </c>
      <c r="L17" s="75" t="s">
        <v>10</v>
      </c>
      <c r="M17" s="75" t="s">
        <v>10</v>
      </c>
      <c r="N17" s="74">
        <v>1.0050251256281408</v>
      </c>
    </row>
    <row r="18" spans="1:14" x14ac:dyDescent="0.2">
      <c r="A18" s="40">
        <v>1936</v>
      </c>
      <c r="B18" s="74">
        <v>4.5373584905660387</v>
      </c>
      <c r="C18" s="74">
        <v>5.5612264150943407</v>
      </c>
      <c r="D18" s="74">
        <v>3.2626415094339625</v>
      </c>
      <c r="E18" s="75" t="s">
        <v>10</v>
      </c>
      <c r="F18" s="74">
        <v>2.2985849056603778</v>
      </c>
      <c r="G18" s="75" t="s">
        <v>10</v>
      </c>
      <c r="H18" s="75" t="s">
        <v>10</v>
      </c>
      <c r="I18" s="74"/>
      <c r="J18" s="74">
        <v>1.023867924528302</v>
      </c>
      <c r="K18" s="75" t="s">
        <v>10</v>
      </c>
      <c r="L18" s="75" t="s">
        <v>10</v>
      </c>
      <c r="M18" s="75" t="s">
        <v>10</v>
      </c>
      <c r="N18" s="74">
        <v>1.023867924528302</v>
      </c>
    </row>
    <row r="19" spans="1:14" x14ac:dyDescent="0.2">
      <c r="A19" s="40">
        <v>1937</v>
      </c>
      <c r="B19" s="74">
        <v>4.0221402214022142</v>
      </c>
      <c r="C19" s="74">
        <v>5.5627306273062729</v>
      </c>
      <c r="D19" s="74">
        <v>1.8726937269372694</v>
      </c>
      <c r="E19" s="75" t="s">
        <v>10</v>
      </c>
      <c r="F19" s="74">
        <v>3.6900369003690039</v>
      </c>
      <c r="G19" s="75" t="s">
        <v>10</v>
      </c>
      <c r="H19" s="75" t="s">
        <v>10</v>
      </c>
      <c r="I19" s="74"/>
      <c r="J19" s="74">
        <v>1.5405904059040589</v>
      </c>
      <c r="K19" s="75" t="s">
        <v>10</v>
      </c>
      <c r="L19" s="75" t="s">
        <v>10</v>
      </c>
      <c r="M19" s="75" t="s">
        <v>10</v>
      </c>
      <c r="N19" s="74">
        <v>1.5405904059040589</v>
      </c>
    </row>
    <row r="20" spans="1:14" x14ac:dyDescent="0.2">
      <c r="A20" s="40">
        <v>1938</v>
      </c>
      <c r="B20" s="74">
        <v>2.9483917083631161</v>
      </c>
      <c r="C20" s="74">
        <v>3.0198713366690488</v>
      </c>
      <c r="D20" s="74">
        <v>2.8381701215153678</v>
      </c>
      <c r="E20" s="75" t="s">
        <v>10</v>
      </c>
      <c r="F20" s="74">
        <v>0.18170121515368118</v>
      </c>
      <c r="G20" s="75" t="s">
        <v>10</v>
      </c>
      <c r="H20" s="75" t="s">
        <v>10</v>
      </c>
      <c r="I20" s="74"/>
      <c r="J20" s="74">
        <v>7.147962830593281E-2</v>
      </c>
      <c r="K20" s="75" t="s">
        <v>10</v>
      </c>
      <c r="L20" s="75" t="s">
        <v>10</v>
      </c>
      <c r="M20" s="75" t="s">
        <v>10</v>
      </c>
      <c r="N20" s="74">
        <v>7.147962830593281E-2</v>
      </c>
    </row>
    <row r="21" spans="1:14" x14ac:dyDescent="0.2">
      <c r="A21" s="40">
        <v>1939</v>
      </c>
      <c r="B21" s="74">
        <v>2.7886178861788617</v>
      </c>
      <c r="C21" s="74">
        <v>3.0596205962059622</v>
      </c>
      <c r="D21" s="74">
        <v>2.6352303523035232</v>
      </c>
      <c r="E21" s="75" t="s">
        <v>10</v>
      </c>
      <c r="F21" s="74">
        <v>0.42439024390243901</v>
      </c>
      <c r="G21" s="75" t="s">
        <v>10</v>
      </c>
      <c r="H21" s="75" t="s">
        <v>10</v>
      </c>
      <c r="I21" s="74"/>
      <c r="J21" s="74">
        <v>0.2710027100271003</v>
      </c>
      <c r="K21" s="75" t="s">
        <v>10</v>
      </c>
      <c r="L21" s="75" t="s">
        <v>10</v>
      </c>
      <c r="M21" s="75" t="s">
        <v>10</v>
      </c>
      <c r="N21" s="74">
        <v>0.2710027100271003</v>
      </c>
    </row>
    <row r="22" spans="1:14" x14ac:dyDescent="0.2">
      <c r="A22" s="40">
        <v>1940</v>
      </c>
      <c r="B22" s="74">
        <v>5.0200126262626261</v>
      </c>
      <c r="C22" s="74">
        <v>6.0301136363636365</v>
      </c>
      <c r="D22" s="74">
        <v>3.8458964646464646</v>
      </c>
      <c r="E22" s="75" t="s">
        <v>10</v>
      </c>
      <c r="F22" s="74">
        <v>2.1842171717171719</v>
      </c>
      <c r="G22" s="75" t="s">
        <v>10</v>
      </c>
      <c r="H22" s="75" t="s">
        <v>10</v>
      </c>
      <c r="I22" s="74"/>
      <c r="J22" s="74">
        <v>1.0101010101010102</v>
      </c>
      <c r="K22" s="75" t="s">
        <v>10</v>
      </c>
      <c r="L22" s="75" t="s">
        <v>10</v>
      </c>
      <c r="M22" s="75" t="s">
        <v>10</v>
      </c>
      <c r="N22" s="74">
        <v>1.0101010101010102</v>
      </c>
    </row>
    <row r="23" spans="1:14" x14ac:dyDescent="0.2">
      <c r="A23" s="40">
        <v>1941</v>
      </c>
      <c r="B23" s="74">
        <v>7.8905284831846272</v>
      </c>
      <c r="C23" s="74">
        <v>8.9855181880576538</v>
      </c>
      <c r="D23" s="74">
        <v>4.9320521619766646</v>
      </c>
      <c r="E23" s="75" t="s">
        <v>10</v>
      </c>
      <c r="F23" s="74">
        <v>4.0534660260809883</v>
      </c>
      <c r="G23" s="75" t="s">
        <v>10</v>
      </c>
      <c r="H23" s="75" t="s">
        <v>10</v>
      </c>
      <c r="I23" s="74"/>
      <c r="J23" s="74">
        <v>1.0949897048730268</v>
      </c>
      <c r="K23" s="75" t="s">
        <v>10</v>
      </c>
      <c r="L23" s="75" t="s">
        <v>10</v>
      </c>
      <c r="M23" s="75" t="s">
        <v>10</v>
      </c>
      <c r="N23" s="74">
        <v>1.0949897048730268</v>
      </c>
    </row>
    <row r="24" spans="1:14" x14ac:dyDescent="0.2">
      <c r="A24" s="40">
        <v>1942</v>
      </c>
      <c r="B24" s="74">
        <v>14.575704225352116</v>
      </c>
      <c r="C24" s="74">
        <v>16.547535211267608</v>
      </c>
      <c r="D24" s="74">
        <v>9.1635211267605641</v>
      </c>
      <c r="E24" s="75" t="s">
        <v>10</v>
      </c>
      <c r="F24" s="74">
        <v>7.3840140845070437</v>
      </c>
      <c r="G24" s="75" t="s">
        <v>10</v>
      </c>
      <c r="H24" s="75" t="s">
        <v>10</v>
      </c>
      <c r="I24" s="74"/>
      <c r="J24" s="74">
        <v>1.971830985915493</v>
      </c>
      <c r="K24" s="75" t="s">
        <v>10</v>
      </c>
      <c r="L24" s="75" t="s">
        <v>10</v>
      </c>
      <c r="M24" s="75" t="s">
        <v>10</v>
      </c>
      <c r="N24" s="74">
        <v>1.971830985915493</v>
      </c>
    </row>
    <row r="25" spans="1:14" x14ac:dyDescent="0.2">
      <c r="A25" s="40">
        <v>1943</v>
      </c>
      <c r="B25" s="74">
        <v>26.104789550072567</v>
      </c>
      <c r="C25" s="74">
        <v>28.572133526850507</v>
      </c>
      <c r="D25" s="74">
        <v>17.10065312046444</v>
      </c>
      <c r="E25" s="75" t="s">
        <v>10</v>
      </c>
      <c r="F25" s="74">
        <v>11.471480406386068</v>
      </c>
      <c r="G25" s="75" t="s">
        <v>10</v>
      </c>
      <c r="H25" s="75" t="s">
        <v>10</v>
      </c>
      <c r="I25" s="74"/>
      <c r="J25" s="74">
        <v>2.467343976777939</v>
      </c>
      <c r="K25" s="75" t="s">
        <v>10</v>
      </c>
      <c r="L25" s="75" t="s">
        <v>10</v>
      </c>
      <c r="M25" s="75" t="s">
        <v>10</v>
      </c>
      <c r="N25" s="74">
        <v>2.467343976777939</v>
      </c>
    </row>
    <row r="26" spans="1:14" x14ac:dyDescent="0.2">
      <c r="A26" s="40">
        <v>1944</v>
      </c>
      <c r="B26" s="74">
        <v>33.262108262108264</v>
      </c>
      <c r="C26" s="74">
        <v>34.544159544159548</v>
      </c>
      <c r="D26" s="74">
        <v>20.584045584045587</v>
      </c>
      <c r="E26" s="75" t="s">
        <v>10</v>
      </c>
      <c r="F26" s="74">
        <v>13.960113960113961</v>
      </c>
      <c r="G26" s="75" t="s">
        <v>10</v>
      </c>
      <c r="H26" s="75" t="s">
        <v>10</v>
      </c>
      <c r="I26" s="74"/>
      <c r="J26" s="74">
        <v>1.2820512820512822</v>
      </c>
      <c r="K26" s="75" t="s">
        <v>10</v>
      </c>
      <c r="L26" s="75" t="s">
        <v>10</v>
      </c>
      <c r="M26" s="75" t="s">
        <v>10</v>
      </c>
      <c r="N26" s="74">
        <v>1.2820512820512822</v>
      </c>
    </row>
    <row r="27" spans="1:14" x14ac:dyDescent="0.2">
      <c r="A27" s="40">
        <v>1945</v>
      </c>
      <c r="B27" s="74">
        <v>27.518740740740739</v>
      </c>
      <c r="C27" s="74">
        <v>33.00022222222222</v>
      </c>
      <c r="D27" s="74">
        <v>21.407407407407408</v>
      </c>
      <c r="E27" s="75" t="s">
        <v>10</v>
      </c>
      <c r="F27" s="74">
        <v>11.592814814814814</v>
      </c>
      <c r="G27" s="75" t="s">
        <v>10</v>
      </c>
      <c r="H27" s="75" t="s">
        <v>10</v>
      </c>
      <c r="I27" s="74"/>
      <c r="J27" s="74">
        <v>5.4814814814814818</v>
      </c>
      <c r="K27" s="75" t="s">
        <v>10</v>
      </c>
      <c r="L27" s="75" t="s">
        <v>10</v>
      </c>
      <c r="M27" s="75" t="s">
        <v>10</v>
      </c>
      <c r="N27" s="74">
        <v>5.4814814814814818</v>
      </c>
    </row>
    <row r="28" spans="1:14" x14ac:dyDescent="0.2">
      <c r="A28" s="40">
        <v>1946</v>
      </c>
      <c r="B28" s="74">
        <v>29.373333333333335</v>
      </c>
      <c r="C28" s="74">
        <v>37.671777777777777</v>
      </c>
      <c r="D28" s="74">
        <v>20.222222222222221</v>
      </c>
      <c r="E28" s="74">
        <v>1.2592592592592593</v>
      </c>
      <c r="F28" s="74">
        <v>16.190296296296296</v>
      </c>
      <c r="G28" s="75" t="s">
        <v>10</v>
      </c>
      <c r="H28" s="75" t="s">
        <v>10</v>
      </c>
      <c r="I28" s="74"/>
      <c r="J28" s="74">
        <v>8.2984444444444438</v>
      </c>
      <c r="K28" s="75" t="s">
        <v>10</v>
      </c>
      <c r="L28" s="75" t="s">
        <v>10</v>
      </c>
      <c r="M28" s="74">
        <v>0</v>
      </c>
      <c r="N28" s="74">
        <v>8.2984444444444438</v>
      </c>
    </row>
    <row r="29" spans="1:14" x14ac:dyDescent="0.2">
      <c r="A29" s="40">
        <v>1947</v>
      </c>
      <c r="B29" s="74">
        <v>25.382074074074076</v>
      </c>
      <c r="C29" s="74">
        <v>27.777777777777779</v>
      </c>
      <c r="D29" s="74">
        <v>20.37037037037037</v>
      </c>
      <c r="E29" s="74">
        <v>1.2592592592592593</v>
      </c>
      <c r="F29" s="74">
        <v>6.1481481481481479</v>
      </c>
      <c r="G29" s="75" t="s">
        <v>10</v>
      </c>
      <c r="H29" s="75" t="s">
        <v>10</v>
      </c>
      <c r="I29" s="74"/>
      <c r="J29" s="74">
        <v>2.3957037037037034</v>
      </c>
      <c r="K29" s="75" t="s">
        <v>10</v>
      </c>
      <c r="L29" s="75" t="s">
        <v>10</v>
      </c>
      <c r="M29" s="74">
        <v>0</v>
      </c>
      <c r="N29" s="74">
        <v>2.3957037037037034</v>
      </c>
    </row>
    <row r="30" spans="1:14" x14ac:dyDescent="0.2">
      <c r="A30" s="40">
        <v>1948</v>
      </c>
      <c r="B30" s="74">
        <v>26.86125925925926</v>
      </c>
      <c r="C30" s="74">
        <v>29.003777777777778</v>
      </c>
      <c r="D30" s="74">
        <v>20.518518518518519</v>
      </c>
      <c r="E30" s="74">
        <v>1.2592592592592593</v>
      </c>
      <c r="F30" s="74">
        <v>7.226</v>
      </c>
      <c r="G30" s="75" t="s">
        <v>10</v>
      </c>
      <c r="H30" s="75" t="s">
        <v>10</v>
      </c>
      <c r="I30" s="74"/>
      <c r="J30" s="74">
        <v>2.1425185185185183</v>
      </c>
      <c r="K30" s="75" t="s">
        <v>10</v>
      </c>
      <c r="L30" s="75" t="s">
        <v>10</v>
      </c>
      <c r="M30" s="74">
        <v>0</v>
      </c>
      <c r="N30" s="74">
        <v>2.1425185185185183</v>
      </c>
    </row>
    <row r="31" spans="1:14" x14ac:dyDescent="0.2">
      <c r="A31" s="40">
        <v>1949</v>
      </c>
      <c r="B31" s="74">
        <v>14.853407407407408</v>
      </c>
      <c r="C31" s="74">
        <v>27.677629629629632</v>
      </c>
      <c r="D31" s="74">
        <v>20.640592592592593</v>
      </c>
      <c r="E31" s="74">
        <v>1.2592592592592593</v>
      </c>
      <c r="F31" s="74">
        <v>4.4444444444444446</v>
      </c>
      <c r="G31" s="74">
        <v>1.3333333333333333</v>
      </c>
      <c r="H31" s="75" t="s">
        <v>10</v>
      </c>
      <c r="I31" s="74"/>
      <c r="J31" s="74">
        <v>12.824222222222224</v>
      </c>
      <c r="K31" s="75" t="s">
        <v>10</v>
      </c>
      <c r="L31" s="75" t="s">
        <v>10</v>
      </c>
      <c r="M31" s="74">
        <v>0</v>
      </c>
      <c r="N31" s="74">
        <v>12.824222222222224</v>
      </c>
    </row>
    <row r="32" spans="1:14" x14ac:dyDescent="0.2">
      <c r="A32" s="40">
        <v>1950</v>
      </c>
      <c r="B32" s="74">
        <v>35.825252525252523</v>
      </c>
      <c r="C32" s="74">
        <v>38.990235690235686</v>
      </c>
      <c r="D32" s="74">
        <v>18.939730639730641</v>
      </c>
      <c r="E32" s="74">
        <v>1.2626262626262628</v>
      </c>
      <c r="F32" s="74">
        <v>14.141414141414142</v>
      </c>
      <c r="G32" s="74">
        <v>4.6464646464646462</v>
      </c>
      <c r="H32" s="75" t="s">
        <v>10</v>
      </c>
      <c r="I32" s="74"/>
      <c r="J32" s="74">
        <v>3.1649831649831652</v>
      </c>
      <c r="K32" s="75" t="s">
        <v>10</v>
      </c>
      <c r="L32" s="75" t="s">
        <v>10</v>
      </c>
      <c r="M32" s="74">
        <v>0</v>
      </c>
      <c r="N32" s="74">
        <v>2.8282828282828283</v>
      </c>
    </row>
    <row r="33" spans="1:14" x14ac:dyDescent="0.2">
      <c r="A33" s="40">
        <v>1951</v>
      </c>
      <c r="B33" s="74">
        <v>27.024533333333334</v>
      </c>
      <c r="C33" s="74">
        <v>32.091200000000001</v>
      </c>
      <c r="D33" s="74">
        <v>22.374533333333332</v>
      </c>
      <c r="E33" s="74">
        <v>1.25</v>
      </c>
      <c r="F33" s="74">
        <v>5.4</v>
      </c>
      <c r="G33" s="74">
        <v>3.0666666666666669</v>
      </c>
      <c r="H33" s="75" t="s">
        <v>10</v>
      </c>
      <c r="I33" s="74"/>
      <c r="J33" s="74">
        <v>5.0666666666666664</v>
      </c>
      <c r="K33" s="75" t="s">
        <v>10</v>
      </c>
      <c r="L33" s="74">
        <v>0.6</v>
      </c>
      <c r="M33" s="74">
        <v>0</v>
      </c>
      <c r="N33" s="74">
        <v>4.4666666666666668</v>
      </c>
    </row>
    <row r="34" spans="1:14" x14ac:dyDescent="0.2">
      <c r="A34" s="40">
        <v>1952</v>
      </c>
      <c r="B34" s="74">
        <v>39.426066666666671</v>
      </c>
      <c r="C34" s="74">
        <v>44.759400000000007</v>
      </c>
      <c r="D34" s="74">
        <v>22.576066666666669</v>
      </c>
      <c r="E34" s="74">
        <v>1.25</v>
      </c>
      <c r="F34" s="74">
        <v>16.733333333333334</v>
      </c>
      <c r="G34" s="74">
        <v>4.2</v>
      </c>
      <c r="H34" s="75" t="s">
        <v>10</v>
      </c>
      <c r="I34" s="74"/>
      <c r="J34" s="74">
        <v>5.333333333333333</v>
      </c>
      <c r="K34" s="75" t="s">
        <v>10</v>
      </c>
      <c r="L34" s="74">
        <v>1.6666666666666667</v>
      </c>
      <c r="M34" s="74">
        <v>0</v>
      </c>
      <c r="N34" s="74">
        <v>3.6666666666666665</v>
      </c>
    </row>
    <row r="35" spans="1:14" x14ac:dyDescent="0.2">
      <c r="A35" s="40">
        <v>1953</v>
      </c>
      <c r="B35" s="74">
        <v>32.383333333333333</v>
      </c>
      <c r="C35" s="74">
        <v>40.049999999999997</v>
      </c>
      <c r="D35" s="74">
        <v>22.733333333333334</v>
      </c>
      <c r="E35" s="74">
        <v>1.25</v>
      </c>
      <c r="F35" s="74">
        <v>13.666666666666666</v>
      </c>
      <c r="G35" s="74">
        <v>2.4</v>
      </c>
      <c r="H35" s="75" t="s">
        <v>10</v>
      </c>
      <c r="I35" s="74"/>
      <c r="J35" s="74">
        <v>7.666666666666667</v>
      </c>
      <c r="K35" s="75" t="s">
        <v>10</v>
      </c>
      <c r="L35" s="74">
        <v>2.8</v>
      </c>
      <c r="M35" s="74">
        <v>0</v>
      </c>
      <c r="N35" s="74">
        <v>4.8666666666666663</v>
      </c>
    </row>
    <row r="36" spans="1:14" x14ac:dyDescent="0.2">
      <c r="A36" s="40">
        <v>1954</v>
      </c>
      <c r="B36" s="74">
        <v>34.128066666666662</v>
      </c>
      <c r="C36" s="74">
        <v>39.728066666666663</v>
      </c>
      <c r="D36" s="74">
        <v>22.860266666666668</v>
      </c>
      <c r="E36" s="74">
        <v>1.25</v>
      </c>
      <c r="F36" s="74">
        <v>11.133333333333333</v>
      </c>
      <c r="G36" s="74">
        <v>4.4000000000000004</v>
      </c>
      <c r="H36" s="74">
        <v>8.4466666666666662E-2</v>
      </c>
      <c r="I36" s="74"/>
      <c r="J36" s="74">
        <v>5.6</v>
      </c>
      <c r="K36" s="75" t="s">
        <v>10</v>
      </c>
      <c r="L36" s="74">
        <v>1.8</v>
      </c>
      <c r="M36" s="74">
        <v>0</v>
      </c>
      <c r="N36" s="74">
        <v>3.8</v>
      </c>
    </row>
    <row r="37" spans="1:14" x14ac:dyDescent="0.2">
      <c r="A37" s="40">
        <v>1955</v>
      </c>
      <c r="B37" s="74">
        <v>23.435666666666663</v>
      </c>
      <c r="C37" s="74">
        <v>35.035666666666664</v>
      </c>
      <c r="D37" s="74">
        <v>22.910533333333333</v>
      </c>
      <c r="E37" s="74">
        <v>1.25</v>
      </c>
      <c r="F37" s="74">
        <v>5.333333333333333</v>
      </c>
      <c r="G37" s="74">
        <v>5.4666666666666668</v>
      </c>
      <c r="H37" s="74">
        <v>7.513333333333333E-2</v>
      </c>
      <c r="I37" s="74"/>
      <c r="J37" s="74">
        <v>11.6</v>
      </c>
      <c r="K37" s="75" t="s">
        <v>10</v>
      </c>
      <c r="L37" s="74">
        <v>2.9333333333333331</v>
      </c>
      <c r="M37" s="74">
        <v>0</v>
      </c>
      <c r="N37" s="74">
        <v>8.6666666666666661</v>
      </c>
    </row>
    <row r="38" spans="1:14" x14ac:dyDescent="0.2">
      <c r="A38" s="40">
        <v>1956</v>
      </c>
      <c r="B38" s="74">
        <v>26.219266666666673</v>
      </c>
      <c r="C38" s="74">
        <v>34.152600000000007</v>
      </c>
      <c r="D38" s="74">
        <v>21.677533333333333</v>
      </c>
      <c r="E38" s="74">
        <v>2.5003333333333333</v>
      </c>
      <c r="F38" s="74">
        <v>4.8</v>
      </c>
      <c r="G38" s="74">
        <v>5</v>
      </c>
      <c r="H38" s="74">
        <v>0.17473333333333332</v>
      </c>
      <c r="I38" s="74"/>
      <c r="J38" s="74">
        <v>7.9333333333333336</v>
      </c>
      <c r="K38" s="75" t="s">
        <v>10</v>
      </c>
      <c r="L38" s="74">
        <v>1.8666666666666667</v>
      </c>
      <c r="M38" s="74">
        <v>0</v>
      </c>
      <c r="N38" s="74">
        <v>6.0666666666666664</v>
      </c>
    </row>
    <row r="39" spans="1:14" x14ac:dyDescent="0.2">
      <c r="A39" s="40">
        <v>1957</v>
      </c>
      <c r="B39" s="74">
        <v>27.944400000000002</v>
      </c>
      <c r="C39" s="74">
        <v>41.544400000000003</v>
      </c>
      <c r="D39" s="74">
        <v>21.654866666666667</v>
      </c>
      <c r="E39" s="74">
        <v>2.5003333333333333</v>
      </c>
      <c r="F39" s="74">
        <v>9.1333333333333329</v>
      </c>
      <c r="G39" s="74">
        <v>7.9333333333333336</v>
      </c>
      <c r="H39" s="74">
        <v>0.32253333333333334</v>
      </c>
      <c r="I39" s="74"/>
      <c r="J39" s="74">
        <v>13.6</v>
      </c>
      <c r="K39" s="75" t="s">
        <v>10</v>
      </c>
      <c r="L39" s="74">
        <v>3</v>
      </c>
      <c r="M39" s="74">
        <v>0</v>
      </c>
      <c r="N39" s="74">
        <v>10.6</v>
      </c>
    </row>
    <row r="40" spans="1:14" x14ac:dyDescent="0.2">
      <c r="A40" s="40">
        <v>1958</v>
      </c>
      <c r="B40" s="74">
        <v>30.447133333333337</v>
      </c>
      <c r="C40" s="74">
        <v>37.780466666666669</v>
      </c>
      <c r="D40" s="74">
        <v>21.651266666666668</v>
      </c>
      <c r="E40" s="74">
        <v>2.5</v>
      </c>
      <c r="F40" s="74">
        <v>4.2666666666666666</v>
      </c>
      <c r="G40" s="74">
        <v>8.0666666666666664</v>
      </c>
      <c r="H40" s="74">
        <v>1.2958666666666665</v>
      </c>
      <c r="I40" s="74"/>
      <c r="J40" s="74">
        <v>7.333333333333333</v>
      </c>
      <c r="K40" s="75" t="s">
        <v>10</v>
      </c>
      <c r="L40" s="74">
        <v>2</v>
      </c>
      <c r="M40" s="74">
        <v>0</v>
      </c>
      <c r="N40" s="74">
        <v>5.333333333333333</v>
      </c>
    </row>
    <row r="41" spans="1:14" x14ac:dyDescent="0.2">
      <c r="A41" s="40">
        <v>1959</v>
      </c>
      <c r="B41" s="74">
        <v>37.904266666666665</v>
      </c>
      <c r="C41" s="74">
        <v>43.637599999999999</v>
      </c>
      <c r="D41" s="74">
        <v>20.405199999999997</v>
      </c>
      <c r="E41" s="74">
        <v>3.7504666666666666</v>
      </c>
      <c r="F41" s="74">
        <v>9.0666666666666664</v>
      </c>
      <c r="G41" s="74">
        <v>7.4</v>
      </c>
      <c r="H41" s="74">
        <v>3.0152666666666668</v>
      </c>
      <c r="I41" s="74"/>
      <c r="J41" s="74">
        <v>5.7333333333333334</v>
      </c>
      <c r="K41" s="75" t="s">
        <v>10</v>
      </c>
      <c r="L41" s="74">
        <v>2.5333333333333332</v>
      </c>
      <c r="M41" s="74">
        <v>0</v>
      </c>
      <c r="N41" s="74">
        <v>3.2</v>
      </c>
    </row>
    <row r="42" spans="1:14" x14ac:dyDescent="0.2">
      <c r="A42" s="40">
        <v>1960</v>
      </c>
      <c r="B42" s="74">
        <v>32.481533333333338</v>
      </c>
      <c r="C42" s="74">
        <v>40.748200000000004</v>
      </c>
      <c r="D42" s="74">
        <v>19.997733333333333</v>
      </c>
      <c r="E42" s="74">
        <v>3.7504666666666666</v>
      </c>
      <c r="F42" s="74">
        <v>10.133333333333333</v>
      </c>
      <c r="G42" s="74">
        <v>4.666666666666667</v>
      </c>
      <c r="H42" s="74">
        <v>2.2000000000000002</v>
      </c>
      <c r="I42" s="74"/>
      <c r="J42" s="74">
        <v>8.2666666666666675</v>
      </c>
      <c r="K42" s="75" t="s">
        <v>10</v>
      </c>
      <c r="L42" s="74">
        <v>3.2</v>
      </c>
      <c r="M42" s="74">
        <v>0</v>
      </c>
      <c r="N42" s="74">
        <v>5.0666666666666664</v>
      </c>
    </row>
    <row r="43" spans="1:14" x14ac:dyDescent="0.2">
      <c r="A43" s="40">
        <v>1961</v>
      </c>
      <c r="B43" s="74">
        <v>20.796833333333325</v>
      </c>
      <c r="C43" s="74">
        <v>42.099055555555552</v>
      </c>
      <c r="D43" s="74">
        <v>19.222333333333335</v>
      </c>
      <c r="E43" s="74">
        <v>3.7504444444444442</v>
      </c>
      <c r="F43" s="74">
        <v>11.222222222222221</v>
      </c>
      <c r="G43" s="74">
        <v>5.4444444444444446</v>
      </c>
      <c r="H43" s="74">
        <v>2.4596111111111112</v>
      </c>
      <c r="I43" s="74"/>
      <c r="J43" s="74">
        <v>21.302222222222227</v>
      </c>
      <c r="K43" s="75" t="s">
        <v>10</v>
      </c>
      <c r="L43" s="74">
        <v>0</v>
      </c>
      <c r="M43" s="74">
        <v>14.000166666666667</v>
      </c>
      <c r="N43" s="74">
        <v>7.3020555555555564</v>
      </c>
    </row>
    <row r="44" spans="1:14" x14ac:dyDescent="0.2">
      <c r="A44" s="40">
        <v>1962</v>
      </c>
      <c r="B44" s="74">
        <v>32.217055555555554</v>
      </c>
      <c r="C44" s="74">
        <v>46.944555555555553</v>
      </c>
      <c r="D44" s="74">
        <v>19.055777777777777</v>
      </c>
      <c r="E44" s="74">
        <v>3.7504444444444442</v>
      </c>
      <c r="F44" s="74">
        <v>19</v>
      </c>
      <c r="G44" s="74">
        <v>1.2222222222222223</v>
      </c>
      <c r="H44" s="74">
        <v>3.9161111111111109</v>
      </c>
      <c r="I44" s="74"/>
      <c r="J44" s="74">
        <v>14.727499999999999</v>
      </c>
      <c r="K44" s="75" t="s">
        <v>10</v>
      </c>
      <c r="L44" s="74">
        <v>0</v>
      </c>
      <c r="M44" s="74">
        <v>11.845388888888889</v>
      </c>
      <c r="N44" s="74">
        <v>2.8821111111111111</v>
      </c>
    </row>
    <row r="45" spans="1:14" x14ac:dyDescent="0.2">
      <c r="A45" s="40">
        <v>1963</v>
      </c>
      <c r="B45" s="74">
        <v>40.650333333333329</v>
      </c>
      <c r="C45" s="74">
        <v>55.347611111111107</v>
      </c>
      <c r="D45" s="74">
        <v>18.665888888888887</v>
      </c>
      <c r="E45" s="74">
        <v>3.7504444444444442</v>
      </c>
      <c r="F45" s="74">
        <v>26.89961111111111</v>
      </c>
      <c r="G45" s="74">
        <v>0</v>
      </c>
      <c r="H45" s="74">
        <v>6.0316666666666663</v>
      </c>
      <c r="I45" s="74"/>
      <c r="J45" s="74">
        <v>14.697277777777778</v>
      </c>
      <c r="K45" s="75" t="s">
        <v>10</v>
      </c>
      <c r="L45" s="74">
        <v>0</v>
      </c>
      <c r="M45" s="74">
        <v>8.5783888888888882</v>
      </c>
      <c r="N45" s="74">
        <v>6.1188888888888888</v>
      </c>
    </row>
    <row r="46" spans="1:14" x14ac:dyDescent="0.2">
      <c r="A46" s="40">
        <v>1964</v>
      </c>
      <c r="B46" s="74">
        <v>45.04955555555555</v>
      </c>
      <c r="C46" s="74">
        <v>53.632777777777775</v>
      </c>
      <c r="D46" s="74">
        <v>11.20738888888889</v>
      </c>
      <c r="E46" s="74">
        <v>5.0004444444444438</v>
      </c>
      <c r="F46" s="74">
        <v>18.196055555555557</v>
      </c>
      <c r="G46" s="74">
        <v>0</v>
      </c>
      <c r="H46" s="74">
        <v>19.228888888888889</v>
      </c>
      <c r="I46" s="74"/>
      <c r="J46" s="74">
        <v>8.5832222222222256</v>
      </c>
      <c r="K46" s="75" t="s">
        <v>10</v>
      </c>
      <c r="L46" s="74">
        <v>0</v>
      </c>
      <c r="M46" s="74">
        <v>2.0004444444444465</v>
      </c>
      <c r="N46" s="74">
        <v>6.5827777777777774</v>
      </c>
    </row>
    <row r="47" spans="1:14" x14ac:dyDescent="0.2">
      <c r="A47" s="40">
        <v>1965</v>
      </c>
      <c r="B47" s="74">
        <v>33.634666666666668</v>
      </c>
      <c r="C47" s="74">
        <v>50.931222222222225</v>
      </c>
      <c r="D47" s="74">
        <v>11.152999999999999</v>
      </c>
      <c r="E47" s="74">
        <v>5.0004444444444438</v>
      </c>
      <c r="F47" s="74">
        <v>30.444444444444443</v>
      </c>
      <c r="G47" s="74">
        <v>0</v>
      </c>
      <c r="H47" s="74">
        <v>4.333333333333333</v>
      </c>
      <c r="I47" s="74"/>
      <c r="J47" s="74">
        <v>17.296555555555557</v>
      </c>
      <c r="K47" s="75" t="s">
        <v>10</v>
      </c>
      <c r="L47" s="74">
        <v>0</v>
      </c>
      <c r="M47" s="74">
        <v>11.000388888888889</v>
      </c>
      <c r="N47" s="74">
        <v>6.2961666666666671</v>
      </c>
    </row>
    <row r="48" spans="1:14" x14ac:dyDescent="0.2">
      <c r="A48" s="40">
        <v>1966</v>
      </c>
      <c r="B48" s="74">
        <v>44.676055555555557</v>
      </c>
      <c r="C48" s="74">
        <v>67.394833333333338</v>
      </c>
      <c r="D48" s="74">
        <v>10.998833333333334</v>
      </c>
      <c r="E48" s="74">
        <v>6.2504444444444438</v>
      </c>
      <c r="F48" s="74">
        <v>45.259833333333333</v>
      </c>
      <c r="G48" s="74">
        <v>0</v>
      </c>
      <c r="H48" s="74">
        <v>4.8857222222222223</v>
      </c>
      <c r="I48" s="74"/>
      <c r="J48" s="74">
        <v>22.718777777777781</v>
      </c>
      <c r="K48" s="75" t="s">
        <v>10</v>
      </c>
      <c r="L48" s="74">
        <v>0.1111111111111111</v>
      </c>
      <c r="M48" s="74">
        <v>17.250388888888892</v>
      </c>
      <c r="N48" s="74">
        <v>5.357277777777778</v>
      </c>
    </row>
    <row r="49" spans="1:14" x14ac:dyDescent="0.2">
      <c r="A49" s="40">
        <v>1967</v>
      </c>
      <c r="B49" s="74">
        <v>53.863222222222234</v>
      </c>
      <c r="C49" s="74">
        <v>75.360055555555562</v>
      </c>
      <c r="D49" s="74">
        <v>17.115055555555557</v>
      </c>
      <c r="E49" s="74">
        <v>6.2504444444444438</v>
      </c>
      <c r="F49" s="74">
        <v>43.611111111111114</v>
      </c>
      <c r="G49" s="74">
        <v>3.7222222222222223</v>
      </c>
      <c r="H49" s="74">
        <v>4.6612222222222224</v>
      </c>
      <c r="I49" s="74"/>
      <c r="J49" s="74">
        <v>21.496833333333331</v>
      </c>
      <c r="K49" s="75" t="s">
        <v>10</v>
      </c>
      <c r="L49" s="74">
        <v>0.22222222222222221</v>
      </c>
      <c r="M49" s="74">
        <v>16.425722222222223</v>
      </c>
      <c r="N49" s="74">
        <v>4.8488888888888892</v>
      </c>
    </row>
    <row r="50" spans="1:14" x14ac:dyDescent="0.2">
      <c r="A50" s="40">
        <v>1968</v>
      </c>
      <c r="B50" s="74">
        <v>41.386833333333335</v>
      </c>
      <c r="C50" s="74">
        <v>63.079666666666668</v>
      </c>
      <c r="D50" s="74">
        <v>26.229277777777778</v>
      </c>
      <c r="E50" s="74">
        <v>6.2504444444444438</v>
      </c>
      <c r="F50" s="74">
        <v>17.555555555555557</v>
      </c>
      <c r="G50" s="74">
        <v>7.1111111111111107</v>
      </c>
      <c r="H50" s="74">
        <v>5.9332777777777777</v>
      </c>
      <c r="I50" s="74"/>
      <c r="J50" s="74">
        <v>21.692833333333333</v>
      </c>
      <c r="K50" s="75" t="s">
        <v>10</v>
      </c>
      <c r="L50" s="74">
        <v>0.3888888888888889</v>
      </c>
      <c r="M50" s="74">
        <v>5.7505000000000006</v>
      </c>
      <c r="N50" s="74">
        <v>15.553444444444445</v>
      </c>
    </row>
    <row r="51" spans="1:14" x14ac:dyDescent="0.2">
      <c r="A51" s="40">
        <v>1969</v>
      </c>
      <c r="B51" s="74">
        <v>39.041444444444444</v>
      </c>
      <c r="C51" s="74">
        <v>71.248111111111115</v>
      </c>
      <c r="D51" s="74">
        <v>22.104555555555557</v>
      </c>
      <c r="E51" s="74">
        <v>6.2504444444444438</v>
      </c>
      <c r="F51" s="74">
        <v>27.444444444444443</v>
      </c>
      <c r="G51" s="74">
        <v>8.2777777777777786</v>
      </c>
      <c r="H51" s="74">
        <v>7.1708888888888902</v>
      </c>
      <c r="I51" s="74"/>
      <c r="J51" s="74">
        <v>32.206666666666671</v>
      </c>
      <c r="K51" s="75" t="s">
        <v>10</v>
      </c>
      <c r="L51" s="74">
        <v>0.16666666666666666</v>
      </c>
      <c r="M51" s="74">
        <v>18.500611111111109</v>
      </c>
      <c r="N51" s="74">
        <v>13.539388888888888</v>
      </c>
    </row>
    <row r="52" spans="1:14" x14ac:dyDescent="0.2">
      <c r="A52" s="40">
        <v>1970</v>
      </c>
      <c r="B52" s="74">
        <v>55.140719999999995</v>
      </c>
      <c r="C52" s="74">
        <v>91.543239999999997</v>
      </c>
      <c r="D52" s="74">
        <v>19.04</v>
      </c>
      <c r="E52" s="74">
        <v>8.3654399999999995</v>
      </c>
      <c r="F52" s="74">
        <v>40.6</v>
      </c>
      <c r="G52" s="74">
        <v>9.008519999999999</v>
      </c>
      <c r="H52" s="74">
        <v>14.529280000000002</v>
      </c>
      <c r="I52" s="74"/>
      <c r="J52" s="74">
        <v>36.402520000000003</v>
      </c>
      <c r="K52" s="74">
        <v>8.08</v>
      </c>
      <c r="L52" s="74">
        <v>6.12</v>
      </c>
      <c r="M52" s="74">
        <v>22.002520000000001</v>
      </c>
      <c r="N52" s="74">
        <v>0.2</v>
      </c>
    </row>
    <row r="53" spans="1:14" x14ac:dyDescent="0.2">
      <c r="A53" s="40">
        <v>1971</v>
      </c>
      <c r="B53" s="74">
        <v>24.843759999999996</v>
      </c>
      <c r="C53" s="74">
        <v>71.021720000000002</v>
      </c>
      <c r="D53" s="74">
        <v>18.64</v>
      </c>
      <c r="E53" s="74">
        <v>11.56</v>
      </c>
      <c r="F53" s="74">
        <v>27.92</v>
      </c>
      <c r="G53" s="74">
        <v>7.36</v>
      </c>
      <c r="H53" s="74">
        <v>5.5417200000000006</v>
      </c>
      <c r="I53" s="74"/>
      <c r="J53" s="74">
        <v>46.177960000000006</v>
      </c>
      <c r="K53" s="74">
        <v>16.78764</v>
      </c>
      <c r="L53" s="74">
        <v>3.4</v>
      </c>
      <c r="M53" s="74">
        <v>13.750320000000002</v>
      </c>
      <c r="N53" s="74">
        <v>12.24</v>
      </c>
    </row>
    <row r="54" spans="1:14" x14ac:dyDescent="0.2">
      <c r="A54" s="40">
        <v>1972</v>
      </c>
      <c r="B54" s="74">
        <v>127.94844000000002</v>
      </c>
      <c r="C54" s="74">
        <v>149.96620000000001</v>
      </c>
      <c r="D54" s="74">
        <v>12.42924</v>
      </c>
      <c r="E54" s="74">
        <v>14.959479999999999</v>
      </c>
      <c r="F54" s="74">
        <v>95.68</v>
      </c>
      <c r="G54" s="74">
        <v>8.76</v>
      </c>
      <c r="H54" s="74">
        <v>18.13748</v>
      </c>
      <c r="I54" s="74"/>
      <c r="J54" s="74">
        <v>22.017759999999999</v>
      </c>
      <c r="K54" s="74">
        <v>0.12</v>
      </c>
      <c r="L54" s="74">
        <v>5.27712</v>
      </c>
      <c r="M54" s="74">
        <v>16.500639999999997</v>
      </c>
      <c r="N54" s="74">
        <v>0.12</v>
      </c>
    </row>
    <row r="55" spans="1:14" x14ac:dyDescent="0.2">
      <c r="A55" s="40">
        <v>1973</v>
      </c>
      <c r="B55" s="74">
        <v>225.96059999999997</v>
      </c>
      <c r="C55" s="74">
        <v>235.31811999999996</v>
      </c>
      <c r="D55" s="74">
        <v>16.29964</v>
      </c>
      <c r="E55" s="74">
        <v>14.018480000000004</v>
      </c>
      <c r="F55" s="74">
        <v>181.92</v>
      </c>
      <c r="G55" s="74">
        <v>12.44</v>
      </c>
      <c r="H55" s="74">
        <v>10.64</v>
      </c>
      <c r="I55" s="74"/>
      <c r="J55" s="74">
        <v>9.3575199999999992</v>
      </c>
      <c r="K55" s="74">
        <v>4.1575199999999999</v>
      </c>
      <c r="L55" s="74">
        <v>5.04</v>
      </c>
      <c r="M55" s="74">
        <v>0</v>
      </c>
      <c r="N55" s="74">
        <v>0.16</v>
      </c>
    </row>
    <row r="56" spans="1:14" x14ac:dyDescent="0.2">
      <c r="A56" s="40">
        <v>1974</v>
      </c>
      <c r="B56" s="74">
        <v>339.45515999999998</v>
      </c>
      <c r="C56" s="74">
        <v>349.53515999999996</v>
      </c>
      <c r="D56" s="74">
        <v>16.299320000000002</v>
      </c>
      <c r="E56" s="74">
        <v>19.010960000000001</v>
      </c>
      <c r="F56" s="74">
        <v>284.95999999999998</v>
      </c>
      <c r="G56" s="74">
        <v>14.8</v>
      </c>
      <c r="H56" s="74">
        <v>14.464880000000001</v>
      </c>
      <c r="I56" s="74"/>
      <c r="J56" s="74">
        <v>10.08</v>
      </c>
      <c r="K56" s="74">
        <v>4.6399999999999997</v>
      </c>
      <c r="L56" s="74">
        <v>5.24</v>
      </c>
      <c r="M56" s="74">
        <v>0</v>
      </c>
      <c r="N56" s="74">
        <v>0.2</v>
      </c>
    </row>
    <row r="57" spans="1:14" x14ac:dyDescent="0.2">
      <c r="A57" s="40">
        <v>1975</v>
      </c>
      <c r="B57" s="74">
        <v>245.56251999999998</v>
      </c>
      <c r="C57" s="74">
        <v>286.48807999999997</v>
      </c>
      <c r="D57" s="74">
        <v>16.28</v>
      </c>
      <c r="E57" s="74">
        <v>23.16</v>
      </c>
      <c r="F57" s="74">
        <v>210.84</v>
      </c>
      <c r="G57" s="74">
        <v>17.688079999999999</v>
      </c>
      <c r="H57" s="74">
        <v>18.52</v>
      </c>
      <c r="I57" s="74"/>
      <c r="J57" s="74">
        <v>40.925559999999997</v>
      </c>
      <c r="K57" s="74">
        <v>35.96</v>
      </c>
      <c r="L57" s="74">
        <v>4.2855600000000003</v>
      </c>
      <c r="M57" s="74">
        <v>0</v>
      </c>
      <c r="N57" s="74">
        <v>0.68</v>
      </c>
    </row>
    <row r="58" spans="1:14" x14ac:dyDescent="0.2">
      <c r="A58" s="40">
        <v>1976</v>
      </c>
      <c r="B58" s="74">
        <v>434.40195999999997</v>
      </c>
      <c r="C58" s="74">
        <v>515.08771999999999</v>
      </c>
      <c r="D58" s="74">
        <v>16.299240000000001</v>
      </c>
      <c r="E58" s="74">
        <v>7.1926800000000002</v>
      </c>
      <c r="F58" s="74">
        <v>421.92</v>
      </c>
      <c r="G58" s="74">
        <v>39.96</v>
      </c>
      <c r="H58" s="74">
        <v>29.715799999999998</v>
      </c>
      <c r="I58" s="74"/>
      <c r="J58" s="74">
        <v>80.685760000000002</v>
      </c>
      <c r="K58" s="74">
        <v>34.68</v>
      </c>
      <c r="L58" s="74">
        <v>34.119999999999997</v>
      </c>
      <c r="M58" s="74">
        <v>5.7600000000002181E-3</v>
      </c>
      <c r="N58" s="74">
        <v>11.88</v>
      </c>
    </row>
    <row r="59" spans="1:14" x14ac:dyDescent="0.2">
      <c r="A59" s="40">
        <v>1977</v>
      </c>
      <c r="B59" s="74">
        <v>570.30740000000003</v>
      </c>
      <c r="C59" s="74">
        <v>670</v>
      </c>
      <c r="D59" s="74">
        <v>16.88</v>
      </c>
      <c r="E59" s="74">
        <v>9.52</v>
      </c>
      <c r="F59" s="74">
        <v>490.72</v>
      </c>
      <c r="G59" s="74">
        <v>71.239999999999995</v>
      </c>
      <c r="H59" s="74">
        <v>81.64</v>
      </c>
      <c r="I59" s="74"/>
      <c r="J59" s="74">
        <v>99.692599999999999</v>
      </c>
      <c r="K59" s="74">
        <v>72.324640000000002</v>
      </c>
      <c r="L59" s="74">
        <v>24.92</v>
      </c>
      <c r="M59" s="74">
        <v>7.9599999999982168E-3</v>
      </c>
      <c r="N59" s="74">
        <v>2.44</v>
      </c>
    </row>
    <row r="60" spans="1:14" x14ac:dyDescent="0.2">
      <c r="A60" s="40">
        <v>1978</v>
      </c>
      <c r="B60" s="74">
        <v>605.88032258064516</v>
      </c>
      <c r="C60" s="74">
        <v>690.71903225806454</v>
      </c>
      <c r="D60" s="74">
        <v>17.331370967741936</v>
      </c>
      <c r="E60" s="74">
        <v>23.024758064516135</v>
      </c>
      <c r="F60" s="74">
        <v>533.79032258064512</v>
      </c>
      <c r="G60" s="74">
        <v>61.572580645161288</v>
      </c>
      <c r="H60" s="74">
        <v>55</v>
      </c>
      <c r="I60" s="74"/>
      <c r="J60" s="74">
        <v>84.838709677419359</v>
      </c>
      <c r="K60" s="74">
        <v>21.532258064516128</v>
      </c>
      <c r="L60" s="74">
        <v>40.443548387096776</v>
      </c>
      <c r="M60" s="74">
        <v>0</v>
      </c>
      <c r="N60" s="74">
        <v>22.862903225806452</v>
      </c>
    </row>
    <row r="61" spans="1:14" x14ac:dyDescent="0.2">
      <c r="A61" s="40">
        <v>1979</v>
      </c>
      <c r="B61" s="74">
        <v>636.01729838709684</v>
      </c>
      <c r="C61" s="74">
        <v>790.45278225806453</v>
      </c>
      <c r="D61" s="74">
        <v>17.661290322580644</v>
      </c>
      <c r="E61" s="74">
        <v>37.751169354838702</v>
      </c>
      <c r="F61" s="74">
        <v>572.13709677419354</v>
      </c>
      <c r="G61" s="74">
        <v>88.629032258064512</v>
      </c>
      <c r="H61" s="74">
        <v>74.274193548387089</v>
      </c>
      <c r="I61" s="74"/>
      <c r="J61" s="74">
        <v>154.43548387096774</v>
      </c>
      <c r="K61" s="74">
        <v>58.427419354838705</v>
      </c>
      <c r="L61" s="74">
        <v>59.435483870967744</v>
      </c>
      <c r="M61" s="74">
        <v>0</v>
      </c>
      <c r="N61" s="74">
        <v>36.572580645161288</v>
      </c>
    </row>
    <row r="62" spans="1:14" x14ac:dyDescent="0.2">
      <c r="A62" s="40">
        <v>1980</v>
      </c>
      <c r="B62" s="74">
        <v>863.44028555162413</v>
      </c>
      <c r="C62" s="74">
        <v>1092.7634710354951</v>
      </c>
      <c r="D62" s="74">
        <v>17.661290322580644</v>
      </c>
      <c r="E62" s="74">
        <v>52.540201612903218</v>
      </c>
      <c r="F62" s="74">
        <v>828.16492264839837</v>
      </c>
      <c r="G62" s="74">
        <v>109.21911290322581</v>
      </c>
      <c r="H62" s="74">
        <v>85.177943548387091</v>
      </c>
      <c r="I62" s="74"/>
      <c r="J62" s="74">
        <v>229.32318548387096</v>
      </c>
      <c r="K62" s="74">
        <v>72.20391129032258</v>
      </c>
      <c r="L62" s="74">
        <v>83.435040322580633</v>
      </c>
      <c r="M62" s="74">
        <v>0</v>
      </c>
      <c r="N62" s="74">
        <v>73.684233870967731</v>
      </c>
    </row>
    <row r="63" spans="1:14" x14ac:dyDescent="0.2">
      <c r="A63" s="40">
        <v>1981</v>
      </c>
      <c r="B63" s="74">
        <v>567.43100806451605</v>
      </c>
      <c r="C63" s="74">
        <v>683.31745967741927</v>
      </c>
      <c r="D63" s="74">
        <v>17.661290322580644</v>
      </c>
      <c r="E63" s="74">
        <v>61.074233870967745</v>
      </c>
      <c r="F63" s="74">
        <v>427.21774193548384</v>
      </c>
      <c r="G63" s="74">
        <v>76.733870967741936</v>
      </c>
      <c r="H63" s="74">
        <v>100.63032258064514</v>
      </c>
      <c r="I63" s="74"/>
      <c r="J63" s="74">
        <v>115.88645161290322</v>
      </c>
      <c r="K63" s="74">
        <v>28.708024193548383</v>
      </c>
      <c r="L63" s="74">
        <v>80.597661290322577</v>
      </c>
      <c r="M63" s="74">
        <v>0</v>
      </c>
      <c r="N63" s="74">
        <v>6.5807661290322583</v>
      </c>
    </row>
    <row r="64" spans="1:14" x14ac:dyDescent="0.2">
      <c r="A64" s="40">
        <v>1982</v>
      </c>
      <c r="B64" s="74">
        <v>209.98621212121211</v>
      </c>
      <c r="C64" s="74">
        <v>457.02542424242421</v>
      </c>
      <c r="D64" s="74">
        <v>124.27272727272727</v>
      </c>
      <c r="E64" s="74">
        <v>0</v>
      </c>
      <c r="F64" s="74">
        <v>167.27215151515151</v>
      </c>
      <c r="G64" s="74">
        <v>100.58196969696969</v>
      </c>
      <c r="H64" s="74">
        <v>64.89857575757577</v>
      </c>
      <c r="I64" s="74"/>
      <c r="J64" s="74">
        <v>247.0392121212121</v>
      </c>
      <c r="K64" s="74">
        <v>157.63621212121211</v>
      </c>
      <c r="L64" s="74">
        <v>83.019515151515151</v>
      </c>
      <c r="M64" s="74">
        <v>0.36363636363636365</v>
      </c>
      <c r="N64" s="74">
        <v>6.0198484848484846</v>
      </c>
    </row>
    <row r="65" spans="1:14" x14ac:dyDescent="0.2">
      <c r="A65" s="40">
        <v>1983</v>
      </c>
      <c r="B65" s="74">
        <v>151.44582255083185</v>
      </c>
      <c r="C65" s="74">
        <v>787.76898336414047</v>
      </c>
      <c r="D65" s="74">
        <v>124.26987060998151</v>
      </c>
      <c r="E65" s="74">
        <v>0.10571164510166359</v>
      </c>
      <c r="F65" s="74">
        <v>544.52103512014787</v>
      </c>
      <c r="G65" s="74">
        <v>52.008151571164511</v>
      </c>
      <c r="H65" s="74">
        <v>66.864214417744918</v>
      </c>
      <c r="I65" s="74"/>
      <c r="J65" s="74">
        <v>636.32316081330862</v>
      </c>
      <c r="K65" s="74">
        <v>314.47399260628458</v>
      </c>
      <c r="L65" s="74">
        <v>65.527467652495375</v>
      </c>
      <c r="M65" s="74">
        <v>211.93892791127541</v>
      </c>
      <c r="N65" s="74">
        <v>44.38277264325324</v>
      </c>
    </row>
    <row r="66" spans="1:14" x14ac:dyDescent="0.2">
      <c r="A66" s="40">
        <v>1984</v>
      </c>
      <c r="B66" s="74">
        <v>170.66485714285704</v>
      </c>
      <c r="C66" s="74">
        <v>756.28658646616532</v>
      </c>
      <c r="D66" s="74">
        <v>124.2747819548872</v>
      </c>
      <c r="E66" s="74">
        <v>1.2620751879699248</v>
      </c>
      <c r="F66" s="74">
        <v>481.22395488721804</v>
      </c>
      <c r="G66" s="74">
        <v>42.365112781954892</v>
      </c>
      <c r="H66" s="74">
        <v>107.16066165413534</v>
      </c>
      <c r="I66" s="74"/>
      <c r="J66" s="74">
        <v>585.62172932330827</v>
      </c>
      <c r="K66" s="74">
        <v>201.69252631578948</v>
      </c>
      <c r="L66" s="74">
        <v>79.750120300751874</v>
      </c>
      <c r="M66" s="74">
        <v>242.78055639097747</v>
      </c>
      <c r="N66" s="74">
        <v>61.398526315789475</v>
      </c>
    </row>
    <row r="67" spans="1:14" x14ac:dyDescent="0.2">
      <c r="A67" s="40">
        <v>1985</v>
      </c>
      <c r="B67" s="74">
        <v>195.85927368421051</v>
      </c>
      <c r="C67" s="74">
        <v>890.19876842105259</v>
      </c>
      <c r="D67" s="74">
        <v>124.27456842105263</v>
      </c>
      <c r="E67" s="74">
        <v>38.117936842105266</v>
      </c>
      <c r="F67" s="74">
        <v>563.01061052631576</v>
      </c>
      <c r="G67" s="74">
        <v>66.953800000000001</v>
      </c>
      <c r="H67" s="74">
        <v>97.841852631578959</v>
      </c>
      <c r="I67" s="74"/>
      <c r="J67" s="74">
        <v>694.33949473684208</v>
      </c>
      <c r="K67" s="74">
        <v>147.04915789473682</v>
      </c>
      <c r="L67" s="74">
        <v>95.568663157894733</v>
      </c>
      <c r="M67" s="74">
        <v>351.39871578947367</v>
      </c>
      <c r="N67" s="74">
        <v>100.32295789473685</v>
      </c>
    </row>
    <row r="68" spans="1:14" x14ac:dyDescent="0.2">
      <c r="A68" s="40">
        <v>1986</v>
      </c>
      <c r="B68" s="74">
        <v>-75.481115789473733</v>
      </c>
      <c r="C68" s="74">
        <v>774.12692631578943</v>
      </c>
      <c r="D68" s="74">
        <v>124.27456842105263</v>
      </c>
      <c r="E68" s="74">
        <v>64.212536842105266</v>
      </c>
      <c r="F68" s="74">
        <v>415.53053684210522</v>
      </c>
      <c r="G68" s="74">
        <v>71.064905263157897</v>
      </c>
      <c r="H68" s="74">
        <v>99.044378947368429</v>
      </c>
      <c r="I68" s="74"/>
      <c r="J68" s="74">
        <v>849.60804210526317</v>
      </c>
      <c r="K68" s="74">
        <v>195.07037894736843</v>
      </c>
      <c r="L68" s="74">
        <v>90.386778947368427</v>
      </c>
      <c r="M68" s="74">
        <v>471.38410526315789</v>
      </c>
      <c r="N68" s="74">
        <v>92.766778947368408</v>
      </c>
    </row>
    <row r="69" spans="1:14" x14ac:dyDescent="0.2">
      <c r="A69" s="40">
        <v>1987</v>
      </c>
      <c r="B69" s="74">
        <v>-150.82152105263151</v>
      </c>
      <c r="C69" s="74">
        <v>629.36224210526325</v>
      </c>
      <c r="D69" s="74">
        <v>165.69932631578948</v>
      </c>
      <c r="E69" s="74">
        <v>6.9177052631578952</v>
      </c>
      <c r="F69" s="74">
        <v>292.94889473684213</v>
      </c>
      <c r="G69" s="74">
        <v>65.688589473684218</v>
      </c>
      <c r="H69" s="74">
        <v>98.107726315789478</v>
      </c>
      <c r="I69" s="74"/>
      <c r="J69" s="74">
        <v>780.18376315789476</v>
      </c>
      <c r="K69" s="74">
        <v>177.69173684210526</v>
      </c>
      <c r="L69" s="74">
        <v>54.56257368421052</v>
      </c>
      <c r="M69" s="74">
        <v>437.69105263157894</v>
      </c>
      <c r="N69" s="74">
        <v>110.2384</v>
      </c>
    </row>
    <row r="70" spans="1:14" x14ac:dyDescent="0.2">
      <c r="A70" s="40">
        <v>1988</v>
      </c>
      <c r="B70" s="74">
        <v>-175.74281538461548</v>
      </c>
      <c r="C70" s="74">
        <v>611.74249999999995</v>
      </c>
      <c r="D70" s="74">
        <v>165.6993358974359</v>
      </c>
      <c r="E70" s="74">
        <v>5.1600282051282056</v>
      </c>
      <c r="F70" s="74">
        <v>265.56766666666664</v>
      </c>
      <c r="G70" s="74">
        <v>78.561728205128205</v>
      </c>
      <c r="H70" s="74">
        <v>96.75374102564102</v>
      </c>
      <c r="I70" s="74"/>
      <c r="J70" s="74">
        <v>787.48531538461555</v>
      </c>
      <c r="K70" s="74">
        <v>137.00164871794871</v>
      </c>
      <c r="L70" s="74">
        <v>75.454430769230768</v>
      </c>
      <c r="M70" s="74">
        <v>386.73724102564103</v>
      </c>
      <c r="N70" s="74">
        <v>188.29199487179486</v>
      </c>
    </row>
    <row r="71" spans="1:14" x14ac:dyDescent="0.2">
      <c r="A71" s="40">
        <v>1989</v>
      </c>
      <c r="B71" s="74">
        <v>203.42357692307712</v>
      </c>
      <c r="C71" s="74">
        <v>752.12611025641036</v>
      </c>
      <c r="D71" s="74">
        <v>165.6993358974359</v>
      </c>
      <c r="E71" s="74">
        <v>0.91257179487179496</v>
      </c>
      <c r="F71" s="74">
        <v>381.36945897435902</v>
      </c>
      <c r="G71" s="74">
        <v>89.481412820512816</v>
      </c>
      <c r="H71" s="74">
        <v>114.66333076923077</v>
      </c>
      <c r="I71" s="74"/>
      <c r="J71" s="74">
        <v>548.70253333333324</v>
      </c>
      <c r="K71" s="74">
        <v>60.252505128205122</v>
      </c>
      <c r="L71" s="74">
        <v>129.2321</v>
      </c>
      <c r="M71" s="74">
        <v>320.36108461538458</v>
      </c>
      <c r="N71" s="74">
        <v>38.85684358974359</v>
      </c>
    </row>
    <row r="72" spans="1:14" x14ac:dyDescent="0.2">
      <c r="A72" s="40">
        <v>1990</v>
      </c>
      <c r="B72" s="74">
        <v>602.7205051282051</v>
      </c>
      <c r="C72" s="74">
        <v>1021.2770615384616</v>
      </c>
      <c r="D72" s="74">
        <v>165.66456153846153</v>
      </c>
      <c r="E72" s="74">
        <v>23.447166666666668</v>
      </c>
      <c r="F72" s="74">
        <v>566</v>
      </c>
      <c r="G72" s="74">
        <v>41.165333333333329</v>
      </c>
      <c r="H72" s="74">
        <v>225</v>
      </c>
      <c r="I72" s="74"/>
      <c r="J72" s="74">
        <v>418.55655641025641</v>
      </c>
      <c r="K72" s="74">
        <v>15.459492307692308</v>
      </c>
      <c r="L72" s="74">
        <v>133.51506410256411</v>
      </c>
      <c r="M72" s="74">
        <v>242.30408205128202</v>
      </c>
      <c r="N72" s="74">
        <v>27.277917948717953</v>
      </c>
    </row>
    <row r="73" spans="1:14" x14ac:dyDescent="0.2">
      <c r="A73" s="40">
        <v>1991</v>
      </c>
      <c r="B73" s="74">
        <v>760.87617948717957</v>
      </c>
      <c r="C73" s="74">
        <v>1101.549417948718</v>
      </c>
      <c r="D73" s="74">
        <v>165.66410256410256</v>
      </c>
      <c r="E73" s="74">
        <v>49</v>
      </c>
      <c r="F73" s="74">
        <v>618</v>
      </c>
      <c r="G73" s="74">
        <v>46.885315384615389</v>
      </c>
      <c r="H73" s="74">
        <v>222</v>
      </c>
      <c r="I73" s="74"/>
      <c r="J73" s="74">
        <v>340.67323846153846</v>
      </c>
      <c r="K73" s="74">
        <v>11.858420512820512</v>
      </c>
      <c r="L73" s="74">
        <v>149.13766410256409</v>
      </c>
      <c r="M73" s="74">
        <v>171.03280000000001</v>
      </c>
      <c r="N73" s="74">
        <v>8.6443538461538463</v>
      </c>
    </row>
    <row r="74" spans="1:14" x14ac:dyDescent="0.2">
      <c r="A74" s="40">
        <v>1992</v>
      </c>
      <c r="B74" s="74">
        <v>781.99717948717966</v>
      </c>
      <c r="C74" s="74">
        <v>1048.1046000000001</v>
      </c>
      <c r="D74" s="74">
        <v>165.66456153846153</v>
      </c>
      <c r="E74" s="74">
        <v>33.108112820512801</v>
      </c>
      <c r="F74" s="74">
        <v>657</v>
      </c>
      <c r="G74" s="74">
        <v>50.331925641025641</v>
      </c>
      <c r="H74" s="74">
        <v>142</v>
      </c>
      <c r="I74" s="74"/>
      <c r="J74" s="74">
        <v>266.10742051282051</v>
      </c>
      <c r="K74" s="74">
        <v>30.027882051282052</v>
      </c>
      <c r="L74" s="74">
        <v>130.14411538461539</v>
      </c>
      <c r="M74" s="74">
        <v>100</v>
      </c>
      <c r="N74" s="74">
        <v>5.9354230769230769</v>
      </c>
    </row>
    <row r="75" spans="1:14" x14ac:dyDescent="0.2">
      <c r="A75" s="40">
        <v>1993</v>
      </c>
      <c r="B75" s="74">
        <v>1252.6862730409068</v>
      </c>
      <c r="C75" s="74">
        <v>1559.6584662395269</v>
      </c>
      <c r="D75" s="74">
        <v>165.64662395268604</v>
      </c>
      <c r="E75" s="74">
        <v>39</v>
      </c>
      <c r="F75" s="74">
        <v>1143</v>
      </c>
      <c r="G75" s="74">
        <v>59.01184228684081</v>
      </c>
      <c r="H75" s="74">
        <v>153</v>
      </c>
      <c r="I75" s="74"/>
      <c r="J75" s="74">
        <v>306.97219319862</v>
      </c>
      <c r="K75" s="74">
        <v>7.3178432725480533</v>
      </c>
      <c r="L75" s="74">
        <v>97</v>
      </c>
      <c r="M75" s="74">
        <v>72</v>
      </c>
      <c r="N75" s="74">
        <v>130.65434992607194</v>
      </c>
    </row>
    <row r="76" spans="1:14" x14ac:dyDescent="0.2">
      <c r="A76" s="40">
        <v>1994</v>
      </c>
      <c r="B76" s="74">
        <v>1711.4173844144536</v>
      </c>
      <c r="C76" s="74">
        <v>2025.0144292555508</v>
      </c>
      <c r="D76" s="74">
        <v>165.64729342620808</v>
      </c>
      <c r="E76" s="74">
        <v>43.195582063561204</v>
      </c>
      <c r="F76" s="74">
        <v>1596</v>
      </c>
      <c r="G76" s="74">
        <v>58.171553765781461</v>
      </c>
      <c r="H76" s="74">
        <v>162</v>
      </c>
      <c r="I76" s="74"/>
      <c r="J76" s="74">
        <v>313.5970448410971</v>
      </c>
      <c r="K76" s="74">
        <v>2.8384701784936874</v>
      </c>
      <c r="L76" s="74">
        <v>93.20295385285155</v>
      </c>
      <c r="M76" s="74">
        <v>197</v>
      </c>
      <c r="N76" s="74">
        <v>20.555620809751851</v>
      </c>
    </row>
    <row r="77" spans="1:14" x14ac:dyDescent="0.2">
      <c r="A77" s="40">
        <v>1995</v>
      </c>
      <c r="B77" s="74">
        <v>1556.2076557152634</v>
      </c>
      <c r="C77" s="74">
        <v>1805.0879911019849</v>
      </c>
      <c r="D77" s="74">
        <v>166.65571937029432</v>
      </c>
      <c r="E77" s="74">
        <v>38.917110540725503</v>
      </c>
      <c r="F77" s="74">
        <v>1364</v>
      </c>
      <c r="G77" s="74">
        <v>57.515161190965095</v>
      </c>
      <c r="H77" s="74">
        <v>178</v>
      </c>
      <c r="I77" s="74"/>
      <c r="J77" s="74">
        <v>248.88033538672144</v>
      </c>
      <c r="K77" s="74">
        <v>4.5272539356605064</v>
      </c>
      <c r="L77" s="74">
        <v>66.929323066392882</v>
      </c>
      <c r="M77" s="74">
        <v>174</v>
      </c>
      <c r="N77" s="74">
        <v>3.4237583846680355</v>
      </c>
    </row>
    <row r="78" spans="1:14" x14ac:dyDescent="0.2">
      <c r="A78" s="40">
        <v>1996</v>
      </c>
      <c r="B78" s="74">
        <v>1831.1960567962503</v>
      </c>
      <c r="C78" s="74">
        <v>2035.1232208436725</v>
      </c>
      <c r="D78" s="74">
        <v>166.73370085470086</v>
      </c>
      <c r="E78" s="74">
        <v>37.683299145299102</v>
      </c>
      <c r="F78" s="74">
        <v>1609</v>
      </c>
      <c r="G78" s="74">
        <v>38.706220843672455</v>
      </c>
      <c r="H78" s="74">
        <v>183</v>
      </c>
      <c r="I78" s="74"/>
      <c r="J78" s="74">
        <v>203.92716404742211</v>
      </c>
      <c r="K78" s="74">
        <v>12.59101847256686</v>
      </c>
      <c r="L78" s="74">
        <v>42.824369727047149</v>
      </c>
      <c r="M78" s="74">
        <v>145</v>
      </c>
      <c r="N78" s="74">
        <v>3.5117758478081056</v>
      </c>
    </row>
    <row r="79" spans="1:14" x14ac:dyDescent="0.2">
      <c r="A79" s="40">
        <v>1997</v>
      </c>
      <c r="B79" s="74">
        <v>2092.7337008547011</v>
      </c>
      <c r="C79" s="74">
        <v>2269.7337008547011</v>
      </c>
      <c r="D79" s="74">
        <v>166.73370085470086</v>
      </c>
      <c r="E79" s="74">
        <v>34</v>
      </c>
      <c r="F79" s="74">
        <v>1846</v>
      </c>
      <c r="G79" s="74">
        <v>20</v>
      </c>
      <c r="H79" s="74">
        <v>203</v>
      </c>
      <c r="I79" s="74"/>
      <c r="J79" s="74">
        <v>177</v>
      </c>
      <c r="K79" s="74">
        <v>14</v>
      </c>
      <c r="L79" s="74">
        <v>26</v>
      </c>
      <c r="M79" s="74">
        <v>134</v>
      </c>
      <c r="N79" s="74">
        <v>3</v>
      </c>
    </row>
    <row r="80" spans="1:14" x14ac:dyDescent="0.2">
      <c r="A80" s="40">
        <v>1998</v>
      </c>
      <c r="B80" s="74">
        <v>1696.7337008547008</v>
      </c>
      <c r="C80" s="74">
        <v>1795.7337008547008</v>
      </c>
      <c r="D80" s="74">
        <v>166.73370085470086</v>
      </c>
      <c r="E80" s="74">
        <v>34</v>
      </c>
      <c r="F80" s="74">
        <v>1377</v>
      </c>
      <c r="G80" s="74">
        <v>18</v>
      </c>
      <c r="H80" s="74">
        <v>200</v>
      </c>
      <c r="I80" s="74"/>
      <c r="J80" s="74">
        <v>99</v>
      </c>
      <c r="K80" s="74">
        <v>1</v>
      </c>
      <c r="L80" s="74">
        <v>25</v>
      </c>
      <c r="M80" s="74">
        <v>70</v>
      </c>
      <c r="N80" s="74">
        <v>3</v>
      </c>
    </row>
    <row r="81" spans="1:14" x14ac:dyDescent="0.2">
      <c r="A81" s="40">
        <v>1999</v>
      </c>
      <c r="B81" s="74">
        <v>1275</v>
      </c>
      <c r="C81" s="74">
        <v>1401</v>
      </c>
      <c r="D81" s="74">
        <v>166</v>
      </c>
      <c r="E81" s="74">
        <v>34</v>
      </c>
      <c r="F81" s="74">
        <v>990</v>
      </c>
      <c r="G81" s="74">
        <v>2</v>
      </c>
      <c r="H81" s="74">
        <v>209</v>
      </c>
      <c r="I81" s="74"/>
      <c r="J81" s="74">
        <v>126</v>
      </c>
      <c r="K81" s="74">
        <v>112</v>
      </c>
      <c r="L81" s="74">
        <v>12</v>
      </c>
      <c r="M81" s="74">
        <v>0</v>
      </c>
      <c r="N81" s="74">
        <v>2</v>
      </c>
    </row>
    <row r="82" spans="1:14" x14ac:dyDescent="0.2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</row>
    <row r="85" spans="1:14" x14ac:dyDescent="0.2">
      <c r="A85" s="410"/>
    </row>
    <row r="86" spans="1:14" x14ac:dyDescent="0.2">
      <c r="A86" s="84" t="s">
        <v>598</v>
      </c>
    </row>
  </sheetData>
  <mergeCells count="7">
    <mergeCell ref="B5:B6"/>
    <mergeCell ref="C5:H5"/>
    <mergeCell ref="J5:N5"/>
    <mergeCell ref="A1:N1"/>
    <mergeCell ref="A2:N2"/>
    <mergeCell ref="A3:N3"/>
    <mergeCell ref="A5:A6"/>
  </mergeCells>
  <hyperlinks>
    <hyperlink ref="A86" location="'indice cap.1'!A1" display="regresar al índice" xr:uid="{00000000-0004-0000-0300-000000000000}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599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40"/>
  <sheetViews>
    <sheetView showGridLines="0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A21" sqref="A21"/>
    </sheetView>
  </sheetViews>
  <sheetFormatPr defaultColWidth="11.42578125" defaultRowHeight="12.75" x14ac:dyDescent="0.2"/>
  <cols>
    <col min="1" max="1" width="59.5703125" style="78" customWidth="1"/>
    <col min="2" max="18" width="12.85546875" style="78" customWidth="1"/>
    <col min="19" max="112" width="11.42578125" style="78"/>
    <col min="113" max="113" width="61" style="78" customWidth="1"/>
    <col min="114" max="114" width="11.28515625" style="78" customWidth="1"/>
    <col min="115" max="115" width="12.140625" style="78" bestFit="1" customWidth="1"/>
    <col min="116" max="117" width="12" style="78" bestFit="1" customWidth="1"/>
    <col min="118" max="118" width="12.140625" style="78" bestFit="1" customWidth="1"/>
    <col min="119" max="119" width="12" style="78" bestFit="1" customWidth="1"/>
    <col min="120" max="120" width="12.28515625" style="78" bestFit="1" customWidth="1"/>
    <col min="121" max="144" width="11.28515625" style="78" customWidth="1"/>
    <col min="145" max="16384" width="11.42578125" style="78"/>
  </cols>
  <sheetData>
    <row r="1" spans="1:28" x14ac:dyDescent="0.2">
      <c r="A1" s="502" t="s">
        <v>905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02"/>
      <c r="O1" s="402"/>
      <c r="P1" s="402"/>
      <c r="Q1" s="402"/>
      <c r="R1" s="402"/>
    </row>
    <row r="2" spans="1:28" x14ac:dyDescent="0.2">
      <c r="A2" s="502" t="s">
        <v>676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02"/>
      <c r="O2" s="402"/>
      <c r="P2" s="402"/>
      <c r="Q2" s="402"/>
      <c r="R2" s="402"/>
    </row>
    <row r="4" spans="1:28" s="87" customFormat="1" ht="30" customHeight="1" x14ac:dyDescent="0.25">
      <c r="A4" s="92" t="s">
        <v>45</v>
      </c>
      <c r="B4" s="35">
        <v>36891</v>
      </c>
      <c r="C4" s="35">
        <v>37256</v>
      </c>
      <c r="D4" s="35">
        <v>37621</v>
      </c>
      <c r="E4" s="35">
        <v>37986</v>
      </c>
      <c r="F4" s="35">
        <v>38352</v>
      </c>
      <c r="G4" s="35">
        <v>38717</v>
      </c>
      <c r="H4" s="35">
        <v>39082</v>
      </c>
      <c r="I4" s="35">
        <v>39447</v>
      </c>
      <c r="J4" s="35">
        <v>39813</v>
      </c>
      <c r="K4" s="35">
        <v>40178</v>
      </c>
      <c r="L4" s="35">
        <v>40543</v>
      </c>
      <c r="M4" s="36">
        <v>40908</v>
      </c>
      <c r="N4" s="35">
        <v>41274</v>
      </c>
      <c r="O4" s="36">
        <v>41639</v>
      </c>
      <c r="P4" s="35">
        <v>42004</v>
      </c>
      <c r="Q4" s="36">
        <v>42369</v>
      </c>
      <c r="R4" s="35">
        <v>42735</v>
      </c>
      <c r="S4" s="86"/>
      <c r="T4" s="86"/>
      <c r="U4" s="86"/>
      <c r="V4" s="86"/>
      <c r="W4" s="86"/>
      <c r="X4" s="86"/>
      <c r="Y4" s="86"/>
      <c r="Z4" s="86"/>
      <c r="AA4" s="86"/>
      <c r="AB4" s="86"/>
    </row>
    <row r="6" spans="1:28" s="79" customFormat="1" ht="12.75" customHeight="1" x14ac:dyDescent="0.2">
      <c r="A6" s="88" t="s">
        <v>663</v>
      </c>
      <c r="B6" s="89">
        <v>944.1099999999999</v>
      </c>
      <c r="C6" s="89">
        <v>820.87989700000003</v>
      </c>
      <c r="D6" s="89">
        <v>694.65216700000008</v>
      </c>
      <c r="E6" s="89">
        <v>788.63492399999996</v>
      </c>
      <c r="F6" s="89">
        <v>984.43</v>
      </c>
      <c r="G6" s="89">
        <v>1667.931255</v>
      </c>
      <c r="H6" s="89">
        <v>1455.6299999999999</v>
      </c>
      <c r="I6" s="89">
        <v>2762.75</v>
      </c>
      <c r="J6" s="89">
        <v>3711.6482239999996</v>
      </c>
      <c r="K6" s="89">
        <v>2846.489122</v>
      </c>
      <c r="L6" s="89">
        <v>1387.274523</v>
      </c>
      <c r="M6" s="89">
        <v>1597.572216</v>
      </c>
      <c r="N6" s="89">
        <v>469.19647800000013</v>
      </c>
      <c r="O6" s="89">
        <v>3088.1958649999997</v>
      </c>
      <c r="P6" s="89">
        <v>3237.411259</v>
      </c>
      <c r="Q6" s="89">
        <v>1884.5674440000003</v>
      </c>
      <c r="R6" s="89">
        <v>3721.7575959999999</v>
      </c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 ht="12.75" customHeight="1" x14ac:dyDescent="0.2">
      <c r="A7" s="90" t="s">
        <v>664</v>
      </c>
      <c r="B7" s="91">
        <v>115.41</v>
      </c>
      <c r="C7" s="91">
        <v>79.395600000000002</v>
      </c>
      <c r="D7" s="91">
        <v>81.982935999999995</v>
      </c>
      <c r="E7" s="91">
        <v>93.723562000000001</v>
      </c>
      <c r="F7" s="91">
        <v>191.37</v>
      </c>
      <c r="G7" s="91">
        <v>123.69366599999999</v>
      </c>
      <c r="H7" s="91">
        <v>124.41</v>
      </c>
      <c r="I7" s="91">
        <v>121.79</v>
      </c>
      <c r="J7" s="91">
        <v>191.56964400000001</v>
      </c>
      <c r="K7" s="91">
        <v>358.895398</v>
      </c>
      <c r="L7" s="91">
        <v>519.19564600000001</v>
      </c>
      <c r="M7" s="91">
        <v>649.25622599999997</v>
      </c>
      <c r="N7" s="91">
        <v>244.18684300000001</v>
      </c>
      <c r="O7" s="91">
        <v>360.43945100000002</v>
      </c>
      <c r="P7" s="91">
        <v>360.96490899999998</v>
      </c>
      <c r="Q7" s="91">
        <v>434.56019500000002</v>
      </c>
      <c r="R7" s="91">
        <v>357.68917499999998</v>
      </c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ht="12.75" customHeight="1" x14ac:dyDescent="0.2">
      <c r="A8" s="90" t="s">
        <v>665</v>
      </c>
      <c r="B8" s="91">
        <v>90.419999999999987</v>
      </c>
      <c r="C8" s="91">
        <v>146.31326999999999</v>
      </c>
      <c r="D8" s="91">
        <v>-18.936885000000004</v>
      </c>
      <c r="E8" s="91">
        <v>-6.8237909999999999</v>
      </c>
      <c r="F8" s="91">
        <v>-13.110000000000001</v>
      </c>
      <c r="G8" s="91">
        <v>49.195932000000006</v>
      </c>
      <c r="H8" s="91">
        <v>703.33999999999992</v>
      </c>
      <c r="I8" s="91">
        <v>1060.8900000000001</v>
      </c>
      <c r="J8" s="91">
        <v>1684.511722</v>
      </c>
      <c r="K8" s="91">
        <v>596.965824</v>
      </c>
      <c r="L8" s="91">
        <v>504.51314500000001</v>
      </c>
      <c r="M8" s="91">
        <v>295.39474300000001</v>
      </c>
      <c r="N8" s="91">
        <v>225.00963500000012</v>
      </c>
      <c r="O8" s="91">
        <v>1428.6921689999999</v>
      </c>
      <c r="P8" s="91">
        <v>1193.122288</v>
      </c>
      <c r="Q8" s="91">
        <v>560.65888000000007</v>
      </c>
      <c r="R8" s="91">
        <v>331.53868499999999</v>
      </c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ht="12.75" customHeight="1" x14ac:dyDescent="0.2">
      <c r="A9" s="90" t="s">
        <v>666</v>
      </c>
      <c r="B9" s="91">
        <v>738.28</v>
      </c>
      <c r="C9" s="91">
        <v>595.17102699999998</v>
      </c>
      <c r="D9" s="91">
        <v>631.60611600000004</v>
      </c>
      <c r="E9" s="91">
        <v>701.73515299999997</v>
      </c>
      <c r="F9" s="91">
        <v>806.17</v>
      </c>
      <c r="G9" s="91">
        <v>1495.041657</v>
      </c>
      <c r="H9" s="91">
        <v>627.88</v>
      </c>
      <c r="I9" s="91">
        <v>1580.07</v>
      </c>
      <c r="J9" s="91">
        <v>1835.5668579999999</v>
      </c>
      <c r="K9" s="91">
        <v>1890.6279</v>
      </c>
      <c r="L9" s="91">
        <v>363.56573200000003</v>
      </c>
      <c r="M9" s="91">
        <v>652.92124699999999</v>
      </c>
      <c r="N9" s="91">
        <v>0</v>
      </c>
      <c r="O9" s="91">
        <v>1299.064245</v>
      </c>
      <c r="P9" s="91">
        <v>1683.3240619999999</v>
      </c>
      <c r="Q9" s="91">
        <v>889.34836900000005</v>
      </c>
      <c r="R9" s="91">
        <v>3032.529736</v>
      </c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 s="79" customFormat="1" ht="12.75" customHeight="1" x14ac:dyDescent="0.2">
      <c r="A10" s="88" t="s">
        <v>667</v>
      </c>
      <c r="B10" s="89">
        <v>232.71</v>
      </c>
      <c r="C10" s="89">
        <v>233.81959599999999</v>
      </c>
      <c r="D10" s="89">
        <v>293.27803899999998</v>
      </c>
      <c r="E10" s="89">
        <v>348.00285000000002</v>
      </c>
      <c r="F10" s="89">
        <v>367.99</v>
      </c>
      <c r="G10" s="89">
        <v>433.34510899999998</v>
      </c>
      <c r="H10" s="89">
        <v>533.87</v>
      </c>
      <c r="I10" s="89">
        <v>704.29</v>
      </c>
      <c r="J10" s="89">
        <v>734.70157700000004</v>
      </c>
      <c r="K10" s="89">
        <v>918.64094899999998</v>
      </c>
      <c r="L10" s="89">
        <v>1187.2642329999999</v>
      </c>
      <c r="M10" s="89">
        <v>1293.2934829999999</v>
      </c>
      <c r="N10" s="89">
        <v>1402.5551229999999</v>
      </c>
      <c r="O10" s="89">
        <v>1023.4593160000001</v>
      </c>
      <c r="P10" s="89">
        <v>464.90683799999999</v>
      </c>
      <c r="Q10" s="89">
        <v>410.45764599999995</v>
      </c>
      <c r="R10" s="89">
        <v>456.42745000000002</v>
      </c>
      <c r="S10" s="81"/>
      <c r="T10" s="81"/>
      <c r="U10" s="81"/>
      <c r="V10" s="81"/>
      <c r="W10" s="81"/>
      <c r="X10" s="81"/>
      <c r="Y10" s="81"/>
      <c r="Z10" s="81"/>
      <c r="AA10" s="81"/>
      <c r="AB10" s="81"/>
    </row>
    <row r="11" spans="1:28" s="79" customFormat="1" ht="12.75" customHeight="1" x14ac:dyDescent="0.2">
      <c r="A11" s="88" t="s">
        <v>668</v>
      </c>
      <c r="B11" s="89">
        <v>0.37</v>
      </c>
      <c r="C11" s="89">
        <v>2.5651459999999999</v>
      </c>
      <c r="D11" s="89">
        <v>2.0495199999999998</v>
      </c>
      <c r="E11" s="89">
        <v>0.98269300000000004</v>
      </c>
      <c r="F11" s="89">
        <v>55.87</v>
      </c>
      <c r="G11" s="89">
        <v>21.785516000000001</v>
      </c>
      <c r="H11" s="89">
        <v>7.6</v>
      </c>
      <c r="I11" s="89">
        <v>24.55</v>
      </c>
      <c r="J11" s="89">
        <v>26.232793000000001</v>
      </c>
      <c r="K11" s="89">
        <v>26.711120999999999</v>
      </c>
      <c r="L11" s="89">
        <v>24.929445999999999</v>
      </c>
      <c r="M11" s="89">
        <v>23.139665999999998</v>
      </c>
      <c r="N11" s="89">
        <v>24.21087</v>
      </c>
      <c r="O11" s="89">
        <v>27.904727999999999</v>
      </c>
      <c r="P11" s="89">
        <v>25.900884000000001</v>
      </c>
      <c r="Q11" s="89">
        <v>24.618500999999998</v>
      </c>
      <c r="R11" s="89">
        <v>21.033729000000001</v>
      </c>
      <c r="S11" s="81"/>
      <c r="T11" s="81"/>
      <c r="U11" s="81"/>
      <c r="V11" s="81"/>
      <c r="W11" s="81"/>
      <c r="X11" s="81"/>
      <c r="Y11" s="81"/>
      <c r="Z11" s="81"/>
      <c r="AA11" s="81"/>
      <c r="AB11" s="81"/>
    </row>
    <row r="12" spans="1:28" s="79" customFormat="1" ht="12.75" customHeight="1" x14ac:dyDescent="0.2">
      <c r="A12" s="88" t="s">
        <v>669</v>
      </c>
      <c r="B12" s="89">
        <v>22.339999999999975</v>
      </c>
      <c r="C12" s="89">
        <v>21.534814999999981</v>
      </c>
      <c r="D12" s="89">
        <v>23.23205200000001</v>
      </c>
      <c r="E12" s="89">
        <v>25.299574000000007</v>
      </c>
      <c r="F12" s="89">
        <v>26.54000000000002</v>
      </c>
      <c r="G12" s="89">
        <v>24.513041000000044</v>
      </c>
      <c r="H12" s="89">
        <v>25.799999999999955</v>
      </c>
      <c r="I12" s="89">
        <v>27.069999999999993</v>
      </c>
      <c r="J12" s="89">
        <v>26.416773000000035</v>
      </c>
      <c r="K12" s="89">
        <v>26.887046999999995</v>
      </c>
      <c r="L12" s="89">
        <v>26.412656999999967</v>
      </c>
      <c r="M12" s="89">
        <v>43.794715999999994</v>
      </c>
      <c r="N12" s="89">
        <v>43.841783000000078</v>
      </c>
      <c r="O12" s="89">
        <v>43.929642999999942</v>
      </c>
      <c r="P12" s="89">
        <v>41.31611399999997</v>
      </c>
      <c r="Q12" s="89">
        <v>39.561211000000014</v>
      </c>
      <c r="R12" s="89">
        <v>38.348010999999929</v>
      </c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 spans="1:28" s="79" customFormat="1" ht="12.75" customHeight="1" x14ac:dyDescent="0.2">
      <c r="A13" s="88" t="s">
        <v>670</v>
      </c>
      <c r="B13" s="89">
        <v>-19.839999999999996</v>
      </c>
      <c r="C13" s="89">
        <v>-4.9928080000000001</v>
      </c>
      <c r="D13" s="89">
        <v>-5.2245879999999998</v>
      </c>
      <c r="E13" s="89">
        <v>-2.517563</v>
      </c>
      <c r="F13" s="89">
        <v>2.4900000000000002</v>
      </c>
      <c r="G13" s="89">
        <v>-0.67754300000000001</v>
      </c>
      <c r="H13" s="89">
        <v>0.4399999999999995</v>
      </c>
      <c r="I13" s="89">
        <v>2.1799999999999997</v>
      </c>
      <c r="J13" s="89">
        <v>-25.930343999999998</v>
      </c>
      <c r="K13" s="89">
        <v>-26.677294999999997</v>
      </c>
      <c r="L13" s="89">
        <v>-3.8271509999999971</v>
      </c>
      <c r="M13" s="89">
        <v>-0.17979699999999976</v>
      </c>
      <c r="N13" s="89">
        <v>2.2229539999999997</v>
      </c>
      <c r="O13" s="89">
        <v>0.30662900000000004</v>
      </c>
      <c r="P13" s="89">
        <v>-21.003008000000001</v>
      </c>
      <c r="Q13" s="89">
        <v>-19.556643000000001</v>
      </c>
      <c r="R13" s="89">
        <v>-17.746451</v>
      </c>
      <c r="S13" s="81"/>
      <c r="T13" s="81"/>
      <c r="U13" s="81"/>
      <c r="V13" s="81"/>
      <c r="W13" s="81"/>
      <c r="X13" s="81"/>
      <c r="Y13" s="81"/>
      <c r="Z13" s="81"/>
      <c r="AA13" s="81"/>
      <c r="AB13" s="81"/>
    </row>
    <row r="14" spans="1:28" s="79" customFormat="1" ht="12.75" customHeight="1" x14ac:dyDescent="0.2">
      <c r="A14" s="88" t="s">
        <v>906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>
        <v>540.50086099999999</v>
      </c>
      <c r="O14" s="89">
        <v>176.72547700000001</v>
      </c>
      <c r="P14" s="89">
        <v>200.53748899999999</v>
      </c>
      <c r="Q14" s="89">
        <v>156.30846700000001</v>
      </c>
      <c r="R14" s="89">
        <v>39.029611000000003</v>
      </c>
      <c r="S14" s="81"/>
      <c r="T14" s="81"/>
      <c r="U14" s="81"/>
      <c r="V14" s="81"/>
      <c r="W14" s="81"/>
      <c r="X14" s="81"/>
      <c r="Y14" s="81"/>
      <c r="Z14" s="81"/>
      <c r="AA14" s="81"/>
      <c r="AB14" s="81"/>
    </row>
    <row r="15" spans="1:28" ht="12.75" customHeight="1" x14ac:dyDescent="0.2">
      <c r="A15" s="88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81"/>
      <c r="T15" s="81"/>
      <c r="U15" s="81"/>
      <c r="V15" s="81"/>
      <c r="W15" s="81"/>
      <c r="X15" s="81"/>
      <c r="Y15" s="81"/>
      <c r="Z15" s="81"/>
      <c r="AA15" s="81"/>
      <c r="AB15" s="81"/>
    </row>
    <row r="16" spans="1:28" s="79" customFormat="1" ht="12.75" customHeight="1" x14ac:dyDescent="0.2">
      <c r="A16" s="88" t="s">
        <v>907</v>
      </c>
      <c r="B16" s="89">
        <v>1179.6899999999998</v>
      </c>
      <c r="C16" s="89">
        <v>1073.806646</v>
      </c>
      <c r="D16" s="89">
        <v>1007.9871900000001</v>
      </c>
      <c r="E16" s="89">
        <v>1160.4024779999997</v>
      </c>
      <c r="F16" s="89">
        <v>1437.32</v>
      </c>
      <c r="G16" s="89">
        <v>2146.8973780000001</v>
      </c>
      <c r="H16" s="89">
        <v>2023.34</v>
      </c>
      <c r="I16" s="89">
        <v>3520.84</v>
      </c>
      <c r="J16" s="89">
        <v>4473.0690229999991</v>
      </c>
      <c r="K16" s="89">
        <v>3792.0509440000001</v>
      </c>
      <c r="L16" s="89">
        <v>2622.0537079999999</v>
      </c>
      <c r="M16" s="89">
        <v>2957.6202840000001</v>
      </c>
      <c r="N16" s="89">
        <v>2482.528069</v>
      </c>
      <c r="O16" s="89">
        <v>4360.5216580000006</v>
      </c>
      <c r="P16" s="89">
        <v>3949.0695759999999</v>
      </c>
      <c r="Q16" s="89">
        <v>2495.9566260000001</v>
      </c>
      <c r="R16" s="89">
        <v>4258.8499459999994</v>
      </c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18" x14ac:dyDescent="0.2">
      <c r="A17" s="82"/>
      <c r="B17" s="83"/>
      <c r="C17" s="83"/>
      <c r="D17" s="83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</row>
    <row r="18" spans="1:18" x14ac:dyDescent="0.2">
      <c r="A18" s="79"/>
      <c r="B18" s="80"/>
      <c r="C18" s="80"/>
      <c r="D18" s="80"/>
    </row>
    <row r="19" spans="1:18" x14ac:dyDescent="0.2">
      <c r="B19" s="85"/>
      <c r="C19" s="85"/>
      <c r="D19" s="85"/>
    </row>
    <row r="20" spans="1:18" x14ac:dyDescent="0.2">
      <c r="A20" s="410"/>
      <c r="B20" s="85"/>
      <c r="C20" s="85"/>
      <c r="D20" s="85"/>
    </row>
    <row r="21" spans="1:18" x14ac:dyDescent="0.2">
      <c r="A21" s="84" t="s">
        <v>598</v>
      </c>
      <c r="B21" s="85"/>
      <c r="C21" s="85"/>
      <c r="D21" s="85"/>
    </row>
    <row r="22" spans="1:18" x14ac:dyDescent="0.2">
      <c r="A22" s="85"/>
      <c r="B22" s="85"/>
      <c r="C22" s="85"/>
      <c r="D22" s="85"/>
    </row>
    <row r="285" ht="13.7" customHeight="1" x14ac:dyDescent="0.2"/>
    <row r="286" ht="13.7" customHeight="1" x14ac:dyDescent="0.2"/>
    <row r="287" ht="13.7" customHeight="1" x14ac:dyDescent="0.2"/>
    <row r="288" ht="13.7" customHeight="1" x14ac:dyDescent="0.2"/>
    <row r="289" ht="13.7" customHeight="1" x14ac:dyDescent="0.2"/>
    <row r="290" ht="13.7" customHeight="1" x14ac:dyDescent="0.2"/>
    <row r="291" ht="13.7" customHeight="1" x14ac:dyDescent="0.2"/>
    <row r="292" ht="13.7" customHeight="1" x14ac:dyDescent="0.2"/>
    <row r="293" ht="13.7" customHeight="1" x14ac:dyDescent="0.2"/>
    <row r="294" ht="13.7" customHeight="1" x14ac:dyDescent="0.2"/>
    <row r="295" ht="13.7" customHeight="1" x14ac:dyDescent="0.2"/>
    <row r="296" ht="13.7" customHeight="1" x14ac:dyDescent="0.2"/>
    <row r="297" ht="13.7" customHeight="1" x14ac:dyDescent="0.2"/>
    <row r="298" ht="13.7" customHeight="1" x14ac:dyDescent="0.2"/>
    <row r="299" ht="13.7" customHeight="1" x14ac:dyDescent="0.2"/>
    <row r="300" ht="13.7" customHeight="1" x14ac:dyDescent="0.2"/>
    <row r="301" ht="13.7" customHeight="1" x14ac:dyDescent="0.2"/>
    <row r="302" ht="13.7" customHeight="1" x14ac:dyDescent="0.2"/>
    <row r="303" ht="13.7" customHeight="1" x14ac:dyDescent="0.2"/>
    <row r="304" ht="13.7" customHeight="1" x14ac:dyDescent="0.2"/>
    <row r="305" ht="13.7" customHeight="1" x14ac:dyDescent="0.2"/>
    <row r="306" ht="13.7" customHeight="1" x14ac:dyDescent="0.2"/>
    <row r="307" ht="13.7" customHeight="1" x14ac:dyDescent="0.2"/>
    <row r="308" ht="13.7" customHeight="1" x14ac:dyDescent="0.2"/>
    <row r="309" ht="13.7" customHeight="1" x14ac:dyDescent="0.2"/>
    <row r="310" ht="13.7" customHeight="1" x14ac:dyDescent="0.2"/>
    <row r="311" ht="13.7" customHeight="1" x14ac:dyDescent="0.2"/>
    <row r="312" ht="13.7" customHeight="1" x14ac:dyDescent="0.2"/>
    <row r="313" ht="13.7" customHeight="1" x14ac:dyDescent="0.2"/>
    <row r="314" ht="13.7" customHeight="1" x14ac:dyDescent="0.2"/>
    <row r="315" ht="13.7" customHeight="1" x14ac:dyDescent="0.2"/>
    <row r="316" ht="13.7" customHeight="1" x14ac:dyDescent="0.2"/>
    <row r="317" ht="13.7" customHeight="1" x14ac:dyDescent="0.2"/>
    <row r="318" ht="13.7" customHeight="1" x14ac:dyDescent="0.2"/>
    <row r="319" ht="13.7" customHeight="1" x14ac:dyDescent="0.2"/>
    <row r="320" ht="13.7" customHeight="1" x14ac:dyDescent="0.2"/>
    <row r="321" ht="13.7" customHeight="1" x14ac:dyDescent="0.2"/>
    <row r="322" ht="13.7" customHeight="1" x14ac:dyDescent="0.2"/>
    <row r="323" ht="13.7" customHeight="1" x14ac:dyDescent="0.2"/>
    <row r="324" ht="13.7" customHeight="1" x14ac:dyDescent="0.2"/>
    <row r="325" ht="13.7" customHeight="1" x14ac:dyDescent="0.2"/>
    <row r="326" ht="13.7" customHeight="1" x14ac:dyDescent="0.2"/>
    <row r="327" ht="13.7" customHeight="1" x14ac:dyDescent="0.2"/>
    <row r="328" ht="13.7" customHeight="1" x14ac:dyDescent="0.2"/>
    <row r="329" ht="13.7" customHeight="1" x14ac:dyDescent="0.2"/>
    <row r="330" ht="13.7" customHeight="1" x14ac:dyDescent="0.2"/>
    <row r="331" ht="13.7" customHeight="1" x14ac:dyDescent="0.2"/>
    <row r="332" ht="13.7" customHeight="1" x14ac:dyDescent="0.2"/>
    <row r="333" ht="13.7" customHeight="1" x14ac:dyDescent="0.2"/>
    <row r="334" ht="13.7" customHeight="1" x14ac:dyDescent="0.2"/>
    <row r="335" ht="13.7" customHeight="1" x14ac:dyDescent="0.2"/>
    <row r="336" ht="13.7" customHeight="1" x14ac:dyDescent="0.2"/>
    <row r="337" ht="13.7" customHeight="1" x14ac:dyDescent="0.2"/>
    <row r="338" ht="13.7" customHeight="1" x14ac:dyDescent="0.2"/>
    <row r="339" ht="13.7" customHeight="1" x14ac:dyDescent="0.2"/>
    <row r="340" ht="13.7" customHeight="1" x14ac:dyDescent="0.2"/>
    <row r="341" ht="13.7" customHeight="1" x14ac:dyDescent="0.2"/>
    <row r="342" ht="13.7" customHeight="1" x14ac:dyDescent="0.2"/>
    <row r="343" ht="13.7" customHeight="1" x14ac:dyDescent="0.2"/>
    <row r="344" ht="13.7" customHeight="1" x14ac:dyDescent="0.2"/>
    <row r="345" ht="13.7" customHeight="1" x14ac:dyDescent="0.2"/>
    <row r="346" ht="13.7" customHeight="1" x14ac:dyDescent="0.2"/>
    <row r="347" ht="13.7" customHeight="1" x14ac:dyDescent="0.2"/>
    <row r="348" ht="13.7" customHeight="1" x14ac:dyDescent="0.2"/>
    <row r="349" ht="13.7" customHeight="1" x14ac:dyDescent="0.2"/>
    <row r="350" ht="13.7" customHeight="1" x14ac:dyDescent="0.2"/>
    <row r="351" ht="13.7" customHeight="1" x14ac:dyDescent="0.2"/>
    <row r="352" ht="13.7" customHeight="1" x14ac:dyDescent="0.2"/>
    <row r="353" ht="13.7" customHeight="1" x14ac:dyDescent="0.2"/>
    <row r="354" ht="13.7" customHeight="1" x14ac:dyDescent="0.2"/>
    <row r="355" ht="13.7" customHeight="1" x14ac:dyDescent="0.2"/>
    <row r="356" ht="13.7" customHeight="1" x14ac:dyDescent="0.2"/>
    <row r="357" ht="13.7" customHeight="1" x14ac:dyDescent="0.2"/>
    <row r="358" ht="13.7" customHeight="1" x14ac:dyDescent="0.2"/>
    <row r="359" ht="13.7" customHeight="1" x14ac:dyDescent="0.2"/>
    <row r="360" ht="13.7" customHeight="1" x14ac:dyDescent="0.2"/>
    <row r="361" ht="13.7" customHeight="1" x14ac:dyDescent="0.2"/>
    <row r="362" ht="13.7" customHeight="1" x14ac:dyDescent="0.2"/>
    <row r="363" ht="13.7" customHeight="1" x14ac:dyDescent="0.2"/>
    <row r="364" ht="13.7" customHeight="1" x14ac:dyDescent="0.2"/>
    <row r="365" ht="13.7" customHeight="1" x14ac:dyDescent="0.2"/>
    <row r="366" ht="13.7" customHeight="1" x14ac:dyDescent="0.2"/>
    <row r="367" ht="13.7" customHeight="1" x14ac:dyDescent="0.2"/>
    <row r="368" ht="13.7" customHeight="1" x14ac:dyDescent="0.2"/>
    <row r="369" ht="13.7" customHeight="1" x14ac:dyDescent="0.2"/>
    <row r="370" ht="13.7" customHeight="1" x14ac:dyDescent="0.2"/>
    <row r="371" ht="13.7" customHeight="1" x14ac:dyDescent="0.2"/>
    <row r="372" ht="13.7" customHeight="1" x14ac:dyDescent="0.2"/>
    <row r="373" ht="13.7" customHeight="1" x14ac:dyDescent="0.2"/>
    <row r="374" ht="13.7" customHeight="1" x14ac:dyDescent="0.2"/>
    <row r="375" ht="13.7" customHeight="1" x14ac:dyDescent="0.2"/>
    <row r="376" ht="13.7" customHeight="1" x14ac:dyDescent="0.2"/>
    <row r="377" ht="13.7" customHeight="1" x14ac:dyDescent="0.2"/>
    <row r="378" ht="13.7" customHeight="1" x14ac:dyDescent="0.2"/>
    <row r="379" ht="13.7" customHeight="1" x14ac:dyDescent="0.2"/>
    <row r="380" ht="13.7" customHeight="1" x14ac:dyDescent="0.2"/>
    <row r="381" ht="13.7" customHeight="1" x14ac:dyDescent="0.2"/>
    <row r="382" ht="13.7" customHeight="1" x14ac:dyDescent="0.2"/>
    <row r="383" ht="13.7" customHeight="1" x14ac:dyDescent="0.2"/>
    <row r="384" ht="13.7" customHeight="1" x14ac:dyDescent="0.2"/>
    <row r="385" ht="13.7" customHeight="1" x14ac:dyDescent="0.2"/>
    <row r="386" ht="13.7" customHeight="1" x14ac:dyDescent="0.2"/>
    <row r="387" ht="13.7" customHeight="1" x14ac:dyDescent="0.2"/>
    <row r="388" ht="13.7" customHeight="1" x14ac:dyDescent="0.2"/>
    <row r="389" ht="13.7" customHeight="1" x14ac:dyDescent="0.2"/>
    <row r="390" ht="13.7" customHeight="1" x14ac:dyDescent="0.2"/>
    <row r="391" ht="13.7" customHeight="1" x14ac:dyDescent="0.2"/>
    <row r="392" ht="13.7" customHeight="1" x14ac:dyDescent="0.2"/>
    <row r="393" ht="13.7" customHeight="1" x14ac:dyDescent="0.2"/>
    <row r="394" ht="13.7" customHeight="1" x14ac:dyDescent="0.2"/>
    <row r="395" ht="13.7" customHeight="1" x14ac:dyDescent="0.2"/>
    <row r="396" ht="13.7" customHeight="1" x14ac:dyDescent="0.2"/>
    <row r="397" ht="13.7" customHeight="1" x14ac:dyDescent="0.2"/>
    <row r="398" ht="13.7" customHeight="1" x14ac:dyDescent="0.2"/>
    <row r="399" ht="13.7" customHeight="1" x14ac:dyDescent="0.2"/>
    <row r="400" ht="13.7" customHeight="1" x14ac:dyDescent="0.2"/>
    <row r="401" ht="13.7" customHeight="1" x14ac:dyDescent="0.2"/>
    <row r="402" ht="13.7" customHeight="1" x14ac:dyDescent="0.2"/>
    <row r="403" ht="13.7" customHeight="1" x14ac:dyDescent="0.2"/>
    <row r="404" ht="13.7" customHeight="1" x14ac:dyDescent="0.2"/>
    <row r="405" ht="13.7" customHeight="1" x14ac:dyDescent="0.2"/>
    <row r="406" ht="13.7" customHeight="1" x14ac:dyDescent="0.2"/>
    <row r="407" ht="13.7" customHeight="1" x14ac:dyDescent="0.2"/>
    <row r="408" ht="13.7" customHeight="1" x14ac:dyDescent="0.2"/>
    <row r="409" ht="13.7" customHeight="1" x14ac:dyDescent="0.2"/>
    <row r="410" ht="13.7" customHeight="1" x14ac:dyDescent="0.2"/>
    <row r="411" ht="13.7" customHeight="1" x14ac:dyDescent="0.2"/>
    <row r="412" ht="13.7" customHeight="1" x14ac:dyDescent="0.2"/>
    <row r="413" ht="13.7" customHeight="1" x14ac:dyDescent="0.2"/>
    <row r="414" ht="13.7" customHeight="1" x14ac:dyDescent="0.2"/>
    <row r="415" ht="13.7" customHeight="1" x14ac:dyDescent="0.2"/>
    <row r="416" ht="13.7" customHeight="1" x14ac:dyDescent="0.2"/>
    <row r="417" ht="13.7" customHeight="1" x14ac:dyDescent="0.2"/>
    <row r="418" ht="13.7" customHeight="1" x14ac:dyDescent="0.2"/>
    <row r="419" ht="13.7" customHeight="1" x14ac:dyDescent="0.2"/>
    <row r="420" ht="13.7" customHeight="1" x14ac:dyDescent="0.2"/>
    <row r="421" ht="13.7" customHeight="1" x14ac:dyDescent="0.2"/>
    <row r="422" ht="13.7" customHeight="1" x14ac:dyDescent="0.2"/>
    <row r="423" ht="13.7" customHeight="1" x14ac:dyDescent="0.2"/>
    <row r="424" ht="13.7" customHeight="1" x14ac:dyDescent="0.2"/>
    <row r="425" ht="13.7" customHeight="1" x14ac:dyDescent="0.2"/>
    <row r="426" ht="13.7" customHeight="1" x14ac:dyDescent="0.2"/>
    <row r="427" ht="13.7" customHeight="1" x14ac:dyDescent="0.2"/>
    <row r="428" ht="13.7" customHeight="1" x14ac:dyDescent="0.2"/>
    <row r="429" ht="13.7" customHeight="1" x14ac:dyDescent="0.2"/>
    <row r="430" ht="13.7" customHeight="1" x14ac:dyDescent="0.2"/>
    <row r="431" ht="13.7" customHeight="1" x14ac:dyDescent="0.2"/>
    <row r="432" ht="13.7" customHeight="1" x14ac:dyDescent="0.2"/>
    <row r="433" ht="13.7" customHeight="1" x14ac:dyDescent="0.2"/>
    <row r="434" ht="13.7" customHeight="1" x14ac:dyDescent="0.2"/>
    <row r="435" ht="13.7" customHeight="1" x14ac:dyDescent="0.2"/>
    <row r="436" ht="13.7" customHeight="1" x14ac:dyDescent="0.2"/>
    <row r="437" ht="13.7" customHeight="1" x14ac:dyDescent="0.2"/>
    <row r="438" ht="13.7" customHeight="1" x14ac:dyDescent="0.2"/>
    <row r="439" ht="13.7" customHeight="1" x14ac:dyDescent="0.2"/>
    <row r="440" ht="13.7" customHeight="1" x14ac:dyDescent="0.2"/>
    <row r="441" ht="13.7" customHeight="1" x14ac:dyDescent="0.2"/>
    <row r="442" ht="13.7" customHeight="1" x14ac:dyDescent="0.2"/>
    <row r="443" ht="13.7" customHeight="1" x14ac:dyDescent="0.2"/>
    <row r="444" ht="13.7" customHeight="1" x14ac:dyDescent="0.2"/>
    <row r="445" ht="13.7" customHeight="1" x14ac:dyDescent="0.2"/>
    <row r="446" ht="13.7" customHeight="1" x14ac:dyDescent="0.2"/>
    <row r="447" ht="13.7" customHeight="1" x14ac:dyDescent="0.2"/>
    <row r="448" ht="13.7" customHeight="1" x14ac:dyDescent="0.2"/>
    <row r="449" ht="13.7" customHeight="1" x14ac:dyDescent="0.2"/>
    <row r="450" ht="13.7" customHeight="1" x14ac:dyDescent="0.2"/>
    <row r="451" ht="13.7" customHeight="1" x14ac:dyDescent="0.2"/>
    <row r="452" ht="13.7" customHeight="1" x14ac:dyDescent="0.2"/>
    <row r="453" ht="13.7" customHeight="1" x14ac:dyDescent="0.2"/>
    <row r="454" ht="13.7" customHeight="1" x14ac:dyDescent="0.2"/>
    <row r="455" ht="13.7" customHeight="1" x14ac:dyDescent="0.2"/>
    <row r="456" ht="13.7" customHeight="1" x14ac:dyDescent="0.2"/>
    <row r="457" ht="13.7" customHeight="1" x14ac:dyDescent="0.2"/>
    <row r="458" ht="13.7" customHeight="1" x14ac:dyDescent="0.2"/>
    <row r="459" ht="13.7" customHeight="1" x14ac:dyDescent="0.2"/>
    <row r="460" ht="13.7" customHeight="1" x14ac:dyDescent="0.2"/>
    <row r="461" ht="13.7" customHeight="1" x14ac:dyDescent="0.2"/>
    <row r="462" ht="13.7" customHeight="1" x14ac:dyDescent="0.2"/>
    <row r="463" ht="13.7" customHeight="1" x14ac:dyDescent="0.2"/>
    <row r="464" ht="13.7" customHeight="1" x14ac:dyDescent="0.2"/>
    <row r="465" ht="13.7" customHeight="1" x14ac:dyDescent="0.2"/>
    <row r="466" ht="13.7" customHeight="1" x14ac:dyDescent="0.2"/>
    <row r="467" ht="13.7" customHeight="1" x14ac:dyDescent="0.2"/>
    <row r="468" ht="13.7" customHeight="1" x14ac:dyDescent="0.2"/>
    <row r="469" ht="13.7" customHeight="1" x14ac:dyDescent="0.2"/>
    <row r="470" ht="13.7" customHeight="1" x14ac:dyDescent="0.2"/>
    <row r="471" ht="13.7" customHeight="1" x14ac:dyDescent="0.2"/>
    <row r="472" ht="13.7" customHeight="1" x14ac:dyDescent="0.2"/>
    <row r="473" ht="13.7" customHeight="1" x14ac:dyDescent="0.2"/>
    <row r="474" ht="13.7" customHeight="1" x14ac:dyDescent="0.2"/>
    <row r="475" ht="13.7" customHeight="1" x14ac:dyDescent="0.2"/>
    <row r="476" ht="13.7" customHeight="1" x14ac:dyDescent="0.2"/>
    <row r="477" ht="13.7" customHeight="1" x14ac:dyDescent="0.2"/>
    <row r="478" ht="13.7" customHeight="1" x14ac:dyDescent="0.2"/>
    <row r="479" ht="13.7" customHeight="1" x14ac:dyDescent="0.2"/>
    <row r="480" ht="13.7" customHeight="1" x14ac:dyDescent="0.2"/>
    <row r="481" ht="13.7" customHeight="1" x14ac:dyDescent="0.2"/>
    <row r="482" ht="13.7" customHeight="1" x14ac:dyDescent="0.2"/>
    <row r="483" ht="13.7" customHeight="1" x14ac:dyDescent="0.2"/>
    <row r="484" ht="13.7" customHeight="1" x14ac:dyDescent="0.2"/>
    <row r="485" ht="13.7" customHeight="1" x14ac:dyDescent="0.2"/>
    <row r="486" ht="13.7" customHeight="1" x14ac:dyDescent="0.2"/>
    <row r="487" ht="13.7" customHeight="1" x14ac:dyDescent="0.2"/>
    <row r="488" ht="13.7" customHeight="1" x14ac:dyDescent="0.2"/>
    <row r="489" ht="13.7" customHeight="1" x14ac:dyDescent="0.2"/>
    <row r="490" ht="13.7" customHeight="1" x14ac:dyDescent="0.2"/>
    <row r="491" ht="13.7" customHeight="1" x14ac:dyDescent="0.2"/>
    <row r="492" ht="13.7" customHeight="1" x14ac:dyDescent="0.2"/>
    <row r="493" ht="13.7" customHeight="1" x14ac:dyDescent="0.2"/>
    <row r="494" ht="13.7" customHeight="1" x14ac:dyDescent="0.2"/>
    <row r="495" ht="13.7" customHeight="1" x14ac:dyDescent="0.2"/>
    <row r="496" ht="13.7" customHeight="1" x14ac:dyDescent="0.2"/>
    <row r="497" ht="13.7" customHeight="1" x14ac:dyDescent="0.2"/>
    <row r="498" ht="13.7" customHeight="1" x14ac:dyDescent="0.2"/>
    <row r="499" ht="13.7" customHeight="1" x14ac:dyDescent="0.2"/>
    <row r="500" ht="13.7" customHeight="1" x14ac:dyDescent="0.2"/>
    <row r="501" ht="13.7" customHeight="1" x14ac:dyDescent="0.2"/>
    <row r="502" ht="13.7" customHeight="1" x14ac:dyDescent="0.2"/>
    <row r="503" ht="13.7" customHeight="1" x14ac:dyDescent="0.2"/>
    <row r="504" ht="13.7" customHeight="1" x14ac:dyDescent="0.2"/>
    <row r="505" ht="13.7" customHeight="1" x14ac:dyDescent="0.2"/>
    <row r="506" ht="13.7" customHeight="1" x14ac:dyDescent="0.2"/>
    <row r="507" ht="13.7" customHeight="1" x14ac:dyDescent="0.2"/>
    <row r="508" ht="13.7" customHeight="1" x14ac:dyDescent="0.2"/>
    <row r="509" ht="13.7" customHeight="1" x14ac:dyDescent="0.2"/>
    <row r="510" ht="13.7" customHeight="1" x14ac:dyDescent="0.2"/>
    <row r="511" ht="13.7" customHeight="1" x14ac:dyDescent="0.2"/>
    <row r="512" ht="13.7" customHeight="1" x14ac:dyDescent="0.2"/>
    <row r="513" ht="13.7" customHeight="1" x14ac:dyDescent="0.2"/>
    <row r="514" ht="13.7" customHeight="1" x14ac:dyDescent="0.2"/>
    <row r="515" ht="13.7" customHeight="1" x14ac:dyDescent="0.2"/>
    <row r="516" ht="13.7" customHeight="1" x14ac:dyDescent="0.2"/>
    <row r="517" ht="13.7" customHeight="1" x14ac:dyDescent="0.2"/>
    <row r="518" ht="13.7" customHeight="1" x14ac:dyDescent="0.2"/>
    <row r="519" ht="13.7" customHeight="1" x14ac:dyDescent="0.2"/>
    <row r="520" ht="13.7" customHeight="1" x14ac:dyDescent="0.2"/>
    <row r="521" ht="13.7" customHeight="1" x14ac:dyDescent="0.2"/>
    <row r="522" ht="13.7" customHeight="1" x14ac:dyDescent="0.2"/>
    <row r="523" ht="13.7" customHeight="1" x14ac:dyDescent="0.2"/>
    <row r="524" ht="13.7" customHeight="1" x14ac:dyDescent="0.2"/>
    <row r="525" ht="13.7" customHeight="1" x14ac:dyDescent="0.2"/>
    <row r="526" ht="13.7" customHeight="1" x14ac:dyDescent="0.2"/>
    <row r="527" ht="13.7" customHeight="1" x14ac:dyDescent="0.2"/>
    <row r="528" ht="13.7" customHeight="1" x14ac:dyDescent="0.2"/>
    <row r="529" ht="13.7" customHeight="1" x14ac:dyDescent="0.2"/>
    <row r="530" ht="13.7" customHeight="1" x14ac:dyDescent="0.2"/>
    <row r="531" ht="13.7" customHeight="1" x14ac:dyDescent="0.2"/>
    <row r="532" ht="13.7" customHeight="1" x14ac:dyDescent="0.2"/>
    <row r="533" ht="13.7" customHeight="1" x14ac:dyDescent="0.2"/>
    <row r="534" ht="13.7" customHeight="1" x14ac:dyDescent="0.2"/>
    <row r="535" ht="13.7" customHeight="1" x14ac:dyDescent="0.2"/>
    <row r="536" ht="13.7" customHeight="1" x14ac:dyDescent="0.2"/>
    <row r="537" ht="13.7" customHeight="1" x14ac:dyDescent="0.2"/>
    <row r="538" ht="13.7" customHeight="1" x14ac:dyDescent="0.2"/>
    <row r="539" ht="13.7" customHeight="1" x14ac:dyDescent="0.2"/>
    <row r="540" ht="13.7" customHeight="1" x14ac:dyDescent="0.2"/>
  </sheetData>
  <mergeCells count="2">
    <mergeCell ref="A1:M1"/>
    <mergeCell ref="A2:M2"/>
  </mergeCells>
  <hyperlinks>
    <hyperlink ref="A21" location="'indice cap.1'!A1" display="regresar al índice" xr:uid="{00000000-0004-0000-0400-000000000000}"/>
  </hyperlinks>
  <pageMargins left="0.19685039370078741" right="0.19685039370078741" top="0.98425196850393704" bottom="0.59055118110236227" header="0.51181102362204722" footer="0.51181102362204722"/>
  <pageSetup paperSize="9" scale="6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23"/>
  <sheetViews>
    <sheetView showGridLines="0" workbookViewId="0">
      <pane xSplit="2" ySplit="5" topLeftCell="P6" activePane="bottomRight" state="frozen"/>
      <selection pane="topRight" activeCell="C1" sqref="C1"/>
      <selection pane="bottomLeft" activeCell="A6" sqref="A6"/>
      <selection pane="bottomRight" activeCell="A68" sqref="A68"/>
    </sheetView>
  </sheetViews>
  <sheetFormatPr defaultColWidth="9.140625" defaultRowHeight="12.75" x14ac:dyDescent="0.2"/>
  <cols>
    <col min="1" max="1" width="4.7109375" style="24" customWidth="1"/>
    <col min="2" max="2" width="67" style="24" customWidth="1"/>
    <col min="3" max="29" width="8.7109375" style="24" customWidth="1"/>
    <col min="30" max="16384" width="9.140625" style="24"/>
  </cols>
  <sheetData>
    <row r="1" spans="1:29" x14ac:dyDescent="0.2">
      <c r="A1" s="493" t="s">
        <v>959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02"/>
      <c r="Z1" s="402"/>
      <c r="AA1" s="402"/>
      <c r="AB1" s="402"/>
      <c r="AC1" s="402"/>
    </row>
    <row r="2" spans="1:29" x14ac:dyDescent="0.2">
      <c r="A2" s="493" t="s">
        <v>25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02"/>
      <c r="Z2" s="402"/>
      <c r="AA2" s="402"/>
      <c r="AB2" s="402"/>
      <c r="AC2" s="402"/>
    </row>
    <row r="3" spans="1:29" x14ac:dyDescent="0.2">
      <c r="B3" s="9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s="69" customFormat="1" ht="30" customHeight="1" x14ac:dyDescent="0.25">
      <c r="A4" s="391"/>
      <c r="B4" s="101" t="s">
        <v>45</v>
      </c>
      <c r="C4" s="35">
        <v>33238</v>
      </c>
      <c r="D4" s="35">
        <v>33603</v>
      </c>
      <c r="E4" s="35">
        <v>33969</v>
      </c>
      <c r="F4" s="35">
        <v>34334</v>
      </c>
      <c r="G4" s="35">
        <v>34699</v>
      </c>
      <c r="H4" s="35">
        <v>35064</v>
      </c>
      <c r="I4" s="35">
        <v>35430</v>
      </c>
      <c r="J4" s="35">
        <v>35795</v>
      </c>
      <c r="K4" s="35">
        <v>36160</v>
      </c>
      <c r="L4" s="35">
        <v>36525</v>
      </c>
      <c r="M4" s="35">
        <v>36891</v>
      </c>
      <c r="N4" s="35">
        <v>37256</v>
      </c>
      <c r="O4" s="35">
        <v>37621</v>
      </c>
      <c r="P4" s="35">
        <v>37986</v>
      </c>
      <c r="Q4" s="35">
        <v>38352</v>
      </c>
      <c r="R4" s="35">
        <v>38717</v>
      </c>
      <c r="S4" s="35">
        <v>39082</v>
      </c>
      <c r="T4" s="35">
        <v>39447</v>
      </c>
      <c r="U4" s="35">
        <v>39813</v>
      </c>
      <c r="V4" s="35">
        <v>40178</v>
      </c>
      <c r="W4" s="35">
        <v>40543</v>
      </c>
      <c r="X4" s="35">
        <v>40908</v>
      </c>
      <c r="Y4" s="35">
        <v>41274</v>
      </c>
      <c r="Z4" s="35">
        <v>41639</v>
      </c>
      <c r="AA4" s="35">
        <v>42004</v>
      </c>
      <c r="AB4" s="35">
        <v>42369</v>
      </c>
      <c r="AC4" s="35">
        <v>42735</v>
      </c>
    </row>
    <row r="6" spans="1:29" x14ac:dyDescent="0.2">
      <c r="B6" s="38" t="s">
        <v>4</v>
      </c>
      <c r="C6" s="102">
        <v>883.5</v>
      </c>
      <c r="D6" s="102">
        <v>1280.5</v>
      </c>
      <c r="E6" s="102">
        <v>1843.5</v>
      </c>
      <c r="F6" s="102">
        <v>2040.84</v>
      </c>
      <c r="G6" s="102">
        <v>2277.17</v>
      </c>
      <c r="H6" s="102">
        <v>2924.5</v>
      </c>
      <c r="I6" s="102">
        <v>3634</v>
      </c>
      <c r="J6" s="102">
        <v>4425</v>
      </c>
      <c r="K6" s="102">
        <v>6765</v>
      </c>
      <c r="L6" s="102">
        <v>19858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</row>
    <row r="7" spans="1:29" x14ac:dyDescent="0.2"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</row>
    <row r="8" spans="1:29" s="23" customFormat="1" x14ac:dyDescent="0.2">
      <c r="B8" s="104" t="s">
        <v>634</v>
      </c>
      <c r="C8" s="486">
        <v>42.667798528579503</v>
      </c>
      <c r="D8" s="486">
        <v>41.056618508395161</v>
      </c>
      <c r="E8" s="486">
        <v>67.732573908326557</v>
      </c>
      <c r="F8" s="486">
        <v>4.541757315615115</v>
      </c>
      <c r="G8" s="486">
        <v>-190.55604456408616</v>
      </c>
      <c r="H8" s="486">
        <v>-196.17812173021025</v>
      </c>
      <c r="I8" s="486">
        <v>39.723995597138241</v>
      </c>
      <c r="J8" s="486">
        <v>-362.9538515254236</v>
      </c>
      <c r="K8" s="486">
        <v>-535.55833702882501</v>
      </c>
      <c r="L8" s="486">
        <v>-186.11461275052875</v>
      </c>
      <c r="M8" s="486">
        <v>254.16</v>
      </c>
      <c r="N8" s="486">
        <v>502.11</v>
      </c>
      <c r="O8" s="486">
        <v>724.02</v>
      </c>
      <c r="P8" s="486">
        <v>1615.3</v>
      </c>
      <c r="Q8" s="486">
        <v>1977.1399999999996</v>
      </c>
      <c r="R8" s="486">
        <v>2276.2200000000003</v>
      </c>
      <c r="S8" s="486">
        <v>2593.3399999999997</v>
      </c>
      <c r="T8" s="486">
        <v>3313.4900000000002</v>
      </c>
      <c r="U8" s="486">
        <v>3436.8500000000004</v>
      </c>
      <c r="V8" s="486">
        <v>4120.03</v>
      </c>
      <c r="W8" s="486">
        <v>4886.92</v>
      </c>
      <c r="X8" s="486">
        <v>5044.2300000000005</v>
      </c>
      <c r="Y8" s="486">
        <v>5201.6099999999997</v>
      </c>
      <c r="Z8" s="486">
        <v>5310.89</v>
      </c>
      <c r="AA8" s="486">
        <v>5710.53</v>
      </c>
      <c r="AB8" s="486">
        <v>5253.9600000000009</v>
      </c>
      <c r="AC8" s="486">
        <v>5597.93</v>
      </c>
    </row>
    <row r="9" spans="1:29" x14ac:dyDescent="0.2">
      <c r="B9" s="105" t="s">
        <v>627</v>
      </c>
      <c r="C9" s="487">
        <v>97.714770797962643</v>
      </c>
      <c r="D9" s="487">
        <v>106.43576727840687</v>
      </c>
      <c r="E9" s="487">
        <v>145.05017629509086</v>
      </c>
      <c r="F9" s="487">
        <v>160.24529115462261</v>
      </c>
      <c r="G9" s="487">
        <v>335.91900956011182</v>
      </c>
      <c r="H9" s="487">
        <v>564.35254846982389</v>
      </c>
      <c r="I9" s="487">
        <v>866.02256466703363</v>
      </c>
      <c r="J9" s="487">
        <v>938.20795638418087</v>
      </c>
      <c r="K9" s="487">
        <v>953.64166297117504</v>
      </c>
      <c r="L9" s="487">
        <v>665.53538724947123</v>
      </c>
      <c r="M9" s="487">
        <v>849.33</v>
      </c>
      <c r="N9" s="487">
        <v>1007.27</v>
      </c>
      <c r="O9" s="487">
        <v>1206.6400000000001</v>
      </c>
      <c r="P9" s="487">
        <v>1915.8799999999999</v>
      </c>
      <c r="Q9" s="487">
        <v>2362.1899999999996</v>
      </c>
      <c r="R9" s="487">
        <v>2769.76</v>
      </c>
      <c r="S9" s="487">
        <v>3273.5499999999997</v>
      </c>
      <c r="T9" s="487">
        <v>4095.26</v>
      </c>
      <c r="U9" s="487">
        <v>4230.2300000000005</v>
      </c>
      <c r="V9" s="487">
        <v>4858.08</v>
      </c>
      <c r="W9" s="487">
        <v>5550.04</v>
      </c>
      <c r="X9" s="487">
        <v>5693.59</v>
      </c>
      <c r="Y9" s="487">
        <v>5902.33</v>
      </c>
      <c r="Z9" s="487">
        <v>6084.46</v>
      </c>
      <c r="AA9" s="487">
        <v>6618.07</v>
      </c>
      <c r="AB9" s="487">
        <v>6481.64</v>
      </c>
      <c r="AC9" s="487">
        <v>7341.72</v>
      </c>
    </row>
    <row r="10" spans="1:29" x14ac:dyDescent="0.2">
      <c r="B10" s="105" t="s">
        <v>628</v>
      </c>
      <c r="C10" s="487">
        <v>55.04697226938314</v>
      </c>
      <c r="D10" s="487">
        <v>65.37914877001171</v>
      </c>
      <c r="E10" s="487">
        <v>77.317602386764307</v>
      </c>
      <c r="F10" s="487">
        <v>155.70353383900749</v>
      </c>
      <c r="G10" s="487">
        <v>526.47505412419798</v>
      </c>
      <c r="H10" s="487">
        <v>760.53067020003414</v>
      </c>
      <c r="I10" s="487">
        <v>826.29856906989539</v>
      </c>
      <c r="J10" s="487">
        <v>1301.1618079096045</v>
      </c>
      <c r="K10" s="487">
        <v>1489.2</v>
      </c>
      <c r="L10" s="487">
        <v>851.65</v>
      </c>
      <c r="M10" s="487">
        <v>595.16999999999996</v>
      </c>
      <c r="N10" s="487">
        <v>505.16</v>
      </c>
      <c r="O10" s="487">
        <v>482.62</v>
      </c>
      <c r="P10" s="487">
        <v>300.58</v>
      </c>
      <c r="Q10" s="487">
        <v>385.05</v>
      </c>
      <c r="R10" s="487">
        <v>493.53999999999996</v>
      </c>
      <c r="S10" s="487">
        <v>680.20999999999992</v>
      </c>
      <c r="T10" s="487">
        <v>781.77</v>
      </c>
      <c r="U10" s="487">
        <v>793.37999999999988</v>
      </c>
      <c r="V10" s="487">
        <v>738.05</v>
      </c>
      <c r="W10" s="487">
        <v>663.12</v>
      </c>
      <c r="X10" s="487">
        <v>649.36</v>
      </c>
      <c r="Y10" s="487">
        <v>700.72</v>
      </c>
      <c r="Z10" s="487">
        <v>773.57</v>
      </c>
      <c r="AA10" s="487">
        <v>907.54</v>
      </c>
      <c r="AB10" s="487">
        <v>1227.6799999999998</v>
      </c>
      <c r="AC10" s="487">
        <v>1743.7900000000002</v>
      </c>
    </row>
    <row r="11" spans="1:29" x14ac:dyDescent="0.2"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8"/>
    </row>
    <row r="12" spans="1:29" s="23" customFormat="1" x14ac:dyDescent="0.2">
      <c r="B12" s="47" t="s">
        <v>635</v>
      </c>
      <c r="C12" s="486">
        <v>1435.71704040747</v>
      </c>
      <c r="D12" s="486">
        <v>1609.9338531823507</v>
      </c>
      <c r="E12" s="486">
        <v>1749.3039820992678</v>
      </c>
      <c r="F12" s="486">
        <v>2488.3944606142568</v>
      </c>
      <c r="G12" s="486">
        <v>3707.7402304614948</v>
      </c>
      <c r="H12" s="486">
        <v>4359.403803727133</v>
      </c>
      <c r="I12" s="486">
        <v>5056.8039867914149</v>
      </c>
      <c r="J12" s="486">
        <v>6033.1275901991939</v>
      </c>
      <c r="K12" s="486">
        <v>5571.0932446415372</v>
      </c>
      <c r="L12" s="486">
        <v>3426.1198569845901</v>
      </c>
      <c r="M12" s="486">
        <v>3623.77</v>
      </c>
      <c r="N12" s="486">
        <v>4147.8941899999991</v>
      </c>
      <c r="O12" s="486">
        <v>4590.6099999999997</v>
      </c>
      <c r="P12" s="486">
        <v>2667.8599999999997</v>
      </c>
      <c r="Q12" s="486">
        <v>3387.5600000000004</v>
      </c>
      <c r="R12" s="486">
        <v>4223.6500000000015</v>
      </c>
      <c r="S12" s="486">
        <v>4964.74</v>
      </c>
      <c r="T12" s="486">
        <v>5523.3500000000022</v>
      </c>
      <c r="U12" s="486">
        <v>7469.9299999999985</v>
      </c>
      <c r="V12" s="486">
        <v>7772.9500000000007</v>
      </c>
      <c r="W12" s="486">
        <v>9605.260000000002</v>
      </c>
      <c r="X12" s="486">
        <v>12192.179999999997</v>
      </c>
      <c r="Y12" s="486">
        <v>14715.640000000003</v>
      </c>
      <c r="Z12" s="486">
        <v>16873.82</v>
      </c>
      <c r="AA12" s="486">
        <v>18733.219999999998</v>
      </c>
      <c r="AB12" s="486">
        <v>16446.639999999996</v>
      </c>
      <c r="AC12" s="486">
        <v>19849.399999999998</v>
      </c>
    </row>
    <row r="13" spans="1:29" s="23" customFormat="1" x14ac:dyDescent="0.2">
      <c r="B13" s="104" t="s">
        <v>636</v>
      </c>
      <c r="C13" s="486">
        <v>1033.5478743633278</v>
      </c>
      <c r="D13" s="486">
        <v>1228.9363100351427</v>
      </c>
      <c r="E13" s="486">
        <v>1372.1393371304584</v>
      </c>
      <c r="F13" s="486">
        <v>2230.761480076831</v>
      </c>
      <c r="G13" s="486">
        <v>3687.5547508530331</v>
      </c>
      <c r="H13" s="486">
        <v>4499.5142766284835</v>
      </c>
      <c r="I13" s="486">
        <v>5002.6765371491474</v>
      </c>
      <c r="J13" s="486">
        <v>6149.5151558489115</v>
      </c>
      <c r="K13" s="486">
        <v>6263.1958314855874</v>
      </c>
      <c r="L13" s="486">
        <v>4211.8913405176754</v>
      </c>
      <c r="M13" s="486">
        <v>4044.24</v>
      </c>
      <c r="N13" s="486">
        <v>4172.5541899999989</v>
      </c>
      <c r="O13" s="486">
        <v>3944.3379219999993</v>
      </c>
      <c r="P13" s="486">
        <v>3478.3199999999997</v>
      </c>
      <c r="Q13" s="486">
        <v>4264.93</v>
      </c>
      <c r="R13" s="486">
        <v>5366.170000000001</v>
      </c>
      <c r="S13" s="486">
        <v>6355.3799999999992</v>
      </c>
      <c r="T13" s="486">
        <v>7100.5200000000013</v>
      </c>
      <c r="U13" s="486">
        <v>8891.43</v>
      </c>
      <c r="V13" s="486">
        <v>9314.94</v>
      </c>
      <c r="W13" s="486">
        <v>11655.52</v>
      </c>
      <c r="X13" s="486">
        <v>14707.079999999998</v>
      </c>
      <c r="Y13" s="486">
        <v>17222.310000000001</v>
      </c>
      <c r="Z13" s="486">
        <v>18535.09</v>
      </c>
      <c r="AA13" s="486">
        <v>21181.989999999998</v>
      </c>
      <c r="AB13" s="486">
        <v>19488.069999999996</v>
      </c>
      <c r="AC13" s="486">
        <v>20842.719999999998</v>
      </c>
    </row>
    <row r="14" spans="1:29" s="23" customFormat="1" x14ac:dyDescent="0.2">
      <c r="B14" s="47" t="s">
        <v>637</v>
      </c>
      <c r="C14" s="486">
        <v>12.857951329937748</v>
      </c>
      <c r="D14" s="486">
        <v>39.594689574385001</v>
      </c>
      <c r="E14" s="486">
        <v>42.944941687008402</v>
      </c>
      <c r="F14" s="486">
        <v>115.50097018874581</v>
      </c>
      <c r="G14" s="486">
        <v>156.58489440841043</v>
      </c>
      <c r="H14" s="486">
        <v>192.18383450162423</v>
      </c>
      <c r="I14" s="486">
        <v>204.82491909741339</v>
      </c>
      <c r="J14" s="486">
        <v>427.91468564971757</v>
      </c>
      <c r="K14" s="486">
        <v>802.19</v>
      </c>
      <c r="L14" s="486">
        <v>338.08</v>
      </c>
      <c r="M14" s="486">
        <v>-14.77</v>
      </c>
      <c r="N14" s="486">
        <v>-478.08581000000009</v>
      </c>
      <c r="O14" s="486">
        <v>-352.86107799999996</v>
      </c>
      <c r="P14" s="486">
        <v>-26.810000000000002</v>
      </c>
      <c r="Q14" s="486">
        <v>-188.58000000000004</v>
      </c>
      <c r="R14" s="486">
        <v>-262.23</v>
      </c>
      <c r="S14" s="486">
        <v>-291.36</v>
      </c>
      <c r="T14" s="486">
        <v>-282.88</v>
      </c>
      <c r="U14" s="486">
        <v>-290.09000000000003</v>
      </c>
      <c r="V14" s="486">
        <v>-207.38999999999996</v>
      </c>
      <c r="W14" s="486">
        <v>-230.69999999999996</v>
      </c>
      <c r="X14" s="486">
        <v>-109.38000000000005</v>
      </c>
      <c r="Y14" s="486">
        <v>48.389999999999986</v>
      </c>
      <c r="Z14" s="486">
        <v>243.51999999999992</v>
      </c>
      <c r="AA14" s="486">
        <v>614.45000000000005</v>
      </c>
      <c r="AB14" s="486">
        <v>235.68999999999994</v>
      </c>
      <c r="AC14" s="486">
        <v>862.94999999999993</v>
      </c>
    </row>
    <row r="15" spans="1:29" s="23" customFormat="1" x14ac:dyDescent="0.2">
      <c r="B15" s="47" t="s">
        <v>629</v>
      </c>
      <c r="C15" s="486">
        <v>12.857951329937748</v>
      </c>
      <c r="D15" s="486">
        <v>39.594689574385001</v>
      </c>
      <c r="E15" s="486">
        <v>42.944941687008402</v>
      </c>
      <c r="F15" s="486">
        <v>115.50097018874581</v>
      </c>
      <c r="G15" s="486">
        <v>156.58489440841043</v>
      </c>
      <c r="H15" s="486">
        <v>222.35760540263294</v>
      </c>
      <c r="I15" s="486">
        <v>271.54488167308756</v>
      </c>
      <c r="J15" s="486">
        <v>492.93491525423735</v>
      </c>
      <c r="K15" s="486">
        <v>867.71</v>
      </c>
      <c r="L15" s="486">
        <v>382.15</v>
      </c>
      <c r="M15" s="486">
        <v>363.21</v>
      </c>
      <c r="N15" s="486">
        <v>510.61418999999995</v>
      </c>
      <c r="O15" s="486">
        <v>372.31692200000003</v>
      </c>
      <c r="P15" s="486">
        <v>278.70999999999998</v>
      </c>
      <c r="Q15" s="486">
        <v>212.47000000000003</v>
      </c>
      <c r="R15" s="486">
        <v>237.66</v>
      </c>
      <c r="S15" s="486">
        <v>163.92999999999998</v>
      </c>
      <c r="T15" s="486">
        <v>121.88000000000001</v>
      </c>
      <c r="U15" s="486">
        <v>109.4</v>
      </c>
      <c r="V15" s="486">
        <v>104.72</v>
      </c>
      <c r="W15" s="486">
        <v>137.04</v>
      </c>
      <c r="X15" s="486">
        <v>298.06</v>
      </c>
      <c r="Y15" s="486">
        <v>465.37</v>
      </c>
      <c r="Z15" s="486">
        <v>596.94999999999993</v>
      </c>
      <c r="AA15" s="486">
        <v>964.89</v>
      </c>
      <c r="AB15" s="486">
        <v>546.42999999999995</v>
      </c>
      <c r="AC15" s="486">
        <v>1219.8499999999999</v>
      </c>
    </row>
    <row r="16" spans="1:29" s="23" customFormat="1" x14ac:dyDescent="0.2">
      <c r="B16" s="47" t="s">
        <v>616</v>
      </c>
      <c r="C16" s="486">
        <v>0</v>
      </c>
      <c r="D16" s="486">
        <v>0</v>
      </c>
      <c r="E16" s="486">
        <v>0</v>
      </c>
      <c r="F16" s="486">
        <v>0</v>
      </c>
      <c r="G16" s="486">
        <v>0</v>
      </c>
      <c r="H16" s="486">
        <v>30.173770901008719</v>
      </c>
      <c r="I16" s="486">
        <v>66.719962575674188</v>
      </c>
      <c r="J16" s="486">
        <v>65.020229604519784</v>
      </c>
      <c r="K16" s="486">
        <v>65.52</v>
      </c>
      <c r="L16" s="486">
        <v>44.07</v>
      </c>
      <c r="M16" s="486">
        <v>377.98</v>
      </c>
      <c r="N16" s="486">
        <v>988.7</v>
      </c>
      <c r="O16" s="486">
        <v>725.178</v>
      </c>
      <c r="P16" s="486">
        <v>305.52</v>
      </c>
      <c r="Q16" s="486">
        <v>401.05000000000007</v>
      </c>
      <c r="R16" s="486">
        <v>499.89</v>
      </c>
      <c r="S16" s="486">
        <v>455.28999999999996</v>
      </c>
      <c r="T16" s="486">
        <v>404.76</v>
      </c>
      <c r="U16" s="486">
        <v>399.49</v>
      </c>
      <c r="V16" s="486">
        <v>312.10999999999996</v>
      </c>
      <c r="W16" s="486">
        <v>367.73999999999995</v>
      </c>
      <c r="X16" s="486">
        <v>407.44000000000005</v>
      </c>
      <c r="Y16" s="486">
        <v>416.98</v>
      </c>
      <c r="Z16" s="486">
        <v>353.43</v>
      </c>
      <c r="AA16" s="486">
        <v>350.44</v>
      </c>
      <c r="AB16" s="486">
        <v>310.74</v>
      </c>
      <c r="AC16" s="486">
        <v>356.9</v>
      </c>
    </row>
    <row r="17" spans="2:29" x14ac:dyDescent="0.2">
      <c r="B17" s="106" t="s">
        <v>617</v>
      </c>
      <c r="C17" s="487" t="s">
        <v>10</v>
      </c>
      <c r="D17" s="487" t="s">
        <v>10</v>
      </c>
      <c r="E17" s="487" t="s">
        <v>10</v>
      </c>
      <c r="F17" s="487" t="s">
        <v>10</v>
      </c>
      <c r="G17" s="487" t="s">
        <v>10</v>
      </c>
      <c r="H17" s="487" t="s">
        <v>10</v>
      </c>
      <c r="I17" s="487" t="s">
        <v>10</v>
      </c>
      <c r="J17" s="487" t="s">
        <v>10</v>
      </c>
      <c r="K17" s="487" t="s">
        <v>10</v>
      </c>
      <c r="L17" s="487" t="s">
        <v>10</v>
      </c>
      <c r="M17" s="487" t="s">
        <v>10</v>
      </c>
      <c r="N17" s="487" t="s">
        <v>10</v>
      </c>
      <c r="O17" s="487" t="s">
        <v>10</v>
      </c>
      <c r="P17" s="487">
        <v>284.35999999999996</v>
      </c>
      <c r="Q17" s="487">
        <v>366.3900000000001</v>
      </c>
      <c r="R17" s="487">
        <v>451.43</v>
      </c>
      <c r="S17" s="487">
        <v>384.61999999999995</v>
      </c>
      <c r="T17" s="487">
        <v>334.88</v>
      </c>
      <c r="U17" s="487">
        <v>323.72000000000003</v>
      </c>
      <c r="V17" s="487">
        <v>241.89999999999998</v>
      </c>
      <c r="W17" s="487">
        <v>259.71999999999997</v>
      </c>
      <c r="X17" s="487">
        <v>235.16000000000003</v>
      </c>
      <c r="Y17" s="487">
        <v>230.22</v>
      </c>
      <c r="Z17" s="487">
        <v>140.92000000000002</v>
      </c>
      <c r="AA17" s="487">
        <v>95.240000000000009</v>
      </c>
      <c r="AB17" s="487">
        <v>84.66</v>
      </c>
      <c r="AC17" s="487">
        <v>126.98</v>
      </c>
    </row>
    <row r="18" spans="2:29" x14ac:dyDescent="0.2">
      <c r="B18" s="106" t="s">
        <v>854</v>
      </c>
      <c r="C18" s="487" t="s">
        <v>10</v>
      </c>
      <c r="D18" s="487" t="s">
        <v>10</v>
      </c>
      <c r="E18" s="487" t="s">
        <v>10</v>
      </c>
      <c r="F18" s="487" t="s">
        <v>10</v>
      </c>
      <c r="G18" s="487" t="s">
        <v>10</v>
      </c>
      <c r="H18" s="487" t="s">
        <v>10</v>
      </c>
      <c r="I18" s="487" t="s">
        <v>10</v>
      </c>
      <c r="J18" s="487" t="s">
        <v>10</v>
      </c>
      <c r="K18" s="487" t="s">
        <v>10</v>
      </c>
      <c r="L18" s="487" t="s">
        <v>10</v>
      </c>
      <c r="M18" s="487" t="s">
        <v>10</v>
      </c>
      <c r="N18" s="487" t="s">
        <v>10</v>
      </c>
      <c r="O18" s="487" t="s">
        <v>10</v>
      </c>
      <c r="P18" s="487">
        <v>21.16</v>
      </c>
      <c r="Q18" s="487">
        <v>34.659999999999997</v>
      </c>
      <c r="R18" s="487">
        <v>48.46</v>
      </c>
      <c r="S18" s="487">
        <v>70.67</v>
      </c>
      <c r="T18" s="487">
        <v>69.88</v>
      </c>
      <c r="U18" s="487">
        <v>75.77</v>
      </c>
      <c r="V18" s="487">
        <v>70.209999999999994</v>
      </c>
      <c r="W18" s="487">
        <v>108.02</v>
      </c>
      <c r="X18" s="487">
        <v>172.28</v>
      </c>
      <c r="Y18" s="487">
        <v>186.76</v>
      </c>
      <c r="Z18" s="487">
        <v>212.51</v>
      </c>
      <c r="AA18" s="487">
        <v>255.2</v>
      </c>
      <c r="AB18" s="487">
        <v>226.07999999999998</v>
      </c>
      <c r="AC18" s="487">
        <v>229.92</v>
      </c>
    </row>
    <row r="19" spans="2:29" x14ac:dyDescent="0.2">
      <c r="B19" s="47" t="s">
        <v>855</v>
      </c>
      <c r="C19" s="486" t="s">
        <v>10</v>
      </c>
      <c r="D19" s="486" t="s">
        <v>10</v>
      </c>
      <c r="E19" s="486" t="s">
        <v>10</v>
      </c>
      <c r="F19" s="486" t="s">
        <v>10</v>
      </c>
      <c r="G19" s="486" t="s">
        <v>10</v>
      </c>
      <c r="H19" s="486" t="s">
        <v>10</v>
      </c>
      <c r="I19" s="486" t="s">
        <v>10</v>
      </c>
      <c r="J19" s="486" t="s">
        <v>10</v>
      </c>
      <c r="K19" s="486" t="s">
        <v>10</v>
      </c>
      <c r="L19" s="486" t="s">
        <v>10</v>
      </c>
      <c r="M19" s="486" t="s">
        <v>10</v>
      </c>
      <c r="N19" s="486" t="s">
        <v>10</v>
      </c>
      <c r="O19" s="486" t="s">
        <v>10</v>
      </c>
      <c r="P19" s="486">
        <v>-106.56</v>
      </c>
      <c r="Q19" s="486">
        <v>-132.56</v>
      </c>
      <c r="R19" s="486">
        <v>-244.66</v>
      </c>
      <c r="S19" s="486">
        <v>-480.04</v>
      </c>
      <c r="T19" s="486">
        <v>-520.47</v>
      </c>
      <c r="U19" s="486">
        <v>-660.19</v>
      </c>
      <c r="V19" s="486">
        <v>-277.57</v>
      </c>
      <c r="W19" s="486">
        <v>-132.55000000000001</v>
      </c>
      <c r="X19" s="486">
        <v>-130.67999999999998</v>
      </c>
      <c r="Y19" s="486">
        <v>-166.52</v>
      </c>
      <c r="Z19" s="486">
        <v>-187.11</v>
      </c>
      <c r="AA19" s="486">
        <v>-131.68</v>
      </c>
      <c r="AB19" s="486">
        <v>-19.52</v>
      </c>
      <c r="AC19" s="486">
        <v>-29.48</v>
      </c>
    </row>
    <row r="20" spans="2:29" x14ac:dyDescent="0.2">
      <c r="B20" s="47" t="s">
        <v>26</v>
      </c>
      <c r="C20" s="486" t="s">
        <v>10</v>
      </c>
      <c r="D20" s="486" t="s">
        <v>10</v>
      </c>
      <c r="E20" s="486" t="s">
        <v>10</v>
      </c>
      <c r="F20" s="486" t="s">
        <v>10</v>
      </c>
      <c r="G20" s="486" t="s">
        <v>10</v>
      </c>
      <c r="H20" s="486" t="s">
        <v>10</v>
      </c>
      <c r="I20" s="486" t="s">
        <v>10</v>
      </c>
      <c r="J20" s="486" t="s">
        <v>10</v>
      </c>
      <c r="K20" s="486" t="s">
        <v>10</v>
      </c>
      <c r="L20" s="486" t="s">
        <v>10</v>
      </c>
      <c r="M20" s="486" t="s">
        <v>10</v>
      </c>
      <c r="N20" s="486" t="s">
        <v>10</v>
      </c>
      <c r="O20" s="486" t="s">
        <v>10</v>
      </c>
      <c r="P20" s="486">
        <v>1.44</v>
      </c>
      <c r="Q20" s="486">
        <v>1.06</v>
      </c>
      <c r="R20" s="486">
        <v>0.67</v>
      </c>
      <c r="S20" s="486">
        <v>1.2600000000000002</v>
      </c>
      <c r="T20" s="486">
        <v>1.63</v>
      </c>
      <c r="U20" s="486">
        <v>1.74</v>
      </c>
      <c r="V20" s="486">
        <v>0.74</v>
      </c>
      <c r="W20" s="486">
        <v>0.41</v>
      </c>
      <c r="X20" s="486">
        <v>1.6600000000000001</v>
      </c>
      <c r="Y20" s="486">
        <v>1.58</v>
      </c>
      <c r="Z20" s="486">
        <v>0.46</v>
      </c>
      <c r="AA20" s="486">
        <v>0.53</v>
      </c>
      <c r="AB20" s="486">
        <v>4.63</v>
      </c>
      <c r="AC20" s="486">
        <v>0</v>
      </c>
    </row>
    <row r="21" spans="2:29" x14ac:dyDescent="0.2">
      <c r="B21" s="47" t="s">
        <v>27</v>
      </c>
      <c r="C21" s="486" t="s">
        <v>10</v>
      </c>
      <c r="D21" s="486" t="s">
        <v>10</v>
      </c>
      <c r="E21" s="486" t="s">
        <v>10</v>
      </c>
      <c r="F21" s="486" t="s">
        <v>10</v>
      </c>
      <c r="G21" s="486" t="s">
        <v>10</v>
      </c>
      <c r="H21" s="486" t="s">
        <v>10</v>
      </c>
      <c r="I21" s="486" t="s">
        <v>10</v>
      </c>
      <c r="J21" s="486" t="s">
        <v>10</v>
      </c>
      <c r="K21" s="486" t="s">
        <v>10</v>
      </c>
      <c r="L21" s="486" t="s">
        <v>10</v>
      </c>
      <c r="M21" s="486" t="s">
        <v>10</v>
      </c>
      <c r="N21" s="486" t="s">
        <v>10</v>
      </c>
      <c r="O21" s="486" t="s">
        <v>10</v>
      </c>
      <c r="P21" s="486">
        <v>11.05</v>
      </c>
      <c r="Q21" s="486">
        <v>7.75</v>
      </c>
      <c r="R21" s="486">
        <v>6.03</v>
      </c>
      <c r="S21" s="486">
        <v>8.61</v>
      </c>
      <c r="T21" s="486">
        <v>5.95</v>
      </c>
      <c r="U21" s="486">
        <v>10.29</v>
      </c>
      <c r="V21" s="486">
        <v>14.6</v>
      </c>
      <c r="W21" s="486">
        <v>3.94</v>
      </c>
      <c r="X21" s="486">
        <v>6.07</v>
      </c>
      <c r="Y21" s="486">
        <v>9.33</v>
      </c>
      <c r="Z21" s="486">
        <v>17.940000000000001</v>
      </c>
      <c r="AA21" s="486">
        <v>22.48</v>
      </c>
      <c r="AB21" s="486">
        <v>0.03</v>
      </c>
      <c r="AC21" s="486">
        <v>2.8</v>
      </c>
    </row>
    <row r="22" spans="2:29" x14ac:dyDescent="0.2">
      <c r="B22" s="47" t="s">
        <v>28</v>
      </c>
      <c r="C22" s="486">
        <v>-8.8658743633276735</v>
      </c>
      <c r="D22" s="486">
        <v>-2.7254978524014062</v>
      </c>
      <c r="E22" s="486">
        <v>-9.9479251423921884</v>
      </c>
      <c r="F22" s="486">
        <v>-44.313125967738777</v>
      </c>
      <c r="G22" s="486">
        <v>-105.1938138127588</v>
      </c>
      <c r="H22" s="486">
        <v>-189.26031731919988</v>
      </c>
      <c r="I22" s="486">
        <v>20.099339570720968</v>
      </c>
      <c r="J22" s="486">
        <v>5.1466998870056493</v>
      </c>
      <c r="K22" s="486">
        <v>18.43</v>
      </c>
      <c r="L22" s="486">
        <v>-42.84</v>
      </c>
      <c r="M22" s="486">
        <v>-112.81</v>
      </c>
      <c r="N22" s="486">
        <v>-134.22999999999999</v>
      </c>
      <c r="O22" s="486">
        <v>-52.010999999999996</v>
      </c>
      <c r="P22" s="486">
        <v>-57.05</v>
      </c>
      <c r="Q22" s="486">
        <v>-105.53</v>
      </c>
      <c r="R22" s="486">
        <v>-120.78999999999999</v>
      </c>
      <c r="S22" s="486">
        <v>54.629999999999995</v>
      </c>
      <c r="T22" s="486">
        <v>-16.009999999999991</v>
      </c>
      <c r="U22" s="486">
        <v>-209.85000000000002</v>
      </c>
      <c r="V22" s="486">
        <v>3.1399999999999864</v>
      </c>
      <c r="W22" s="486">
        <v>67.690000000000055</v>
      </c>
      <c r="X22" s="486">
        <v>356.18000000000006</v>
      </c>
      <c r="Y22" s="486">
        <v>544.35000000000014</v>
      </c>
      <c r="Z22" s="486">
        <v>153.57999999999993</v>
      </c>
      <c r="AA22" s="486">
        <v>352.6400000000001</v>
      </c>
      <c r="AB22" s="486">
        <v>346.53</v>
      </c>
      <c r="AC22" s="486">
        <v>-268.25</v>
      </c>
    </row>
    <row r="23" spans="2:29" s="23" customFormat="1" x14ac:dyDescent="0.2">
      <c r="B23" s="106" t="s">
        <v>856</v>
      </c>
      <c r="C23" s="487">
        <v>0</v>
      </c>
      <c r="D23" s="487">
        <v>6.9246388129636864</v>
      </c>
      <c r="E23" s="487">
        <v>7.0518036343911036E-3</v>
      </c>
      <c r="F23" s="487">
        <v>0.1063287665863076</v>
      </c>
      <c r="G23" s="487">
        <v>4.9999780429216968E-2</v>
      </c>
      <c r="H23" s="487">
        <v>3.132330312873996E-2</v>
      </c>
      <c r="I23" s="487">
        <v>20.099339570720968</v>
      </c>
      <c r="J23" s="487">
        <v>23.72813559322034</v>
      </c>
      <c r="K23" s="487">
        <v>44.97</v>
      </c>
      <c r="L23" s="487">
        <v>44.26</v>
      </c>
      <c r="M23" s="487">
        <v>24.63</v>
      </c>
      <c r="N23" s="487">
        <v>0</v>
      </c>
      <c r="O23" s="487">
        <v>2.83</v>
      </c>
      <c r="P23" s="487">
        <v>73.58</v>
      </c>
      <c r="Q23" s="487">
        <v>73.91</v>
      </c>
      <c r="R23" s="487">
        <v>98.02000000000001</v>
      </c>
      <c r="S23" s="487">
        <v>383.91999999999996</v>
      </c>
      <c r="T23" s="487">
        <v>353.33</v>
      </c>
      <c r="U23" s="487">
        <v>446.78999999999996</v>
      </c>
      <c r="V23" s="487">
        <v>807.02</v>
      </c>
      <c r="W23" s="487">
        <v>684.19</v>
      </c>
      <c r="X23" s="487">
        <v>911.21</v>
      </c>
      <c r="Y23" s="487">
        <v>1172.1500000000001</v>
      </c>
      <c r="Z23" s="487">
        <v>1171.5899999999999</v>
      </c>
      <c r="AA23" s="487">
        <v>1471.24</v>
      </c>
      <c r="AB23" s="487">
        <v>1391.02</v>
      </c>
      <c r="AC23" s="487">
        <v>1014.26</v>
      </c>
    </row>
    <row r="24" spans="2:29" x14ac:dyDescent="0.2">
      <c r="B24" s="106" t="s">
        <v>857</v>
      </c>
      <c r="C24" s="487">
        <v>8.8658743633276735</v>
      </c>
      <c r="D24" s="487">
        <v>9.6501366653650926</v>
      </c>
      <c r="E24" s="487">
        <v>9.95497694602658</v>
      </c>
      <c r="F24" s="487">
        <v>44.419454734325086</v>
      </c>
      <c r="G24" s="487">
        <v>105.24381359318802</v>
      </c>
      <c r="H24" s="487">
        <v>189.29164062232863</v>
      </c>
      <c r="I24" s="487">
        <v>0</v>
      </c>
      <c r="J24" s="487">
        <v>18.581435706214691</v>
      </c>
      <c r="K24" s="487">
        <v>26.54</v>
      </c>
      <c r="L24" s="487">
        <v>87.1</v>
      </c>
      <c r="M24" s="487">
        <v>137.44</v>
      </c>
      <c r="N24" s="487">
        <v>134.22999999999999</v>
      </c>
      <c r="O24" s="487">
        <v>54.840999999999994</v>
      </c>
      <c r="P24" s="487">
        <v>130.63</v>
      </c>
      <c r="Q24" s="487">
        <v>179.44</v>
      </c>
      <c r="R24" s="487">
        <v>218.81</v>
      </c>
      <c r="S24" s="487">
        <v>329.28999999999996</v>
      </c>
      <c r="T24" s="487">
        <v>369.34</v>
      </c>
      <c r="U24" s="487">
        <v>656.64</v>
      </c>
      <c r="V24" s="487">
        <v>803.88</v>
      </c>
      <c r="W24" s="487">
        <v>616.5</v>
      </c>
      <c r="X24" s="487">
        <v>555.03</v>
      </c>
      <c r="Y24" s="487">
        <v>627.79999999999995</v>
      </c>
      <c r="Z24" s="487">
        <v>1018.01</v>
      </c>
      <c r="AA24" s="487">
        <v>1118.5999999999999</v>
      </c>
      <c r="AB24" s="487">
        <v>1044.49</v>
      </c>
      <c r="AC24" s="487">
        <v>1282.51</v>
      </c>
    </row>
    <row r="25" spans="2:29" x14ac:dyDescent="0.2">
      <c r="B25" s="47" t="s">
        <v>29</v>
      </c>
      <c r="C25" s="486" t="s">
        <v>10</v>
      </c>
      <c r="D25" s="486" t="s">
        <v>10</v>
      </c>
      <c r="E25" s="486" t="s">
        <v>10</v>
      </c>
      <c r="F25" s="486" t="s">
        <v>10</v>
      </c>
      <c r="G25" s="486" t="s">
        <v>10</v>
      </c>
      <c r="H25" s="486" t="s">
        <v>10</v>
      </c>
      <c r="I25" s="486" t="s">
        <v>10</v>
      </c>
      <c r="J25" s="486" t="s">
        <v>10</v>
      </c>
      <c r="K25" s="486" t="s">
        <v>10</v>
      </c>
      <c r="L25" s="486" t="s">
        <v>10</v>
      </c>
      <c r="M25" s="486" t="s">
        <v>10</v>
      </c>
      <c r="N25" s="486" t="s">
        <v>10</v>
      </c>
      <c r="O25" s="486" t="s">
        <v>10</v>
      </c>
      <c r="P25" s="486">
        <v>-56.950000000000017</v>
      </c>
      <c r="Q25" s="486">
        <v>2.5</v>
      </c>
      <c r="R25" s="486">
        <v>76.58</v>
      </c>
      <c r="S25" s="486">
        <v>27.129999999999981</v>
      </c>
      <c r="T25" s="486">
        <v>39.789999999999992</v>
      </c>
      <c r="U25" s="486">
        <v>18.650000000000002</v>
      </c>
      <c r="V25" s="486">
        <v>14.399999999999995</v>
      </c>
      <c r="W25" s="486">
        <v>-25.760000000000005</v>
      </c>
      <c r="X25" s="486">
        <v>-43.39</v>
      </c>
      <c r="Y25" s="486">
        <v>-21.64</v>
      </c>
      <c r="Z25" s="486">
        <v>-4.4099999999999966</v>
      </c>
      <c r="AA25" s="486">
        <v>17.75</v>
      </c>
      <c r="AB25" s="486">
        <v>-108.48</v>
      </c>
      <c r="AC25" s="486">
        <v>5.67</v>
      </c>
    </row>
    <row r="26" spans="2:29" x14ac:dyDescent="0.2">
      <c r="B26" s="106" t="s">
        <v>858</v>
      </c>
      <c r="C26" s="487" t="s">
        <v>10</v>
      </c>
      <c r="D26" s="487" t="s">
        <v>10</v>
      </c>
      <c r="E26" s="487" t="s">
        <v>10</v>
      </c>
      <c r="F26" s="487" t="s">
        <v>10</v>
      </c>
      <c r="G26" s="487" t="s">
        <v>10</v>
      </c>
      <c r="H26" s="487" t="s">
        <v>10</v>
      </c>
      <c r="I26" s="487" t="s">
        <v>10</v>
      </c>
      <c r="J26" s="487" t="s">
        <v>10</v>
      </c>
      <c r="K26" s="487" t="s">
        <v>10</v>
      </c>
      <c r="L26" s="487" t="s">
        <v>10</v>
      </c>
      <c r="M26" s="487" t="s">
        <v>10</v>
      </c>
      <c r="N26" s="487" t="s">
        <v>10</v>
      </c>
      <c r="O26" s="487" t="s">
        <v>10</v>
      </c>
      <c r="P26" s="487">
        <v>166.92</v>
      </c>
      <c r="Q26" s="487">
        <v>175.08</v>
      </c>
      <c r="R26" s="487">
        <v>163.75</v>
      </c>
      <c r="S26" s="487">
        <v>95.389999999999986</v>
      </c>
      <c r="T26" s="487">
        <v>79.009999999999991</v>
      </c>
      <c r="U26" s="487">
        <v>23.55</v>
      </c>
      <c r="V26" s="487">
        <v>38.849999999999994</v>
      </c>
      <c r="W26" s="487">
        <v>65.069999999999993</v>
      </c>
      <c r="X26" s="487">
        <v>54.769999999999996</v>
      </c>
      <c r="Y26" s="487">
        <v>69.430000000000007</v>
      </c>
      <c r="Z26" s="487">
        <v>78.73</v>
      </c>
      <c r="AA26" s="487">
        <v>101.46000000000001</v>
      </c>
      <c r="AB26" s="487">
        <v>88.33</v>
      </c>
      <c r="AC26" s="487">
        <v>12.15</v>
      </c>
    </row>
    <row r="27" spans="2:29" x14ac:dyDescent="0.2">
      <c r="B27" s="106" t="s">
        <v>859</v>
      </c>
      <c r="C27" s="487" t="s">
        <v>10</v>
      </c>
      <c r="D27" s="487" t="s">
        <v>10</v>
      </c>
      <c r="E27" s="487" t="s">
        <v>10</v>
      </c>
      <c r="F27" s="487" t="s">
        <v>10</v>
      </c>
      <c r="G27" s="487" t="s">
        <v>10</v>
      </c>
      <c r="H27" s="487" t="s">
        <v>10</v>
      </c>
      <c r="I27" s="487" t="s">
        <v>10</v>
      </c>
      <c r="J27" s="487" t="s">
        <v>10</v>
      </c>
      <c r="K27" s="487" t="s">
        <v>10</v>
      </c>
      <c r="L27" s="487" t="s">
        <v>10</v>
      </c>
      <c r="M27" s="487" t="s">
        <v>10</v>
      </c>
      <c r="N27" s="487" t="s">
        <v>10</v>
      </c>
      <c r="O27" s="487" t="s">
        <v>10</v>
      </c>
      <c r="P27" s="487">
        <v>223.87</v>
      </c>
      <c r="Q27" s="487">
        <v>172.58</v>
      </c>
      <c r="R27" s="487">
        <v>87.17</v>
      </c>
      <c r="S27" s="487">
        <v>68.260000000000005</v>
      </c>
      <c r="T27" s="487">
        <v>39.22</v>
      </c>
      <c r="U27" s="487">
        <v>4.8999999999999995</v>
      </c>
      <c r="V27" s="487">
        <v>24.45</v>
      </c>
      <c r="W27" s="487">
        <v>90.83</v>
      </c>
      <c r="X27" s="487">
        <v>98.16</v>
      </c>
      <c r="Y27" s="487">
        <v>91.070000000000007</v>
      </c>
      <c r="Z27" s="487">
        <v>83.14</v>
      </c>
      <c r="AA27" s="487">
        <v>83.710000000000008</v>
      </c>
      <c r="AB27" s="487">
        <v>196.81</v>
      </c>
      <c r="AC27" s="487">
        <v>6.48</v>
      </c>
    </row>
    <row r="28" spans="2:29" x14ac:dyDescent="0.2">
      <c r="B28" s="47" t="s">
        <v>30</v>
      </c>
      <c r="C28" s="486">
        <v>1029.5557973967177</v>
      </c>
      <c r="D28" s="486">
        <v>1192.067118313159</v>
      </c>
      <c r="E28" s="486">
        <v>1339.1423205858423</v>
      </c>
      <c r="F28" s="486">
        <v>2159.5736358558243</v>
      </c>
      <c r="G28" s="486">
        <v>3636.1636702573815</v>
      </c>
      <c r="H28" s="486">
        <v>4496.5907594460596</v>
      </c>
      <c r="I28" s="486">
        <v>4777.7522784810135</v>
      </c>
      <c r="J28" s="486">
        <v>5716.4537703121887</v>
      </c>
      <c r="K28" s="486">
        <v>5442.5758314855875</v>
      </c>
      <c r="L28" s="486">
        <v>3916.6513405176756</v>
      </c>
      <c r="M28" s="486">
        <v>4171.82</v>
      </c>
      <c r="N28" s="486">
        <v>4784.87</v>
      </c>
      <c r="O28" s="486">
        <v>4349.21</v>
      </c>
      <c r="P28" s="486">
        <v>3713.2</v>
      </c>
      <c r="Q28" s="486">
        <v>4680.29</v>
      </c>
      <c r="R28" s="486">
        <v>5910.5700000000006</v>
      </c>
      <c r="S28" s="486">
        <v>7035.15</v>
      </c>
      <c r="T28" s="486">
        <v>7872.5100000000011</v>
      </c>
      <c r="U28" s="486">
        <v>10020.880000000001</v>
      </c>
      <c r="V28" s="486">
        <v>9767.02</v>
      </c>
      <c r="W28" s="486">
        <v>11972.49</v>
      </c>
      <c r="X28" s="486">
        <v>14626.619999999999</v>
      </c>
      <c r="Y28" s="486">
        <v>16806.82</v>
      </c>
      <c r="Z28" s="486">
        <v>18311.11</v>
      </c>
      <c r="AA28" s="486">
        <v>20305.82</v>
      </c>
      <c r="AB28" s="486">
        <v>19029.189999999995</v>
      </c>
      <c r="AC28" s="486">
        <v>20269.03</v>
      </c>
    </row>
    <row r="29" spans="2:29" s="23" customFormat="1" x14ac:dyDescent="0.2">
      <c r="B29" s="47" t="s">
        <v>31</v>
      </c>
      <c r="C29" s="486">
        <v>867.65478211658183</v>
      </c>
      <c r="D29" s="486">
        <v>1008.1507223740726</v>
      </c>
      <c r="E29" s="486">
        <v>1123.768375372932</v>
      </c>
      <c r="F29" s="486">
        <v>1888.1142078751889</v>
      </c>
      <c r="G29" s="486">
        <v>3204.4926869755009</v>
      </c>
      <c r="H29" s="486">
        <v>3979.2605840314586</v>
      </c>
      <c r="I29" s="486">
        <v>4129.0781507980191</v>
      </c>
      <c r="J29" s="486">
        <v>5045.5979985607764</v>
      </c>
      <c r="K29" s="486">
        <v>4791.0758314855875</v>
      </c>
      <c r="L29" s="486">
        <v>3548.6113405176757</v>
      </c>
      <c r="M29" s="486">
        <v>3547.01</v>
      </c>
      <c r="N29" s="486">
        <v>4329.78</v>
      </c>
      <c r="O29" s="486">
        <v>3878.33</v>
      </c>
      <c r="P29" s="486">
        <v>3393.2</v>
      </c>
      <c r="Q29" s="486">
        <v>4316.1499999999996</v>
      </c>
      <c r="R29" s="486">
        <v>5488.4800000000005</v>
      </c>
      <c r="S29" s="486">
        <v>6806.14</v>
      </c>
      <c r="T29" s="486">
        <v>7599.3700000000008</v>
      </c>
      <c r="U29" s="486">
        <v>9653.93</v>
      </c>
      <c r="V29" s="486">
        <v>9403.75</v>
      </c>
      <c r="W29" s="486">
        <v>11396.74</v>
      </c>
      <c r="X29" s="486">
        <v>13717.86</v>
      </c>
      <c r="Y29" s="486">
        <v>15665.449999999999</v>
      </c>
      <c r="Z29" s="486">
        <v>17233.41</v>
      </c>
      <c r="AA29" s="486">
        <v>19532.169999999998</v>
      </c>
      <c r="AB29" s="486">
        <v>18305.229999999996</v>
      </c>
      <c r="AC29" s="486">
        <v>19315.48</v>
      </c>
    </row>
    <row r="30" spans="2:29" s="23" customFormat="1" x14ac:dyDescent="0.2">
      <c r="B30" s="106" t="s">
        <v>32</v>
      </c>
      <c r="C30" s="487">
        <v>812.368986983588</v>
      </c>
      <c r="D30" s="487">
        <v>953.98906677079265</v>
      </c>
      <c r="E30" s="487">
        <v>1063.8529970165446</v>
      </c>
      <c r="F30" s="487">
        <v>1811.1223809803807</v>
      </c>
      <c r="G30" s="487">
        <v>3082.8682092246081</v>
      </c>
      <c r="H30" s="487">
        <v>3775.9135712087541</v>
      </c>
      <c r="I30" s="487">
        <v>3760.720418271877</v>
      </c>
      <c r="J30" s="487">
        <v>4696.3125423728816</v>
      </c>
      <c r="K30" s="487">
        <v>4361.2462675535844</v>
      </c>
      <c r="L30" s="487">
        <v>2125.704703394098</v>
      </c>
      <c r="M30" s="487">
        <v>1859.56</v>
      </c>
      <c r="N30" s="487">
        <v>2454.15</v>
      </c>
      <c r="O30" s="487">
        <v>2828.14</v>
      </c>
      <c r="P30" s="487">
        <v>3130.33</v>
      </c>
      <c r="Q30" s="487">
        <v>4042.15</v>
      </c>
      <c r="R30" s="487">
        <v>5223.13</v>
      </c>
      <c r="S30" s="487">
        <v>6581.96</v>
      </c>
      <c r="T30" s="487">
        <v>7383.4400000000005</v>
      </c>
      <c r="U30" s="487">
        <v>9422.01</v>
      </c>
      <c r="V30" s="487">
        <v>9140.7999999999993</v>
      </c>
      <c r="W30" s="487">
        <v>11139.39</v>
      </c>
      <c r="X30" s="487">
        <v>13412.58</v>
      </c>
      <c r="Y30" s="487">
        <v>15225.779999999999</v>
      </c>
      <c r="Z30" s="487">
        <v>16785.48</v>
      </c>
      <c r="AA30" s="487">
        <v>18967.489999999998</v>
      </c>
      <c r="AB30" s="487">
        <v>17590.059999999998</v>
      </c>
      <c r="AC30" s="487">
        <v>18570.93</v>
      </c>
    </row>
    <row r="31" spans="2:29" x14ac:dyDescent="0.2">
      <c r="B31" s="106" t="s">
        <v>33</v>
      </c>
      <c r="C31" s="487">
        <v>55.285795132993776</v>
      </c>
      <c r="D31" s="487">
        <v>54.161655603279968</v>
      </c>
      <c r="E31" s="487">
        <v>59.915378356387308</v>
      </c>
      <c r="F31" s="487">
        <v>76.991826894808014</v>
      </c>
      <c r="G31" s="487">
        <v>121.62447775089254</v>
      </c>
      <c r="H31" s="487">
        <v>203.3470128227047</v>
      </c>
      <c r="I31" s="487">
        <v>368.357732526142</v>
      </c>
      <c r="J31" s="487">
        <v>349.28545618789519</v>
      </c>
      <c r="K31" s="487">
        <v>429.82956393200294</v>
      </c>
      <c r="L31" s="487">
        <v>1422.9066371235772</v>
      </c>
      <c r="M31" s="487">
        <v>1687.45</v>
      </c>
      <c r="N31" s="487">
        <v>1875.63</v>
      </c>
      <c r="O31" s="487">
        <v>1050.19</v>
      </c>
      <c r="P31" s="487">
        <v>262.87</v>
      </c>
      <c r="Q31" s="487">
        <v>274</v>
      </c>
      <c r="R31" s="487">
        <v>265.35000000000002</v>
      </c>
      <c r="S31" s="487">
        <v>224.18</v>
      </c>
      <c r="T31" s="487">
        <v>215.93</v>
      </c>
      <c r="U31" s="487">
        <v>231.92000000000002</v>
      </c>
      <c r="V31" s="487">
        <v>262.95</v>
      </c>
      <c r="W31" s="487">
        <v>257.35000000000002</v>
      </c>
      <c r="X31" s="487">
        <v>305.27999999999997</v>
      </c>
      <c r="Y31" s="487">
        <v>439.67</v>
      </c>
      <c r="Z31" s="487">
        <v>447.93</v>
      </c>
      <c r="AA31" s="487">
        <v>564.68000000000006</v>
      </c>
      <c r="AB31" s="487">
        <v>715.16999999999985</v>
      </c>
      <c r="AC31" s="487">
        <v>744.55</v>
      </c>
    </row>
    <row r="32" spans="2:29" x14ac:dyDescent="0.2">
      <c r="B32" s="47" t="s">
        <v>34</v>
      </c>
      <c r="C32" s="486">
        <v>0</v>
      </c>
      <c r="D32" s="486">
        <v>8.8028114017961734</v>
      </c>
      <c r="E32" s="486">
        <v>16.735557363710335</v>
      </c>
      <c r="F32" s="486">
        <v>14.940906685482449</v>
      </c>
      <c r="G32" s="486">
        <v>32.390640136660856</v>
      </c>
      <c r="H32" s="486">
        <v>29.213130449649515</v>
      </c>
      <c r="I32" s="486">
        <v>30.372041827187672</v>
      </c>
      <c r="J32" s="486">
        <v>34.461468926553671</v>
      </c>
      <c r="K32" s="486">
        <v>48</v>
      </c>
      <c r="L32" s="486">
        <v>9.9700000000000006</v>
      </c>
      <c r="M32" s="486">
        <v>6.38</v>
      </c>
      <c r="N32" s="486">
        <v>0</v>
      </c>
      <c r="O32" s="486">
        <v>0</v>
      </c>
      <c r="P32" s="486">
        <v>92.93</v>
      </c>
      <c r="Q32" s="486">
        <v>136.84</v>
      </c>
      <c r="R32" s="486">
        <v>172.79000000000002</v>
      </c>
      <c r="S32" s="486">
        <v>68.97999999999999</v>
      </c>
      <c r="T32" s="486">
        <v>87.31</v>
      </c>
      <c r="U32" s="486">
        <v>167.68</v>
      </c>
      <c r="V32" s="486">
        <v>151.43</v>
      </c>
      <c r="W32" s="486">
        <v>324.59000000000003</v>
      </c>
      <c r="X32" s="486">
        <v>631.97</v>
      </c>
      <c r="Y32" s="486">
        <v>832.33</v>
      </c>
      <c r="Z32" s="486">
        <v>835.2</v>
      </c>
      <c r="AA32" s="486">
        <v>635.3599999999999</v>
      </c>
      <c r="AB32" s="486">
        <v>570.1</v>
      </c>
      <c r="AC32" s="486">
        <v>746.43000000000006</v>
      </c>
    </row>
    <row r="33" spans="2:29" x14ac:dyDescent="0.2">
      <c r="B33" s="47" t="s">
        <v>860</v>
      </c>
      <c r="C33" s="486">
        <v>161.90101528013582</v>
      </c>
      <c r="D33" s="486">
        <v>175.11358453729014</v>
      </c>
      <c r="E33" s="486">
        <v>198.63838784919989</v>
      </c>
      <c r="F33" s="486">
        <v>256.51852129515299</v>
      </c>
      <c r="G33" s="486">
        <v>399.28034314521977</v>
      </c>
      <c r="H33" s="486">
        <v>488.11704496495139</v>
      </c>
      <c r="I33" s="486">
        <v>618.30208585580647</v>
      </c>
      <c r="J33" s="486">
        <v>636.39430282485876</v>
      </c>
      <c r="K33" s="486">
        <v>603.5</v>
      </c>
      <c r="L33" s="486">
        <v>358.07</v>
      </c>
      <c r="M33" s="486">
        <v>618.42999999999995</v>
      </c>
      <c r="N33" s="486">
        <v>455.09</v>
      </c>
      <c r="O33" s="486">
        <v>470.88</v>
      </c>
      <c r="P33" s="486">
        <v>227.06999999999996</v>
      </c>
      <c r="Q33" s="486">
        <v>227.3</v>
      </c>
      <c r="R33" s="486">
        <v>249.3</v>
      </c>
      <c r="S33" s="486">
        <v>160.02999999999997</v>
      </c>
      <c r="T33" s="486">
        <v>185.82999999999998</v>
      </c>
      <c r="U33" s="486">
        <v>199.26999999999998</v>
      </c>
      <c r="V33" s="486">
        <v>211.83999999999997</v>
      </c>
      <c r="W33" s="486">
        <v>251.16000000000003</v>
      </c>
      <c r="X33" s="486">
        <v>276.78999999999996</v>
      </c>
      <c r="Y33" s="486">
        <v>309.04000000000002</v>
      </c>
      <c r="Z33" s="486">
        <v>242.5</v>
      </c>
      <c r="AA33" s="486">
        <v>138.29</v>
      </c>
      <c r="AB33" s="486">
        <v>153.86000000000001</v>
      </c>
      <c r="AC33" s="486">
        <v>207.12</v>
      </c>
    </row>
    <row r="34" spans="2:29" x14ac:dyDescent="0.2">
      <c r="B34" s="104" t="s">
        <v>35</v>
      </c>
      <c r="C34" s="486">
        <v>235.95863723825693</v>
      </c>
      <c r="D34" s="486">
        <v>290.121945333854</v>
      </c>
      <c r="E34" s="486">
        <v>342.52400325467858</v>
      </c>
      <c r="F34" s="486">
        <v>400.73905009701889</v>
      </c>
      <c r="G34" s="486">
        <v>370.41657539841117</v>
      </c>
      <c r="H34" s="486">
        <v>226.54364814498206</v>
      </c>
      <c r="I34" s="486">
        <v>407.31447936158497</v>
      </c>
      <c r="J34" s="486">
        <v>563.9072436158192</v>
      </c>
      <c r="K34" s="486">
        <v>-19.682586844050206</v>
      </c>
      <c r="L34" s="486">
        <v>94.258516466915069</v>
      </c>
      <c r="M34" s="486">
        <v>89.81</v>
      </c>
      <c r="N34" s="486">
        <v>97.89</v>
      </c>
      <c r="O34" s="486">
        <v>130.804078</v>
      </c>
      <c r="P34" s="486">
        <v>201.94</v>
      </c>
      <c r="Q34" s="486">
        <v>289.10000000000002</v>
      </c>
      <c r="R34" s="486">
        <v>373.22</v>
      </c>
      <c r="S34" s="486">
        <v>455.99</v>
      </c>
      <c r="T34" s="486">
        <v>561.92999999999995</v>
      </c>
      <c r="U34" s="486">
        <v>1056.8799999999999</v>
      </c>
      <c r="V34" s="486">
        <v>1066.94</v>
      </c>
      <c r="W34" s="486">
        <v>980.20000000000016</v>
      </c>
      <c r="X34" s="486">
        <v>1015.4599999999999</v>
      </c>
      <c r="Y34" s="486">
        <v>1732.88</v>
      </c>
      <c r="Z34" s="486">
        <v>2910.92</v>
      </c>
      <c r="AA34" s="486">
        <v>2214.98</v>
      </c>
      <c r="AB34" s="486">
        <v>1631.32</v>
      </c>
      <c r="AC34" s="486">
        <v>4252.78</v>
      </c>
    </row>
    <row r="35" spans="2:29" x14ac:dyDescent="0.2">
      <c r="B35" s="47" t="s">
        <v>36</v>
      </c>
      <c r="C35" s="486">
        <v>266.98863157894738</v>
      </c>
      <c r="D35" s="486">
        <v>303.47922764545103</v>
      </c>
      <c r="E35" s="486">
        <v>349.06536479522646</v>
      </c>
      <c r="F35" s="486">
        <v>404.52866613747284</v>
      </c>
      <c r="G35" s="486">
        <v>378.41422159961706</v>
      </c>
      <c r="H35" s="486">
        <v>427.12350316293384</v>
      </c>
      <c r="I35" s="486">
        <v>559.15515079801867</v>
      </c>
      <c r="J35" s="486">
        <v>596.34453175141243</v>
      </c>
      <c r="K35" s="486">
        <v>626.35543237250556</v>
      </c>
      <c r="L35" s="486">
        <v>403.75851646691507</v>
      </c>
      <c r="M35" s="486">
        <v>218.38</v>
      </c>
      <c r="N35" s="486">
        <v>262.08999999999997</v>
      </c>
      <c r="O35" s="486">
        <v>222.50307799999999</v>
      </c>
      <c r="P35" s="486">
        <v>202.91</v>
      </c>
      <c r="Q35" s="486">
        <v>289.14000000000004</v>
      </c>
      <c r="R35" s="486">
        <v>373.73</v>
      </c>
      <c r="S35" s="486">
        <v>456</v>
      </c>
      <c r="T35" s="486">
        <v>561.92999999999995</v>
      </c>
      <c r="U35" s="486">
        <v>1056.8799999999999</v>
      </c>
      <c r="V35" s="486">
        <v>1091.94</v>
      </c>
      <c r="W35" s="486">
        <v>1030.3400000000001</v>
      </c>
      <c r="X35" s="486">
        <v>1065.8499999999999</v>
      </c>
      <c r="Y35" s="486">
        <v>1786.0900000000001</v>
      </c>
      <c r="Z35" s="486">
        <v>2961.79</v>
      </c>
      <c r="AA35" s="486">
        <v>2264.98</v>
      </c>
      <c r="AB35" s="486">
        <v>1681.33</v>
      </c>
      <c r="AC35" s="486">
        <v>4302.78</v>
      </c>
    </row>
    <row r="36" spans="2:29" x14ac:dyDescent="0.2">
      <c r="B36" s="106" t="s">
        <v>630</v>
      </c>
      <c r="C36" s="487">
        <v>24.906005659309564</v>
      </c>
      <c r="D36" s="487">
        <v>32.502265521280748</v>
      </c>
      <c r="E36" s="487">
        <v>34.612964469758609</v>
      </c>
      <c r="F36" s="487">
        <v>38.921367182140692</v>
      </c>
      <c r="G36" s="487">
        <v>64.315026985249233</v>
      </c>
      <c r="H36" s="487">
        <v>79.717794494785437</v>
      </c>
      <c r="I36" s="487">
        <v>121.05922454595486</v>
      </c>
      <c r="J36" s="487">
        <v>118.08136451977401</v>
      </c>
      <c r="K36" s="487">
        <v>103.36543237250554</v>
      </c>
      <c r="L36" s="487">
        <v>75.368516466915096</v>
      </c>
      <c r="M36" s="487">
        <v>0</v>
      </c>
      <c r="N36" s="487">
        <v>0</v>
      </c>
      <c r="O36" s="487">
        <v>0</v>
      </c>
      <c r="P36" s="487">
        <v>0</v>
      </c>
      <c r="Q36" s="487">
        <v>0</v>
      </c>
      <c r="R36" s="487">
        <v>0</v>
      </c>
      <c r="S36" s="487">
        <v>0</v>
      </c>
      <c r="T36" s="487">
        <v>0</v>
      </c>
      <c r="U36" s="487">
        <v>0</v>
      </c>
      <c r="V36" s="487">
        <v>0</v>
      </c>
      <c r="W36" s="487">
        <v>0</v>
      </c>
      <c r="X36" s="487">
        <v>0</v>
      </c>
      <c r="Y36" s="487">
        <v>0</v>
      </c>
      <c r="Z36" s="487">
        <v>0</v>
      </c>
      <c r="AA36" s="487">
        <v>0</v>
      </c>
      <c r="AB36" s="487">
        <v>0</v>
      </c>
      <c r="AC36" s="487">
        <v>0</v>
      </c>
    </row>
    <row r="37" spans="2:29" x14ac:dyDescent="0.2">
      <c r="B37" s="106" t="s">
        <v>861</v>
      </c>
      <c r="C37" s="487">
        <v>242.08262591963779</v>
      </c>
      <c r="D37" s="487">
        <v>256.62631784459194</v>
      </c>
      <c r="E37" s="487">
        <v>267.42609167344727</v>
      </c>
      <c r="F37" s="487">
        <v>328.52991905293902</v>
      </c>
      <c r="G37" s="487">
        <v>247.71460321363799</v>
      </c>
      <c r="H37" s="487">
        <v>265.37151478885278</v>
      </c>
      <c r="I37" s="487">
        <v>237.28563566318107</v>
      </c>
      <c r="J37" s="487">
        <v>311.0006779661017</v>
      </c>
      <c r="K37" s="487">
        <v>222.33</v>
      </c>
      <c r="L37" s="487">
        <v>151.07</v>
      </c>
      <c r="M37" s="487">
        <v>201.77</v>
      </c>
      <c r="N37" s="487">
        <v>199.14</v>
      </c>
      <c r="O37" s="487">
        <v>211.51</v>
      </c>
      <c r="P37" s="487">
        <v>190.92</v>
      </c>
      <c r="Q37" s="487">
        <v>258.73</v>
      </c>
      <c r="R37" s="487">
        <v>345.98</v>
      </c>
      <c r="S37" s="487">
        <v>428.99</v>
      </c>
      <c r="T37" s="487">
        <v>552.03</v>
      </c>
      <c r="U37" s="487">
        <v>1055.3699999999999</v>
      </c>
      <c r="V37" s="487">
        <v>1088.06</v>
      </c>
      <c r="W37" s="487">
        <v>1028.94</v>
      </c>
      <c r="X37" s="487">
        <v>1063.23</v>
      </c>
      <c r="Y37" s="487">
        <v>1783.18</v>
      </c>
      <c r="Z37" s="487">
        <v>2959.46</v>
      </c>
      <c r="AA37" s="487">
        <v>2261.8000000000002</v>
      </c>
      <c r="AB37" s="487">
        <v>1679.5</v>
      </c>
      <c r="AC37" s="487">
        <v>4290.8599999999997</v>
      </c>
    </row>
    <row r="38" spans="2:29" x14ac:dyDescent="0.2">
      <c r="B38" s="105" t="s">
        <v>631</v>
      </c>
      <c r="C38" s="487">
        <v>0</v>
      </c>
      <c r="D38" s="487">
        <v>14.35064427957829</v>
      </c>
      <c r="E38" s="487">
        <v>47.02630865202061</v>
      </c>
      <c r="F38" s="487">
        <v>37.077379902393133</v>
      </c>
      <c r="G38" s="487">
        <v>66.384591400729846</v>
      </c>
      <c r="H38" s="487">
        <v>82.0341938792956</v>
      </c>
      <c r="I38" s="487">
        <v>137.4542927903137</v>
      </c>
      <c r="J38" s="487">
        <v>72.544858757062144</v>
      </c>
      <c r="K38" s="487">
        <v>228.74</v>
      </c>
      <c r="L38" s="487">
        <v>134.1</v>
      </c>
      <c r="M38" s="487">
        <v>1.9999999999999574E-2</v>
      </c>
      <c r="N38" s="487" t="s">
        <v>10</v>
      </c>
      <c r="O38" s="487" t="s">
        <v>10</v>
      </c>
      <c r="P38" s="487" t="s">
        <v>10</v>
      </c>
      <c r="Q38" s="487" t="s">
        <v>10</v>
      </c>
      <c r="R38" s="487" t="s">
        <v>10</v>
      </c>
      <c r="S38" s="487" t="s">
        <v>10</v>
      </c>
      <c r="T38" s="487" t="s">
        <v>10</v>
      </c>
      <c r="U38" s="487" t="s">
        <v>10</v>
      </c>
      <c r="V38" s="487" t="s">
        <v>10</v>
      </c>
      <c r="W38" s="487" t="s">
        <v>10</v>
      </c>
      <c r="X38" s="487" t="s">
        <v>10</v>
      </c>
      <c r="Y38" s="487" t="s">
        <v>10</v>
      </c>
      <c r="Z38" s="487" t="s">
        <v>10</v>
      </c>
      <c r="AA38" s="487" t="s">
        <v>10</v>
      </c>
      <c r="AB38" s="487" t="s">
        <v>10</v>
      </c>
      <c r="AC38" s="487" t="s">
        <v>10</v>
      </c>
    </row>
    <row r="39" spans="2:29" s="23" customFormat="1" x14ac:dyDescent="0.2">
      <c r="B39" s="106" t="s">
        <v>37</v>
      </c>
      <c r="C39" s="487">
        <v>0</v>
      </c>
      <c r="D39" s="487">
        <v>0</v>
      </c>
      <c r="E39" s="487">
        <v>0</v>
      </c>
      <c r="F39" s="487">
        <v>0</v>
      </c>
      <c r="G39" s="487">
        <v>0</v>
      </c>
      <c r="H39" s="487">
        <v>0</v>
      </c>
      <c r="I39" s="487">
        <v>63.355997798569071</v>
      </c>
      <c r="J39" s="487">
        <v>94.717630508474585</v>
      </c>
      <c r="K39" s="487">
        <v>71.92</v>
      </c>
      <c r="L39" s="487">
        <v>43.22</v>
      </c>
      <c r="M39" s="487">
        <v>16.59</v>
      </c>
      <c r="N39" s="487">
        <v>8.2799999999999994</v>
      </c>
      <c r="O39" s="487">
        <v>2.39</v>
      </c>
      <c r="P39" s="487" t="s">
        <v>10</v>
      </c>
      <c r="Q39" s="487" t="s">
        <v>10</v>
      </c>
      <c r="R39" s="487" t="s">
        <v>10</v>
      </c>
      <c r="S39" s="487" t="s">
        <v>10</v>
      </c>
      <c r="T39" s="487" t="s">
        <v>10</v>
      </c>
      <c r="U39" s="487" t="s">
        <v>10</v>
      </c>
      <c r="V39" s="487" t="s">
        <v>10</v>
      </c>
      <c r="W39" s="487" t="s">
        <v>10</v>
      </c>
      <c r="X39" s="487" t="s">
        <v>10</v>
      </c>
      <c r="Y39" s="487" t="s">
        <v>10</v>
      </c>
      <c r="Z39" s="487" t="s">
        <v>10</v>
      </c>
      <c r="AA39" s="487" t="s">
        <v>10</v>
      </c>
      <c r="AB39" s="487" t="s">
        <v>10</v>
      </c>
      <c r="AC39" s="487" t="s">
        <v>10</v>
      </c>
    </row>
    <row r="40" spans="2:29" s="23" customFormat="1" x14ac:dyDescent="0.2">
      <c r="B40" s="106" t="s">
        <v>38</v>
      </c>
      <c r="C40" s="487">
        <v>0</v>
      </c>
      <c r="D40" s="487">
        <v>0</v>
      </c>
      <c r="E40" s="487">
        <v>0</v>
      </c>
      <c r="F40" s="487">
        <v>0</v>
      </c>
      <c r="G40" s="487">
        <v>0</v>
      </c>
      <c r="H40" s="487">
        <v>0</v>
      </c>
      <c r="I40" s="487">
        <v>0</v>
      </c>
      <c r="J40" s="487">
        <v>0</v>
      </c>
      <c r="K40" s="487">
        <v>0</v>
      </c>
      <c r="L40" s="487">
        <v>0</v>
      </c>
      <c r="M40" s="487">
        <v>0</v>
      </c>
      <c r="N40" s="487">
        <v>54.67</v>
      </c>
      <c r="O40" s="487">
        <v>8.603078</v>
      </c>
      <c r="P40" s="487">
        <v>11.99</v>
      </c>
      <c r="Q40" s="487">
        <v>30.41</v>
      </c>
      <c r="R40" s="487">
        <v>27.75</v>
      </c>
      <c r="S40" s="487">
        <v>27.01</v>
      </c>
      <c r="T40" s="487">
        <v>9.9</v>
      </c>
      <c r="U40" s="487">
        <v>1.51</v>
      </c>
      <c r="V40" s="487">
        <v>3.88</v>
      </c>
      <c r="W40" s="487">
        <v>1.4</v>
      </c>
      <c r="X40" s="487">
        <v>2.62</v>
      </c>
      <c r="Y40" s="487">
        <v>2.91</v>
      </c>
      <c r="Z40" s="487">
        <v>2.33</v>
      </c>
      <c r="AA40" s="487">
        <v>3.18</v>
      </c>
      <c r="AB40" s="487">
        <v>1.83</v>
      </c>
      <c r="AC40" s="487">
        <v>11.92</v>
      </c>
    </row>
    <row r="41" spans="2:29" s="23" customFormat="1" x14ac:dyDescent="0.2">
      <c r="B41" s="47" t="s">
        <v>618</v>
      </c>
      <c r="C41" s="486">
        <v>31.029994340690436</v>
      </c>
      <c r="D41" s="486">
        <v>13.357282311597032</v>
      </c>
      <c r="E41" s="486">
        <v>6.5413615405478707</v>
      </c>
      <c r="F41" s="486">
        <v>3.789616040453931</v>
      </c>
      <c r="G41" s="486">
        <v>7.9976462012058827</v>
      </c>
      <c r="H41" s="486">
        <v>200.57985501795179</v>
      </c>
      <c r="I41" s="486">
        <v>151.84067143643369</v>
      </c>
      <c r="J41" s="486">
        <v>32.437288135593221</v>
      </c>
      <c r="K41" s="486">
        <v>646.03801921655577</v>
      </c>
      <c r="L41" s="486">
        <v>309.5</v>
      </c>
      <c r="M41" s="486">
        <v>128.57</v>
      </c>
      <c r="N41" s="486">
        <v>164.2</v>
      </c>
      <c r="O41" s="486">
        <v>91.698999999999998</v>
      </c>
      <c r="P41" s="486">
        <v>0.97</v>
      </c>
      <c r="Q41" s="486">
        <v>0.04</v>
      </c>
      <c r="R41" s="486">
        <v>0.51</v>
      </c>
      <c r="S41" s="486">
        <v>0.01</v>
      </c>
      <c r="T41" s="486">
        <v>0</v>
      </c>
      <c r="U41" s="486">
        <v>0</v>
      </c>
      <c r="V41" s="486">
        <v>25</v>
      </c>
      <c r="W41" s="486">
        <v>50.14</v>
      </c>
      <c r="X41" s="486">
        <v>50.39</v>
      </c>
      <c r="Y41" s="486">
        <v>53.21</v>
      </c>
      <c r="Z41" s="486">
        <v>50.87</v>
      </c>
      <c r="AA41" s="486">
        <v>50</v>
      </c>
      <c r="AB41" s="486">
        <v>50.01</v>
      </c>
      <c r="AC41" s="486">
        <v>50</v>
      </c>
    </row>
    <row r="42" spans="2:29" x14ac:dyDescent="0.2">
      <c r="B42" s="106" t="s">
        <v>619</v>
      </c>
      <c r="C42" s="487" t="s">
        <v>10</v>
      </c>
      <c r="D42" s="487" t="s">
        <v>10</v>
      </c>
      <c r="E42" s="487" t="s">
        <v>10</v>
      </c>
      <c r="F42" s="487" t="s">
        <v>10</v>
      </c>
      <c r="G42" s="487" t="s">
        <v>10</v>
      </c>
      <c r="H42" s="487" t="s">
        <v>10</v>
      </c>
      <c r="I42" s="487" t="s">
        <v>10</v>
      </c>
      <c r="J42" s="487" t="s">
        <v>10</v>
      </c>
      <c r="K42" s="487" t="s">
        <v>10</v>
      </c>
      <c r="L42" s="487" t="s">
        <v>10</v>
      </c>
      <c r="M42" s="487" t="s">
        <v>10</v>
      </c>
      <c r="N42" s="487" t="s">
        <v>10</v>
      </c>
      <c r="O42" s="487" t="s">
        <v>10</v>
      </c>
      <c r="P42" s="487">
        <v>0</v>
      </c>
      <c r="Q42" s="487">
        <v>0</v>
      </c>
      <c r="R42" s="487">
        <v>0</v>
      </c>
      <c r="S42" s="487">
        <v>0</v>
      </c>
      <c r="T42" s="487">
        <v>0</v>
      </c>
      <c r="U42" s="487">
        <v>0</v>
      </c>
      <c r="V42" s="487">
        <v>25</v>
      </c>
      <c r="W42" s="487">
        <v>50</v>
      </c>
      <c r="X42" s="487">
        <v>50.39</v>
      </c>
      <c r="Y42" s="487">
        <v>53.19</v>
      </c>
      <c r="Z42" s="487">
        <v>50.86</v>
      </c>
      <c r="AA42" s="487">
        <v>50</v>
      </c>
      <c r="AB42" s="487">
        <v>50.01</v>
      </c>
      <c r="AC42" s="487">
        <v>50</v>
      </c>
    </row>
    <row r="43" spans="2:29" x14ac:dyDescent="0.2">
      <c r="B43" s="106" t="s">
        <v>862</v>
      </c>
      <c r="C43" s="487">
        <v>31.029994340690436</v>
      </c>
      <c r="D43" s="487">
        <v>13.357282311597032</v>
      </c>
      <c r="E43" s="487">
        <v>6.5413615405478707</v>
      </c>
      <c r="F43" s="487">
        <v>3.789616040453931</v>
      </c>
      <c r="G43" s="487">
        <v>7.9976462012058827</v>
      </c>
      <c r="H43" s="487">
        <v>136.3743498033852</v>
      </c>
      <c r="I43" s="487">
        <v>130.8167308750688</v>
      </c>
      <c r="J43" s="487">
        <v>4.2097175141242937</v>
      </c>
      <c r="K43" s="487">
        <v>409.68</v>
      </c>
      <c r="L43" s="487">
        <v>273.33999999999997</v>
      </c>
      <c r="M43" s="487">
        <v>128.57</v>
      </c>
      <c r="N43" s="487">
        <v>113.96</v>
      </c>
      <c r="O43" s="487">
        <v>90.599000000000004</v>
      </c>
      <c r="P43" s="487">
        <v>0</v>
      </c>
      <c r="Q43" s="487">
        <v>0.04</v>
      </c>
      <c r="R43" s="487">
        <v>0.01</v>
      </c>
      <c r="S43" s="487">
        <v>0.01</v>
      </c>
      <c r="T43" s="487">
        <v>0</v>
      </c>
      <c r="U43" s="487">
        <v>0</v>
      </c>
      <c r="V43" s="487">
        <v>0</v>
      </c>
      <c r="W43" s="487">
        <v>0.14000000000000001</v>
      </c>
      <c r="X43" s="487">
        <v>0</v>
      </c>
      <c r="Y43" s="487">
        <v>0.02</v>
      </c>
      <c r="Z43" s="487">
        <v>0.01</v>
      </c>
      <c r="AA43" s="487">
        <v>0</v>
      </c>
      <c r="AB43" s="487">
        <v>0</v>
      </c>
      <c r="AC43" s="487">
        <v>0</v>
      </c>
    </row>
    <row r="44" spans="2:29" x14ac:dyDescent="0.2">
      <c r="B44" s="106" t="s">
        <v>620</v>
      </c>
      <c r="C44" s="487">
        <v>0</v>
      </c>
      <c r="D44" s="487">
        <v>0</v>
      </c>
      <c r="E44" s="487">
        <v>0</v>
      </c>
      <c r="F44" s="487">
        <v>0</v>
      </c>
      <c r="G44" s="487">
        <v>0</v>
      </c>
      <c r="H44" s="487">
        <v>64.2055052145666</v>
      </c>
      <c r="I44" s="487">
        <v>21.023940561364888</v>
      </c>
      <c r="J44" s="487">
        <v>28.227570621468928</v>
      </c>
      <c r="K44" s="487">
        <v>236.35801921655579</v>
      </c>
      <c r="L44" s="487">
        <v>36.159999999999997</v>
      </c>
      <c r="M44" s="487">
        <v>0</v>
      </c>
      <c r="N44" s="487">
        <v>50.24</v>
      </c>
      <c r="O44" s="487">
        <v>1.1000000000000001</v>
      </c>
      <c r="P44" s="487">
        <v>0.97</v>
      </c>
      <c r="Q44" s="487">
        <v>0</v>
      </c>
      <c r="R44" s="487">
        <v>0.5</v>
      </c>
      <c r="S44" s="487">
        <v>0</v>
      </c>
      <c r="T44" s="487">
        <v>0</v>
      </c>
      <c r="U44" s="487">
        <v>0</v>
      </c>
      <c r="V44" s="487">
        <v>0</v>
      </c>
      <c r="W44" s="487">
        <v>0</v>
      </c>
      <c r="X44" s="487">
        <v>0</v>
      </c>
      <c r="Y44" s="487">
        <v>0</v>
      </c>
      <c r="Z44" s="487">
        <v>0</v>
      </c>
      <c r="AA44" s="487">
        <v>0</v>
      </c>
      <c r="AB44" s="487">
        <v>0</v>
      </c>
      <c r="AC44" s="487">
        <v>0</v>
      </c>
    </row>
    <row r="45" spans="2:29" x14ac:dyDescent="0.2">
      <c r="B45" s="104" t="s">
        <v>39</v>
      </c>
      <c r="C45" s="486">
        <v>166.21052880588547</v>
      </c>
      <c r="D45" s="486">
        <v>90.875597813354034</v>
      </c>
      <c r="E45" s="486">
        <v>34.640641714130879</v>
      </c>
      <c r="F45" s="486">
        <v>-143.10606955959338</v>
      </c>
      <c r="G45" s="486">
        <v>-350.23109578994945</v>
      </c>
      <c r="H45" s="486">
        <v>-366.65412104633265</v>
      </c>
      <c r="I45" s="486">
        <v>-353.18702971931748</v>
      </c>
      <c r="J45" s="486">
        <v>-680.29480926553697</v>
      </c>
      <c r="K45" s="486">
        <v>-672.42</v>
      </c>
      <c r="L45" s="486">
        <v>-880.03000000000065</v>
      </c>
      <c r="M45" s="486">
        <v>-510.27999999999929</v>
      </c>
      <c r="N45" s="486">
        <v>-122.55</v>
      </c>
      <c r="O45" s="486">
        <v>515.46799999999985</v>
      </c>
      <c r="P45" s="486">
        <v>-1012.4</v>
      </c>
      <c r="Q45" s="486">
        <v>-1166.4700000000003</v>
      </c>
      <c r="R45" s="486">
        <v>-1515.7399999999998</v>
      </c>
      <c r="S45" s="486">
        <v>-1846.6299999999997</v>
      </c>
      <c r="T45" s="486">
        <v>-2139.1</v>
      </c>
      <c r="U45" s="486">
        <v>-2478.380000000001</v>
      </c>
      <c r="V45" s="486">
        <v>-2608.9300000000003</v>
      </c>
      <c r="W45" s="486">
        <v>-3030.46</v>
      </c>
      <c r="X45" s="486">
        <v>-3530.3600000000006</v>
      </c>
      <c r="Y45" s="486">
        <v>-4239.55</v>
      </c>
      <c r="Z45" s="486">
        <v>-4572.1900000000005</v>
      </c>
      <c r="AA45" s="486">
        <v>-4663.7499999999991</v>
      </c>
      <c r="AB45" s="486">
        <v>-4672.75</v>
      </c>
      <c r="AC45" s="486">
        <v>-5246.0999999999985</v>
      </c>
    </row>
    <row r="46" spans="2:29" s="23" customFormat="1" x14ac:dyDescent="0.2">
      <c r="B46" s="106" t="s">
        <v>863</v>
      </c>
      <c r="C46" s="487">
        <v>1177.8880138087152</v>
      </c>
      <c r="D46" s="487">
        <v>1296.7546528699727</v>
      </c>
      <c r="E46" s="487">
        <v>1529.7027333875781</v>
      </c>
      <c r="F46" s="487">
        <v>2119.5784995394051</v>
      </c>
      <c r="G46" s="487">
        <v>1171.2416723389117</v>
      </c>
      <c r="H46" s="487">
        <v>1557.385129765772</v>
      </c>
      <c r="I46" s="487">
        <v>1731.0293566318107</v>
      </c>
      <c r="J46" s="487">
        <v>1895.6885168361582</v>
      </c>
      <c r="K46" s="487">
        <v>1796.61</v>
      </c>
      <c r="L46" s="487">
        <v>1435.45</v>
      </c>
      <c r="M46" s="487">
        <v>1764.48</v>
      </c>
      <c r="N46" s="487">
        <v>2096.8200000000002</v>
      </c>
      <c r="O46" s="487">
        <v>1901.93</v>
      </c>
      <c r="P46" s="487">
        <v>1019.35</v>
      </c>
      <c r="Q46" s="487">
        <v>1095.52</v>
      </c>
      <c r="R46" s="487">
        <v>1145.29</v>
      </c>
      <c r="S46" s="487">
        <v>1457.31</v>
      </c>
      <c r="T46" s="487">
        <v>1674.83</v>
      </c>
      <c r="U46" s="487">
        <v>1696.25</v>
      </c>
      <c r="V46" s="487">
        <v>2080.08</v>
      </c>
      <c r="W46" s="487">
        <v>2479.7399999999998</v>
      </c>
      <c r="X46" s="487">
        <v>2804.7</v>
      </c>
      <c r="Y46" s="487">
        <v>3523.7700000000004</v>
      </c>
      <c r="Z46" s="487">
        <v>3487.8999999999996</v>
      </c>
      <c r="AA46" s="487">
        <v>4028.38</v>
      </c>
      <c r="AB46" s="487">
        <v>3930.58</v>
      </c>
      <c r="AC46" s="487">
        <v>3984.1100000000006</v>
      </c>
    </row>
    <row r="47" spans="2:29" x14ac:dyDescent="0.2">
      <c r="B47" s="106" t="s">
        <v>632</v>
      </c>
      <c r="C47" s="487">
        <v>1011.6774850028297</v>
      </c>
      <c r="D47" s="487">
        <v>1205.8790550566187</v>
      </c>
      <c r="E47" s="487">
        <v>1495.0620916734472</v>
      </c>
      <c r="F47" s="487">
        <v>2262.6845690989985</v>
      </c>
      <c r="G47" s="487">
        <v>1509.1927681288612</v>
      </c>
      <c r="H47" s="487">
        <v>1924.0392508121047</v>
      </c>
      <c r="I47" s="487">
        <v>2084.2163863511282</v>
      </c>
      <c r="J47" s="487">
        <v>2575.9833261016952</v>
      </c>
      <c r="K47" s="487">
        <v>2469.0300000000002</v>
      </c>
      <c r="L47" s="487">
        <v>2315.48</v>
      </c>
      <c r="M47" s="487">
        <v>2274.7600000000002</v>
      </c>
      <c r="N47" s="487">
        <v>2219.37</v>
      </c>
      <c r="O47" s="487">
        <v>1386.462</v>
      </c>
      <c r="P47" s="487">
        <v>2031.75</v>
      </c>
      <c r="Q47" s="487">
        <v>2261.9900000000002</v>
      </c>
      <c r="R47" s="487">
        <v>2661.0299999999997</v>
      </c>
      <c r="S47" s="487">
        <v>3303.9399999999996</v>
      </c>
      <c r="T47" s="487">
        <v>3813.93</v>
      </c>
      <c r="U47" s="487">
        <v>4174.630000000001</v>
      </c>
      <c r="V47" s="487">
        <v>4689.01</v>
      </c>
      <c r="W47" s="487">
        <v>5510.2</v>
      </c>
      <c r="X47" s="487">
        <v>6335.06</v>
      </c>
      <c r="Y47" s="487">
        <v>7763.3200000000006</v>
      </c>
      <c r="Z47" s="487">
        <v>8060.09</v>
      </c>
      <c r="AA47" s="487">
        <v>8692.1299999999992</v>
      </c>
      <c r="AB47" s="487">
        <v>8603.33</v>
      </c>
      <c r="AC47" s="487">
        <v>9230.2099999999991</v>
      </c>
    </row>
    <row r="48" spans="2:29" x14ac:dyDescent="0.2">
      <c r="B48" s="21"/>
      <c r="C48" s="488"/>
      <c r="D48" s="488"/>
      <c r="E48" s="488"/>
      <c r="F48" s="488"/>
      <c r="G48" s="488"/>
      <c r="H48" s="488"/>
      <c r="I48" s="488"/>
      <c r="J48" s="488"/>
      <c r="K48" s="488"/>
      <c r="L48" s="488"/>
      <c r="M48" s="488"/>
      <c r="N48" s="488"/>
      <c r="O48" s="488"/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</row>
    <row r="49" spans="1:29" s="23" customFormat="1" x14ac:dyDescent="0.2">
      <c r="B49" s="104" t="s">
        <v>40</v>
      </c>
      <c r="C49" s="486">
        <v>1478.3843203169213</v>
      </c>
      <c r="D49" s="486">
        <v>1650.9905802420926</v>
      </c>
      <c r="E49" s="486">
        <v>1817.0364627068077</v>
      </c>
      <c r="F49" s="486">
        <v>2492.9361694204349</v>
      </c>
      <c r="G49" s="486">
        <v>3516.5732619874666</v>
      </c>
      <c r="H49" s="486">
        <v>4163.2572631219009</v>
      </c>
      <c r="I49" s="486">
        <v>5096.5279733076495</v>
      </c>
      <c r="J49" s="486">
        <v>5670.4110849717517</v>
      </c>
      <c r="K49" s="486">
        <v>5035.5519807834444</v>
      </c>
      <c r="L49" s="486">
        <v>3239.99</v>
      </c>
      <c r="M49" s="486">
        <v>3877.88</v>
      </c>
      <c r="N49" s="486">
        <v>4649.5600000000004</v>
      </c>
      <c r="O49" s="486">
        <v>5314.58</v>
      </c>
      <c r="P49" s="486">
        <v>4282.8900000000003</v>
      </c>
      <c r="Q49" s="486">
        <v>5364.71</v>
      </c>
      <c r="R49" s="486">
        <v>6499.8600000000006</v>
      </c>
      <c r="S49" s="486">
        <v>7558.1100000000006</v>
      </c>
      <c r="T49" s="486">
        <v>8836.85</v>
      </c>
      <c r="U49" s="486">
        <v>10906.77</v>
      </c>
      <c r="V49" s="486">
        <v>11892.98</v>
      </c>
      <c r="W49" s="486">
        <v>14492.18</v>
      </c>
      <c r="X49" s="486">
        <v>17236.420000000002</v>
      </c>
      <c r="Y49" s="486">
        <v>19917.330000000002</v>
      </c>
      <c r="Z49" s="486">
        <v>22184.77</v>
      </c>
      <c r="AA49" s="486">
        <v>24443.78</v>
      </c>
      <c r="AB49" s="486">
        <v>21700.590000000004</v>
      </c>
      <c r="AC49" s="486">
        <v>25447.309999999998</v>
      </c>
    </row>
    <row r="50" spans="1:29" s="23" customFormat="1" x14ac:dyDescent="0.2">
      <c r="B50" s="104" t="s">
        <v>638</v>
      </c>
      <c r="C50" s="486">
        <v>1349.6264855687605</v>
      </c>
      <c r="D50" s="486">
        <v>1513.3213588442013</v>
      </c>
      <c r="E50" s="486">
        <v>1673.9826417141308</v>
      </c>
      <c r="F50" s="486">
        <v>2351.3156347386371</v>
      </c>
      <c r="G50" s="486">
        <v>3337.2229842304259</v>
      </c>
      <c r="H50" s="486">
        <v>3785.65994050265</v>
      </c>
      <c r="I50" s="486">
        <v>4488.2311502476605</v>
      </c>
      <c r="J50" s="486">
        <v>4974.6942372881358</v>
      </c>
      <c r="K50" s="486">
        <v>4568.8419807834443</v>
      </c>
      <c r="L50" s="486">
        <v>2846.93</v>
      </c>
      <c r="M50" s="486">
        <v>3579.84</v>
      </c>
      <c r="N50" s="486">
        <v>4256.62</v>
      </c>
      <c r="O50" s="486">
        <v>4887.32</v>
      </c>
      <c r="P50" s="486">
        <v>4283.18</v>
      </c>
      <c r="Q50" s="486">
        <v>5364.9</v>
      </c>
      <c r="R50" s="486">
        <v>6500.8600000000006</v>
      </c>
      <c r="S50" s="486">
        <v>7562.09</v>
      </c>
      <c r="T50" s="486">
        <v>8838.69</v>
      </c>
      <c r="U50" s="486">
        <v>10906.79</v>
      </c>
      <c r="V50" s="486">
        <v>11893</v>
      </c>
      <c r="W50" s="486">
        <v>14494.76</v>
      </c>
      <c r="X50" s="486">
        <v>17240.47</v>
      </c>
      <c r="Y50" s="486">
        <v>19921.25</v>
      </c>
      <c r="Z50" s="486">
        <v>22191.78</v>
      </c>
      <c r="AA50" s="486">
        <v>24443.78</v>
      </c>
      <c r="AB50" s="486">
        <v>21700.590000000004</v>
      </c>
      <c r="AC50" s="486">
        <v>25447.309999999998</v>
      </c>
    </row>
    <row r="51" spans="1:29" x14ac:dyDescent="0.2">
      <c r="B51" s="47" t="s">
        <v>621</v>
      </c>
      <c r="C51" s="486">
        <v>547.23372948500287</v>
      </c>
      <c r="D51" s="486">
        <v>576.59508004685665</v>
      </c>
      <c r="E51" s="486">
        <v>602.48548955790613</v>
      </c>
      <c r="F51" s="486">
        <v>826.3935438348916</v>
      </c>
      <c r="G51" s="486">
        <v>986.12487605229285</v>
      </c>
      <c r="H51" s="486">
        <v>825.09112668832267</v>
      </c>
      <c r="I51" s="486">
        <v>926.28783709411118</v>
      </c>
      <c r="J51" s="486">
        <v>1014.8377401129943</v>
      </c>
      <c r="K51" s="486">
        <v>944.81250155210637</v>
      </c>
      <c r="L51" s="486">
        <v>568.76599164064862</v>
      </c>
      <c r="M51" s="486">
        <v>942.88</v>
      </c>
      <c r="N51" s="486">
        <v>1417.44</v>
      </c>
      <c r="O51" s="486">
        <v>1764.61</v>
      </c>
      <c r="P51" s="486">
        <v>1760.4099999999999</v>
      </c>
      <c r="Q51" s="486">
        <v>2247.11</v>
      </c>
      <c r="R51" s="486">
        <v>2621.27</v>
      </c>
      <c r="S51" s="486">
        <v>3110.56</v>
      </c>
      <c r="T51" s="486">
        <v>3611.6800000000003</v>
      </c>
      <c r="U51" s="486">
        <v>4660.13</v>
      </c>
      <c r="V51" s="486">
        <v>4863.3500000000004</v>
      </c>
      <c r="W51" s="486">
        <v>6091.24</v>
      </c>
      <c r="X51" s="486">
        <v>6636.59</v>
      </c>
      <c r="Y51" s="486">
        <v>7996.8</v>
      </c>
      <c r="Z51" s="486">
        <v>8716.33</v>
      </c>
      <c r="AA51" s="486">
        <v>8957.5</v>
      </c>
      <c r="AB51" s="486">
        <v>7133.42</v>
      </c>
      <c r="AC51" s="486">
        <v>9156.3799999999992</v>
      </c>
    </row>
    <row r="52" spans="1:29" x14ac:dyDescent="0.2">
      <c r="B52" s="106" t="s">
        <v>622</v>
      </c>
      <c r="C52" s="487" t="s">
        <v>10</v>
      </c>
      <c r="D52" s="487" t="s">
        <v>10</v>
      </c>
      <c r="E52" s="487" t="s">
        <v>10</v>
      </c>
      <c r="F52" s="487" t="s">
        <v>10</v>
      </c>
      <c r="G52" s="487" t="s">
        <v>10</v>
      </c>
      <c r="H52" s="487" t="s">
        <v>10</v>
      </c>
      <c r="I52" s="487" t="s">
        <v>10</v>
      </c>
      <c r="J52" s="487" t="s">
        <v>10</v>
      </c>
      <c r="K52" s="487" t="s">
        <v>10</v>
      </c>
      <c r="L52" s="487" t="s">
        <v>10</v>
      </c>
      <c r="M52" s="487" t="s">
        <v>10</v>
      </c>
      <c r="N52" s="487" t="s">
        <v>10</v>
      </c>
      <c r="O52" s="487" t="s">
        <v>10</v>
      </c>
      <c r="P52" s="487">
        <v>107.09</v>
      </c>
      <c r="Q52" s="487">
        <v>113.71</v>
      </c>
      <c r="R52" s="487">
        <v>79.680000000000007</v>
      </c>
      <c r="S52" s="487">
        <v>116.19</v>
      </c>
      <c r="T52" s="487">
        <v>146.69999999999999</v>
      </c>
      <c r="U52" s="487">
        <v>167.31</v>
      </c>
      <c r="V52" s="487">
        <v>145.29</v>
      </c>
      <c r="W52" s="487">
        <v>162.27000000000001</v>
      </c>
      <c r="X52" s="487">
        <v>66.680000000000007</v>
      </c>
      <c r="Y52" s="487">
        <v>32.53</v>
      </c>
      <c r="Z52" s="487">
        <v>18.77</v>
      </c>
      <c r="AA52" s="487">
        <v>30.41</v>
      </c>
      <c r="AB52" s="487">
        <v>1.04</v>
      </c>
      <c r="AC52" s="487">
        <v>1.1100000000000001</v>
      </c>
    </row>
    <row r="53" spans="1:29" x14ac:dyDescent="0.2">
      <c r="B53" s="106" t="s">
        <v>623</v>
      </c>
      <c r="C53" s="487" t="s">
        <v>10</v>
      </c>
      <c r="D53" s="487" t="s">
        <v>10</v>
      </c>
      <c r="E53" s="487" t="s">
        <v>10</v>
      </c>
      <c r="F53" s="487" t="s">
        <v>10</v>
      </c>
      <c r="G53" s="487" t="s">
        <v>10</v>
      </c>
      <c r="H53" s="487" t="s">
        <v>10</v>
      </c>
      <c r="I53" s="487" t="s">
        <v>10</v>
      </c>
      <c r="J53" s="487" t="s">
        <v>10</v>
      </c>
      <c r="K53" s="487" t="s">
        <v>10</v>
      </c>
      <c r="L53" s="487" t="s">
        <v>10</v>
      </c>
      <c r="M53" s="487" t="s">
        <v>10</v>
      </c>
      <c r="N53" s="487" t="s">
        <v>10</v>
      </c>
      <c r="O53" s="487" t="s">
        <v>10</v>
      </c>
      <c r="P53" s="487">
        <v>37</v>
      </c>
      <c r="Q53" s="487">
        <v>28.32</v>
      </c>
      <c r="R53" s="487">
        <v>32.61</v>
      </c>
      <c r="S53" s="487">
        <v>59.8</v>
      </c>
      <c r="T53" s="487">
        <v>32.81</v>
      </c>
      <c r="U53" s="487">
        <v>47.74</v>
      </c>
      <c r="V53" s="487">
        <v>40.479999999999997</v>
      </c>
      <c r="W53" s="487">
        <v>61.33</v>
      </c>
      <c r="X53" s="487">
        <v>36.65</v>
      </c>
      <c r="Y53" s="487">
        <v>48.27</v>
      </c>
      <c r="Z53" s="487">
        <v>21.77</v>
      </c>
      <c r="AA53" s="487">
        <v>28.17</v>
      </c>
      <c r="AB53" s="487">
        <v>19.18</v>
      </c>
      <c r="AC53" s="487">
        <v>34.14</v>
      </c>
    </row>
    <row r="54" spans="1:29" s="23" customFormat="1" x14ac:dyDescent="0.2">
      <c r="B54" s="106" t="s">
        <v>624</v>
      </c>
      <c r="C54" s="487" t="s">
        <v>10</v>
      </c>
      <c r="D54" s="487" t="s">
        <v>10</v>
      </c>
      <c r="E54" s="487" t="s">
        <v>10</v>
      </c>
      <c r="F54" s="487" t="s">
        <v>10</v>
      </c>
      <c r="G54" s="487" t="s">
        <v>10</v>
      </c>
      <c r="H54" s="487" t="s">
        <v>10</v>
      </c>
      <c r="I54" s="487" t="s">
        <v>10</v>
      </c>
      <c r="J54" s="487" t="s">
        <v>10</v>
      </c>
      <c r="K54" s="487" t="s">
        <v>10</v>
      </c>
      <c r="L54" s="487" t="s">
        <v>10</v>
      </c>
      <c r="M54" s="487" t="s">
        <v>10</v>
      </c>
      <c r="N54" s="487" t="s">
        <v>10</v>
      </c>
      <c r="O54" s="487" t="s">
        <v>10</v>
      </c>
      <c r="P54" s="487">
        <v>937.17</v>
      </c>
      <c r="Q54" s="487">
        <v>1228.01</v>
      </c>
      <c r="R54" s="487">
        <v>1371.94</v>
      </c>
      <c r="S54" s="487">
        <v>1571.24</v>
      </c>
      <c r="T54" s="487">
        <v>1810.53</v>
      </c>
      <c r="U54" s="487">
        <v>2504.39</v>
      </c>
      <c r="V54" s="487">
        <v>2689.19</v>
      </c>
      <c r="W54" s="487">
        <v>3363.28</v>
      </c>
      <c r="X54" s="487">
        <v>3790.68</v>
      </c>
      <c r="Y54" s="487">
        <v>4484.46</v>
      </c>
      <c r="Z54" s="487">
        <v>5407.42</v>
      </c>
      <c r="AA54" s="487">
        <v>5578.63</v>
      </c>
      <c r="AB54" s="487">
        <v>4447.3599999999997</v>
      </c>
      <c r="AC54" s="487">
        <v>5832.36</v>
      </c>
    </row>
    <row r="55" spans="1:29" x14ac:dyDescent="0.2">
      <c r="B55" s="106" t="s">
        <v>625</v>
      </c>
      <c r="C55" s="487" t="s">
        <v>10</v>
      </c>
      <c r="D55" s="487" t="s">
        <v>10</v>
      </c>
      <c r="E55" s="487" t="s">
        <v>10</v>
      </c>
      <c r="F55" s="487" t="s">
        <v>10</v>
      </c>
      <c r="G55" s="487" t="s">
        <v>10</v>
      </c>
      <c r="H55" s="487" t="s">
        <v>10</v>
      </c>
      <c r="I55" s="487" t="s">
        <v>10</v>
      </c>
      <c r="J55" s="487" t="s">
        <v>10</v>
      </c>
      <c r="K55" s="487" t="s">
        <v>10</v>
      </c>
      <c r="L55" s="487" t="s">
        <v>10</v>
      </c>
      <c r="M55" s="487" t="s">
        <v>10</v>
      </c>
      <c r="N55" s="487" t="s">
        <v>10</v>
      </c>
      <c r="O55" s="487" t="s">
        <v>10</v>
      </c>
      <c r="P55" s="487">
        <v>679.15</v>
      </c>
      <c r="Q55" s="487">
        <v>877.07</v>
      </c>
      <c r="R55" s="487">
        <v>1137.04</v>
      </c>
      <c r="S55" s="487">
        <v>1363.33</v>
      </c>
      <c r="T55" s="487">
        <v>1621.64</v>
      </c>
      <c r="U55" s="487">
        <v>1940.69</v>
      </c>
      <c r="V55" s="487">
        <v>1988.39</v>
      </c>
      <c r="W55" s="487">
        <v>2504.36</v>
      </c>
      <c r="X55" s="487">
        <v>2742.58</v>
      </c>
      <c r="Y55" s="487">
        <v>3431.54</v>
      </c>
      <c r="Z55" s="487">
        <v>3268.37</v>
      </c>
      <c r="AA55" s="487">
        <v>3320.29</v>
      </c>
      <c r="AB55" s="487">
        <v>2665.84</v>
      </c>
      <c r="AC55" s="487">
        <v>3288.77</v>
      </c>
    </row>
    <row r="56" spans="1:29" x14ac:dyDescent="0.2">
      <c r="B56" s="47" t="s">
        <v>633</v>
      </c>
      <c r="C56" s="486">
        <v>802.39275608375772</v>
      </c>
      <c r="D56" s="486">
        <v>936.72627879734478</v>
      </c>
      <c r="E56" s="486">
        <v>1071.4971521562245</v>
      </c>
      <c r="F56" s="486">
        <v>1524.9220909037456</v>
      </c>
      <c r="G56" s="486">
        <v>2351.0981081781333</v>
      </c>
      <c r="H56" s="486">
        <v>2960.5688138143273</v>
      </c>
      <c r="I56" s="486">
        <v>3561.9433131535498</v>
      </c>
      <c r="J56" s="486">
        <v>3959.8564971751412</v>
      </c>
      <c r="K56" s="486">
        <v>3624.029479231338</v>
      </c>
      <c r="L56" s="486">
        <v>2278.1640083593516</v>
      </c>
      <c r="M56" s="486">
        <v>2636.96</v>
      </c>
      <c r="N56" s="486">
        <v>2839.18</v>
      </c>
      <c r="O56" s="486">
        <v>3122.71</v>
      </c>
      <c r="P56" s="486">
        <v>2522.77</v>
      </c>
      <c r="Q56" s="486">
        <v>3117.79</v>
      </c>
      <c r="R56" s="486">
        <v>3879.59</v>
      </c>
      <c r="S56" s="486">
        <v>4451.53</v>
      </c>
      <c r="T56" s="486">
        <v>5227.01</v>
      </c>
      <c r="U56" s="486">
        <v>6246.66</v>
      </c>
      <c r="V56" s="486">
        <v>7029.65</v>
      </c>
      <c r="W56" s="486">
        <v>8403.52</v>
      </c>
      <c r="X56" s="486">
        <v>10603.880000000001</v>
      </c>
      <c r="Y56" s="486">
        <v>11924.45</v>
      </c>
      <c r="Z56" s="486">
        <v>13475.45</v>
      </c>
      <c r="AA56" s="486">
        <v>15486.28</v>
      </c>
      <c r="AB56" s="486">
        <v>14567.170000000002</v>
      </c>
      <c r="AC56" s="486">
        <v>16290.929999999998</v>
      </c>
    </row>
    <row r="57" spans="1:29" x14ac:dyDescent="0.2">
      <c r="B57" s="106" t="s">
        <v>41</v>
      </c>
      <c r="C57" s="487">
        <v>365.262026032824</v>
      </c>
      <c r="D57" s="487">
        <v>414.56540413900819</v>
      </c>
      <c r="E57" s="487">
        <v>500.94331434770817</v>
      </c>
      <c r="F57" s="487">
        <v>740.67932811979381</v>
      </c>
      <c r="G57" s="487">
        <v>743.68981367223341</v>
      </c>
      <c r="H57" s="487">
        <v>828.65891605402635</v>
      </c>
      <c r="I57" s="487">
        <v>990.06466703357182</v>
      </c>
      <c r="J57" s="487">
        <v>1236.8424858757062</v>
      </c>
      <c r="K57" s="487">
        <v>1018.52</v>
      </c>
      <c r="L57" s="487">
        <v>439.78</v>
      </c>
      <c r="M57" s="487">
        <v>582.96</v>
      </c>
      <c r="N57" s="487">
        <v>839.94</v>
      </c>
      <c r="O57" s="487">
        <v>991.41</v>
      </c>
      <c r="P57" s="487">
        <v>1129.19</v>
      </c>
      <c r="Q57" s="487">
        <v>1473.1999999999998</v>
      </c>
      <c r="R57" s="487">
        <v>1879.77</v>
      </c>
      <c r="S57" s="487">
        <v>2279.41</v>
      </c>
      <c r="T57" s="487">
        <v>2776.43</v>
      </c>
      <c r="U57" s="487">
        <v>3287.8399999999997</v>
      </c>
      <c r="V57" s="487">
        <v>3687.5299999999997</v>
      </c>
      <c r="W57" s="487">
        <v>4421.4800000000005</v>
      </c>
      <c r="X57" s="487">
        <v>5349.4100000000008</v>
      </c>
      <c r="Y57" s="487">
        <v>6113.58</v>
      </c>
      <c r="Z57" s="487">
        <v>6938.99</v>
      </c>
      <c r="AA57" s="487">
        <v>7763.15</v>
      </c>
      <c r="AB57" s="487">
        <v>6752.59</v>
      </c>
      <c r="AC57" s="487">
        <v>7517.46</v>
      </c>
    </row>
    <row r="58" spans="1:29" x14ac:dyDescent="0.2">
      <c r="B58" s="106" t="s">
        <v>42</v>
      </c>
      <c r="C58" s="487">
        <v>429.79286926994905</v>
      </c>
      <c r="D58" s="487">
        <v>478.93479109722767</v>
      </c>
      <c r="E58" s="487">
        <v>533.8085164090046</v>
      </c>
      <c r="F58" s="487">
        <v>689.96981635013037</v>
      </c>
      <c r="G58" s="487">
        <v>1409.3546581941619</v>
      </c>
      <c r="H58" s="487">
        <v>1630.7785782184988</v>
      </c>
      <c r="I58" s="487">
        <v>2172.3871766648322</v>
      </c>
      <c r="J58" s="487">
        <v>2300.7887005649718</v>
      </c>
      <c r="K58" s="487">
        <v>2117.9299999999998</v>
      </c>
      <c r="L58" s="487">
        <v>506.69</v>
      </c>
      <c r="M58" s="487">
        <v>1137.3699999999999</v>
      </c>
      <c r="N58" s="487">
        <v>1161.32</v>
      </c>
      <c r="O58" s="487">
        <v>1503.58</v>
      </c>
      <c r="P58" s="487">
        <v>1327.6699999999998</v>
      </c>
      <c r="Q58" s="487">
        <v>1550.6699999999998</v>
      </c>
      <c r="R58" s="487">
        <v>1851.48</v>
      </c>
      <c r="S58" s="487">
        <v>1944.2099999999998</v>
      </c>
      <c r="T58" s="487">
        <v>2151.58</v>
      </c>
      <c r="U58" s="487">
        <v>2629.15</v>
      </c>
      <c r="V58" s="487">
        <v>2980.1</v>
      </c>
      <c r="W58" s="487">
        <v>3511.38</v>
      </c>
      <c r="X58" s="487">
        <v>4458.3</v>
      </c>
      <c r="Y58" s="487">
        <v>5102.2299999999996</v>
      </c>
      <c r="Z58" s="487">
        <v>5715.55</v>
      </c>
      <c r="AA58" s="487">
        <v>6746.16</v>
      </c>
      <c r="AB58" s="487">
        <v>6520.9900000000007</v>
      </c>
      <c r="AC58" s="487">
        <v>7258.1399999999994</v>
      </c>
    </row>
    <row r="59" spans="1:29" x14ac:dyDescent="0.2">
      <c r="B59" s="106" t="s">
        <v>864</v>
      </c>
      <c r="C59" s="487" t="s">
        <v>10</v>
      </c>
      <c r="D59" s="487" t="s">
        <v>10</v>
      </c>
      <c r="E59" s="487" t="s">
        <v>10</v>
      </c>
      <c r="F59" s="487" t="s">
        <v>10</v>
      </c>
      <c r="G59" s="487" t="s">
        <v>10</v>
      </c>
      <c r="H59" s="487" t="s">
        <v>10</v>
      </c>
      <c r="I59" s="487" t="s">
        <v>10</v>
      </c>
      <c r="J59" s="487" t="s">
        <v>10</v>
      </c>
      <c r="K59" s="487" t="s">
        <v>10</v>
      </c>
      <c r="L59" s="487">
        <v>991.74</v>
      </c>
      <c r="M59" s="487">
        <v>346.23</v>
      </c>
      <c r="N59" s="487">
        <v>148.5</v>
      </c>
      <c r="O59" s="487">
        <v>0</v>
      </c>
      <c r="P59" s="487">
        <v>0</v>
      </c>
      <c r="Q59" s="487">
        <v>0</v>
      </c>
      <c r="R59" s="487">
        <v>0</v>
      </c>
      <c r="S59" s="487">
        <v>85.41</v>
      </c>
      <c r="T59" s="487">
        <v>156.58000000000001</v>
      </c>
      <c r="U59" s="487">
        <v>199.51</v>
      </c>
      <c r="V59" s="487">
        <v>224.14</v>
      </c>
      <c r="W59" s="487">
        <v>326.95</v>
      </c>
      <c r="X59" s="487">
        <v>446</v>
      </c>
      <c r="Y59" s="487">
        <v>547.37</v>
      </c>
      <c r="Z59" s="487">
        <v>635.66999999999996</v>
      </c>
      <c r="AA59" s="487">
        <v>720.42</v>
      </c>
      <c r="AB59" s="487">
        <v>1134.8499999999999</v>
      </c>
      <c r="AC59" s="487">
        <v>1216.24</v>
      </c>
    </row>
    <row r="60" spans="1:29" x14ac:dyDescent="0.2">
      <c r="B60" s="106" t="s">
        <v>43</v>
      </c>
      <c r="C60" s="487" t="s">
        <v>10</v>
      </c>
      <c r="D60" s="487">
        <v>34.524795001952363</v>
      </c>
      <c r="E60" s="487">
        <v>27.733658801193382</v>
      </c>
      <c r="F60" s="487">
        <v>85.939123106171976</v>
      </c>
      <c r="G60" s="487">
        <v>100.14408234782647</v>
      </c>
      <c r="H60" s="487">
        <v>53.443475123952823</v>
      </c>
      <c r="I60" s="487">
        <v>31.881948266373143</v>
      </c>
      <c r="J60" s="487">
        <v>89.099209039548029</v>
      </c>
      <c r="K60" s="487">
        <v>101.5919807834442</v>
      </c>
      <c r="L60" s="487">
        <v>168.63</v>
      </c>
      <c r="M60" s="487">
        <v>91.98</v>
      </c>
      <c r="N60" s="487">
        <v>39.67</v>
      </c>
      <c r="O60" s="487">
        <v>20.58</v>
      </c>
      <c r="P60" s="487">
        <v>15.28</v>
      </c>
      <c r="Q60" s="487">
        <v>21.28</v>
      </c>
      <c r="R60" s="487">
        <v>44.78</v>
      </c>
      <c r="S60" s="487">
        <v>22.86</v>
      </c>
      <c r="T60" s="487">
        <v>37.700000000000003</v>
      </c>
      <c r="U60" s="487">
        <v>1.1299999999999999</v>
      </c>
      <c r="V60" s="487">
        <v>2.6</v>
      </c>
      <c r="W60" s="487">
        <v>2</v>
      </c>
      <c r="X60" s="487">
        <v>25.1</v>
      </c>
      <c r="Y60" s="487">
        <v>1.1000000000000001</v>
      </c>
      <c r="Z60" s="487">
        <v>19.5</v>
      </c>
      <c r="AA60" s="487">
        <v>0.6</v>
      </c>
      <c r="AB60" s="487">
        <v>0</v>
      </c>
      <c r="AC60" s="487">
        <v>0</v>
      </c>
    </row>
    <row r="61" spans="1:29" x14ac:dyDescent="0.2">
      <c r="B61" s="106" t="s">
        <v>865</v>
      </c>
      <c r="C61" s="487">
        <v>7.3378607809847205</v>
      </c>
      <c r="D61" s="487">
        <v>8.7012885591565805</v>
      </c>
      <c r="E61" s="487">
        <v>9.0116625983184164</v>
      </c>
      <c r="F61" s="487">
        <v>8.3338233276493998</v>
      </c>
      <c r="G61" s="487">
        <v>97.909553963911335</v>
      </c>
      <c r="H61" s="487">
        <v>447.68784441784919</v>
      </c>
      <c r="I61" s="487">
        <v>367.6095211887727</v>
      </c>
      <c r="J61" s="487">
        <v>333.12610169491523</v>
      </c>
      <c r="K61" s="487">
        <v>385.98749844789359</v>
      </c>
      <c r="L61" s="487">
        <v>171.32400835935141</v>
      </c>
      <c r="M61" s="487">
        <v>478.42</v>
      </c>
      <c r="N61" s="487">
        <v>649.75</v>
      </c>
      <c r="O61" s="487">
        <v>607.14</v>
      </c>
      <c r="P61" s="487">
        <v>50.629999999999995</v>
      </c>
      <c r="Q61" s="487">
        <v>72.639999999999986</v>
      </c>
      <c r="R61" s="487">
        <v>103.56</v>
      </c>
      <c r="S61" s="487">
        <v>119.64000000000001</v>
      </c>
      <c r="T61" s="487">
        <v>104.71999999999998</v>
      </c>
      <c r="U61" s="487">
        <v>129.03</v>
      </c>
      <c r="V61" s="487">
        <v>135.27999999999997</v>
      </c>
      <c r="W61" s="487">
        <v>141.71</v>
      </c>
      <c r="X61" s="487">
        <v>325.07</v>
      </c>
      <c r="Y61" s="487">
        <v>160.16999999999999</v>
      </c>
      <c r="Z61" s="487">
        <v>165.74</v>
      </c>
      <c r="AA61" s="487">
        <v>255.94999999999996</v>
      </c>
      <c r="AB61" s="487">
        <v>158.74</v>
      </c>
      <c r="AC61" s="487">
        <v>299.08999999999992</v>
      </c>
    </row>
    <row r="62" spans="1:29" x14ac:dyDescent="0.2">
      <c r="A62" s="23"/>
      <c r="B62" s="106"/>
      <c r="C62" s="487"/>
      <c r="D62" s="487"/>
      <c r="E62" s="487"/>
      <c r="F62" s="487"/>
      <c r="G62" s="487"/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7"/>
      <c r="AB62" s="487"/>
      <c r="AC62" s="487"/>
    </row>
    <row r="63" spans="1:29" s="23" customFormat="1" x14ac:dyDescent="0.2">
      <c r="B63" s="104" t="s">
        <v>626</v>
      </c>
      <c r="C63" s="487">
        <v>128.75783474816075</v>
      </c>
      <c r="D63" s="487">
        <v>137.66922139789142</v>
      </c>
      <c r="E63" s="487">
        <v>143.05382099267698</v>
      </c>
      <c r="F63" s="487">
        <v>141.62053468179769</v>
      </c>
      <c r="G63" s="487">
        <v>179.35027775704052</v>
      </c>
      <c r="H63" s="487">
        <v>377.5973226192512</v>
      </c>
      <c r="I63" s="487">
        <v>608.29682305998904</v>
      </c>
      <c r="J63" s="487">
        <v>695.71684768361592</v>
      </c>
      <c r="K63" s="487">
        <v>466.71</v>
      </c>
      <c r="L63" s="487">
        <v>393.06</v>
      </c>
      <c r="M63" s="487">
        <v>298.04000000000002</v>
      </c>
      <c r="N63" s="487">
        <v>392.94</v>
      </c>
      <c r="O63" s="487">
        <v>427.26</v>
      </c>
      <c r="P63" s="487">
        <v>-0.28999999999999998</v>
      </c>
      <c r="Q63" s="487">
        <v>-0.19</v>
      </c>
      <c r="R63" s="487">
        <v>-1</v>
      </c>
      <c r="S63" s="487">
        <v>-3.98</v>
      </c>
      <c r="T63" s="487">
        <v>-1.84</v>
      </c>
      <c r="U63" s="487">
        <v>-0.02</v>
      </c>
      <c r="V63" s="487">
        <v>-0.02</v>
      </c>
      <c r="W63" s="487">
        <v>-2.58</v>
      </c>
      <c r="X63" s="487">
        <v>-4.05</v>
      </c>
      <c r="Y63" s="487" t="s">
        <v>10</v>
      </c>
      <c r="Z63" s="487" t="s">
        <v>10</v>
      </c>
      <c r="AA63" s="487" t="s">
        <v>10</v>
      </c>
      <c r="AB63" s="487" t="s">
        <v>10</v>
      </c>
      <c r="AC63" s="487" t="s">
        <v>10</v>
      </c>
    </row>
    <row r="64" spans="1:29" s="23" customFormat="1" ht="13.5" thickBot="1" x14ac:dyDescent="0.25">
      <c r="A64" s="96"/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</row>
    <row r="65" spans="1:29" s="23" customFormat="1" x14ac:dyDescent="0.2">
      <c r="B65" s="93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</row>
    <row r="66" spans="1:29" x14ac:dyDescent="0.2"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</row>
    <row r="67" spans="1:29" x14ac:dyDescent="0.2">
      <c r="A67" s="410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</row>
    <row r="68" spans="1:29" x14ac:dyDescent="0.2">
      <c r="A68" s="84" t="s">
        <v>598</v>
      </c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</row>
    <row r="69" spans="1:29" x14ac:dyDescent="0.2">
      <c r="B69" s="100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</row>
    <row r="70" spans="1:29" x14ac:dyDescent="0.2">
      <c r="B70" s="100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</row>
    <row r="71" spans="1:29" x14ac:dyDescent="0.2"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</row>
    <row r="72" spans="1:29" x14ac:dyDescent="0.2"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</row>
    <row r="73" spans="1:29" x14ac:dyDescent="0.2"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</row>
    <row r="74" spans="1:29" x14ac:dyDescent="0.2"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</row>
    <row r="75" spans="1:29" x14ac:dyDescent="0.2"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</row>
    <row r="76" spans="1:29" x14ac:dyDescent="0.2"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</row>
    <row r="77" spans="1:29" x14ac:dyDescent="0.2"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</row>
    <row r="78" spans="1:29" x14ac:dyDescent="0.2"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</row>
    <row r="79" spans="1:29" x14ac:dyDescent="0.2"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</row>
    <row r="80" spans="1:29" x14ac:dyDescent="0.2"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</row>
    <row r="81" spans="2:29" s="23" customFormat="1" x14ac:dyDescent="0.2">
      <c r="B81" s="24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</row>
    <row r="82" spans="2:29" x14ac:dyDescent="0.2"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</row>
    <row r="83" spans="2:29" x14ac:dyDescent="0.2"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</row>
    <row r="84" spans="2:29" x14ac:dyDescent="0.2"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</row>
    <row r="85" spans="2:29" s="23" customFormat="1" x14ac:dyDescent="0.2">
      <c r="B85" s="24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</row>
    <row r="86" spans="2:29" s="23" customFormat="1" x14ac:dyDescent="0.2">
      <c r="B86" s="24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</row>
    <row r="87" spans="2:29" x14ac:dyDescent="0.2"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</row>
    <row r="88" spans="2:29" x14ac:dyDescent="0.2"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</row>
    <row r="89" spans="2:29" x14ac:dyDescent="0.2"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</row>
    <row r="90" spans="2:29" x14ac:dyDescent="0.2"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</row>
    <row r="91" spans="2:29" x14ac:dyDescent="0.2"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</row>
    <row r="92" spans="2:29" x14ac:dyDescent="0.2"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</row>
    <row r="93" spans="2:29" x14ac:dyDescent="0.2"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</row>
    <row r="94" spans="2:29" x14ac:dyDescent="0.2"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</row>
    <row r="95" spans="2:29" x14ac:dyDescent="0.2"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</row>
    <row r="96" spans="2:29" x14ac:dyDescent="0.2"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</row>
    <row r="97" spans="3:29" x14ac:dyDescent="0.2"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</row>
    <row r="98" spans="3:29" x14ac:dyDescent="0.2"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</row>
    <row r="99" spans="3:29" x14ac:dyDescent="0.2"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</row>
    <row r="100" spans="3:29" x14ac:dyDescent="0.2"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</row>
    <row r="101" spans="3:29" x14ac:dyDescent="0.2"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</row>
    <row r="102" spans="3:29" x14ac:dyDescent="0.2"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</row>
    <row r="103" spans="3:29" x14ac:dyDescent="0.2"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</row>
    <row r="104" spans="3:29" x14ac:dyDescent="0.2"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</row>
    <row r="105" spans="3:29" x14ac:dyDescent="0.2"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</row>
    <row r="106" spans="3:29" x14ac:dyDescent="0.2"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</row>
    <row r="107" spans="3:29" x14ac:dyDescent="0.2"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</row>
    <row r="108" spans="3:29" x14ac:dyDescent="0.2"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</row>
    <row r="109" spans="3:29" x14ac:dyDescent="0.2"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</row>
    <row r="110" spans="3:29" x14ac:dyDescent="0.2"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</row>
    <row r="111" spans="3:29" x14ac:dyDescent="0.2"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</row>
    <row r="112" spans="3:29" x14ac:dyDescent="0.2"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</row>
    <row r="113" spans="3:29" x14ac:dyDescent="0.2"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</row>
    <row r="114" spans="3:29" x14ac:dyDescent="0.2"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</row>
    <row r="115" spans="3:29" x14ac:dyDescent="0.2"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</row>
    <row r="116" spans="3:29" x14ac:dyDescent="0.2"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</row>
    <row r="117" spans="3:29" x14ac:dyDescent="0.2"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</row>
    <row r="118" spans="3:29" x14ac:dyDescent="0.2"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</row>
    <row r="119" spans="3:29" x14ac:dyDescent="0.2"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</row>
    <row r="120" spans="3:29" x14ac:dyDescent="0.2"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</row>
    <row r="121" spans="3:29" x14ac:dyDescent="0.2"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</row>
    <row r="122" spans="3:29" x14ac:dyDescent="0.2"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</row>
    <row r="123" spans="3:29" x14ac:dyDescent="0.2"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</row>
  </sheetData>
  <mergeCells count="2">
    <mergeCell ref="A1:X1"/>
    <mergeCell ref="A2:X2"/>
  </mergeCells>
  <hyperlinks>
    <hyperlink ref="A68" location="'indice cap.1'!A1" display="regresar al índice" xr:uid="{00000000-0004-0000-0500-000000000000}"/>
  </hyperlinks>
  <pageMargins left="0" right="0" top="0" bottom="0" header="0.31496062992125984" footer="0.31496062992125984"/>
  <pageSetup paperSize="9" scale="55" orientation="landscape" verticalDpi="599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2"/>
  <sheetViews>
    <sheetView showGridLines="0" workbookViewId="0">
      <selection activeCell="I9" sqref="I9"/>
    </sheetView>
  </sheetViews>
  <sheetFormatPr defaultColWidth="11.42578125" defaultRowHeight="12.75" x14ac:dyDescent="0.2"/>
  <cols>
    <col min="1" max="1" width="9.42578125" style="108" customWidth="1"/>
    <col min="2" max="2" width="15.7109375" style="108" customWidth="1"/>
    <col min="3" max="7" width="15.7109375" style="123" customWidth="1"/>
    <col min="8" max="16384" width="11.42578125" style="108"/>
  </cols>
  <sheetData>
    <row r="1" spans="1:18" x14ac:dyDescent="0.2">
      <c r="A1" s="493" t="s">
        <v>866</v>
      </c>
      <c r="B1" s="493"/>
      <c r="C1" s="493"/>
      <c r="D1" s="493"/>
      <c r="E1" s="493"/>
      <c r="F1" s="493"/>
      <c r="G1" s="493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x14ac:dyDescent="0.2">
      <c r="A2" s="109"/>
      <c r="B2" s="110"/>
      <c r="C2" s="115"/>
      <c r="D2" s="115"/>
      <c r="E2" s="115"/>
      <c r="F2" s="115"/>
      <c r="G2" s="115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18.95" customHeight="1" x14ac:dyDescent="0.2">
      <c r="A3" s="505" t="s">
        <v>45</v>
      </c>
      <c r="B3" s="506"/>
      <c r="C3" s="503" t="s">
        <v>44</v>
      </c>
      <c r="D3" s="504"/>
      <c r="E3" s="504"/>
      <c r="F3" s="504"/>
      <c r="G3" s="504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18" ht="38.25" x14ac:dyDescent="0.2">
      <c r="A4" s="507"/>
      <c r="B4" s="506"/>
      <c r="C4" s="111" t="s">
        <v>716</v>
      </c>
      <c r="D4" s="112" t="s">
        <v>715</v>
      </c>
      <c r="E4" s="112" t="s">
        <v>714</v>
      </c>
      <c r="F4" s="113" t="s">
        <v>713</v>
      </c>
      <c r="G4" s="114" t="s">
        <v>963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spans="1:18" x14ac:dyDescent="0.2">
      <c r="A5" s="110"/>
      <c r="B5" s="110"/>
      <c r="C5" s="115"/>
      <c r="D5" s="115"/>
      <c r="E5" s="115"/>
      <c r="F5" s="115"/>
      <c r="G5" s="115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</row>
    <row r="6" spans="1:18" x14ac:dyDescent="0.2">
      <c r="A6" s="116">
        <v>2000</v>
      </c>
      <c r="B6" s="116" t="s">
        <v>50</v>
      </c>
      <c r="C6" s="117">
        <v>9.42</v>
      </c>
      <c r="D6" s="117">
        <v>9.42</v>
      </c>
      <c r="E6" s="117">
        <v>15.87</v>
      </c>
      <c r="F6" s="117">
        <v>22.72</v>
      </c>
      <c r="G6" s="117" t="s">
        <v>10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</row>
    <row r="7" spans="1:18" x14ac:dyDescent="0.2">
      <c r="A7" s="109"/>
      <c r="B7" s="116" t="s">
        <v>51</v>
      </c>
      <c r="C7" s="117">
        <v>8.7899999999999991</v>
      </c>
      <c r="D7" s="117">
        <v>8.7899999999999991</v>
      </c>
      <c r="E7" s="117">
        <v>16.309999999999999</v>
      </c>
      <c r="F7" s="117">
        <v>15.87</v>
      </c>
      <c r="G7" s="117">
        <v>24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</row>
    <row r="8" spans="1:18" x14ac:dyDescent="0.2">
      <c r="A8" s="109"/>
      <c r="B8" s="116" t="s">
        <v>52</v>
      </c>
      <c r="C8" s="117">
        <v>8.76</v>
      </c>
      <c r="D8" s="117">
        <v>8.76</v>
      </c>
      <c r="E8" s="117">
        <v>14.19</v>
      </c>
      <c r="F8" s="117">
        <v>16.309999999999999</v>
      </c>
      <c r="G8" s="117">
        <v>22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</row>
    <row r="9" spans="1:18" x14ac:dyDescent="0.2">
      <c r="A9" s="109"/>
      <c r="B9" s="116" t="s">
        <v>53</v>
      </c>
      <c r="C9" s="117">
        <v>7.92</v>
      </c>
      <c r="D9" s="117">
        <v>7.92</v>
      </c>
      <c r="E9" s="117">
        <v>15.37</v>
      </c>
      <c r="F9" s="117">
        <v>14.19</v>
      </c>
      <c r="G9" s="117">
        <v>20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spans="1:18" x14ac:dyDescent="0.2">
      <c r="A10" s="109"/>
      <c r="B10" s="116" t="s">
        <v>54</v>
      </c>
      <c r="C10" s="117">
        <v>7.54</v>
      </c>
      <c r="D10" s="117">
        <v>7.54</v>
      </c>
      <c r="E10" s="117">
        <v>15.75</v>
      </c>
      <c r="F10" s="118">
        <v>15.37</v>
      </c>
      <c r="G10" s="117">
        <v>20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spans="1:18" x14ac:dyDescent="0.2">
      <c r="A11" s="109"/>
      <c r="B11" s="116" t="s">
        <v>55</v>
      </c>
      <c r="C11" s="117">
        <v>8.41</v>
      </c>
      <c r="D11" s="117">
        <v>8.41</v>
      </c>
      <c r="E11" s="117">
        <v>16.739999999999998</v>
      </c>
      <c r="F11" s="118">
        <v>15.75</v>
      </c>
      <c r="G11" s="117">
        <v>20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</row>
    <row r="12" spans="1:18" x14ac:dyDescent="0.2">
      <c r="A12" s="109"/>
      <c r="B12" s="116" t="s">
        <v>56</v>
      </c>
      <c r="C12" s="117">
        <v>7.76</v>
      </c>
      <c r="D12" s="117">
        <v>7.76</v>
      </c>
      <c r="E12" s="117">
        <v>15.56</v>
      </c>
      <c r="F12" s="118">
        <v>16.739999999999998</v>
      </c>
      <c r="G12" s="117">
        <v>25.11</v>
      </c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</row>
    <row r="13" spans="1:18" x14ac:dyDescent="0.2">
      <c r="A13" s="109"/>
      <c r="B13" s="116" t="s">
        <v>57</v>
      </c>
      <c r="C13" s="117">
        <v>7.66</v>
      </c>
      <c r="D13" s="117">
        <v>7.66</v>
      </c>
      <c r="E13" s="117">
        <v>14.27</v>
      </c>
      <c r="F13" s="118">
        <v>15.56</v>
      </c>
      <c r="G13" s="117">
        <v>23.34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18" x14ac:dyDescent="0.2">
      <c r="A14" s="109"/>
      <c r="B14" s="116" t="s">
        <v>58</v>
      </c>
      <c r="C14" s="117">
        <v>7.55</v>
      </c>
      <c r="D14" s="117">
        <v>7.55</v>
      </c>
      <c r="E14" s="117">
        <v>13.16</v>
      </c>
      <c r="F14" s="118">
        <v>14.27</v>
      </c>
      <c r="G14" s="117">
        <v>21.41</v>
      </c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</row>
    <row r="15" spans="1:18" x14ac:dyDescent="0.2">
      <c r="A15" s="109"/>
      <c r="B15" s="116" t="s">
        <v>59</v>
      </c>
      <c r="C15" s="117">
        <v>7.7</v>
      </c>
      <c r="D15" s="117">
        <v>7.7</v>
      </c>
      <c r="E15" s="117">
        <v>14.52</v>
      </c>
      <c r="F15" s="117">
        <v>13.16</v>
      </c>
      <c r="G15" s="117">
        <f>+F15*1.5</f>
        <v>19.740000000000002</v>
      </c>
      <c r="H15" s="119"/>
      <c r="I15" s="107"/>
      <c r="J15" s="107"/>
      <c r="K15" s="107"/>
      <c r="L15" s="107"/>
      <c r="M15" s="107"/>
      <c r="N15" s="107"/>
      <c r="O15" s="107"/>
      <c r="P15" s="107"/>
      <c r="Q15" s="107"/>
      <c r="R15" s="107"/>
    </row>
    <row r="16" spans="1:18" x14ac:dyDescent="0.2">
      <c r="A16" s="109"/>
      <c r="B16" s="109"/>
      <c r="C16" s="120"/>
      <c r="D16" s="120"/>
      <c r="E16" s="120"/>
      <c r="F16" s="120"/>
      <c r="G16" s="120"/>
      <c r="H16" s="119"/>
      <c r="I16" s="107"/>
      <c r="J16" s="107"/>
      <c r="K16" s="107"/>
      <c r="L16" s="107"/>
      <c r="M16" s="107"/>
      <c r="N16" s="107"/>
      <c r="O16" s="107"/>
      <c r="P16" s="107"/>
      <c r="Q16" s="107"/>
      <c r="R16" s="107"/>
    </row>
    <row r="17" spans="1:18" x14ac:dyDescent="0.2">
      <c r="A17" s="116">
        <v>2001</v>
      </c>
      <c r="B17" s="116" t="s">
        <v>60</v>
      </c>
      <c r="C17" s="117">
        <v>7.12</v>
      </c>
      <c r="D17" s="117">
        <v>7.12</v>
      </c>
      <c r="E17" s="117">
        <v>16.420000000000002</v>
      </c>
      <c r="F17" s="117">
        <v>14.52</v>
      </c>
      <c r="G17" s="117">
        <v>21.78</v>
      </c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</row>
    <row r="18" spans="1:18" x14ac:dyDescent="0.2">
      <c r="A18" s="109"/>
      <c r="B18" s="116" t="s">
        <v>61</v>
      </c>
      <c r="C18" s="117">
        <v>7.02</v>
      </c>
      <c r="D18" s="117">
        <v>7.02</v>
      </c>
      <c r="E18" s="117">
        <v>16.64</v>
      </c>
      <c r="F18" s="117">
        <v>16.420000000000002</v>
      </c>
      <c r="G18" s="117">
        <f>+F18*1.5</f>
        <v>24.630000000000003</v>
      </c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</row>
    <row r="19" spans="1:18" x14ac:dyDescent="0.2">
      <c r="A19" s="109"/>
      <c r="B19" s="116" t="s">
        <v>50</v>
      </c>
      <c r="C19" s="117">
        <v>7.17</v>
      </c>
      <c r="D19" s="117">
        <v>7.17</v>
      </c>
      <c r="E19" s="117">
        <v>15.27</v>
      </c>
      <c r="F19" s="117">
        <v>16.64</v>
      </c>
      <c r="G19" s="117">
        <v>24.96</v>
      </c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</row>
    <row r="20" spans="1:18" x14ac:dyDescent="0.2">
      <c r="A20" s="109"/>
      <c r="B20" s="116" t="s">
        <v>51</v>
      </c>
      <c r="C20" s="117">
        <v>7.18</v>
      </c>
      <c r="D20" s="117">
        <v>7.18</v>
      </c>
      <c r="E20" s="117">
        <v>16.14</v>
      </c>
      <c r="F20" s="117">
        <v>15.27</v>
      </c>
      <c r="G20" s="117">
        <v>22.91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</row>
    <row r="21" spans="1:18" x14ac:dyDescent="0.2">
      <c r="A21" s="109"/>
      <c r="B21" s="116" t="s">
        <v>52</v>
      </c>
      <c r="C21" s="117">
        <v>7</v>
      </c>
      <c r="D21" s="117">
        <v>7</v>
      </c>
      <c r="E21" s="117">
        <v>14.7</v>
      </c>
      <c r="F21" s="117">
        <v>16.14</v>
      </c>
      <c r="G21" s="117">
        <v>24.21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</row>
    <row r="22" spans="1:18" x14ac:dyDescent="0.2">
      <c r="A22" s="109"/>
      <c r="B22" s="116" t="s">
        <v>53</v>
      </c>
      <c r="C22" s="117">
        <v>6.92</v>
      </c>
      <c r="D22" s="117">
        <v>6.92</v>
      </c>
      <c r="E22" s="117">
        <v>15.76</v>
      </c>
      <c r="F22" s="117">
        <v>14.7</v>
      </c>
      <c r="G22" s="117">
        <v>22.05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</row>
    <row r="23" spans="1:18" x14ac:dyDescent="0.2">
      <c r="A23" s="109"/>
      <c r="B23" s="116" t="s">
        <v>54</v>
      </c>
      <c r="C23" s="117">
        <v>6.4</v>
      </c>
      <c r="D23" s="117">
        <v>6.4</v>
      </c>
      <c r="E23" s="118">
        <v>14.52</v>
      </c>
      <c r="F23" s="117">
        <v>15.76</v>
      </c>
      <c r="G23" s="117">
        <v>23.64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</row>
    <row r="24" spans="1:18" x14ac:dyDescent="0.2">
      <c r="A24" s="109"/>
      <c r="B24" s="116" t="s">
        <v>55</v>
      </c>
      <c r="C24" s="117">
        <v>5.9</v>
      </c>
      <c r="D24" s="117">
        <v>5.9</v>
      </c>
      <c r="E24" s="118">
        <v>14.28</v>
      </c>
      <c r="F24" s="117">
        <v>14.52</v>
      </c>
      <c r="G24" s="117">
        <v>21.78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18" x14ac:dyDescent="0.2">
      <c r="A25" s="109"/>
      <c r="B25" s="116" t="s">
        <v>56</v>
      </c>
      <c r="C25" s="117">
        <v>6.74</v>
      </c>
      <c r="D25" s="117">
        <v>6.74</v>
      </c>
      <c r="E25" s="117">
        <v>14.57</v>
      </c>
      <c r="F25" s="117">
        <v>14.28</v>
      </c>
      <c r="G25" s="117">
        <v>21.42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18" x14ac:dyDescent="0.2">
      <c r="A26" s="109"/>
      <c r="B26" s="116" t="s">
        <v>57</v>
      </c>
      <c r="C26" s="117">
        <v>6.18</v>
      </c>
      <c r="D26" s="117">
        <v>6.18</v>
      </c>
      <c r="E26" s="117">
        <v>16.54</v>
      </c>
      <c r="F26" s="117">
        <v>14.57</v>
      </c>
      <c r="G26" s="117">
        <f>+F26*1.5</f>
        <v>21.855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18" x14ac:dyDescent="0.2">
      <c r="A27" s="109"/>
      <c r="B27" s="116" t="s">
        <v>58</v>
      </c>
      <c r="C27" s="117">
        <v>6.83</v>
      </c>
      <c r="D27" s="117">
        <v>6.83</v>
      </c>
      <c r="E27" s="117">
        <v>16.440000000000001</v>
      </c>
      <c r="F27" s="117">
        <v>16.54</v>
      </c>
      <c r="G27" s="117">
        <f>+F27*1.5</f>
        <v>24.81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18" x14ac:dyDescent="0.2">
      <c r="A28" s="109"/>
      <c r="B28" s="116" t="s">
        <v>59</v>
      </c>
      <c r="C28" s="117">
        <v>5.05</v>
      </c>
      <c r="D28" s="117">
        <v>5.05</v>
      </c>
      <c r="E28" s="117">
        <v>15.1</v>
      </c>
      <c r="F28" s="117">
        <v>16.440000000000001</v>
      </c>
      <c r="G28" s="117">
        <v>24.66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  <row r="29" spans="1:18" x14ac:dyDescent="0.2">
      <c r="A29" s="109"/>
      <c r="B29" s="109"/>
      <c r="C29" s="120"/>
      <c r="D29" s="120"/>
      <c r="E29" s="120"/>
      <c r="F29" s="120"/>
      <c r="G29" s="120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</row>
    <row r="30" spans="1:18" x14ac:dyDescent="0.2">
      <c r="A30" s="116">
        <v>2002</v>
      </c>
      <c r="B30" s="116" t="s">
        <v>60</v>
      </c>
      <c r="C30" s="117">
        <v>5.55</v>
      </c>
      <c r="D30" s="117">
        <v>5.55</v>
      </c>
      <c r="E30" s="117">
        <v>15.31</v>
      </c>
      <c r="F30" s="117">
        <v>15.1</v>
      </c>
      <c r="G30" s="117">
        <v>22.65</v>
      </c>
      <c r="H30" s="332"/>
      <c r="M30" s="107"/>
      <c r="N30" s="107"/>
      <c r="O30" s="107"/>
      <c r="P30" s="107"/>
      <c r="Q30" s="107"/>
      <c r="R30" s="107"/>
    </row>
    <row r="31" spans="1:18" x14ac:dyDescent="0.2">
      <c r="A31" s="109"/>
      <c r="B31" s="116" t="s">
        <v>61</v>
      </c>
      <c r="C31" s="117">
        <v>5.19</v>
      </c>
      <c r="D31" s="117">
        <v>5.19</v>
      </c>
      <c r="E31" s="117">
        <v>16.239999999999998</v>
      </c>
      <c r="F31" s="117">
        <v>15.31</v>
      </c>
      <c r="G31" s="117">
        <f t="shared" ref="G31:G41" si="0">+F31*1.5</f>
        <v>22.965</v>
      </c>
      <c r="H31" s="332"/>
      <c r="M31" s="107"/>
      <c r="N31" s="107"/>
      <c r="O31" s="107"/>
      <c r="P31" s="107"/>
      <c r="Q31" s="107"/>
      <c r="R31" s="107"/>
    </row>
    <row r="32" spans="1:18" x14ac:dyDescent="0.2">
      <c r="A32" s="109"/>
      <c r="B32" s="116" t="s">
        <v>50</v>
      </c>
      <c r="C32" s="117">
        <v>4.99</v>
      </c>
      <c r="D32" s="117">
        <v>4.99</v>
      </c>
      <c r="E32" s="117">
        <v>15.42</v>
      </c>
      <c r="F32" s="117">
        <v>16.239999999999998</v>
      </c>
      <c r="G32" s="117">
        <f t="shared" si="0"/>
        <v>24.36</v>
      </c>
      <c r="H32" s="332"/>
      <c r="M32" s="107"/>
      <c r="N32" s="107"/>
      <c r="O32" s="107"/>
      <c r="P32" s="107"/>
      <c r="Q32" s="107"/>
      <c r="R32" s="107"/>
    </row>
    <row r="33" spans="1:18" x14ac:dyDescent="0.2">
      <c r="A33" s="109"/>
      <c r="B33" s="116" t="s">
        <v>51</v>
      </c>
      <c r="C33" s="117">
        <v>5.09</v>
      </c>
      <c r="D33" s="117">
        <v>5.09</v>
      </c>
      <c r="E33" s="117">
        <v>15.24</v>
      </c>
      <c r="F33" s="117">
        <v>15.42</v>
      </c>
      <c r="G33" s="117">
        <f t="shared" si="0"/>
        <v>23.13</v>
      </c>
      <c r="H33" s="332"/>
      <c r="M33" s="107"/>
      <c r="N33" s="107"/>
      <c r="O33" s="107"/>
      <c r="P33" s="107"/>
      <c r="Q33" s="107"/>
      <c r="R33" s="107"/>
    </row>
    <row r="34" spans="1:18" x14ac:dyDescent="0.2">
      <c r="A34" s="109"/>
      <c r="B34" s="116" t="s">
        <v>52</v>
      </c>
      <c r="C34" s="117">
        <v>4.72</v>
      </c>
      <c r="D34" s="117">
        <v>4.72</v>
      </c>
      <c r="E34" s="117">
        <v>13.67</v>
      </c>
      <c r="F34" s="117">
        <v>15.24</v>
      </c>
      <c r="G34" s="117">
        <f t="shared" si="0"/>
        <v>22.86</v>
      </c>
      <c r="H34" s="332"/>
      <c r="M34" s="107"/>
      <c r="N34" s="107"/>
      <c r="O34" s="107"/>
      <c r="P34" s="107"/>
      <c r="Q34" s="107"/>
      <c r="R34" s="107"/>
    </row>
    <row r="35" spans="1:18" x14ac:dyDescent="0.2">
      <c r="A35" s="109"/>
      <c r="B35" s="116" t="s">
        <v>53</v>
      </c>
      <c r="C35" s="117">
        <v>5.05</v>
      </c>
      <c r="D35" s="117">
        <v>5.05</v>
      </c>
      <c r="E35" s="117">
        <v>13.93</v>
      </c>
      <c r="F35" s="117">
        <v>13.67</v>
      </c>
      <c r="G35" s="117">
        <f t="shared" si="0"/>
        <v>20.504999999999999</v>
      </c>
      <c r="H35" s="332"/>
      <c r="M35" s="107"/>
      <c r="N35" s="107"/>
      <c r="O35" s="107"/>
      <c r="P35" s="107"/>
      <c r="Q35" s="107"/>
      <c r="R35" s="107"/>
    </row>
    <row r="36" spans="1:18" x14ac:dyDescent="0.2">
      <c r="A36" s="109"/>
      <c r="B36" s="116" t="s">
        <v>54</v>
      </c>
      <c r="C36" s="117">
        <v>5.42</v>
      </c>
      <c r="D36" s="117">
        <v>5.42</v>
      </c>
      <c r="E36" s="117">
        <v>13.79</v>
      </c>
      <c r="F36" s="117">
        <v>13.93</v>
      </c>
      <c r="G36" s="117">
        <f t="shared" si="0"/>
        <v>20.895</v>
      </c>
      <c r="H36" s="332"/>
      <c r="M36" s="107"/>
      <c r="N36" s="107"/>
      <c r="O36" s="107"/>
      <c r="P36" s="107"/>
      <c r="Q36" s="107"/>
      <c r="R36" s="107"/>
    </row>
    <row r="37" spans="1:18" x14ac:dyDescent="0.2">
      <c r="A37" s="109"/>
      <c r="B37" s="116" t="s">
        <v>55</v>
      </c>
      <c r="C37" s="117">
        <v>4.95</v>
      </c>
      <c r="D37" s="117">
        <v>4.95</v>
      </c>
      <c r="E37" s="117">
        <v>14.14</v>
      </c>
      <c r="F37" s="117">
        <v>13.79</v>
      </c>
      <c r="G37" s="117">
        <f t="shared" si="0"/>
        <v>20.684999999999999</v>
      </c>
      <c r="H37" s="332"/>
      <c r="M37" s="107"/>
      <c r="N37" s="107"/>
      <c r="O37" s="107"/>
      <c r="P37" s="107"/>
      <c r="Q37" s="107"/>
      <c r="R37" s="107"/>
    </row>
    <row r="38" spans="1:18" x14ac:dyDescent="0.2">
      <c r="A38" s="109"/>
      <c r="B38" s="116" t="s">
        <v>56</v>
      </c>
      <c r="C38" s="117">
        <v>5.17</v>
      </c>
      <c r="D38" s="117">
        <v>5.17</v>
      </c>
      <c r="E38" s="117">
        <v>13.52</v>
      </c>
      <c r="F38" s="117">
        <v>14.14</v>
      </c>
      <c r="G38" s="117">
        <f t="shared" si="0"/>
        <v>21.21</v>
      </c>
      <c r="H38" s="332"/>
      <c r="M38" s="107"/>
      <c r="N38" s="107"/>
      <c r="O38" s="107"/>
      <c r="P38" s="107"/>
      <c r="Q38" s="107"/>
      <c r="R38" s="107"/>
    </row>
    <row r="39" spans="1:18" x14ac:dyDescent="0.2">
      <c r="A39" s="109"/>
      <c r="B39" s="116" t="s">
        <v>57</v>
      </c>
      <c r="C39" s="117">
        <v>5.74</v>
      </c>
      <c r="D39" s="117">
        <v>5.74</v>
      </c>
      <c r="E39" s="117">
        <v>13.73</v>
      </c>
      <c r="F39" s="117">
        <v>13.52</v>
      </c>
      <c r="G39" s="117">
        <f t="shared" si="0"/>
        <v>20.28</v>
      </c>
      <c r="H39" s="332"/>
      <c r="M39" s="107"/>
      <c r="N39" s="107"/>
      <c r="O39" s="107"/>
      <c r="P39" s="107"/>
      <c r="Q39" s="107"/>
      <c r="R39" s="107"/>
    </row>
    <row r="40" spans="1:18" x14ac:dyDescent="0.2">
      <c r="A40" s="109"/>
      <c r="B40" s="116" t="s">
        <v>58</v>
      </c>
      <c r="C40" s="117">
        <v>5.09</v>
      </c>
      <c r="D40" s="117">
        <v>5.09</v>
      </c>
      <c r="E40" s="117">
        <v>14.55</v>
      </c>
      <c r="F40" s="117">
        <v>13.73</v>
      </c>
      <c r="G40" s="117">
        <f t="shared" si="0"/>
        <v>20.594999999999999</v>
      </c>
      <c r="H40" s="332"/>
      <c r="M40" s="107"/>
      <c r="N40" s="107"/>
      <c r="O40" s="107"/>
      <c r="P40" s="107"/>
      <c r="Q40" s="107"/>
      <c r="R40" s="107"/>
    </row>
    <row r="41" spans="1:18" x14ac:dyDescent="0.2">
      <c r="A41" s="109"/>
      <c r="B41" s="116" t="s">
        <v>59</v>
      </c>
      <c r="C41" s="117">
        <v>4.97</v>
      </c>
      <c r="D41" s="117">
        <v>4.97</v>
      </c>
      <c r="E41" s="117">
        <v>12.77</v>
      </c>
      <c r="F41" s="117">
        <v>14.55</v>
      </c>
      <c r="G41" s="117">
        <f t="shared" si="0"/>
        <v>21.825000000000003</v>
      </c>
      <c r="H41" s="332"/>
      <c r="M41" s="107"/>
      <c r="N41" s="107"/>
      <c r="O41" s="107"/>
      <c r="P41" s="107"/>
      <c r="Q41" s="107"/>
      <c r="R41" s="107"/>
    </row>
    <row r="42" spans="1:18" x14ac:dyDescent="0.2">
      <c r="A42" s="109"/>
      <c r="B42" s="109"/>
      <c r="C42" s="120"/>
      <c r="D42" s="120"/>
      <c r="E42" s="120"/>
      <c r="F42" s="120"/>
      <c r="G42" s="120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</row>
    <row r="43" spans="1:18" x14ac:dyDescent="0.2">
      <c r="A43" s="116">
        <v>2003</v>
      </c>
      <c r="B43" s="116" t="s">
        <v>60</v>
      </c>
      <c r="C43" s="117">
        <v>5.57</v>
      </c>
      <c r="D43" s="117">
        <v>5.57</v>
      </c>
      <c r="E43" s="117">
        <v>12.45</v>
      </c>
      <c r="F43" s="117">
        <v>12.77</v>
      </c>
      <c r="G43" s="117">
        <v>19.155000000000001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</row>
    <row r="44" spans="1:18" x14ac:dyDescent="0.2">
      <c r="A44" s="109"/>
      <c r="B44" s="116" t="s">
        <v>61</v>
      </c>
      <c r="C44" s="117">
        <v>5.27</v>
      </c>
      <c r="D44" s="117">
        <v>5.27</v>
      </c>
      <c r="E44" s="117">
        <v>12.68</v>
      </c>
      <c r="F44" s="117">
        <v>12.45</v>
      </c>
      <c r="G44" s="117">
        <v>18.675000000000001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</row>
    <row r="45" spans="1:18" x14ac:dyDescent="0.2">
      <c r="A45" s="109"/>
      <c r="B45" s="116" t="s">
        <v>50</v>
      </c>
      <c r="C45" s="117">
        <v>5.2</v>
      </c>
      <c r="D45" s="117">
        <v>5.2</v>
      </c>
      <c r="E45" s="117">
        <v>11.88</v>
      </c>
      <c r="F45" s="117">
        <v>12.68</v>
      </c>
      <c r="G45" s="117">
        <v>19.02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</row>
    <row r="46" spans="1:18" x14ac:dyDescent="0.2">
      <c r="A46" s="109"/>
      <c r="B46" s="116" t="s">
        <v>51</v>
      </c>
      <c r="C46" s="117">
        <v>5.16</v>
      </c>
      <c r="D46" s="117">
        <v>5.16</v>
      </c>
      <c r="E46" s="117">
        <v>12.6</v>
      </c>
      <c r="F46" s="117">
        <v>11.88</v>
      </c>
      <c r="G46" s="117">
        <v>17.82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</row>
    <row r="47" spans="1:18" x14ac:dyDescent="0.2">
      <c r="A47" s="109"/>
      <c r="B47" s="116" t="s">
        <v>52</v>
      </c>
      <c r="C47" s="117">
        <v>5.55</v>
      </c>
      <c r="D47" s="117">
        <v>5.55</v>
      </c>
      <c r="E47" s="117">
        <v>12.22</v>
      </c>
      <c r="F47" s="117">
        <v>12.6</v>
      </c>
      <c r="G47" s="117">
        <v>18.899999999999999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</row>
    <row r="48" spans="1:18" x14ac:dyDescent="0.2">
      <c r="A48" s="109"/>
      <c r="B48" s="116" t="s">
        <v>53</v>
      </c>
      <c r="C48" s="117">
        <v>4.83</v>
      </c>
      <c r="D48" s="117">
        <v>4.83</v>
      </c>
      <c r="E48" s="117">
        <v>12.16</v>
      </c>
      <c r="F48" s="117">
        <v>12.22</v>
      </c>
      <c r="G48" s="117">
        <v>18.329999999999998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</row>
    <row r="49" spans="1:18" x14ac:dyDescent="0.2">
      <c r="A49" s="109"/>
      <c r="B49" s="116" t="s">
        <v>54</v>
      </c>
      <c r="C49" s="117">
        <v>3.95</v>
      </c>
      <c r="D49" s="117">
        <v>5.39</v>
      </c>
      <c r="E49" s="117">
        <v>12.14</v>
      </c>
      <c r="F49" s="117">
        <v>12.16</v>
      </c>
      <c r="G49" s="117">
        <v>18.239999999999998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</row>
    <row r="50" spans="1:18" x14ac:dyDescent="0.2">
      <c r="A50" s="109"/>
      <c r="B50" s="116" t="s">
        <v>55</v>
      </c>
      <c r="C50" s="117">
        <v>3.95</v>
      </c>
      <c r="D50" s="117">
        <v>5.0599999999999996</v>
      </c>
      <c r="E50" s="117">
        <v>12.42</v>
      </c>
      <c r="F50" s="117">
        <v>12.14</v>
      </c>
      <c r="G50" s="117">
        <v>18.21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</row>
    <row r="51" spans="1:18" x14ac:dyDescent="0.2">
      <c r="A51" s="109"/>
      <c r="B51" s="116" t="s">
        <v>56</v>
      </c>
      <c r="C51" s="117">
        <v>3.82</v>
      </c>
      <c r="D51" s="117">
        <v>5.22</v>
      </c>
      <c r="E51" s="117">
        <v>11.29</v>
      </c>
      <c r="F51" s="117">
        <v>12.42</v>
      </c>
      <c r="G51" s="117">
        <v>18.63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</row>
    <row r="52" spans="1:18" x14ac:dyDescent="0.2">
      <c r="A52" s="109"/>
      <c r="B52" s="116" t="s">
        <v>57</v>
      </c>
      <c r="C52" s="117">
        <v>3.59</v>
      </c>
      <c r="D52" s="117">
        <v>5.4</v>
      </c>
      <c r="E52" s="117">
        <v>11.55</v>
      </c>
      <c r="F52" s="117">
        <v>11.29</v>
      </c>
      <c r="G52" s="117">
        <v>16.934999999999999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</row>
    <row r="53" spans="1:18" x14ac:dyDescent="0.2">
      <c r="A53" s="109"/>
      <c r="B53" s="116" t="s">
        <v>58</v>
      </c>
      <c r="C53" s="117">
        <v>3.4</v>
      </c>
      <c r="D53" s="117">
        <v>5.44</v>
      </c>
      <c r="E53" s="117">
        <v>11.8</v>
      </c>
      <c r="F53" s="117">
        <v>11.55</v>
      </c>
      <c r="G53" s="117">
        <v>17.324999999999999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</row>
    <row r="54" spans="1:18" x14ac:dyDescent="0.2">
      <c r="A54" s="109"/>
      <c r="B54" s="116" t="s">
        <v>59</v>
      </c>
      <c r="C54" s="117">
        <v>2.75</v>
      </c>
      <c r="D54" s="117">
        <v>5.51</v>
      </c>
      <c r="E54" s="117">
        <v>11.19</v>
      </c>
      <c r="F54" s="117">
        <v>11.8</v>
      </c>
      <c r="G54" s="117">
        <v>17.7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</row>
    <row r="55" spans="1:18" x14ac:dyDescent="0.2">
      <c r="A55" s="109"/>
      <c r="B55" s="109"/>
      <c r="C55" s="120"/>
      <c r="D55" s="120"/>
      <c r="E55" s="120"/>
      <c r="F55" s="120"/>
      <c r="G55" s="120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</row>
    <row r="56" spans="1:18" x14ac:dyDescent="0.2">
      <c r="A56" s="116">
        <v>2004</v>
      </c>
      <c r="B56" s="116" t="s">
        <v>60</v>
      </c>
      <c r="C56" s="117">
        <v>2.5</v>
      </c>
      <c r="D56" s="117">
        <v>4.42</v>
      </c>
      <c r="E56" s="117">
        <v>11.31</v>
      </c>
      <c r="F56" s="117">
        <v>11.19</v>
      </c>
      <c r="G56" s="117">
        <v>16.785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</row>
    <row r="57" spans="1:18" x14ac:dyDescent="0.2">
      <c r="A57" s="109"/>
      <c r="B57" s="116" t="s">
        <v>61</v>
      </c>
      <c r="C57" s="117">
        <v>2.52</v>
      </c>
      <c r="D57" s="117">
        <v>4.8899999999999997</v>
      </c>
      <c r="E57" s="117">
        <v>13.18</v>
      </c>
      <c r="F57" s="117">
        <v>11.31</v>
      </c>
      <c r="G57" s="117">
        <v>16.965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</row>
    <row r="58" spans="1:18" x14ac:dyDescent="0.2">
      <c r="A58" s="109"/>
      <c r="B58" s="116" t="s">
        <v>50</v>
      </c>
      <c r="C58" s="117">
        <v>2.4</v>
      </c>
      <c r="D58" s="117">
        <v>4.4400000000000004</v>
      </c>
      <c r="E58" s="117">
        <v>10.84</v>
      </c>
      <c r="F58" s="117">
        <v>13.18</v>
      </c>
      <c r="G58" s="117">
        <v>19.77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</row>
    <row r="59" spans="1:18" x14ac:dyDescent="0.2">
      <c r="A59" s="109"/>
      <c r="B59" s="116" t="s">
        <v>51</v>
      </c>
      <c r="C59" s="117">
        <v>2.2000000000000002</v>
      </c>
      <c r="D59" s="117">
        <v>4.29</v>
      </c>
      <c r="E59" s="117">
        <v>10.44</v>
      </c>
      <c r="F59" s="117">
        <v>10.84</v>
      </c>
      <c r="G59" s="117">
        <v>16.260000000000002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</row>
    <row r="60" spans="1:18" x14ac:dyDescent="0.2">
      <c r="A60" s="109"/>
      <c r="B60" s="116" t="s">
        <v>52</v>
      </c>
      <c r="C60" s="117">
        <v>2.0499999999999998</v>
      </c>
      <c r="D60" s="117">
        <v>3.93</v>
      </c>
      <c r="E60" s="117">
        <v>9.77</v>
      </c>
      <c r="F60" s="117">
        <v>10.44</v>
      </c>
      <c r="G60" s="117">
        <v>15.66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</row>
    <row r="61" spans="1:18" x14ac:dyDescent="0.2">
      <c r="A61" s="109"/>
      <c r="B61" s="116" t="s">
        <v>53</v>
      </c>
      <c r="C61" s="117">
        <v>2</v>
      </c>
      <c r="D61" s="117">
        <v>4.07</v>
      </c>
      <c r="E61" s="117">
        <v>10.16</v>
      </c>
      <c r="F61" s="117">
        <v>9.77</v>
      </c>
      <c r="G61" s="117">
        <v>14.654999999999999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</row>
    <row r="62" spans="1:18" x14ac:dyDescent="0.2">
      <c r="A62" s="109"/>
      <c r="B62" s="116" t="s">
        <v>54</v>
      </c>
      <c r="C62" s="117">
        <v>2</v>
      </c>
      <c r="D62" s="117">
        <v>3.61</v>
      </c>
      <c r="E62" s="117">
        <v>10.69</v>
      </c>
      <c r="F62" s="117">
        <v>10.16</v>
      </c>
      <c r="G62" s="117">
        <v>14.66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</row>
    <row r="63" spans="1:18" x14ac:dyDescent="0.2">
      <c r="A63" s="109"/>
      <c r="B63" s="116" t="s">
        <v>55</v>
      </c>
      <c r="C63" s="117">
        <v>2</v>
      </c>
      <c r="D63" s="117">
        <v>3.53</v>
      </c>
      <c r="E63" s="117">
        <v>10.76</v>
      </c>
      <c r="F63" s="117">
        <v>10.69</v>
      </c>
      <c r="G63" s="117">
        <v>14.66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</row>
    <row r="64" spans="1:18" x14ac:dyDescent="0.2">
      <c r="A64" s="109"/>
      <c r="B64" s="116" t="s">
        <v>56</v>
      </c>
      <c r="C64" s="117">
        <v>2</v>
      </c>
      <c r="D64" s="117">
        <v>3.78</v>
      </c>
      <c r="E64" s="117">
        <v>9.65</v>
      </c>
      <c r="F64" s="117">
        <v>10.76</v>
      </c>
      <c r="G64" s="117">
        <v>14.66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</row>
    <row r="65" spans="1:18" x14ac:dyDescent="0.2">
      <c r="A65" s="109"/>
      <c r="B65" s="116" t="s">
        <v>57</v>
      </c>
      <c r="C65" s="117">
        <v>2.0499999999999998</v>
      </c>
      <c r="D65" s="117">
        <v>3.6</v>
      </c>
      <c r="E65" s="117">
        <v>9.93</v>
      </c>
      <c r="F65" s="117">
        <v>9.65</v>
      </c>
      <c r="G65" s="117">
        <v>14.66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</row>
    <row r="66" spans="1:18" x14ac:dyDescent="0.2">
      <c r="A66" s="109"/>
      <c r="B66" s="116" t="s">
        <v>58</v>
      </c>
      <c r="C66" s="117">
        <v>2.06</v>
      </c>
      <c r="D66" s="117">
        <v>3.7</v>
      </c>
      <c r="E66" s="117">
        <v>9.86</v>
      </c>
      <c r="F66" s="117">
        <v>9.93</v>
      </c>
      <c r="G66" s="117">
        <v>14.66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</row>
    <row r="67" spans="1:18" x14ac:dyDescent="0.2">
      <c r="A67" s="109"/>
      <c r="B67" s="116" t="s">
        <v>59</v>
      </c>
      <c r="C67" s="117">
        <v>2.15</v>
      </c>
      <c r="D67" s="117">
        <v>3.97</v>
      </c>
      <c r="E67" s="117">
        <v>8.0299999999999994</v>
      </c>
      <c r="F67" s="117">
        <v>9.86</v>
      </c>
      <c r="G67" s="117">
        <v>14.66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</row>
    <row r="68" spans="1:18" x14ac:dyDescent="0.2">
      <c r="A68" s="109"/>
      <c r="B68" s="109"/>
      <c r="C68" s="120"/>
      <c r="D68" s="120"/>
      <c r="E68" s="120"/>
      <c r="F68" s="120"/>
      <c r="G68" s="120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</row>
    <row r="69" spans="1:18" x14ac:dyDescent="0.2">
      <c r="A69" s="116">
        <v>2005</v>
      </c>
      <c r="B69" s="116" t="s">
        <v>60</v>
      </c>
      <c r="C69" s="117">
        <v>2.3199999999999998</v>
      </c>
      <c r="D69" s="117">
        <v>3.48</v>
      </c>
      <c r="E69" s="117">
        <v>8.14</v>
      </c>
      <c r="F69" s="117">
        <v>8.0299999999999994</v>
      </c>
      <c r="G69" s="117">
        <v>12.05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</row>
    <row r="70" spans="1:18" x14ac:dyDescent="0.2">
      <c r="A70" s="109"/>
      <c r="B70" s="116" t="s">
        <v>61</v>
      </c>
      <c r="C70" s="117">
        <v>2.4</v>
      </c>
      <c r="D70" s="117">
        <v>3.67</v>
      </c>
      <c r="E70" s="117">
        <v>8.59</v>
      </c>
      <c r="F70" s="117">
        <v>8.14</v>
      </c>
      <c r="G70" s="117">
        <v>12.21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</row>
    <row r="71" spans="1:18" x14ac:dyDescent="0.2">
      <c r="A71" s="109"/>
      <c r="B71" s="116" t="s">
        <v>50</v>
      </c>
      <c r="C71" s="117">
        <v>2.5</v>
      </c>
      <c r="D71" s="117">
        <v>3.6</v>
      </c>
      <c r="E71" s="117">
        <v>9</v>
      </c>
      <c r="F71" s="117">
        <v>8.59</v>
      </c>
      <c r="G71" s="117">
        <v>12.885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</row>
    <row r="72" spans="1:18" x14ac:dyDescent="0.2">
      <c r="A72" s="109"/>
      <c r="B72" s="116" t="s">
        <v>51</v>
      </c>
      <c r="C72" s="117">
        <v>2.38</v>
      </c>
      <c r="D72" s="117">
        <v>3.67</v>
      </c>
      <c r="E72" s="117">
        <v>8.9499999999999993</v>
      </c>
      <c r="F72" s="117">
        <v>10.75</v>
      </c>
      <c r="G72" s="117">
        <v>16.125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</row>
    <row r="73" spans="1:18" x14ac:dyDescent="0.2">
      <c r="A73" s="109"/>
      <c r="B73" s="116" t="s">
        <v>52</v>
      </c>
      <c r="C73" s="117">
        <v>2.68</v>
      </c>
      <c r="D73" s="117">
        <v>3.58</v>
      </c>
      <c r="E73" s="117">
        <v>10.65</v>
      </c>
      <c r="F73" s="117">
        <v>8.9499999999999993</v>
      </c>
      <c r="G73" s="117">
        <v>13.425000000000001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</row>
    <row r="74" spans="1:18" x14ac:dyDescent="0.2">
      <c r="A74" s="109"/>
      <c r="B74" s="116" t="s">
        <v>53</v>
      </c>
      <c r="C74" s="117">
        <v>2.67</v>
      </c>
      <c r="D74" s="117">
        <v>3.84</v>
      </c>
      <c r="E74" s="117">
        <v>8.8800000000000008</v>
      </c>
      <c r="F74" s="117">
        <v>10.65</v>
      </c>
      <c r="G74" s="117">
        <v>13.43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</row>
    <row r="75" spans="1:18" x14ac:dyDescent="0.2">
      <c r="A75" s="109"/>
      <c r="B75" s="116" t="s">
        <v>54</v>
      </c>
      <c r="C75" s="117">
        <v>2.87</v>
      </c>
      <c r="D75" s="117">
        <v>3.92</v>
      </c>
      <c r="E75" s="117">
        <v>9.23</v>
      </c>
      <c r="F75" s="117">
        <v>8.8800000000000008</v>
      </c>
      <c r="G75" s="117">
        <v>13.43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</row>
    <row r="76" spans="1:18" x14ac:dyDescent="0.2">
      <c r="A76" s="109"/>
      <c r="B76" s="116" t="s">
        <v>55</v>
      </c>
      <c r="C76" s="117">
        <v>3.08</v>
      </c>
      <c r="D76" s="117">
        <v>3.71</v>
      </c>
      <c r="E76" s="117">
        <v>8.24</v>
      </c>
      <c r="F76" s="117">
        <v>9.23</v>
      </c>
      <c r="G76" s="117">
        <v>13.43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</row>
    <row r="77" spans="1:18" x14ac:dyDescent="0.2">
      <c r="A77" s="109"/>
      <c r="B77" s="116" t="s">
        <v>56</v>
      </c>
      <c r="C77" s="117">
        <v>3.15</v>
      </c>
      <c r="D77" s="117">
        <v>3.88</v>
      </c>
      <c r="E77" s="117">
        <v>7.77</v>
      </c>
      <c r="F77" s="117">
        <v>8.24</v>
      </c>
      <c r="G77" s="117">
        <v>13.43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</row>
    <row r="78" spans="1:18" x14ac:dyDescent="0.2">
      <c r="A78" s="109"/>
      <c r="B78" s="116" t="s">
        <v>57</v>
      </c>
      <c r="C78" s="117">
        <v>3.26</v>
      </c>
      <c r="D78" s="117">
        <v>3.95</v>
      </c>
      <c r="E78" s="117">
        <v>8.07</v>
      </c>
      <c r="F78" s="117">
        <v>7.77</v>
      </c>
      <c r="G78" s="117">
        <v>13.43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</row>
    <row r="79" spans="1:18" x14ac:dyDescent="0.2">
      <c r="A79" s="109"/>
      <c r="B79" s="116" t="s">
        <v>58</v>
      </c>
      <c r="C79" s="117">
        <v>3</v>
      </c>
      <c r="D79" s="117">
        <v>4.1100000000000003</v>
      </c>
      <c r="E79" s="117">
        <v>9.61</v>
      </c>
      <c r="F79" s="117">
        <v>8.07</v>
      </c>
      <c r="G79" s="117">
        <v>13.43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</row>
    <row r="80" spans="1:18" x14ac:dyDescent="0.2">
      <c r="A80" s="109"/>
      <c r="B80" s="116" t="s">
        <v>59</v>
      </c>
      <c r="C80" s="117">
        <v>2.99</v>
      </c>
      <c r="D80" s="117">
        <v>4.3</v>
      </c>
      <c r="E80" s="117">
        <v>8.99</v>
      </c>
      <c r="F80" s="117">
        <v>9.61</v>
      </c>
      <c r="G80" s="117">
        <v>13.43</v>
      </c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</row>
    <row r="81" spans="1:18" x14ac:dyDescent="0.2">
      <c r="A81" s="109"/>
      <c r="B81" s="109"/>
      <c r="C81" s="120"/>
      <c r="D81" s="120"/>
      <c r="E81" s="120"/>
      <c r="F81" s="120"/>
      <c r="G81" s="120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</row>
    <row r="82" spans="1:18" x14ac:dyDescent="0.2">
      <c r="A82" s="116">
        <v>2006</v>
      </c>
      <c r="B82" s="116" t="s">
        <v>60</v>
      </c>
      <c r="C82" s="117">
        <v>2.99</v>
      </c>
      <c r="D82" s="117">
        <v>4.26</v>
      </c>
      <c r="E82" s="117">
        <v>8.2899999999999991</v>
      </c>
      <c r="F82" s="117">
        <v>8.99</v>
      </c>
      <c r="G82" s="117">
        <v>13.484999999999999</v>
      </c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</row>
    <row r="83" spans="1:18" x14ac:dyDescent="0.2">
      <c r="A83" s="109"/>
      <c r="B83" s="116" t="s">
        <v>61</v>
      </c>
      <c r="C83" s="117">
        <v>3</v>
      </c>
      <c r="D83" s="117">
        <v>4.16</v>
      </c>
      <c r="E83" s="117">
        <v>8.76</v>
      </c>
      <c r="F83" s="117">
        <v>8.2899999999999991</v>
      </c>
      <c r="G83" s="117">
        <v>12.44</v>
      </c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</row>
    <row r="84" spans="1:18" x14ac:dyDescent="0.2">
      <c r="A84" s="109"/>
      <c r="B84" s="116" t="s">
        <v>50</v>
      </c>
      <c r="C84" s="117">
        <v>2.95</v>
      </c>
      <c r="D84" s="117">
        <v>3.93</v>
      </c>
      <c r="E84" s="117">
        <v>8.9</v>
      </c>
      <c r="F84" s="117">
        <v>8.76</v>
      </c>
      <c r="G84" s="117">
        <v>13.14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</row>
    <row r="85" spans="1:18" x14ac:dyDescent="0.2">
      <c r="A85" s="109"/>
      <c r="B85" s="116" t="s">
        <v>51</v>
      </c>
      <c r="C85" s="117">
        <v>2.95</v>
      </c>
      <c r="D85" s="117">
        <v>4.21</v>
      </c>
      <c r="E85" s="117">
        <v>8.11</v>
      </c>
      <c r="F85" s="117">
        <v>8.9</v>
      </c>
      <c r="G85" s="117">
        <v>13.35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</row>
    <row r="86" spans="1:18" x14ac:dyDescent="0.2">
      <c r="A86" s="109"/>
      <c r="B86" s="116" t="s">
        <v>52</v>
      </c>
      <c r="C86" s="117">
        <v>2.94</v>
      </c>
      <c r="D86" s="117">
        <v>4.28</v>
      </c>
      <c r="E86" s="117">
        <v>9.17</v>
      </c>
      <c r="F86" s="117">
        <v>8.11</v>
      </c>
      <c r="G86" s="117">
        <v>12.17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</row>
    <row r="87" spans="1:18" x14ac:dyDescent="0.2">
      <c r="A87" s="109"/>
      <c r="B87" s="116" t="s">
        <v>53</v>
      </c>
      <c r="C87" s="117">
        <v>2.94</v>
      </c>
      <c r="D87" s="117">
        <v>4.13</v>
      </c>
      <c r="E87" s="117">
        <v>8.51</v>
      </c>
      <c r="F87" s="117">
        <v>9.17</v>
      </c>
      <c r="G87" s="117">
        <v>13.76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</row>
    <row r="88" spans="1:18" x14ac:dyDescent="0.2">
      <c r="A88" s="109"/>
      <c r="B88" s="116" t="s">
        <v>54</v>
      </c>
      <c r="C88" s="117">
        <v>2.93</v>
      </c>
      <c r="D88" s="117">
        <v>4.3499999999999996</v>
      </c>
      <c r="E88" s="117">
        <v>8.5299999999999994</v>
      </c>
      <c r="F88" s="117">
        <v>8.51</v>
      </c>
      <c r="G88" s="117">
        <v>12.77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</row>
    <row r="89" spans="1:18" x14ac:dyDescent="0.2">
      <c r="A89" s="109"/>
      <c r="B89" s="116" t="s">
        <v>55</v>
      </c>
      <c r="C89" s="117">
        <v>2.95</v>
      </c>
      <c r="D89" s="117">
        <v>4.13</v>
      </c>
      <c r="E89" s="117">
        <v>9.42</v>
      </c>
      <c r="F89" s="117">
        <v>8.5299999999999994</v>
      </c>
      <c r="G89" s="117">
        <v>12.8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</row>
    <row r="90" spans="1:18" x14ac:dyDescent="0.2">
      <c r="A90" s="109"/>
      <c r="B90" s="116" t="s">
        <v>56</v>
      </c>
      <c r="C90" s="117">
        <v>3.03</v>
      </c>
      <c r="D90" s="117">
        <v>4.3600000000000003</v>
      </c>
      <c r="E90" s="117">
        <v>8.77</v>
      </c>
      <c r="F90" s="117">
        <v>9.42</v>
      </c>
      <c r="G90" s="117">
        <v>14.13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</row>
    <row r="91" spans="1:18" x14ac:dyDescent="0.2">
      <c r="A91" s="109"/>
      <c r="B91" s="116" t="s">
        <v>57</v>
      </c>
      <c r="C91" s="117">
        <v>2.93</v>
      </c>
      <c r="D91" s="117">
        <v>4.72</v>
      </c>
      <c r="E91" s="117">
        <v>8.6</v>
      </c>
      <c r="F91" s="117">
        <v>8.77</v>
      </c>
      <c r="G91" s="117">
        <v>13.16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</row>
    <row r="92" spans="1:18" x14ac:dyDescent="0.2">
      <c r="A92" s="109"/>
      <c r="B92" s="116" t="s">
        <v>58</v>
      </c>
      <c r="C92" s="117">
        <v>2.92</v>
      </c>
      <c r="D92" s="117">
        <v>4.78</v>
      </c>
      <c r="E92" s="117">
        <v>9.2200000000000006</v>
      </c>
      <c r="F92" s="117">
        <v>8.6</v>
      </c>
      <c r="G92" s="117">
        <v>12.9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</row>
    <row r="93" spans="1:18" x14ac:dyDescent="0.2">
      <c r="A93" s="109"/>
      <c r="B93" s="116" t="s">
        <v>59</v>
      </c>
      <c r="C93" s="117">
        <v>2.92</v>
      </c>
      <c r="D93" s="117">
        <v>4.87</v>
      </c>
      <c r="E93" s="117">
        <v>9.86</v>
      </c>
      <c r="F93" s="117">
        <v>9.2200000000000006</v>
      </c>
      <c r="G93" s="117">
        <v>13.83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</row>
    <row r="94" spans="1:18" x14ac:dyDescent="0.2">
      <c r="A94" s="109"/>
      <c r="B94" s="109"/>
      <c r="C94" s="120"/>
      <c r="D94" s="120"/>
      <c r="E94" s="120"/>
      <c r="F94" s="120"/>
      <c r="G94" s="120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</row>
    <row r="95" spans="1:18" x14ac:dyDescent="0.2">
      <c r="A95" s="116">
        <v>2007</v>
      </c>
      <c r="B95" s="116" t="s">
        <v>60</v>
      </c>
      <c r="C95" s="117">
        <v>2.93</v>
      </c>
      <c r="D95" s="117">
        <v>4.79</v>
      </c>
      <c r="E95" s="117">
        <v>8.9</v>
      </c>
      <c r="F95" s="117">
        <v>9.86</v>
      </c>
      <c r="G95" s="117">
        <v>14.79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</row>
    <row r="96" spans="1:18" x14ac:dyDescent="0.2">
      <c r="A96" s="109"/>
      <c r="B96" s="116" t="s">
        <v>61</v>
      </c>
      <c r="C96" s="117">
        <v>4.93</v>
      </c>
      <c r="D96" s="117">
        <v>4.93</v>
      </c>
      <c r="E96" s="117">
        <v>9.51</v>
      </c>
      <c r="F96" s="117">
        <v>8.9</v>
      </c>
      <c r="G96" s="117">
        <v>13.35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</row>
    <row r="97" spans="1:18" x14ac:dyDescent="0.2">
      <c r="A97" s="109"/>
      <c r="B97" s="116" t="s">
        <v>50</v>
      </c>
      <c r="C97" s="117">
        <v>5.33</v>
      </c>
      <c r="D97" s="117">
        <v>5.33</v>
      </c>
      <c r="E97" s="117">
        <v>9.3800000000000008</v>
      </c>
      <c r="F97" s="117">
        <v>9.51</v>
      </c>
      <c r="G97" s="117">
        <v>14.27</v>
      </c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</row>
    <row r="98" spans="1:18" x14ac:dyDescent="0.2">
      <c r="A98" s="109"/>
      <c r="B98" s="116" t="s">
        <v>51</v>
      </c>
      <c r="C98" s="117">
        <v>5.44</v>
      </c>
      <c r="D98" s="117">
        <v>5.44</v>
      </c>
      <c r="E98" s="117">
        <v>9.98</v>
      </c>
      <c r="F98" s="117">
        <v>9.3800000000000008</v>
      </c>
      <c r="G98" s="117">
        <v>14.07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</row>
    <row r="99" spans="1:18" x14ac:dyDescent="0.2">
      <c r="A99" s="109"/>
      <c r="B99" s="116" t="s">
        <v>52</v>
      </c>
      <c r="C99" s="117">
        <v>4.92</v>
      </c>
      <c r="D99" s="117">
        <v>4.92</v>
      </c>
      <c r="E99" s="117">
        <v>10.26</v>
      </c>
      <c r="F99" s="117">
        <v>9.98</v>
      </c>
      <c r="G99" s="117">
        <v>14.97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</row>
    <row r="100" spans="1:18" x14ac:dyDescent="0.2">
      <c r="A100" s="109"/>
      <c r="B100" s="116" t="s">
        <v>53</v>
      </c>
      <c r="C100" s="117">
        <v>5.23</v>
      </c>
      <c r="D100" s="117">
        <v>5.23</v>
      </c>
      <c r="E100" s="117">
        <v>8.99</v>
      </c>
      <c r="F100" s="117">
        <v>10.26</v>
      </c>
      <c r="G100" s="117">
        <v>15.39</v>
      </c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</row>
    <row r="101" spans="1:18" x14ac:dyDescent="0.2">
      <c r="A101" s="109"/>
      <c r="B101" s="116" t="s">
        <v>54</v>
      </c>
      <c r="C101" s="117">
        <v>5.07</v>
      </c>
      <c r="D101" s="117">
        <v>5.07</v>
      </c>
      <c r="E101" s="117">
        <v>9.9700000000000006</v>
      </c>
      <c r="F101" s="117">
        <v>10.85</v>
      </c>
      <c r="G101" s="117">
        <v>13.49</v>
      </c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</row>
    <row r="102" spans="1:18" x14ac:dyDescent="0.2">
      <c r="A102" s="121"/>
      <c r="B102" s="121"/>
      <c r="C102" s="122"/>
      <c r="D102" s="122"/>
      <c r="E102" s="122"/>
      <c r="F102" s="122"/>
      <c r="G102" s="122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</row>
    <row r="103" spans="1:18" x14ac:dyDescent="0.2">
      <c r="A103" s="109"/>
      <c r="B103" s="109"/>
      <c r="C103" s="120"/>
      <c r="D103" s="120"/>
      <c r="E103" s="120"/>
      <c r="F103" s="120"/>
      <c r="G103" s="120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</row>
    <row r="105" spans="1:18" x14ac:dyDescent="0.2">
      <c r="A105" s="410"/>
    </row>
    <row r="106" spans="1:18" x14ac:dyDescent="0.2">
      <c r="A106" s="124" t="s">
        <v>598</v>
      </c>
    </row>
    <row r="111" spans="1:18" x14ac:dyDescent="0.2">
      <c r="A111" s="125"/>
      <c r="C111" s="120"/>
      <c r="D111" s="120"/>
      <c r="E111" s="120"/>
      <c r="F111" s="120"/>
      <c r="G111" s="120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</row>
    <row r="112" spans="1:18" x14ac:dyDescent="0.2">
      <c r="A112" s="107"/>
      <c r="B112" s="107"/>
      <c r="C112" s="120"/>
      <c r="D112" s="120"/>
      <c r="E112" s="120"/>
      <c r="F112" s="120"/>
      <c r="G112" s="120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</row>
  </sheetData>
  <mergeCells count="3">
    <mergeCell ref="A1:G1"/>
    <mergeCell ref="C3:G3"/>
    <mergeCell ref="A3:B4"/>
  </mergeCells>
  <hyperlinks>
    <hyperlink ref="A106" location="'indice cap.1'!A1" display="regresar al índice" xr:uid="{00000000-0004-0000-0600-000000000000}"/>
  </hyperlinks>
  <pageMargins left="0.70866141732283472" right="0.70866141732283472" top="0.74803149606299213" bottom="0.74803149606299213" header="0.31496062992125984" footer="0.31496062992125984"/>
  <pageSetup paperSize="9" scale="90" orientation="portrait" verticalDpi="599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8"/>
  <sheetViews>
    <sheetView showGridLines="0" workbookViewId="0">
      <selection activeCell="A132" sqref="A132"/>
    </sheetView>
  </sheetViews>
  <sheetFormatPr defaultColWidth="11.42578125" defaultRowHeight="12.75" x14ac:dyDescent="0.2"/>
  <cols>
    <col min="1" max="1" width="7.7109375" style="108" customWidth="1"/>
    <col min="2" max="2" width="15.7109375" style="108" customWidth="1"/>
    <col min="3" max="6" width="15.7109375" style="123" customWidth="1"/>
    <col min="7" max="16384" width="11.42578125" style="108"/>
  </cols>
  <sheetData>
    <row r="1" spans="1:17" x14ac:dyDescent="0.2">
      <c r="A1" s="493" t="s">
        <v>908</v>
      </c>
      <c r="B1" s="493"/>
      <c r="C1" s="493"/>
      <c r="D1" s="493"/>
      <c r="E1" s="493"/>
      <c r="F1" s="493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x14ac:dyDescent="0.2">
      <c r="A2" s="109"/>
      <c r="B2" s="110"/>
      <c r="C2" s="115"/>
      <c r="D2" s="115"/>
      <c r="E2" s="115"/>
      <c r="F2" s="115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8.95" customHeight="1" x14ac:dyDescent="0.2">
      <c r="A3" s="511" t="s">
        <v>45</v>
      </c>
      <c r="B3" s="508"/>
      <c r="C3" s="508" t="s">
        <v>720</v>
      </c>
      <c r="D3" s="509"/>
      <c r="E3" s="509"/>
      <c r="F3" s="510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s="130" customFormat="1" ht="40.5" customHeight="1" x14ac:dyDescent="0.25">
      <c r="A4" s="512"/>
      <c r="B4" s="513"/>
      <c r="C4" s="414" t="s">
        <v>719</v>
      </c>
      <c r="D4" s="414" t="s">
        <v>718</v>
      </c>
      <c r="E4" s="414" t="s">
        <v>717</v>
      </c>
      <c r="F4" s="131" t="s">
        <v>867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x14ac:dyDescent="0.2">
      <c r="A5" s="110"/>
      <c r="B5" s="110"/>
      <c r="C5" s="115"/>
      <c r="D5" s="115"/>
      <c r="E5" s="115"/>
      <c r="F5" s="115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2" customHeight="1" x14ac:dyDescent="0.2">
      <c r="A6" s="116">
        <v>2007</v>
      </c>
      <c r="B6" s="116" t="s">
        <v>55</v>
      </c>
      <c r="C6" s="132">
        <v>5.53</v>
      </c>
      <c r="D6" s="132">
        <v>10.92</v>
      </c>
      <c r="E6" s="132">
        <v>9.9700000000000006</v>
      </c>
      <c r="F6" s="133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ht="12" customHeight="1" x14ac:dyDescent="0.2">
      <c r="A7" s="109"/>
      <c r="B7" s="116" t="s">
        <v>56</v>
      </c>
      <c r="C7" s="132">
        <v>5.61</v>
      </c>
      <c r="D7" s="132">
        <v>10.82</v>
      </c>
      <c r="E7" s="132">
        <v>10.82</v>
      </c>
      <c r="F7" s="133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2" customHeight="1" x14ac:dyDescent="0.2">
      <c r="A8" s="109"/>
      <c r="B8" s="116" t="s">
        <v>57</v>
      </c>
      <c r="C8" s="132">
        <v>5.63</v>
      </c>
      <c r="D8" s="132">
        <v>10.7</v>
      </c>
      <c r="E8" s="132">
        <v>10.7</v>
      </c>
      <c r="F8" s="133">
        <v>13.04</v>
      </c>
      <c r="G8" s="119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2" customHeight="1" x14ac:dyDescent="0.2">
      <c r="A9" s="109"/>
      <c r="B9" s="116" t="s">
        <v>58</v>
      </c>
      <c r="C9" s="132">
        <v>5.79</v>
      </c>
      <c r="D9" s="132">
        <v>10.55</v>
      </c>
      <c r="E9" s="132">
        <v>10.55</v>
      </c>
      <c r="F9" s="133">
        <v>12.28</v>
      </c>
      <c r="G9" s="119"/>
      <c r="H9" s="107"/>
      <c r="I9" s="107"/>
      <c r="J9" s="107"/>
      <c r="K9" s="107"/>
      <c r="L9" s="107"/>
      <c r="M9" s="107"/>
      <c r="N9" s="107"/>
      <c r="O9" s="107"/>
      <c r="P9" s="107"/>
      <c r="Q9" s="107"/>
    </row>
    <row r="10" spans="1:17" ht="12" customHeight="1" x14ac:dyDescent="0.2">
      <c r="A10" s="109"/>
      <c r="B10" s="116" t="s">
        <v>59</v>
      </c>
      <c r="C10" s="132">
        <v>5.64</v>
      </c>
      <c r="D10" s="132">
        <v>10.72</v>
      </c>
      <c r="E10" s="132">
        <v>10.72</v>
      </c>
      <c r="F10" s="133">
        <v>12.28</v>
      </c>
      <c r="G10" s="119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12" customHeight="1" x14ac:dyDescent="0.2">
      <c r="A11" s="109"/>
      <c r="B11" s="109"/>
      <c r="C11" s="126"/>
      <c r="D11" s="126"/>
      <c r="E11" s="126"/>
      <c r="F11" s="127"/>
      <c r="G11" s="119"/>
      <c r="H11" s="107"/>
      <c r="I11" s="107"/>
      <c r="J11" s="107"/>
      <c r="K11" s="107"/>
      <c r="L11" s="107"/>
      <c r="M11" s="107"/>
      <c r="N11" s="107"/>
      <c r="O11" s="107"/>
      <c r="P11" s="107"/>
      <c r="Q11" s="107"/>
    </row>
    <row r="12" spans="1:17" ht="12" customHeight="1" x14ac:dyDescent="0.2">
      <c r="A12" s="116">
        <v>2008</v>
      </c>
      <c r="B12" s="116" t="s">
        <v>60</v>
      </c>
      <c r="C12" s="132">
        <v>5.91</v>
      </c>
      <c r="D12" s="132">
        <v>10.74</v>
      </c>
      <c r="E12" s="132">
        <v>10.74</v>
      </c>
      <c r="F12" s="133">
        <v>11.81</v>
      </c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12" customHeight="1" x14ac:dyDescent="0.2">
      <c r="A13" s="109"/>
      <c r="B13" s="116" t="s">
        <v>61</v>
      </c>
      <c r="C13" s="132">
        <v>5.97</v>
      </c>
      <c r="D13" s="132">
        <v>10.5</v>
      </c>
      <c r="E13" s="132">
        <v>10.5</v>
      </c>
      <c r="F13" s="133">
        <v>11.55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</row>
    <row r="14" spans="1:17" ht="12" customHeight="1" x14ac:dyDescent="0.2">
      <c r="A14" s="109"/>
      <c r="B14" s="116" t="s">
        <v>50</v>
      </c>
      <c r="C14" s="132">
        <v>5.96</v>
      </c>
      <c r="D14" s="132">
        <v>10.43</v>
      </c>
      <c r="E14" s="132">
        <v>10.43</v>
      </c>
      <c r="F14" s="133">
        <v>11.26</v>
      </c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</row>
    <row r="15" spans="1:17" ht="12" customHeight="1" x14ac:dyDescent="0.2">
      <c r="A15" s="109"/>
      <c r="B15" s="116" t="s">
        <v>51</v>
      </c>
      <c r="C15" s="132">
        <v>5.96</v>
      </c>
      <c r="D15" s="132">
        <v>10.17</v>
      </c>
      <c r="E15" s="132">
        <v>10.17</v>
      </c>
      <c r="F15" s="133">
        <v>10.9</v>
      </c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</row>
    <row r="16" spans="1:17" ht="12" customHeight="1" x14ac:dyDescent="0.2">
      <c r="A16" s="109"/>
      <c r="B16" s="116" t="s">
        <v>52</v>
      </c>
      <c r="C16" s="132">
        <v>5.86</v>
      </c>
      <c r="D16" s="132">
        <v>10.14</v>
      </c>
      <c r="E16" s="132">
        <v>10</v>
      </c>
      <c r="F16" s="133">
        <v>10</v>
      </c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</row>
    <row r="17" spans="1:17" ht="12" customHeight="1" x14ac:dyDescent="0.2">
      <c r="A17" s="109"/>
      <c r="B17" s="116" t="s">
        <v>53</v>
      </c>
      <c r="C17" s="132">
        <v>5.45</v>
      </c>
      <c r="D17" s="132">
        <v>9.59</v>
      </c>
      <c r="E17" s="132">
        <v>9.59</v>
      </c>
      <c r="F17" s="133">
        <v>10</v>
      </c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</row>
    <row r="18" spans="1:17" ht="12" customHeight="1" x14ac:dyDescent="0.2">
      <c r="A18" s="109"/>
      <c r="B18" s="116" t="s">
        <v>54</v>
      </c>
      <c r="C18" s="132">
        <v>5.36</v>
      </c>
      <c r="D18" s="132">
        <v>9.52</v>
      </c>
      <c r="E18" s="132">
        <v>9.52</v>
      </c>
      <c r="F18" s="133">
        <v>9.83</v>
      </c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</row>
    <row r="19" spans="1:17" ht="12" customHeight="1" x14ac:dyDescent="0.2">
      <c r="A19" s="109"/>
      <c r="B19" s="116" t="s">
        <v>55</v>
      </c>
      <c r="C19" s="132">
        <v>5.3</v>
      </c>
      <c r="D19" s="132">
        <v>9.31</v>
      </c>
      <c r="E19" s="132">
        <v>9.31</v>
      </c>
      <c r="F19" s="133">
        <v>9.66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</row>
    <row r="20" spans="1:17" ht="12" customHeight="1" x14ac:dyDescent="0.2">
      <c r="A20" s="109"/>
      <c r="B20" s="116" t="s">
        <v>56</v>
      </c>
      <c r="C20" s="132">
        <v>5.29</v>
      </c>
      <c r="D20" s="132">
        <v>9.31</v>
      </c>
      <c r="E20" s="132">
        <v>9.31</v>
      </c>
      <c r="F20" s="133">
        <v>9.5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</row>
    <row r="21" spans="1:17" ht="12" customHeight="1" x14ac:dyDescent="0.2">
      <c r="A21" s="109"/>
      <c r="B21" s="116" t="s">
        <v>57</v>
      </c>
      <c r="C21" s="132">
        <v>5.08</v>
      </c>
      <c r="D21" s="132">
        <v>9.24</v>
      </c>
      <c r="E21" s="132">
        <v>9.24</v>
      </c>
      <c r="F21" s="133">
        <v>9.33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</row>
    <row r="22" spans="1:17" ht="12" customHeight="1" x14ac:dyDescent="0.2">
      <c r="A22" s="109"/>
      <c r="B22" s="116" t="s">
        <v>58</v>
      </c>
      <c r="C22" s="132">
        <v>5.14</v>
      </c>
      <c r="D22" s="132">
        <v>9.18</v>
      </c>
      <c r="E22" s="132">
        <v>9.18</v>
      </c>
      <c r="F22" s="133">
        <v>9.33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</row>
    <row r="23" spans="1:17" ht="12" customHeight="1" x14ac:dyDescent="0.2">
      <c r="A23" s="109"/>
      <c r="B23" s="116" t="s">
        <v>59</v>
      </c>
      <c r="C23" s="132">
        <v>5.09</v>
      </c>
      <c r="D23" s="132">
        <v>9.14</v>
      </c>
      <c r="E23" s="132">
        <v>9.14</v>
      </c>
      <c r="F23" s="133">
        <v>9.33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</row>
    <row r="24" spans="1:17" ht="12" customHeight="1" x14ac:dyDescent="0.2">
      <c r="A24" s="109"/>
      <c r="B24" s="109"/>
      <c r="C24" s="126"/>
      <c r="D24" s="126"/>
      <c r="E24" s="126"/>
      <c r="F24" s="12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</row>
    <row r="25" spans="1:17" ht="12" customHeight="1" x14ac:dyDescent="0.2">
      <c r="A25" s="116">
        <v>2009</v>
      </c>
      <c r="B25" s="116" t="s">
        <v>60</v>
      </c>
      <c r="C25" s="132">
        <v>5.0999999999999996</v>
      </c>
      <c r="D25" s="132">
        <v>9.16</v>
      </c>
      <c r="E25" s="132">
        <v>9.16</v>
      </c>
      <c r="F25" s="133">
        <v>9.33</v>
      </c>
      <c r="G25" s="332"/>
      <c r="L25" s="107"/>
      <c r="M25" s="107"/>
      <c r="N25" s="107"/>
      <c r="O25" s="107"/>
      <c r="P25" s="107"/>
      <c r="Q25" s="107"/>
    </row>
    <row r="26" spans="1:17" ht="12" customHeight="1" x14ac:dyDescent="0.2">
      <c r="A26" s="109"/>
      <c r="B26" s="116" t="s">
        <v>61</v>
      </c>
      <c r="C26" s="132">
        <v>5.19</v>
      </c>
      <c r="D26" s="132">
        <v>9.2100000000000009</v>
      </c>
      <c r="E26" s="132">
        <v>9.2100000000000009</v>
      </c>
      <c r="F26" s="133">
        <v>9.33</v>
      </c>
      <c r="G26" s="332"/>
      <c r="L26" s="107"/>
      <c r="M26" s="107"/>
      <c r="N26" s="107"/>
      <c r="O26" s="107"/>
      <c r="P26" s="107"/>
      <c r="Q26" s="107"/>
    </row>
    <row r="27" spans="1:17" ht="12" customHeight="1" x14ac:dyDescent="0.2">
      <c r="A27" s="109"/>
      <c r="B27" s="116" t="s">
        <v>50</v>
      </c>
      <c r="C27" s="132">
        <v>5.31</v>
      </c>
      <c r="D27" s="132">
        <v>9.24</v>
      </c>
      <c r="E27" s="132">
        <v>9.24</v>
      </c>
      <c r="F27" s="133">
        <v>9.33</v>
      </c>
      <c r="G27" s="332"/>
      <c r="L27" s="107"/>
      <c r="M27" s="107"/>
      <c r="N27" s="107"/>
      <c r="O27" s="107"/>
      <c r="P27" s="107"/>
      <c r="Q27" s="107"/>
    </row>
    <row r="28" spans="1:17" ht="12" customHeight="1" x14ac:dyDescent="0.2">
      <c r="A28" s="109"/>
      <c r="B28" s="116" t="s">
        <v>51</v>
      </c>
      <c r="C28" s="132">
        <v>5.35</v>
      </c>
      <c r="D28" s="132">
        <v>9.24</v>
      </c>
      <c r="E28" s="132">
        <v>9.24</v>
      </c>
      <c r="F28" s="133">
        <v>9.33</v>
      </c>
      <c r="G28" s="332"/>
      <c r="L28" s="107"/>
      <c r="M28" s="107"/>
      <c r="N28" s="107"/>
      <c r="O28" s="107"/>
      <c r="P28" s="107"/>
      <c r="Q28" s="107"/>
    </row>
    <row r="29" spans="1:17" ht="12" customHeight="1" x14ac:dyDescent="0.2">
      <c r="A29" s="109"/>
      <c r="B29" s="116" t="s">
        <v>52</v>
      </c>
      <c r="C29" s="132">
        <v>5.42</v>
      </c>
      <c r="D29" s="132">
        <v>9.26</v>
      </c>
      <c r="E29" s="132">
        <v>9.26</v>
      </c>
      <c r="F29" s="133">
        <v>9.33</v>
      </c>
      <c r="G29" s="332"/>
      <c r="L29" s="107"/>
      <c r="M29" s="107"/>
      <c r="N29" s="107"/>
      <c r="O29" s="107"/>
      <c r="P29" s="107"/>
      <c r="Q29" s="107"/>
    </row>
    <row r="30" spans="1:17" ht="12" customHeight="1" x14ac:dyDescent="0.2">
      <c r="A30" s="109"/>
      <c r="B30" s="116" t="s">
        <v>53</v>
      </c>
      <c r="C30" s="132">
        <v>5.63</v>
      </c>
      <c r="D30" s="132">
        <v>9.24</v>
      </c>
      <c r="E30" s="132">
        <v>9.24</v>
      </c>
      <c r="F30" s="133">
        <v>9.33</v>
      </c>
      <c r="G30" s="332"/>
      <c r="L30" s="107"/>
      <c r="M30" s="107"/>
      <c r="N30" s="107"/>
      <c r="O30" s="107"/>
      <c r="P30" s="107"/>
      <c r="Q30" s="107"/>
    </row>
    <row r="31" spans="1:17" ht="12" customHeight="1" x14ac:dyDescent="0.2">
      <c r="A31" s="109"/>
      <c r="B31" s="116" t="s">
        <v>54</v>
      </c>
      <c r="C31" s="132">
        <v>5.59</v>
      </c>
      <c r="D31" s="132">
        <v>9.2200000000000006</v>
      </c>
      <c r="E31" s="132">
        <v>9.2200000000000006</v>
      </c>
      <c r="F31" s="133">
        <v>9.33</v>
      </c>
      <c r="G31" s="332"/>
      <c r="L31" s="107"/>
      <c r="M31" s="107"/>
      <c r="N31" s="107"/>
      <c r="O31" s="107"/>
      <c r="P31" s="107"/>
      <c r="Q31" s="107"/>
    </row>
    <row r="32" spans="1:17" ht="12" customHeight="1" x14ac:dyDescent="0.2">
      <c r="A32" s="109"/>
      <c r="B32" s="116" t="s">
        <v>55</v>
      </c>
      <c r="C32" s="132">
        <v>5.56</v>
      </c>
      <c r="D32" s="132">
        <v>9.15</v>
      </c>
      <c r="E32" s="132">
        <v>9.15</v>
      </c>
      <c r="F32" s="133">
        <v>9.33</v>
      </c>
      <c r="G32" s="332"/>
      <c r="L32" s="107"/>
      <c r="M32" s="107"/>
      <c r="N32" s="107"/>
      <c r="O32" s="107"/>
      <c r="P32" s="107"/>
      <c r="Q32" s="107"/>
    </row>
    <row r="33" spans="1:17" ht="12" customHeight="1" x14ac:dyDescent="0.2">
      <c r="A33" s="109"/>
      <c r="B33" s="116" t="s">
        <v>56</v>
      </c>
      <c r="C33" s="132">
        <v>5.57</v>
      </c>
      <c r="D33" s="132">
        <v>9.15</v>
      </c>
      <c r="E33" s="132">
        <v>9.15</v>
      </c>
      <c r="F33" s="133">
        <v>9.33</v>
      </c>
      <c r="G33" s="332"/>
      <c r="L33" s="107"/>
      <c r="M33" s="107"/>
      <c r="N33" s="107"/>
      <c r="O33" s="107"/>
      <c r="P33" s="107"/>
      <c r="Q33" s="107"/>
    </row>
    <row r="34" spans="1:17" ht="12" customHeight="1" x14ac:dyDescent="0.2">
      <c r="A34" s="109"/>
      <c r="B34" s="116" t="s">
        <v>57</v>
      </c>
      <c r="C34" s="132">
        <v>5.44</v>
      </c>
      <c r="D34" s="132">
        <v>9.19</v>
      </c>
      <c r="E34" s="132">
        <v>9.19</v>
      </c>
      <c r="F34" s="133">
        <v>9.33</v>
      </c>
      <c r="G34" s="332"/>
      <c r="L34" s="107"/>
      <c r="M34" s="107"/>
      <c r="N34" s="107"/>
      <c r="O34" s="107"/>
      <c r="P34" s="107"/>
      <c r="Q34" s="107"/>
    </row>
    <row r="35" spans="1:17" ht="12" customHeight="1" x14ac:dyDescent="0.2">
      <c r="A35" s="109"/>
      <c r="B35" s="116" t="s">
        <v>58</v>
      </c>
      <c r="C35" s="132">
        <v>5.44</v>
      </c>
      <c r="D35" s="132">
        <v>9.19</v>
      </c>
      <c r="E35" s="132">
        <v>9.19</v>
      </c>
      <c r="F35" s="133">
        <v>9.33</v>
      </c>
      <c r="G35" s="332"/>
      <c r="L35" s="107"/>
      <c r="M35" s="107"/>
      <c r="N35" s="107"/>
      <c r="O35" s="107"/>
      <c r="P35" s="107"/>
      <c r="Q35" s="107"/>
    </row>
    <row r="36" spans="1:17" ht="12" customHeight="1" x14ac:dyDescent="0.2">
      <c r="A36" s="109"/>
      <c r="B36" s="116" t="s">
        <v>59</v>
      </c>
      <c r="C36" s="132">
        <v>5.24</v>
      </c>
      <c r="D36" s="132">
        <v>9.19</v>
      </c>
      <c r="E36" s="132">
        <v>9.19</v>
      </c>
      <c r="F36" s="133">
        <v>9.33</v>
      </c>
      <c r="G36" s="332"/>
      <c r="L36" s="107"/>
      <c r="M36" s="107"/>
      <c r="N36" s="107"/>
      <c r="O36" s="107"/>
      <c r="P36" s="107"/>
      <c r="Q36" s="107"/>
    </row>
    <row r="37" spans="1:17" ht="12" customHeight="1" x14ac:dyDescent="0.2">
      <c r="A37" s="109"/>
      <c r="B37" s="109"/>
      <c r="C37" s="108"/>
      <c r="D37" s="108"/>
      <c r="E37" s="108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</row>
    <row r="38" spans="1:17" ht="12" customHeight="1" x14ac:dyDescent="0.2">
      <c r="A38" s="116">
        <v>2010</v>
      </c>
      <c r="B38" s="116" t="s">
        <v>60</v>
      </c>
      <c r="C38" s="132">
        <v>5.24</v>
      </c>
      <c r="D38" s="132">
        <v>9.1300000000000008</v>
      </c>
      <c r="E38" s="132">
        <v>9.1300000000000008</v>
      </c>
      <c r="F38" s="133">
        <v>9.33</v>
      </c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</row>
    <row r="39" spans="1:17" ht="12" customHeight="1" x14ac:dyDescent="0.2">
      <c r="A39" s="109"/>
      <c r="B39" s="116" t="s">
        <v>61</v>
      </c>
      <c r="C39" s="132">
        <v>5.16</v>
      </c>
      <c r="D39" s="132">
        <v>9.1</v>
      </c>
      <c r="E39" s="132">
        <v>9.1</v>
      </c>
      <c r="F39" s="133">
        <v>9.33</v>
      </c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</row>
    <row r="40" spans="1:17" ht="12" customHeight="1" x14ac:dyDescent="0.2">
      <c r="A40" s="109"/>
      <c r="B40" s="116" t="s">
        <v>50</v>
      </c>
      <c r="C40" s="132">
        <v>4.87</v>
      </c>
      <c r="D40" s="132">
        <v>9.2100000000000009</v>
      </c>
      <c r="E40" s="132">
        <v>9.2100000000000009</v>
      </c>
      <c r="F40" s="133">
        <v>9.33</v>
      </c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</row>
    <row r="41" spans="1:17" ht="12" customHeight="1" x14ac:dyDescent="0.2">
      <c r="A41" s="109"/>
      <c r="B41" s="116" t="s">
        <v>51</v>
      </c>
      <c r="C41" s="132">
        <v>4.8600000000000003</v>
      </c>
      <c r="D41" s="132">
        <v>9.1199999999999992</v>
      </c>
      <c r="E41" s="132">
        <v>9.1199999999999992</v>
      </c>
      <c r="F41" s="133">
        <v>9.33</v>
      </c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</row>
    <row r="42" spans="1:17" ht="12" customHeight="1" x14ac:dyDescent="0.2">
      <c r="A42" s="109"/>
      <c r="B42" s="116" t="s">
        <v>52</v>
      </c>
      <c r="C42" s="132">
        <v>4.57</v>
      </c>
      <c r="D42" s="132">
        <v>9.11</v>
      </c>
      <c r="E42" s="132">
        <v>9.11</v>
      </c>
      <c r="F42" s="133">
        <v>9.33</v>
      </c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</row>
    <row r="43" spans="1:17" ht="12" customHeight="1" x14ac:dyDescent="0.2">
      <c r="A43" s="109"/>
      <c r="B43" s="116" t="s">
        <v>53</v>
      </c>
      <c r="C43" s="132">
        <v>4.4000000000000004</v>
      </c>
      <c r="D43" s="132">
        <v>9.02</v>
      </c>
      <c r="E43" s="132">
        <v>9.02</v>
      </c>
      <c r="F43" s="133">
        <v>9.33</v>
      </c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</row>
    <row r="44" spans="1:17" ht="12" customHeight="1" x14ac:dyDescent="0.2">
      <c r="A44" s="109"/>
      <c r="B44" s="116" t="s">
        <v>54</v>
      </c>
      <c r="C44" s="132">
        <v>4.3899999999999997</v>
      </c>
      <c r="D44" s="132">
        <v>8.99</v>
      </c>
      <c r="E44" s="132">
        <v>8.99</v>
      </c>
      <c r="F44" s="133">
        <v>9.33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</row>
    <row r="45" spans="1:17" ht="12" customHeight="1" x14ac:dyDescent="0.2">
      <c r="A45" s="109"/>
      <c r="B45" s="116" t="s">
        <v>55</v>
      </c>
      <c r="C45" s="132">
        <v>4.25</v>
      </c>
      <c r="D45" s="132">
        <v>9.0399999999999991</v>
      </c>
      <c r="E45" s="132">
        <v>9.0399999999999991</v>
      </c>
      <c r="F45" s="133">
        <v>9.33</v>
      </c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</row>
    <row r="46" spans="1:17" ht="12" customHeight="1" x14ac:dyDescent="0.2">
      <c r="A46" s="109"/>
      <c r="B46" s="116" t="s">
        <v>56</v>
      </c>
      <c r="C46" s="132">
        <v>4.25</v>
      </c>
      <c r="D46" s="132">
        <v>9.0399999999999991</v>
      </c>
      <c r="E46" s="132">
        <v>9.0399999999999991</v>
      </c>
      <c r="F46" s="133">
        <v>9.33</v>
      </c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</row>
    <row r="47" spans="1:17" ht="12" customHeight="1" x14ac:dyDescent="0.2">
      <c r="A47" s="109"/>
      <c r="B47" s="116" t="s">
        <v>57</v>
      </c>
      <c r="C47" s="132">
        <v>4.3</v>
      </c>
      <c r="D47" s="132">
        <v>8.94</v>
      </c>
      <c r="E47" s="132">
        <v>8.94</v>
      </c>
      <c r="F47" s="133">
        <v>9.33</v>
      </c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</row>
    <row r="48" spans="1:17" ht="12" customHeight="1" x14ac:dyDescent="0.2">
      <c r="A48" s="109"/>
      <c r="B48" s="116" t="s">
        <v>58</v>
      </c>
      <c r="C48" s="132">
        <v>4.3</v>
      </c>
      <c r="D48" s="132">
        <v>8.94</v>
      </c>
      <c r="E48" s="132">
        <v>8.94</v>
      </c>
      <c r="F48" s="133">
        <v>9.33</v>
      </c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</row>
    <row r="49" spans="1:17" ht="12" customHeight="1" x14ac:dyDescent="0.2">
      <c r="A49" s="109"/>
      <c r="B49" s="116" t="s">
        <v>59</v>
      </c>
      <c r="C49" s="132">
        <v>4.28</v>
      </c>
      <c r="D49" s="132">
        <v>8.68</v>
      </c>
      <c r="E49" s="132">
        <v>8.68</v>
      </c>
      <c r="F49" s="133">
        <v>9.33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</row>
    <row r="50" spans="1:17" ht="12" customHeight="1" x14ac:dyDescent="0.2">
      <c r="A50" s="109"/>
      <c r="B50" s="109"/>
      <c r="C50" s="108"/>
      <c r="D50" s="108"/>
      <c r="E50" s="108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</row>
    <row r="51" spans="1:17" ht="12" customHeight="1" x14ac:dyDescent="0.2">
      <c r="A51" s="116">
        <v>2011</v>
      </c>
      <c r="B51" s="116" t="s">
        <v>60</v>
      </c>
      <c r="C51" s="132">
        <v>4.55</v>
      </c>
      <c r="D51" s="132">
        <v>8.59</v>
      </c>
      <c r="E51" s="132">
        <v>8.59</v>
      </c>
      <c r="F51" s="133">
        <v>9.33</v>
      </c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</row>
    <row r="52" spans="1:17" ht="12" customHeight="1" x14ac:dyDescent="0.2">
      <c r="A52" s="109"/>
      <c r="B52" s="116" t="s">
        <v>61</v>
      </c>
      <c r="C52" s="132">
        <v>4.51</v>
      </c>
      <c r="D52" s="132">
        <v>8.25</v>
      </c>
      <c r="E52" s="132">
        <v>8.25</v>
      </c>
      <c r="F52" s="133">
        <v>9.33</v>
      </c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</row>
    <row r="53" spans="1:17" ht="12" customHeight="1" x14ac:dyDescent="0.2">
      <c r="A53" s="109"/>
      <c r="B53" s="116" t="s">
        <v>50</v>
      </c>
      <c r="C53" s="132">
        <v>4.59</v>
      </c>
      <c r="D53" s="132">
        <v>8.65</v>
      </c>
      <c r="E53" s="132">
        <v>8.65</v>
      </c>
      <c r="F53" s="133">
        <v>9.33</v>
      </c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</row>
    <row r="54" spans="1:17" ht="12" customHeight="1" x14ac:dyDescent="0.2">
      <c r="A54" s="109"/>
      <c r="B54" s="116" t="s">
        <v>51</v>
      </c>
      <c r="C54" s="132">
        <v>4.5999999999999996</v>
      </c>
      <c r="D54" s="132">
        <v>8.34</v>
      </c>
      <c r="E54" s="132">
        <v>8.34</v>
      </c>
      <c r="F54" s="133">
        <v>9.33</v>
      </c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</row>
    <row r="55" spans="1:17" ht="12" customHeight="1" x14ac:dyDescent="0.2">
      <c r="A55" s="109"/>
      <c r="B55" s="116" t="s">
        <v>52</v>
      </c>
      <c r="C55" s="132">
        <v>4.5999999999999996</v>
      </c>
      <c r="D55" s="132">
        <v>8.34</v>
      </c>
      <c r="E55" s="132">
        <v>8.34</v>
      </c>
      <c r="F55" s="133">
        <v>9.33</v>
      </c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</row>
    <row r="56" spans="1:17" ht="12" customHeight="1" x14ac:dyDescent="0.2">
      <c r="A56" s="109"/>
      <c r="B56" s="116" t="s">
        <v>53</v>
      </c>
      <c r="C56" s="132">
        <v>4.58</v>
      </c>
      <c r="D56" s="132">
        <v>8.3699999999999992</v>
      </c>
      <c r="E56" s="132">
        <v>8.3699999999999992</v>
      </c>
      <c r="F56" s="133">
        <v>9.33</v>
      </c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</row>
    <row r="57" spans="1:17" ht="12" customHeight="1" x14ac:dyDescent="0.2">
      <c r="A57" s="109"/>
      <c r="B57" s="116" t="s">
        <v>54</v>
      </c>
      <c r="C57" s="132">
        <v>4.58</v>
      </c>
      <c r="D57" s="132">
        <v>8.3699999999999992</v>
      </c>
      <c r="E57" s="132">
        <v>8.3699999999999992</v>
      </c>
      <c r="F57" s="133">
        <v>9.33</v>
      </c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</row>
    <row r="58" spans="1:17" ht="12" customHeight="1" x14ac:dyDescent="0.2">
      <c r="A58" s="109"/>
      <c r="B58" s="116" t="s">
        <v>55</v>
      </c>
      <c r="C58" s="132">
        <v>4.58</v>
      </c>
      <c r="D58" s="132">
        <v>8.3699999999999992</v>
      </c>
      <c r="E58" s="132">
        <v>8.3699999999999992</v>
      </c>
      <c r="F58" s="133">
        <v>9.33</v>
      </c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</row>
    <row r="59" spans="1:17" ht="12" customHeight="1" x14ac:dyDescent="0.2">
      <c r="A59" s="109"/>
      <c r="B59" s="116" t="s">
        <v>56</v>
      </c>
      <c r="C59" s="132">
        <v>4.58</v>
      </c>
      <c r="D59" s="132">
        <v>8.3699999999999992</v>
      </c>
      <c r="E59" s="132">
        <v>8.3699999999999992</v>
      </c>
      <c r="F59" s="133">
        <v>9.33</v>
      </c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</row>
    <row r="60" spans="1:17" ht="12" customHeight="1" x14ac:dyDescent="0.2">
      <c r="A60" s="109"/>
      <c r="B60" s="116" t="s">
        <v>57</v>
      </c>
      <c r="C60" s="132">
        <v>4.53</v>
      </c>
      <c r="D60" s="132">
        <v>8.17</v>
      </c>
      <c r="E60" s="132">
        <v>8.17</v>
      </c>
      <c r="F60" s="133">
        <v>9.33</v>
      </c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</row>
    <row r="61" spans="1:17" ht="12" customHeight="1" x14ac:dyDescent="0.2">
      <c r="A61" s="109"/>
      <c r="B61" s="116" t="s">
        <v>58</v>
      </c>
      <c r="C61" s="132">
        <v>4.53</v>
      </c>
      <c r="D61" s="132">
        <v>8.17</v>
      </c>
      <c r="E61" s="132">
        <v>8.17</v>
      </c>
      <c r="F61" s="133">
        <v>9.33</v>
      </c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</row>
    <row r="62" spans="1:17" ht="12" customHeight="1" x14ac:dyDescent="0.2">
      <c r="A62" s="109"/>
      <c r="B62" s="116" t="s">
        <v>59</v>
      </c>
      <c r="C62" s="132">
        <v>4.53</v>
      </c>
      <c r="D62" s="132">
        <v>8.17</v>
      </c>
      <c r="E62" s="132">
        <v>8.17</v>
      </c>
      <c r="F62" s="133">
        <v>9.33</v>
      </c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</row>
    <row r="63" spans="1:17" ht="12" customHeight="1" x14ac:dyDescent="0.2">
      <c r="A63" s="109"/>
      <c r="B63" s="109"/>
      <c r="C63" s="126"/>
      <c r="D63" s="126"/>
      <c r="E63" s="126"/>
      <c r="F63" s="12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</row>
    <row r="64" spans="1:17" ht="12" customHeight="1" x14ac:dyDescent="0.2">
      <c r="A64" s="116">
        <v>2012</v>
      </c>
      <c r="B64" s="116" t="s">
        <v>60</v>
      </c>
      <c r="C64" s="132">
        <v>4.53</v>
      </c>
      <c r="D64" s="132">
        <v>8.17</v>
      </c>
      <c r="E64" s="132">
        <v>8.17</v>
      </c>
      <c r="F64" s="133">
        <v>9.33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</row>
    <row r="65" spans="1:17" ht="12" customHeight="1" x14ac:dyDescent="0.2">
      <c r="A65" s="109"/>
      <c r="B65" s="116" t="s">
        <v>61</v>
      </c>
      <c r="C65" s="132">
        <v>4.53</v>
      </c>
      <c r="D65" s="132">
        <v>8.17</v>
      </c>
      <c r="E65" s="132">
        <v>8.17</v>
      </c>
      <c r="F65" s="133">
        <v>9.33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</row>
    <row r="66" spans="1:17" ht="12" customHeight="1" x14ac:dyDescent="0.2">
      <c r="A66" s="109"/>
      <c r="B66" s="116" t="s">
        <v>50</v>
      </c>
      <c r="C66" s="132">
        <v>4.53</v>
      </c>
      <c r="D66" s="132">
        <v>8.17</v>
      </c>
      <c r="E66" s="132">
        <v>8.17</v>
      </c>
      <c r="F66" s="133">
        <v>9.33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</row>
    <row r="67" spans="1:17" ht="12" customHeight="1" x14ac:dyDescent="0.2">
      <c r="A67" s="109"/>
      <c r="B67" s="116" t="s">
        <v>51</v>
      </c>
      <c r="C67" s="132">
        <v>4.53</v>
      </c>
      <c r="D67" s="132">
        <v>8.17</v>
      </c>
      <c r="E67" s="132">
        <v>8.17</v>
      </c>
      <c r="F67" s="133">
        <v>9.33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</row>
    <row r="68" spans="1:17" ht="12" customHeight="1" x14ac:dyDescent="0.2">
      <c r="A68" s="109"/>
      <c r="B68" s="116" t="s">
        <v>52</v>
      </c>
      <c r="C68" s="132">
        <v>4.53</v>
      </c>
      <c r="D68" s="132">
        <v>8.17</v>
      </c>
      <c r="E68" s="132">
        <v>8.17</v>
      </c>
      <c r="F68" s="133">
        <v>9.33</v>
      </c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</row>
    <row r="69" spans="1:17" ht="12" customHeight="1" x14ac:dyDescent="0.2">
      <c r="A69" s="109"/>
      <c r="B69" s="116" t="s">
        <v>53</v>
      </c>
      <c r="C69" s="132">
        <v>4.53</v>
      </c>
      <c r="D69" s="132">
        <v>8.17</v>
      </c>
      <c r="E69" s="132">
        <v>8.17</v>
      </c>
      <c r="F69" s="133">
        <v>9.33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</row>
    <row r="70" spans="1:17" ht="12" customHeight="1" x14ac:dyDescent="0.2">
      <c r="A70" s="109"/>
      <c r="B70" s="116" t="s">
        <v>54</v>
      </c>
      <c r="C70" s="132">
        <v>4.53</v>
      </c>
      <c r="D70" s="132">
        <v>8.17</v>
      </c>
      <c r="E70" s="132">
        <v>8.17</v>
      </c>
      <c r="F70" s="133">
        <v>9.33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</row>
    <row r="71" spans="1:17" ht="12" customHeight="1" x14ac:dyDescent="0.2">
      <c r="A71" s="109"/>
      <c r="B71" s="116" t="s">
        <v>55</v>
      </c>
      <c r="C71" s="132">
        <v>4.53</v>
      </c>
      <c r="D71" s="132">
        <v>8.17</v>
      </c>
      <c r="E71" s="132">
        <v>8.17</v>
      </c>
      <c r="F71" s="133">
        <v>9.33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</row>
    <row r="72" spans="1:17" ht="12" customHeight="1" x14ac:dyDescent="0.2">
      <c r="A72" s="109"/>
      <c r="B72" s="116" t="s">
        <v>56</v>
      </c>
      <c r="C72" s="132">
        <v>4.53</v>
      </c>
      <c r="D72" s="132">
        <v>8.17</v>
      </c>
      <c r="E72" s="132">
        <v>8.17</v>
      </c>
      <c r="F72" s="133">
        <v>9.33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</row>
    <row r="73" spans="1:17" ht="12" customHeight="1" x14ac:dyDescent="0.2">
      <c r="A73" s="109"/>
      <c r="B73" s="116" t="s">
        <v>57</v>
      </c>
      <c r="C73" s="132">
        <v>4.53</v>
      </c>
      <c r="D73" s="132">
        <v>8.17</v>
      </c>
      <c r="E73" s="132">
        <v>8.17</v>
      </c>
      <c r="F73" s="133">
        <v>9.33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</row>
    <row r="74" spans="1:17" ht="12" customHeight="1" x14ac:dyDescent="0.2">
      <c r="A74" s="109"/>
      <c r="B74" s="116" t="s">
        <v>58</v>
      </c>
      <c r="C74" s="132">
        <v>4.53</v>
      </c>
      <c r="D74" s="132">
        <v>8.17</v>
      </c>
      <c r="E74" s="132">
        <v>8.17</v>
      </c>
      <c r="F74" s="133">
        <v>9.33</v>
      </c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</row>
    <row r="75" spans="1:17" ht="12" customHeight="1" x14ac:dyDescent="0.2">
      <c r="A75" s="109"/>
      <c r="B75" s="116" t="s">
        <v>59</v>
      </c>
      <c r="C75" s="132">
        <v>4.53</v>
      </c>
      <c r="D75" s="132">
        <v>8.17</v>
      </c>
      <c r="E75" s="132">
        <v>8.17</v>
      </c>
      <c r="F75" s="133">
        <v>9.33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</row>
    <row r="76" spans="1:17" ht="12" customHeight="1" x14ac:dyDescent="0.2">
      <c r="A76" s="109"/>
      <c r="B76" s="109"/>
      <c r="C76" s="126"/>
      <c r="D76" s="126"/>
      <c r="E76" s="126"/>
      <c r="F76" s="12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</row>
    <row r="77" spans="1:17" ht="12" customHeight="1" x14ac:dyDescent="0.2">
      <c r="A77" s="116">
        <v>2013</v>
      </c>
      <c r="B77" s="116" t="s">
        <v>60</v>
      </c>
      <c r="C77" s="132">
        <v>4.53</v>
      </c>
      <c r="D77" s="132">
        <v>8.17</v>
      </c>
      <c r="E77" s="132">
        <v>8.17</v>
      </c>
      <c r="F77" s="133">
        <v>9.33</v>
      </c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</row>
    <row r="78" spans="1:17" ht="12" customHeight="1" x14ac:dyDescent="0.2">
      <c r="A78" s="109"/>
      <c r="B78" s="116" t="s">
        <v>61</v>
      </c>
      <c r="C78" s="132">
        <v>4.53</v>
      </c>
      <c r="D78" s="132">
        <v>8.17</v>
      </c>
      <c r="E78" s="132">
        <v>8.17</v>
      </c>
      <c r="F78" s="133">
        <v>9.33</v>
      </c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</row>
    <row r="79" spans="1:17" ht="12" customHeight="1" x14ac:dyDescent="0.2">
      <c r="A79" s="109"/>
      <c r="B79" s="116" t="s">
        <v>50</v>
      </c>
      <c r="C79" s="132">
        <v>4.53</v>
      </c>
      <c r="D79" s="132">
        <v>8.17</v>
      </c>
      <c r="E79" s="132">
        <v>8.17</v>
      </c>
      <c r="F79" s="133">
        <v>9.33</v>
      </c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</row>
    <row r="80" spans="1:17" ht="12" customHeight="1" x14ac:dyDescent="0.2">
      <c r="A80" s="109"/>
      <c r="B80" s="116" t="s">
        <v>51</v>
      </c>
      <c r="C80" s="132">
        <v>4.53</v>
      </c>
      <c r="D80" s="132">
        <v>8.17</v>
      </c>
      <c r="E80" s="132">
        <v>8.17</v>
      </c>
      <c r="F80" s="133">
        <v>9.33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</row>
    <row r="81" spans="1:17" ht="12" customHeight="1" x14ac:dyDescent="0.2">
      <c r="A81" s="109"/>
      <c r="B81" s="116" t="s">
        <v>52</v>
      </c>
      <c r="C81" s="132">
        <v>4.53</v>
      </c>
      <c r="D81" s="132">
        <v>8.17</v>
      </c>
      <c r="E81" s="132">
        <v>8.17</v>
      </c>
      <c r="F81" s="133">
        <v>9.33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</row>
    <row r="82" spans="1:17" ht="12" customHeight="1" x14ac:dyDescent="0.2">
      <c r="A82" s="109"/>
      <c r="B82" s="116" t="s">
        <v>53</v>
      </c>
      <c r="C82" s="132">
        <v>4.53</v>
      </c>
      <c r="D82" s="132">
        <v>8.17</v>
      </c>
      <c r="E82" s="132">
        <v>8.17</v>
      </c>
      <c r="F82" s="133">
        <v>9.33</v>
      </c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</row>
    <row r="83" spans="1:17" ht="12" customHeight="1" x14ac:dyDescent="0.2">
      <c r="A83" s="109"/>
      <c r="B83" s="116" t="s">
        <v>54</v>
      </c>
      <c r="C83" s="132">
        <v>4.53</v>
      </c>
      <c r="D83" s="132">
        <v>8.17</v>
      </c>
      <c r="E83" s="132">
        <v>8.17</v>
      </c>
      <c r="F83" s="133">
        <v>9.33</v>
      </c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</row>
    <row r="84" spans="1:17" ht="12" customHeight="1" x14ac:dyDescent="0.2">
      <c r="A84" s="109"/>
      <c r="B84" s="116" t="s">
        <v>55</v>
      </c>
      <c r="C84" s="132">
        <v>4.53</v>
      </c>
      <c r="D84" s="132">
        <v>8.17</v>
      </c>
      <c r="E84" s="132">
        <v>8.17</v>
      </c>
      <c r="F84" s="133">
        <v>9.33</v>
      </c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</row>
    <row r="85" spans="1:17" ht="12" customHeight="1" x14ac:dyDescent="0.2">
      <c r="A85" s="109"/>
      <c r="B85" s="116" t="s">
        <v>56</v>
      </c>
      <c r="C85" s="132">
        <v>4.53</v>
      </c>
      <c r="D85" s="132">
        <v>8.17</v>
      </c>
      <c r="E85" s="132">
        <v>8.17</v>
      </c>
      <c r="F85" s="133">
        <v>9.33</v>
      </c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</row>
    <row r="86" spans="1:17" ht="12" customHeight="1" x14ac:dyDescent="0.2">
      <c r="A86" s="109"/>
      <c r="B86" s="116" t="s">
        <v>57</v>
      </c>
      <c r="C86" s="132">
        <v>4.53</v>
      </c>
      <c r="D86" s="132">
        <v>8.17</v>
      </c>
      <c r="E86" s="132">
        <v>8.17</v>
      </c>
      <c r="F86" s="133">
        <v>9.33</v>
      </c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</row>
    <row r="87" spans="1:17" ht="12" customHeight="1" x14ac:dyDescent="0.2">
      <c r="A87" s="109"/>
      <c r="B87" s="116" t="s">
        <v>58</v>
      </c>
      <c r="C87" s="132">
        <v>4.53</v>
      </c>
      <c r="D87" s="132">
        <v>8.17</v>
      </c>
      <c r="E87" s="132">
        <v>8.17</v>
      </c>
      <c r="F87" s="133">
        <v>9.33</v>
      </c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</row>
    <row r="88" spans="1:17" ht="12" customHeight="1" x14ac:dyDescent="0.2">
      <c r="A88" s="109"/>
      <c r="B88" s="116" t="s">
        <v>59</v>
      </c>
      <c r="C88" s="132">
        <v>4.53</v>
      </c>
      <c r="D88" s="132">
        <v>8.17</v>
      </c>
      <c r="E88" s="132">
        <v>8.17</v>
      </c>
      <c r="F88" s="133">
        <v>9.33</v>
      </c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</row>
    <row r="89" spans="1:17" ht="12" customHeight="1" x14ac:dyDescent="0.2">
      <c r="A89" s="109"/>
      <c r="B89" s="109"/>
      <c r="C89" s="126"/>
      <c r="D89" s="126"/>
      <c r="E89" s="126"/>
      <c r="F89" s="12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</row>
    <row r="90" spans="1:17" ht="12" customHeight="1" x14ac:dyDescent="0.2">
      <c r="A90" s="116">
        <v>2014</v>
      </c>
      <c r="B90" s="116" t="s">
        <v>60</v>
      </c>
      <c r="C90" s="132">
        <v>4.53</v>
      </c>
      <c r="D90" s="132">
        <v>8.17</v>
      </c>
      <c r="E90" s="132">
        <v>8.17</v>
      </c>
      <c r="F90" s="133">
        <v>9.33</v>
      </c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</row>
    <row r="91" spans="1:17" ht="12" customHeight="1" x14ac:dyDescent="0.2">
      <c r="A91" s="109"/>
      <c r="B91" s="116" t="s">
        <v>61</v>
      </c>
      <c r="C91" s="132">
        <v>4.53</v>
      </c>
      <c r="D91" s="132">
        <v>8.17</v>
      </c>
      <c r="E91" s="132">
        <v>8.17</v>
      </c>
      <c r="F91" s="133">
        <v>9.33</v>
      </c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</row>
    <row r="92" spans="1:17" ht="12" customHeight="1" x14ac:dyDescent="0.2">
      <c r="A92" s="109"/>
      <c r="B92" s="116" t="s">
        <v>50</v>
      </c>
      <c r="C92" s="132">
        <v>4.53</v>
      </c>
      <c r="D92" s="132">
        <v>8.17</v>
      </c>
      <c r="E92" s="132">
        <v>8.17</v>
      </c>
      <c r="F92" s="133">
        <v>9.33</v>
      </c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</row>
    <row r="93" spans="1:17" ht="12" customHeight="1" x14ac:dyDescent="0.2">
      <c r="A93" s="109"/>
      <c r="B93" s="116" t="s">
        <v>51</v>
      </c>
      <c r="C93" s="132">
        <v>4.53</v>
      </c>
      <c r="D93" s="132">
        <v>8.17</v>
      </c>
      <c r="E93" s="132">
        <v>8.17</v>
      </c>
      <c r="F93" s="133">
        <v>9.33</v>
      </c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</row>
    <row r="94" spans="1:17" ht="12" customHeight="1" x14ac:dyDescent="0.2">
      <c r="A94" s="109"/>
      <c r="B94" s="116" t="s">
        <v>52</v>
      </c>
      <c r="C94" s="132">
        <v>5.1100000000000003</v>
      </c>
      <c r="D94" s="132">
        <v>7.64</v>
      </c>
      <c r="E94" s="132">
        <v>7.64</v>
      </c>
      <c r="F94" s="133">
        <v>9.33</v>
      </c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</row>
    <row r="95" spans="1:17" ht="12" customHeight="1" x14ac:dyDescent="0.2">
      <c r="A95" s="109"/>
      <c r="B95" s="116" t="s">
        <v>53</v>
      </c>
      <c r="C95" s="132">
        <v>5.19</v>
      </c>
      <c r="D95" s="132">
        <v>8.19</v>
      </c>
      <c r="E95" s="132">
        <v>8.19</v>
      </c>
      <c r="F95" s="133">
        <v>9.33</v>
      </c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</row>
    <row r="96" spans="1:17" ht="12" customHeight="1" x14ac:dyDescent="0.2">
      <c r="A96" s="109"/>
      <c r="B96" s="116" t="s">
        <v>54</v>
      </c>
      <c r="C96" s="132">
        <v>4.9800000000000004</v>
      </c>
      <c r="D96" s="132">
        <v>8.2100000000000009</v>
      </c>
      <c r="E96" s="132">
        <v>8.2100000000000009</v>
      </c>
      <c r="F96" s="133">
        <v>9.33</v>
      </c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</row>
    <row r="97" spans="1:17" ht="12" customHeight="1" x14ac:dyDescent="0.2">
      <c r="A97" s="109"/>
      <c r="B97" s="116" t="s">
        <v>55</v>
      </c>
      <c r="C97" s="132">
        <v>5.14</v>
      </c>
      <c r="D97" s="132">
        <v>8.16</v>
      </c>
      <c r="E97" s="132">
        <v>8.16</v>
      </c>
      <c r="F97" s="133">
        <v>9.33</v>
      </c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</row>
    <row r="98" spans="1:17" ht="12" customHeight="1" x14ac:dyDescent="0.2">
      <c r="A98" s="109"/>
      <c r="B98" s="116" t="s">
        <v>56</v>
      </c>
      <c r="C98" s="132">
        <v>4.9800000000000004</v>
      </c>
      <c r="D98" s="132">
        <v>7.86</v>
      </c>
      <c r="E98" s="132">
        <v>7.86</v>
      </c>
      <c r="F98" s="133">
        <v>9.33</v>
      </c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</row>
    <row r="99" spans="1:17" ht="12" customHeight="1" x14ac:dyDescent="0.2">
      <c r="A99" s="109"/>
      <c r="B99" s="116" t="s">
        <v>57</v>
      </c>
      <c r="C99" s="132">
        <v>5.08</v>
      </c>
      <c r="D99" s="132">
        <v>8.34</v>
      </c>
      <c r="E99" s="132">
        <v>8.34</v>
      </c>
      <c r="F99" s="133">
        <v>9.33</v>
      </c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</row>
    <row r="100" spans="1:17" ht="12" customHeight="1" x14ac:dyDescent="0.2">
      <c r="A100" s="109"/>
      <c r="B100" s="116" t="s">
        <v>58</v>
      </c>
      <c r="C100" s="132">
        <v>5.07</v>
      </c>
      <c r="D100" s="132">
        <v>8.1300000000000008</v>
      </c>
      <c r="E100" s="132">
        <v>8.1300000000000008</v>
      </c>
      <c r="F100" s="133">
        <v>9.33</v>
      </c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</row>
    <row r="101" spans="1:17" ht="12" customHeight="1" x14ac:dyDescent="0.2">
      <c r="A101" s="109"/>
      <c r="B101" s="116" t="s">
        <v>59</v>
      </c>
      <c r="C101" s="132">
        <v>5.18</v>
      </c>
      <c r="D101" s="132">
        <v>8.19</v>
      </c>
      <c r="E101" s="132">
        <v>8.19</v>
      </c>
      <c r="F101" s="133">
        <v>9.33</v>
      </c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</row>
    <row r="102" spans="1:17" ht="12" customHeight="1" x14ac:dyDescent="0.2">
      <c r="A102" s="109"/>
      <c r="B102" s="109"/>
      <c r="C102" s="126"/>
      <c r="D102" s="126"/>
      <c r="E102" s="126"/>
      <c r="F102" s="12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</row>
    <row r="103" spans="1:17" ht="12" customHeight="1" x14ac:dyDescent="0.2">
      <c r="A103" s="116">
        <v>2015</v>
      </c>
      <c r="B103" s="116" t="s">
        <v>60</v>
      </c>
      <c r="C103" s="132">
        <v>5.22</v>
      </c>
      <c r="D103" s="132">
        <v>7.84</v>
      </c>
      <c r="E103" s="132">
        <v>7.84</v>
      </c>
      <c r="F103" s="133">
        <v>9.33</v>
      </c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</row>
    <row r="104" spans="1:17" ht="12" customHeight="1" x14ac:dyDescent="0.2">
      <c r="A104" s="109"/>
      <c r="B104" s="116" t="s">
        <v>61</v>
      </c>
      <c r="C104" s="132">
        <v>5.32</v>
      </c>
      <c r="D104" s="132">
        <v>7.41</v>
      </c>
      <c r="E104" s="132">
        <v>7.41</v>
      </c>
      <c r="F104" s="133">
        <v>9.33</v>
      </c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</row>
    <row r="105" spans="1:17" ht="12" customHeight="1" x14ac:dyDescent="0.2">
      <c r="A105" s="109"/>
      <c r="B105" s="116" t="s">
        <v>50</v>
      </c>
      <c r="C105" s="132">
        <v>5.31</v>
      </c>
      <c r="D105" s="132">
        <v>7.31</v>
      </c>
      <c r="E105" s="132">
        <v>7.31</v>
      </c>
      <c r="F105" s="133">
        <v>9.33</v>
      </c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</row>
    <row r="106" spans="1:17" ht="12" customHeight="1" x14ac:dyDescent="0.2">
      <c r="A106" s="109"/>
      <c r="B106" s="116" t="s">
        <v>51</v>
      </c>
      <c r="C106" s="132">
        <v>5.39</v>
      </c>
      <c r="D106" s="132">
        <v>8.09</v>
      </c>
      <c r="E106" s="132">
        <v>8.09</v>
      </c>
      <c r="F106" s="133">
        <v>9.33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</row>
    <row r="107" spans="1:17" ht="12" customHeight="1" x14ac:dyDescent="0.2">
      <c r="A107" s="109"/>
      <c r="B107" s="116" t="s">
        <v>52</v>
      </c>
      <c r="C107" s="132">
        <v>5.51</v>
      </c>
      <c r="D107" s="132">
        <v>8.4499999999999993</v>
      </c>
      <c r="E107" s="132">
        <v>8.4499999999999993</v>
      </c>
      <c r="F107" s="133">
        <v>9.33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</row>
    <row r="108" spans="1:17" ht="12" customHeight="1" x14ac:dyDescent="0.2">
      <c r="A108" s="109"/>
      <c r="B108" s="116" t="s">
        <v>53</v>
      </c>
      <c r="C108" s="132">
        <v>5.48</v>
      </c>
      <c r="D108" s="132">
        <v>8.6999999999999993</v>
      </c>
      <c r="E108" s="132">
        <v>8.6999999999999993</v>
      </c>
      <c r="F108" s="133">
        <v>9.33</v>
      </c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</row>
    <row r="109" spans="1:17" ht="12" customHeight="1" x14ac:dyDescent="0.2">
      <c r="A109" s="109"/>
      <c r="B109" s="116" t="s">
        <v>54</v>
      </c>
      <c r="C109" s="132">
        <v>5.54</v>
      </c>
      <c r="D109" s="132">
        <v>8.5399999999999991</v>
      </c>
      <c r="E109" s="132">
        <v>8.5399999999999991</v>
      </c>
      <c r="F109" s="133">
        <v>9.33</v>
      </c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</row>
    <row r="110" spans="1:17" ht="12" customHeight="1" x14ac:dyDescent="0.2">
      <c r="A110" s="109"/>
      <c r="B110" s="116" t="s">
        <v>55</v>
      </c>
      <c r="C110" s="132">
        <v>5.55</v>
      </c>
      <c r="D110" s="132">
        <v>8.06</v>
      </c>
      <c r="E110" s="132">
        <v>8.06</v>
      </c>
      <c r="F110" s="133">
        <v>9.33</v>
      </c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</row>
    <row r="111" spans="1:17" ht="12" customHeight="1" x14ac:dyDescent="0.2">
      <c r="A111" s="109"/>
      <c r="B111" s="116" t="s">
        <v>56</v>
      </c>
      <c r="C111" s="132">
        <v>5.55</v>
      </c>
      <c r="D111" s="132">
        <v>8.06</v>
      </c>
      <c r="E111" s="132">
        <v>8.06</v>
      </c>
      <c r="F111" s="133">
        <v>9.33</v>
      </c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</row>
    <row r="112" spans="1:17" ht="12" customHeight="1" x14ac:dyDescent="0.2">
      <c r="A112" s="109"/>
      <c r="B112" s="116" t="s">
        <v>57</v>
      </c>
      <c r="C112" s="132">
        <v>4.9800000000000004</v>
      </c>
      <c r="D112" s="132">
        <v>9.11</v>
      </c>
      <c r="E112" s="132">
        <v>9.11</v>
      </c>
      <c r="F112" s="133">
        <v>9.33</v>
      </c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</row>
    <row r="113" spans="1:17" ht="12" customHeight="1" x14ac:dyDescent="0.2">
      <c r="A113" s="109"/>
      <c r="B113" s="116" t="s">
        <v>58</v>
      </c>
      <c r="C113" s="132">
        <v>5.1100000000000003</v>
      </c>
      <c r="D113" s="132">
        <v>9.2200000000000006</v>
      </c>
      <c r="E113" s="132">
        <v>9.2200000000000006</v>
      </c>
      <c r="F113" s="133">
        <v>9.33</v>
      </c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</row>
    <row r="114" spans="1:17" ht="12" customHeight="1" x14ac:dyDescent="0.2">
      <c r="A114" s="109"/>
      <c r="B114" s="116" t="s">
        <v>59</v>
      </c>
      <c r="C114" s="132">
        <v>5.14</v>
      </c>
      <c r="D114" s="132">
        <v>9.1199999999999992</v>
      </c>
      <c r="E114" s="132">
        <v>9.1199999999999992</v>
      </c>
      <c r="F114" s="133">
        <v>9.33</v>
      </c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</row>
    <row r="115" spans="1:17" ht="12" customHeight="1" x14ac:dyDescent="0.2">
      <c r="A115" s="109"/>
      <c r="B115" s="109"/>
      <c r="C115" s="126"/>
      <c r="D115" s="126"/>
      <c r="E115" s="126"/>
      <c r="F115" s="12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</row>
    <row r="116" spans="1:17" ht="12" customHeight="1" x14ac:dyDescent="0.2">
      <c r="A116" s="116">
        <v>2016</v>
      </c>
      <c r="B116" s="116" t="s">
        <v>60</v>
      </c>
      <c r="C116" s="132">
        <v>5.62</v>
      </c>
      <c r="D116" s="132">
        <v>9.15</v>
      </c>
      <c r="E116" s="132">
        <v>9.15</v>
      </c>
      <c r="F116" s="133">
        <v>9.33</v>
      </c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</row>
    <row r="117" spans="1:17" ht="12" customHeight="1" x14ac:dyDescent="0.2">
      <c r="A117" s="109"/>
      <c r="B117" s="116" t="s">
        <v>61</v>
      </c>
      <c r="C117" s="132">
        <v>5.83</v>
      </c>
      <c r="D117" s="132">
        <v>8.8800000000000008</v>
      </c>
      <c r="E117" s="132">
        <v>8.8800000000000008</v>
      </c>
      <c r="F117" s="133">
        <v>9.33</v>
      </c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</row>
    <row r="118" spans="1:17" ht="12" customHeight="1" x14ac:dyDescent="0.2">
      <c r="A118" s="109"/>
      <c r="B118" s="116" t="s">
        <v>50</v>
      </c>
      <c r="C118" s="132">
        <v>5.95</v>
      </c>
      <c r="D118" s="132">
        <v>8.86</v>
      </c>
      <c r="E118" s="132">
        <v>8.86</v>
      </c>
      <c r="F118" s="133">
        <v>9.33</v>
      </c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</row>
    <row r="119" spans="1:17" ht="12" customHeight="1" x14ac:dyDescent="0.2">
      <c r="A119" s="109"/>
      <c r="B119" s="116" t="s">
        <v>51</v>
      </c>
      <c r="C119" s="132">
        <v>5.85</v>
      </c>
      <c r="D119" s="132">
        <v>9.0299999999999994</v>
      </c>
      <c r="E119" s="132">
        <v>9.0299999999999994</v>
      </c>
      <c r="F119" s="133">
        <v>9.33</v>
      </c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</row>
    <row r="120" spans="1:17" ht="12" customHeight="1" x14ac:dyDescent="0.2">
      <c r="A120" s="109"/>
      <c r="B120" s="116" t="s">
        <v>52</v>
      </c>
      <c r="C120" s="132">
        <v>5.47</v>
      </c>
      <c r="D120" s="132">
        <v>8.89</v>
      </c>
      <c r="E120" s="132">
        <v>8.89</v>
      </c>
      <c r="F120" s="133">
        <v>9.33</v>
      </c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</row>
    <row r="121" spans="1:17" ht="12" customHeight="1" x14ac:dyDescent="0.2">
      <c r="A121" s="109"/>
      <c r="B121" s="116" t="s">
        <v>53</v>
      </c>
      <c r="C121" s="132">
        <v>6</v>
      </c>
      <c r="D121" s="132">
        <v>8.66</v>
      </c>
      <c r="E121" s="132">
        <v>8.66</v>
      </c>
      <c r="F121" s="133">
        <v>9.33</v>
      </c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</row>
    <row r="122" spans="1:17" ht="12" customHeight="1" x14ac:dyDescent="0.2">
      <c r="A122" s="109"/>
      <c r="B122" s="116" t="s">
        <v>54</v>
      </c>
      <c r="C122" s="132">
        <v>6.01</v>
      </c>
      <c r="D122" s="132">
        <v>8.67</v>
      </c>
      <c r="E122" s="132">
        <v>8.67</v>
      </c>
      <c r="F122" s="133">
        <v>9.33</v>
      </c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</row>
    <row r="123" spans="1:17" ht="12" customHeight="1" x14ac:dyDescent="0.2">
      <c r="A123" s="109"/>
      <c r="B123" s="116" t="s">
        <v>55</v>
      </c>
      <c r="C123" s="132">
        <v>5.91</v>
      </c>
      <c r="D123" s="132">
        <v>8.2100000000000009</v>
      </c>
      <c r="E123" s="132">
        <v>8.2100000000000009</v>
      </c>
      <c r="F123" s="133">
        <v>9.33</v>
      </c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</row>
    <row r="124" spans="1:17" ht="12" customHeight="1" x14ac:dyDescent="0.2">
      <c r="A124" s="109"/>
      <c r="B124" s="116" t="s">
        <v>56</v>
      </c>
      <c r="C124" s="132">
        <v>5.78</v>
      </c>
      <c r="D124" s="132">
        <v>8.7799999999999994</v>
      </c>
      <c r="E124" s="132">
        <v>8.7799999999999994</v>
      </c>
      <c r="F124" s="133">
        <v>9.33</v>
      </c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</row>
    <row r="125" spans="1:17" ht="12" customHeight="1" x14ac:dyDescent="0.2">
      <c r="A125" s="109"/>
      <c r="B125" s="116" t="s">
        <v>57</v>
      </c>
      <c r="C125" s="132">
        <v>5.75</v>
      </c>
      <c r="D125" s="132">
        <v>8.7100000000000009</v>
      </c>
      <c r="E125" s="132">
        <v>8.7100000000000009</v>
      </c>
      <c r="F125" s="133">
        <v>9.33</v>
      </c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</row>
    <row r="126" spans="1:17" ht="12" customHeight="1" x14ac:dyDescent="0.2">
      <c r="A126" s="109"/>
      <c r="B126" s="116" t="s">
        <v>58</v>
      </c>
      <c r="C126" s="132">
        <v>5.51</v>
      </c>
      <c r="D126" s="132">
        <v>8.3800000000000008</v>
      </c>
      <c r="E126" s="132">
        <v>8.3800000000000008</v>
      </c>
      <c r="F126" s="133">
        <v>9.33</v>
      </c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</row>
    <row r="127" spans="1:17" ht="12" customHeight="1" x14ac:dyDescent="0.2">
      <c r="A127" s="109"/>
      <c r="B127" s="116" t="s">
        <v>59</v>
      </c>
      <c r="C127" s="132">
        <v>5.12</v>
      </c>
      <c r="D127" s="132">
        <v>8.1</v>
      </c>
      <c r="E127" s="132">
        <v>8.1</v>
      </c>
      <c r="F127" s="133">
        <v>9.33</v>
      </c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</row>
    <row r="128" spans="1:17" x14ac:dyDescent="0.2">
      <c r="A128" s="121"/>
      <c r="B128" s="121"/>
      <c r="C128" s="122"/>
      <c r="D128" s="122"/>
      <c r="E128" s="122"/>
      <c r="F128" s="122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</row>
    <row r="129" spans="1:17" x14ac:dyDescent="0.2">
      <c r="A129" s="109"/>
      <c r="B129" s="109"/>
      <c r="C129" s="120"/>
      <c r="D129" s="120"/>
      <c r="E129" s="120"/>
      <c r="F129" s="120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</row>
    <row r="131" spans="1:17" x14ac:dyDescent="0.2">
      <c r="A131" s="410"/>
    </row>
    <row r="132" spans="1:17" x14ac:dyDescent="0.2">
      <c r="A132" s="124" t="s">
        <v>598</v>
      </c>
    </row>
    <row r="137" spans="1:17" x14ac:dyDescent="0.2">
      <c r="A137" s="125"/>
      <c r="C137" s="120"/>
      <c r="D137" s="120"/>
      <c r="E137" s="120"/>
      <c r="F137" s="120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</row>
    <row r="138" spans="1:17" x14ac:dyDescent="0.2">
      <c r="A138" s="107"/>
      <c r="B138" s="107"/>
      <c r="C138" s="120"/>
      <c r="D138" s="120"/>
      <c r="E138" s="120"/>
      <c r="F138" s="120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</row>
  </sheetData>
  <mergeCells count="3">
    <mergeCell ref="A1:F1"/>
    <mergeCell ref="C3:F3"/>
    <mergeCell ref="A3:B4"/>
  </mergeCells>
  <hyperlinks>
    <hyperlink ref="A132" location="'indice cap.1'!A1" display="regresar al índice" xr:uid="{00000000-0004-0000-0700-000000000000}"/>
  </hyperlinks>
  <pageMargins left="0.70866141732283472" right="0.70866141732283472" top="0.74803149606299213" bottom="0.74803149606299213" header="0.31496062992125984" footer="0.31496062992125984"/>
  <pageSetup paperSize="9" orientation="portrait" verticalDpi="599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32"/>
  <sheetViews>
    <sheetView showGridLines="0" zoomScaleNormal="100" workbookViewId="0">
      <selection activeCell="A2" sqref="A2"/>
    </sheetView>
  </sheetViews>
  <sheetFormatPr defaultColWidth="11.42578125" defaultRowHeight="12.75" x14ac:dyDescent="0.2"/>
  <cols>
    <col min="1" max="1" width="7.140625" style="134" customWidth="1"/>
    <col min="2" max="2" width="20.7109375" style="134" customWidth="1"/>
    <col min="3" max="8" width="12.7109375" style="134" customWidth="1"/>
    <col min="9" max="9" width="1.7109375" style="134" customWidth="1"/>
    <col min="10" max="13" width="12.7109375" style="134" customWidth="1"/>
    <col min="14" max="14" width="1.7109375" style="134" customWidth="1"/>
    <col min="15" max="20" width="12.7109375" style="134" customWidth="1"/>
    <col min="21" max="21" width="1.7109375" style="134" customWidth="1"/>
    <col min="22" max="25" width="12.7109375" style="134" customWidth="1"/>
    <col min="26" max="16384" width="11.42578125" style="134"/>
  </cols>
  <sheetData>
    <row r="1" spans="1:25" x14ac:dyDescent="0.2">
      <c r="A1" s="489" t="s">
        <v>955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</row>
    <row r="2" spans="1:25" x14ac:dyDescent="0.2">
      <c r="A2" s="489" t="s">
        <v>639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</row>
    <row r="3" spans="1:25" ht="12.75" customHeight="1" x14ac:dyDescent="0.2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pans="1:25" ht="18.75" customHeight="1" x14ac:dyDescent="0.2">
      <c r="A4" s="514" t="s">
        <v>644</v>
      </c>
      <c r="B4" s="515"/>
      <c r="C4" s="518" t="s">
        <v>640</v>
      </c>
      <c r="D4" s="518"/>
      <c r="E4" s="518"/>
      <c r="F4" s="518"/>
      <c r="G4" s="518"/>
      <c r="H4" s="519"/>
      <c r="I4" s="149"/>
      <c r="J4" s="520" t="s">
        <v>641</v>
      </c>
      <c r="K4" s="518"/>
      <c r="L4" s="518"/>
      <c r="M4" s="519"/>
      <c r="N4" s="149"/>
      <c r="O4" s="521" t="s">
        <v>642</v>
      </c>
      <c r="P4" s="522"/>
      <c r="Q4" s="522"/>
      <c r="R4" s="522"/>
      <c r="S4" s="522"/>
      <c r="T4" s="523"/>
      <c r="U4" s="152"/>
      <c r="V4" s="524" t="s">
        <v>643</v>
      </c>
      <c r="W4" s="524"/>
      <c r="X4" s="524"/>
      <c r="Y4" s="524"/>
    </row>
    <row r="5" spans="1:25" s="147" customFormat="1" ht="56.25" customHeight="1" x14ac:dyDescent="0.25">
      <c r="A5" s="516"/>
      <c r="B5" s="517"/>
      <c r="C5" s="153" t="s">
        <v>721</v>
      </c>
      <c r="D5" s="153" t="s">
        <v>722</v>
      </c>
      <c r="E5" s="153" t="s">
        <v>723</v>
      </c>
      <c r="F5" s="153" t="s">
        <v>724</v>
      </c>
      <c r="G5" s="154" t="s">
        <v>738</v>
      </c>
      <c r="H5" s="155" t="s">
        <v>725</v>
      </c>
      <c r="I5" s="150"/>
      <c r="J5" s="156" t="s">
        <v>737</v>
      </c>
      <c r="K5" s="153" t="s">
        <v>726</v>
      </c>
      <c r="L5" s="157" t="s">
        <v>736</v>
      </c>
      <c r="M5" s="158" t="s">
        <v>727</v>
      </c>
      <c r="N5" s="151"/>
      <c r="O5" s="159" t="s">
        <v>735</v>
      </c>
      <c r="P5" s="157" t="s">
        <v>728</v>
      </c>
      <c r="Q5" s="157" t="s">
        <v>734</v>
      </c>
      <c r="R5" s="157" t="s">
        <v>729</v>
      </c>
      <c r="S5" s="157" t="s">
        <v>732</v>
      </c>
      <c r="T5" s="158" t="s">
        <v>730</v>
      </c>
      <c r="U5" s="151"/>
      <c r="V5" s="160" t="s">
        <v>733</v>
      </c>
      <c r="W5" s="155" t="s">
        <v>731</v>
      </c>
      <c r="X5" s="155" t="s">
        <v>910</v>
      </c>
      <c r="Y5" s="155" t="s">
        <v>911</v>
      </c>
    </row>
    <row r="6" spans="1:25" x14ac:dyDescent="0.2">
      <c r="A6" s="135"/>
      <c r="B6" s="135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spans="1:25" ht="12.75" customHeight="1" x14ac:dyDescent="0.2">
      <c r="A7" s="164">
        <v>2007</v>
      </c>
      <c r="B7" s="161" t="s">
        <v>55</v>
      </c>
      <c r="C7" s="133">
        <v>14.76</v>
      </c>
      <c r="D7" s="133">
        <v>22.5</v>
      </c>
      <c r="E7" s="162" t="s">
        <v>10</v>
      </c>
      <c r="F7" s="162" t="s">
        <v>10</v>
      </c>
      <c r="G7" s="162" t="s">
        <v>10</v>
      </c>
      <c r="H7" s="162" t="s">
        <v>10</v>
      </c>
      <c r="J7" s="133">
        <v>21</v>
      </c>
      <c r="K7" s="133">
        <v>32.270000000000003</v>
      </c>
      <c r="L7" s="162" t="s">
        <v>10</v>
      </c>
      <c r="M7" s="162" t="s">
        <v>10</v>
      </c>
      <c r="O7" s="133">
        <v>23.9</v>
      </c>
      <c r="P7" s="133">
        <v>41.86</v>
      </c>
      <c r="Q7" s="162" t="s">
        <v>10</v>
      </c>
      <c r="R7" s="162" t="s">
        <v>10</v>
      </c>
      <c r="S7" s="162" t="s">
        <v>10</v>
      </c>
      <c r="T7" s="162" t="s">
        <v>10</v>
      </c>
      <c r="V7" s="133">
        <v>12.9</v>
      </c>
      <c r="W7" s="133">
        <v>17.23</v>
      </c>
      <c r="X7" s="133"/>
      <c r="Y7" s="133"/>
    </row>
    <row r="8" spans="1:25" ht="12.75" customHeight="1" x14ac:dyDescent="0.2">
      <c r="A8" s="138"/>
      <c r="B8" s="161" t="s">
        <v>56</v>
      </c>
      <c r="C8" s="163">
        <v>10.82</v>
      </c>
      <c r="D8" s="163">
        <v>14.03</v>
      </c>
      <c r="E8" s="162" t="s">
        <v>10</v>
      </c>
      <c r="F8" s="162" t="s">
        <v>10</v>
      </c>
      <c r="G8" s="163">
        <v>14.17</v>
      </c>
      <c r="H8" s="163">
        <v>20.11</v>
      </c>
      <c r="I8" s="140"/>
      <c r="J8" s="163">
        <v>17.82</v>
      </c>
      <c r="K8" s="163">
        <v>24.56</v>
      </c>
      <c r="L8" s="163">
        <v>25.92</v>
      </c>
      <c r="M8" s="163">
        <v>37.270000000000003</v>
      </c>
      <c r="N8" s="140"/>
      <c r="O8" s="163">
        <v>23.06</v>
      </c>
      <c r="P8" s="163">
        <v>30.3</v>
      </c>
      <c r="Q8" s="163">
        <v>31.41</v>
      </c>
      <c r="R8" s="163">
        <v>43.85</v>
      </c>
      <c r="S8" s="163">
        <v>40.69</v>
      </c>
      <c r="T8" s="163">
        <v>45.93</v>
      </c>
      <c r="U8" s="140"/>
      <c r="V8" s="163">
        <v>11.5</v>
      </c>
      <c r="W8" s="163">
        <v>14.77</v>
      </c>
      <c r="X8" s="163"/>
      <c r="Y8" s="163"/>
    </row>
    <row r="9" spans="1:25" ht="12.75" customHeight="1" x14ac:dyDescent="0.2">
      <c r="A9" s="138"/>
      <c r="B9" s="161" t="s">
        <v>57</v>
      </c>
      <c r="C9" s="163">
        <v>10.7</v>
      </c>
      <c r="D9" s="163">
        <v>13.04</v>
      </c>
      <c r="E9" s="162" t="s">
        <v>10</v>
      </c>
      <c r="F9" s="162" t="s">
        <v>10</v>
      </c>
      <c r="G9" s="163">
        <v>14.1</v>
      </c>
      <c r="H9" s="163">
        <v>19.52</v>
      </c>
      <c r="I9" s="140"/>
      <c r="J9" s="163">
        <v>18.47</v>
      </c>
      <c r="K9" s="163">
        <v>24.6</v>
      </c>
      <c r="L9" s="163">
        <v>24.96</v>
      </c>
      <c r="M9" s="163">
        <v>33.76</v>
      </c>
      <c r="N9" s="140"/>
      <c r="O9" s="163">
        <v>24.75</v>
      </c>
      <c r="P9" s="163">
        <v>31.97</v>
      </c>
      <c r="Q9" s="163">
        <v>36.24</v>
      </c>
      <c r="R9" s="163">
        <v>50.86</v>
      </c>
      <c r="S9" s="163">
        <v>42.9</v>
      </c>
      <c r="T9" s="163">
        <v>48.21</v>
      </c>
      <c r="U9" s="140"/>
      <c r="V9" s="163">
        <v>12.15</v>
      </c>
      <c r="W9" s="163">
        <v>14.88</v>
      </c>
      <c r="X9" s="163"/>
      <c r="Y9" s="163"/>
    </row>
    <row r="10" spans="1:25" ht="12.75" customHeight="1" x14ac:dyDescent="0.2">
      <c r="A10" s="138"/>
      <c r="B10" s="161" t="s">
        <v>58</v>
      </c>
      <c r="C10" s="163">
        <v>10.55</v>
      </c>
      <c r="D10" s="163">
        <v>12.28</v>
      </c>
      <c r="E10" s="162" t="s">
        <v>10</v>
      </c>
      <c r="F10" s="162" t="s">
        <v>10</v>
      </c>
      <c r="G10" s="163">
        <v>13.31</v>
      </c>
      <c r="H10" s="163">
        <v>17.32</v>
      </c>
      <c r="I10" s="140"/>
      <c r="J10" s="163">
        <v>17.89</v>
      </c>
      <c r="K10" s="163">
        <v>22.58</v>
      </c>
      <c r="L10" s="163">
        <v>21.17</v>
      </c>
      <c r="M10" s="163">
        <v>30.67</v>
      </c>
      <c r="N10" s="140"/>
      <c r="O10" s="163">
        <v>23.27</v>
      </c>
      <c r="P10" s="163">
        <v>31.8</v>
      </c>
      <c r="Q10" s="163">
        <v>34.04</v>
      </c>
      <c r="R10" s="163">
        <v>50.57</v>
      </c>
      <c r="S10" s="163">
        <v>35.06</v>
      </c>
      <c r="T10" s="163">
        <v>48.21</v>
      </c>
      <c r="U10" s="140"/>
      <c r="V10" s="163">
        <v>12.19</v>
      </c>
      <c r="W10" s="163">
        <v>14.04</v>
      </c>
      <c r="X10" s="163"/>
      <c r="Y10" s="163"/>
    </row>
    <row r="11" spans="1:25" ht="12.75" customHeight="1" x14ac:dyDescent="0.2">
      <c r="A11" s="138"/>
      <c r="B11" s="161" t="s">
        <v>59</v>
      </c>
      <c r="C11" s="163">
        <v>10.72</v>
      </c>
      <c r="D11" s="163">
        <v>12.28</v>
      </c>
      <c r="E11" s="162" t="s">
        <v>10</v>
      </c>
      <c r="F11" s="162" t="s">
        <v>10</v>
      </c>
      <c r="G11" s="163">
        <v>13.15</v>
      </c>
      <c r="H11" s="163">
        <v>16.600000000000001</v>
      </c>
      <c r="I11" s="140"/>
      <c r="J11" s="163">
        <v>18</v>
      </c>
      <c r="K11" s="163">
        <v>22.45</v>
      </c>
      <c r="L11" s="163">
        <v>21.23</v>
      </c>
      <c r="M11" s="163">
        <v>30.67</v>
      </c>
      <c r="N11" s="140"/>
      <c r="O11" s="163">
        <v>23.5</v>
      </c>
      <c r="P11" s="163">
        <v>30.85</v>
      </c>
      <c r="Q11" s="163">
        <v>31.55</v>
      </c>
      <c r="R11" s="163">
        <v>49.81</v>
      </c>
      <c r="S11" s="163">
        <v>41.47</v>
      </c>
      <c r="T11" s="163">
        <v>48.21</v>
      </c>
      <c r="U11" s="140"/>
      <c r="V11" s="163">
        <v>12.13</v>
      </c>
      <c r="W11" s="163">
        <v>14.04</v>
      </c>
      <c r="X11" s="163"/>
      <c r="Y11" s="163"/>
    </row>
    <row r="12" spans="1:25" ht="12.75" customHeight="1" x14ac:dyDescent="0.2">
      <c r="A12" s="138"/>
      <c r="C12" s="140"/>
      <c r="D12" s="140"/>
      <c r="E12" s="140"/>
      <c r="F12" s="140"/>
      <c r="G12" s="140"/>
      <c r="H12" s="139"/>
      <c r="I12" s="139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</row>
    <row r="13" spans="1:25" ht="12.75" customHeight="1" x14ac:dyDescent="0.2">
      <c r="A13" s="164">
        <v>2008</v>
      </c>
      <c r="B13" s="161" t="s">
        <v>60</v>
      </c>
      <c r="C13" s="163">
        <v>10.74</v>
      </c>
      <c r="D13" s="163">
        <v>11.81</v>
      </c>
      <c r="E13" s="162" t="s">
        <v>10</v>
      </c>
      <c r="F13" s="162" t="s">
        <v>10</v>
      </c>
      <c r="G13" s="163">
        <v>13.82</v>
      </c>
      <c r="H13" s="163">
        <v>15.9</v>
      </c>
      <c r="I13" s="140"/>
      <c r="J13" s="163">
        <v>18.43</v>
      </c>
      <c r="K13" s="163">
        <v>21.19</v>
      </c>
      <c r="L13" s="163">
        <v>22.37</v>
      </c>
      <c r="M13" s="163">
        <v>26.85</v>
      </c>
      <c r="N13" s="140"/>
      <c r="O13" s="163">
        <v>22.38</v>
      </c>
      <c r="P13" s="163">
        <v>27.98</v>
      </c>
      <c r="Q13" s="163">
        <v>31.19</v>
      </c>
      <c r="R13" s="163">
        <v>38.979999999999997</v>
      </c>
      <c r="S13" s="163">
        <v>39.979999999999997</v>
      </c>
      <c r="T13" s="163">
        <v>39.979999999999997</v>
      </c>
      <c r="U13" s="140"/>
      <c r="V13" s="163">
        <v>12.32</v>
      </c>
      <c r="W13" s="163">
        <v>13.55</v>
      </c>
      <c r="X13" s="163"/>
      <c r="Y13" s="163"/>
    </row>
    <row r="14" spans="1:25" ht="12.75" customHeight="1" x14ac:dyDescent="0.2">
      <c r="A14" s="138"/>
      <c r="B14" s="161" t="s">
        <v>61</v>
      </c>
      <c r="C14" s="163">
        <v>10.5</v>
      </c>
      <c r="D14" s="163">
        <v>11.55</v>
      </c>
      <c r="E14" s="162" t="s">
        <v>10</v>
      </c>
      <c r="F14" s="162" t="s">
        <v>10</v>
      </c>
      <c r="G14" s="163">
        <v>13.6</v>
      </c>
      <c r="H14" s="163">
        <v>15.64</v>
      </c>
      <c r="I14" s="140"/>
      <c r="J14" s="163">
        <v>17.739999999999998</v>
      </c>
      <c r="K14" s="163">
        <v>20.41</v>
      </c>
      <c r="L14" s="163">
        <v>21.3</v>
      </c>
      <c r="M14" s="163">
        <v>25.56</v>
      </c>
      <c r="N14" s="140"/>
      <c r="O14" s="163">
        <v>22.33</v>
      </c>
      <c r="P14" s="163">
        <v>27.98</v>
      </c>
      <c r="Q14" s="163">
        <v>30.86</v>
      </c>
      <c r="R14" s="163">
        <v>38.979999999999997</v>
      </c>
      <c r="S14" s="163">
        <v>38.31</v>
      </c>
      <c r="T14" s="163">
        <v>39.979999999999997</v>
      </c>
      <c r="U14" s="140"/>
      <c r="V14" s="163">
        <v>12.27</v>
      </c>
      <c r="W14" s="163">
        <v>13.5</v>
      </c>
      <c r="X14" s="163"/>
      <c r="Y14" s="163"/>
    </row>
    <row r="15" spans="1:25" ht="12.75" customHeight="1" x14ac:dyDescent="0.2">
      <c r="A15" s="138"/>
      <c r="B15" s="161" t="s">
        <v>50</v>
      </c>
      <c r="C15" s="163">
        <v>10.43</v>
      </c>
      <c r="D15" s="163">
        <v>11.26</v>
      </c>
      <c r="E15" s="162" t="s">
        <v>10</v>
      </c>
      <c r="F15" s="162" t="s">
        <v>10</v>
      </c>
      <c r="G15" s="163">
        <v>13.44</v>
      </c>
      <c r="H15" s="163">
        <v>14.92</v>
      </c>
      <c r="I15" s="140"/>
      <c r="J15" s="163">
        <v>17.66</v>
      </c>
      <c r="K15" s="163">
        <v>19.96</v>
      </c>
      <c r="L15" s="163">
        <v>20.63</v>
      </c>
      <c r="M15" s="163">
        <v>25.56</v>
      </c>
      <c r="N15" s="140"/>
      <c r="O15" s="163">
        <v>22.89</v>
      </c>
      <c r="P15" s="163">
        <v>27.98</v>
      </c>
      <c r="Q15" s="163">
        <v>30.86</v>
      </c>
      <c r="R15" s="163">
        <v>38.979999999999997</v>
      </c>
      <c r="S15" s="163">
        <v>36.22</v>
      </c>
      <c r="T15" s="163">
        <v>39.979999999999997</v>
      </c>
      <c r="U15" s="140"/>
      <c r="V15" s="163">
        <v>12.46</v>
      </c>
      <c r="W15" s="163">
        <v>13.08</v>
      </c>
      <c r="X15" s="163"/>
      <c r="Y15" s="163"/>
    </row>
    <row r="16" spans="1:25" ht="12.75" customHeight="1" x14ac:dyDescent="0.2">
      <c r="A16" s="138"/>
      <c r="B16" s="161" t="s">
        <v>51</v>
      </c>
      <c r="C16" s="163">
        <v>10.17</v>
      </c>
      <c r="D16" s="163">
        <v>10.9</v>
      </c>
      <c r="E16" s="162" t="s">
        <v>10</v>
      </c>
      <c r="F16" s="162" t="s">
        <v>10</v>
      </c>
      <c r="G16" s="163">
        <v>13.16</v>
      </c>
      <c r="H16" s="163">
        <v>14.5</v>
      </c>
      <c r="I16" s="140"/>
      <c r="J16" s="163">
        <v>17.71</v>
      </c>
      <c r="K16" s="163">
        <v>19.5</v>
      </c>
      <c r="L16" s="163">
        <v>20.27</v>
      </c>
      <c r="M16" s="163">
        <v>25</v>
      </c>
      <c r="N16" s="140"/>
      <c r="O16" s="163">
        <v>22.6</v>
      </c>
      <c r="P16" s="163">
        <v>25.5</v>
      </c>
      <c r="Q16" s="163">
        <v>30.79</v>
      </c>
      <c r="R16" s="163">
        <v>36.5</v>
      </c>
      <c r="S16" s="163">
        <v>36.58</v>
      </c>
      <c r="T16" s="163">
        <v>37.5</v>
      </c>
      <c r="U16" s="140"/>
      <c r="V16" s="163">
        <v>12.42</v>
      </c>
      <c r="W16" s="163">
        <v>12.8</v>
      </c>
      <c r="X16" s="163"/>
      <c r="Y16" s="163"/>
    </row>
    <row r="17" spans="1:25" ht="12.75" customHeight="1" x14ac:dyDescent="0.2">
      <c r="A17" s="138"/>
      <c r="B17" s="161" t="s">
        <v>52</v>
      </c>
      <c r="C17" s="163">
        <v>10.14</v>
      </c>
      <c r="D17" s="163">
        <v>10</v>
      </c>
      <c r="E17" s="162" t="s">
        <v>10</v>
      </c>
      <c r="F17" s="162" t="s">
        <v>10</v>
      </c>
      <c r="G17" s="163">
        <v>12.76</v>
      </c>
      <c r="H17" s="163">
        <v>13.5</v>
      </c>
      <c r="I17" s="140"/>
      <c r="J17" s="163">
        <v>17.68</v>
      </c>
      <c r="K17" s="163">
        <v>18.5</v>
      </c>
      <c r="L17" s="163">
        <v>20.43</v>
      </c>
      <c r="M17" s="163">
        <v>24</v>
      </c>
      <c r="N17" s="140"/>
      <c r="O17" s="163">
        <v>21.89</v>
      </c>
      <c r="P17" s="163">
        <v>25.5</v>
      </c>
      <c r="Q17" s="163">
        <v>30.42</v>
      </c>
      <c r="R17" s="163">
        <v>36.5</v>
      </c>
      <c r="S17" s="163">
        <v>35.229999999999997</v>
      </c>
      <c r="T17" s="163">
        <v>37.5</v>
      </c>
      <c r="U17" s="140"/>
      <c r="V17" s="163">
        <v>12.24</v>
      </c>
      <c r="W17" s="163">
        <v>12</v>
      </c>
      <c r="X17" s="163"/>
      <c r="Y17" s="163"/>
    </row>
    <row r="18" spans="1:25" ht="12.75" customHeight="1" x14ac:dyDescent="0.2">
      <c r="A18" s="138"/>
      <c r="B18" s="161" t="s">
        <v>53</v>
      </c>
      <c r="C18" s="163">
        <v>9.59</v>
      </c>
      <c r="D18" s="163">
        <v>10</v>
      </c>
      <c r="E18" s="162" t="s">
        <v>10</v>
      </c>
      <c r="F18" s="162" t="s">
        <v>10</v>
      </c>
      <c r="G18" s="163">
        <v>12.47</v>
      </c>
      <c r="H18" s="163">
        <v>13.5</v>
      </c>
      <c r="I18" s="140"/>
      <c r="J18" s="163">
        <v>17.2</v>
      </c>
      <c r="K18" s="163">
        <v>18.38</v>
      </c>
      <c r="L18" s="163">
        <v>20.09</v>
      </c>
      <c r="M18" s="163">
        <v>23.73</v>
      </c>
      <c r="N18" s="140"/>
      <c r="O18" s="163">
        <v>21.37</v>
      </c>
      <c r="P18" s="163">
        <v>25.5</v>
      </c>
      <c r="Q18" s="163">
        <v>29.46</v>
      </c>
      <c r="R18" s="163">
        <v>36.5</v>
      </c>
      <c r="S18" s="163">
        <v>35.31</v>
      </c>
      <c r="T18" s="163">
        <v>37.5</v>
      </c>
      <c r="U18" s="140"/>
      <c r="V18" s="163">
        <v>11.71</v>
      </c>
      <c r="W18" s="163">
        <v>12</v>
      </c>
      <c r="X18" s="163"/>
      <c r="Y18" s="163"/>
    </row>
    <row r="19" spans="1:25" ht="12.75" customHeight="1" x14ac:dyDescent="0.2">
      <c r="A19" s="138"/>
      <c r="B19" s="161" t="s">
        <v>54</v>
      </c>
      <c r="C19" s="163">
        <v>9.52</v>
      </c>
      <c r="D19" s="163">
        <v>9.83</v>
      </c>
      <c r="E19" s="162" t="s">
        <v>10</v>
      </c>
      <c r="F19" s="162" t="s">
        <v>10</v>
      </c>
      <c r="G19" s="163">
        <v>12.1</v>
      </c>
      <c r="H19" s="163">
        <v>13.08</v>
      </c>
      <c r="I19" s="140"/>
      <c r="J19" s="163">
        <v>16.989999999999998</v>
      </c>
      <c r="K19" s="163">
        <v>17.82</v>
      </c>
      <c r="L19" s="163">
        <v>19.91</v>
      </c>
      <c r="M19" s="163">
        <v>23.11</v>
      </c>
      <c r="N19" s="140"/>
      <c r="O19" s="163">
        <v>21.4</v>
      </c>
      <c r="P19" s="163">
        <v>25.5</v>
      </c>
      <c r="Q19" s="163">
        <v>29.95</v>
      </c>
      <c r="R19" s="163">
        <v>35.5</v>
      </c>
      <c r="S19" s="163">
        <v>34.71</v>
      </c>
      <c r="T19" s="163">
        <v>36.5</v>
      </c>
      <c r="U19" s="140"/>
      <c r="V19" s="163">
        <v>11.47</v>
      </c>
      <c r="W19" s="163">
        <v>11.83</v>
      </c>
      <c r="X19" s="163"/>
      <c r="Y19" s="163"/>
    </row>
    <row r="20" spans="1:25" ht="12.75" customHeight="1" x14ac:dyDescent="0.2">
      <c r="A20" s="138"/>
      <c r="B20" s="161" t="s">
        <v>55</v>
      </c>
      <c r="C20" s="163">
        <v>9.31</v>
      </c>
      <c r="D20" s="163">
        <v>9.66</v>
      </c>
      <c r="E20" s="162" t="s">
        <v>10</v>
      </c>
      <c r="F20" s="162" t="s">
        <v>10</v>
      </c>
      <c r="G20" s="163">
        <v>12.05</v>
      </c>
      <c r="H20" s="163">
        <v>12.66</v>
      </c>
      <c r="I20" s="140"/>
      <c r="J20" s="163">
        <v>16.84</v>
      </c>
      <c r="K20" s="163">
        <v>17.260000000000002</v>
      </c>
      <c r="L20" s="163">
        <v>19.64</v>
      </c>
      <c r="M20" s="163">
        <v>22.49</v>
      </c>
      <c r="N20" s="140"/>
      <c r="O20" s="163">
        <v>21.36</v>
      </c>
      <c r="P20" s="163">
        <v>25.5</v>
      </c>
      <c r="Q20" s="163">
        <v>29.57</v>
      </c>
      <c r="R20" s="163">
        <v>34.4</v>
      </c>
      <c r="S20" s="163">
        <v>34.43</v>
      </c>
      <c r="T20" s="163">
        <v>35.200000000000003</v>
      </c>
      <c r="U20" s="140"/>
      <c r="V20" s="163">
        <v>11.33</v>
      </c>
      <c r="W20" s="163">
        <v>11.66</v>
      </c>
      <c r="X20" s="163"/>
      <c r="Y20" s="163"/>
    </row>
    <row r="21" spans="1:25" ht="12.75" customHeight="1" x14ac:dyDescent="0.2">
      <c r="A21" s="138"/>
      <c r="B21" s="161" t="s">
        <v>645</v>
      </c>
      <c r="C21" s="163">
        <v>9.31</v>
      </c>
      <c r="D21" s="163">
        <v>9.5</v>
      </c>
      <c r="E21" s="162" t="s">
        <v>10</v>
      </c>
      <c r="F21" s="162" t="s">
        <v>10</v>
      </c>
      <c r="G21" s="163">
        <v>11.74</v>
      </c>
      <c r="H21" s="163">
        <v>12.25</v>
      </c>
      <c r="I21" s="140"/>
      <c r="J21" s="163">
        <v>16.600000000000001</v>
      </c>
      <c r="K21" s="163">
        <v>16.7</v>
      </c>
      <c r="L21" s="163">
        <v>19.32</v>
      </c>
      <c r="M21" s="163">
        <v>21.87</v>
      </c>
      <c r="N21" s="140"/>
      <c r="O21" s="163">
        <v>21.42</v>
      </c>
      <c r="P21" s="163">
        <v>25.5</v>
      </c>
      <c r="Q21" s="163">
        <v>29.13</v>
      </c>
      <c r="R21" s="163">
        <v>33.299999999999997</v>
      </c>
      <c r="S21" s="163">
        <v>33.049999999999997</v>
      </c>
      <c r="T21" s="163">
        <v>33.9</v>
      </c>
      <c r="U21" s="140"/>
      <c r="V21" s="163">
        <v>11.19</v>
      </c>
      <c r="W21" s="163">
        <v>11.5</v>
      </c>
      <c r="X21" s="163"/>
      <c r="Y21" s="163"/>
    </row>
    <row r="22" spans="1:25" ht="12.75" customHeight="1" x14ac:dyDescent="0.2">
      <c r="A22" s="138"/>
      <c r="B22" s="161" t="s">
        <v>57</v>
      </c>
      <c r="C22" s="163">
        <v>9.24</v>
      </c>
      <c r="D22" s="163">
        <v>9.33</v>
      </c>
      <c r="E22" s="162" t="s">
        <v>10</v>
      </c>
      <c r="F22" s="162" t="s">
        <v>10</v>
      </c>
      <c r="G22" s="163">
        <v>11.57</v>
      </c>
      <c r="H22" s="163">
        <v>11.83</v>
      </c>
      <c r="I22" s="140"/>
      <c r="J22" s="163">
        <v>16.3</v>
      </c>
      <c r="K22" s="163">
        <v>16.3</v>
      </c>
      <c r="L22" s="163">
        <v>19</v>
      </c>
      <c r="M22" s="163">
        <v>21.24</v>
      </c>
      <c r="N22" s="140"/>
      <c r="O22" s="163">
        <v>22.06</v>
      </c>
      <c r="P22" s="163">
        <v>25.5</v>
      </c>
      <c r="Q22" s="163">
        <v>28.83</v>
      </c>
      <c r="R22" s="163">
        <v>33.299999999999997</v>
      </c>
      <c r="S22" s="163">
        <v>32.380000000000003</v>
      </c>
      <c r="T22" s="163">
        <v>33.9</v>
      </c>
      <c r="U22" s="140"/>
      <c r="V22" s="163">
        <v>11.01</v>
      </c>
      <c r="W22" s="163">
        <v>11.33</v>
      </c>
      <c r="X22" s="163"/>
      <c r="Y22" s="163"/>
    </row>
    <row r="23" spans="1:25" ht="12.75" customHeight="1" x14ac:dyDescent="0.2">
      <c r="A23" s="138"/>
      <c r="B23" s="161" t="s">
        <v>646</v>
      </c>
      <c r="C23" s="163">
        <v>9.18</v>
      </c>
      <c r="D23" s="163">
        <v>9.33</v>
      </c>
      <c r="E23" s="162" t="s">
        <v>10</v>
      </c>
      <c r="F23" s="162" t="s">
        <v>10</v>
      </c>
      <c r="G23" s="163">
        <v>11.24</v>
      </c>
      <c r="H23" s="163">
        <v>11.83</v>
      </c>
      <c r="I23" s="140"/>
      <c r="J23" s="163">
        <v>15.9</v>
      </c>
      <c r="K23" s="163">
        <v>16.3</v>
      </c>
      <c r="L23" s="163">
        <v>18.61</v>
      </c>
      <c r="M23" s="163">
        <v>21.24</v>
      </c>
      <c r="N23" s="140"/>
      <c r="O23" s="163">
        <v>22.53</v>
      </c>
      <c r="P23" s="163">
        <v>25.5</v>
      </c>
      <c r="Q23" s="163">
        <v>28.91</v>
      </c>
      <c r="R23" s="163">
        <v>33.299999999999997</v>
      </c>
      <c r="S23" s="163">
        <v>31.87</v>
      </c>
      <c r="T23" s="163">
        <v>33.9</v>
      </c>
      <c r="U23" s="140"/>
      <c r="V23" s="163">
        <v>10.82</v>
      </c>
      <c r="W23" s="163">
        <v>11.33</v>
      </c>
      <c r="X23" s="163"/>
      <c r="Y23" s="163"/>
    </row>
    <row r="24" spans="1:25" ht="12.75" customHeight="1" x14ac:dyDescent="0.2">
      <c r="A24" s="138"/>
      <c r="B24" s="161" t="s">
        <v>59</v>
      </c>
      <c r="C24" s="162">
        <v>9.14</v>
      </c>
      <c r="D24" s="163">
        <v>9.33</v>
      </c>
      <c r="E24" s="162" t="s">
        <v>10</v>
      </c>
      <c r="F24" s="162" t="s">
        <v>10</v>
      </c>
      <c r="G24" s="162">
        <v>11.13</v>
      </c>
      <c r="H24" s="163">
        <v>11.83</v>
      </c>
      <c r="I24" s="140"/>
      <c r="J24" s="162">
        <v>15.76</v>
      </c>
      <c r="K24" s="163">
        <v>16.3</v>
      </c>
      <c r="L24" s="163">
        <v>18.55</v>
      </c>
      <c r="M24" s="163">
        <v>21.24</v>
      </c>
      <c r="N24" s="140"/>
      <c r="O24" s="163">
        <v>22.91</v>
      </c>
      <c r="P24" s="163">
        <v>25.5</v>
      </c>
      <c r="Q24" s="163">
        <v>29.16</v>
      </c>
      <c r="R24" s="163">
        <v>33.299999999999997</v>
      </c>
      <c r="S24" s="163">
        <v>31.84</v>
      </c>
      <c r="T24" s="163">
        <v>33.9</v>
      </c>
      <c r="U24" s="140"/>
      <c r="V24" s="163">
        <v>10.87</v>
      </c>
      <c r="W24" s="163">
        <v>11.33</v>
      </c>
      <c r="X24" s="163"/>
      <c r="Y24" s="163"/>
    </row>
    <row r="25" spans="1:25" ht="12.75" customHeight="1" x14ac:dyDescent="0.2">
      <c r="A25" s="138"/>
      <c r="B25" s="141"/>
      <c r="C25" s="142"/>
      <c r="D25" s="140"/>
      <c r="E25" s="140"/>
      <c r="F25" s="140"/>
      <c r="G25" s="142"/>
      <c r="H25" s="140"/>
      <c r="I25" s="140"/>
      <c r="J25" s="142"/>
      <c r="K25" s="140"/>
      <c r="L25" s="142"/>
      <c r="M25" s="140"/>
      <c r="N25" s="140"/>
      <c r="O25" s="142"/>
      <c r="P25" s="140"/>
      <c r="Q25" s="142"/>
      <c r="R25" s="140"/>
      <c r="S25" s="142"/>
      <c r="T25" s="140"/>
      <c r="U25" s="140"/>
      <c r="V25" s="142"/>
      <c r="W25" s="140"/>
      <c r="X25" s="142"/>
      <c r="Y25" s="140"/>
    </row>
    <row r="26" spans="1:25" ht="12.75" customHeight="1" x14ac:dyDescent="0.2">
      <c r="A26" s="164">
        <v>2009</v>
      </c>
      <c r="B26" s="161" t="s">
        <v>60</v>
      </c>
      <c r="C26" s="162">
        <v>9.16</v>
      </c>
      <c r="D26" s="163">
        <v>9.33</v>
      </c>
      <c r="E26" s="162" t="s">
        <v>10</v>
      </c>
      <c r="F26" s="162" t="s">
        <v>10</v>
      </c>
      <c r="G26" s="162">
        <v>11.18</v>
      </c>
      <c r="H26" s="163">
        <v>11.83</v>
      </c>
      <c r="I26" s="140"/>
      <c r="J26" s="162">
        <v>15.67</v>
      </c>
      <c r="K26" s="163">
        <v>16.3</v>
      </c>
      <c r="L26" s="162">
        <v>18.559999999999999</v>
      </c>
      <c r="M26" s="163">
        <v>21.24</v>
      </c>
      <c r="N26" s="140"/>
      <c r="O26" s="165">
        <v>23</v>
      </c>
      <c r="P26" s="163">
        <v>25.5</v>
      </c>
      <c r="Q26" s="162">
        <v>28.84</v>
      </c>
      <c r="R26" s="163">
        <v>33.299999999999997</v>
      </c>
      <c r="S26" s="162">
        <v>31.47</v>
      </c>
      <c r="T26" s="163">
        <v>33.9</v>
      </c>
      <c r="U26" s="140"/>
      <c r="V26" s="162">
        <v>10.93</v>
      </c>
      <c r="W26" s="163">
        <v>11.33</v>
      </c>
      <c r="X26" s="162"/>
      <c r="Y26" s="163"/>
    </row>
    <row r="27" spans="1:25" ht="12.75" customHeight="1" x14ac:dyDescent="0.2">
      <c r="A27" s="138"/>
      <c r="B27" s="161" t="s">
        <v>61</v>
      </c>
      <c r="C27" s="163">
        <v>9.2100000000000009</v>
      </c>
      <c r="D27" s="163">
        <v>9.33</v>
      </c>
      <c r="E27" s="162" t="s">
        <v>10</v>
      </c>
      <c r="F27" s="162" t="s">
        <v>10</v>
      </c>
      <c r="G27" s="163">
        <v>11.21</v>
      </c>
      <c r="H27" s="163">
        <v>11.83</v>
      </c>
      <c r="I27" s="140"/>
      <c r="J27" s="162">
        <v>15.69</v>
      </c>
      <c r="K27" s="163">
        <v>16.3</v>
      </c>
      <c r="L27" s="162">
        <v>18.64</v>
      </c>
      <c r="M27" s="163">
        <v>21.24</v>
      </c>
      <c r="N27" s="140"/>
      <c r="O27" s="163">
        <v>23.19</v>
      </c>
      <c r="P27" s="163">
        <v>25.5</v>
      </c>
      <c r="Q27" s="163">
        <v>28.41</v>
      </c>
      <c r="R27" s="163">
        <v>33.299999999999997</v>
      </c>
      <c r="S27" s="163">
        <v>31.9</v>
      </c>
      <c r="T27" s="163">
        <v>33.9</v>
      </c>
      <c r="U27" s="140"/>
      <c r="V27" s="163">
        <v>10.97</v>
      </c>
      <c r="W27" s="163">
        <v>11.33</v>
      </c>
      <c r="X27" s="163"/>
      <c r="Y27" s="163"/>
    </row>
    <row r="28" spans="1:25" ht="12.75" customHeight="1" x14ac:dyDescent="0.2">
      <c r="A28" s="138"/>
      <c r="B28" s="161" t="s">
        <v>50</v>
      </c>
      <c r="C28" s="163">
        <v>9.24</v>
      </c>
      <c r="D28" s="163">
        <v>9.33</v>
      </c>
      <c r="E28" s="162" t="s">
        <v>10</v>
      </c>
      <c r="F28" s="162" t="s">
        <v>10</v>
      </c>
      <c r="G28" s="163">
        <v>11.23</v>
      </c>
      <c r="H28" s="163">
        <v>11.83</v>
      </c>
      <c r="I28" s="140"/>
      <c r="J28" s="163">
        <v>15.71</v>
      </c>
      <c r="K28" s="163">
        <v>16.3</v>
      </c>
      <c r="L28" s="163">
        <v>18.420000000000002</v>
      </c>
      <c r="M28" s="163">
        <v>21.24</v>
      </c>
      <c r="N28" s="140"/>
      <c r="O28" s="163">
        <v>22.58</v>
      </c>
      <c r="P28" s="163">
        <v>25.5</v>
      </c>
      <c r="Q28" s="163">
        <v>28.52</v>
      </c>
      <c r="R28" s="163">
        <v>33.299999999999997</v>
      </c>
      <c r="S28" s="163">
        <v>31.62</v>
      </c>
      <c r="T28" s="163">
        <v>33.9</v>
      </c>
      <c r="U28" s="140"/>
      <c r="V28" s="163">
        <v>10.86</v>
      </c>
      <c r="W28" s="163">
        <v>11.33</v>
      </c>
      <c r="X28" s="163"/>
      <c r="Y28" s="163"/>
    </row>
    <row r="29" spans="1:25" ht="12.75" customHeight="1" x14ac:dyDescent="0.2">
      <c r="A29" s="138"/>
      <c r="B29" s="161" t="s">
        <v>51</v>
      </c>
      <c r="C29" s="163">
        <v>9.24</v>
      </c>
      <c r="D29" s="163">
        <v>9.33</v>
      </c>
      <c r="E29" s="162" t="s">
        <v>10</v>
      </c>
      <c r="F29" s="162" t="s">
        <v>10</v>
      </c>
      <c r="G29" s="163">
        <v>11.12</v>
      </c>
      <c r="H29" s="163">
        <v>11.83</v>
      </c>
      <c r="I29" s="140"/>
      <c r="J29" s="163">
        <v>15.77</v>
      </c>
      <c r="K29" s="163">
        <v>16.3</v>
      </c>
      <c r="L29" s="163">
        <v>18.579999999999998</v>
      </c>
      <c r="M29" s="163">
        <v>21.24</v>
      </c>
      <c r="N29" s="140"/>
      <c r="O29" s="163">
        <v>22.08</v>
      </c>
      <c r="P29" s="163">
        <v>25.5</v>
      </c>
      <c r="Q29" s="163">
        <v>28.8</v>
      </c>
      <c r="R29" s="163">
        <v>33.299999999999997</v>
      </c>
      <c r="S29" s="163">
        <v>30.67</v>
      </c>
      <c r="T29" s="163">
        <v>33.9</v>
      </c>
      <c r="U29" s="140"/>
      <c r="V29" s="163">
        <v>11.03</v>
      </c>
      <c r="W29" s="163">
        <v>11.33</v>
      </c>
      <c r="X29" s="163"/>
      <c r="Y29" s="163"/>
    </row>
    <row r="30" spans="1:25" ht="12.75" customHeight="1" x14ac:dyDescent="0.2">
      <c r="A30" s="138"/>
      <c r="B30" s="161" t="s">
        <v>52</v>
      </c>
      <c r="C30" s="163">
        <v>9.26</v>
      </c>
      <c r="D30" s="163">
        <v>9.33</v>
      </c>
      <c r="E30" s="162" t="s">
        <v>10</v>
      </c>
      <c r="F30" s="162" t="s">
        <v>10</v>
      </c>
      <c r="G30" s="163">
        <v>11.2</v>
      </c>
      <c r="H30" s="163">
        <v>11.83</v>
      </c>
      <c r="I30" s="140"/>
      <c r="J30" s="163">
        <v>15.69</v>
      </c>
      <c r="K30" s="163">
        <v>16.3</v>
      </c>
      <c r="L30" s="163">
        <v>18.53</v>
      </c>
      <c r="M30" s="163">
        <v>21.24</v>
      </c>
      <c r="N30" s="140"/>
      <c r="O30" s="163">
        <v>22.05</v>
      </c>
      <c r="P30" s="163">
        <v>25.5</v>
      </c>
      <c r="Q30" s="163">
        <v>28.88</v>
      </c>
      <c r="R30" s="163">
        <v>33.299999999999997</v>
      </c>
      <c r="S30" s="163">
        <v>30.37</v>
      </c>
      <c r="T30" s="163">
        <v>33.9</v>
      </c>
      <c r="U30" s="140"/>
      <c r="V30" s="163">
        <v>11.11</v>
      </c>
      <c r="W30" s="163">
        <v>11.33</v>
      </c>
      <c r="X30" s="163"/>
      <c r="Y30" s="163"/>
    </row>
    <row r="31" spans="1:25" ht="12.75" customHeight="1" x14ac:dyDescent="0.2">
      <c r="A31" s="138"/>
      <c r="B31" s="161" t="s">
        <v>53</v>
      </c>
      <c r="C31" s="163">
        <v>9.24</v>
      </c>
      <c r="D31" s="163">
        <v>9.33</v>
      </c>
      <c r="E31" s="162" t="s">
        <v>10</v>
      </c>
      <c r="F31" s="162" t="s">
        <v>10</v>
      </c>
      <c r="G31" s="163">
        <v>10.92</v>
      </c>
      <c r="H31" s="163">
        <v>11.83</v>
      </c>
      <c r="I31" s="140"/>
      <c r="J31" s="163">
        <v>15.38</v>
      </c>
      <c r="K31" s="163">
        <v>18.920000000000002</v>
      </c>
      <c r="L31" s="163">
        <v>18.59</v>
      </c>
      <c r="M31" s="163">
        <v>26.94</v>
      </c>
      <c r="N31" s="140"/>
      <c r="O31" s="163">
        <v>22.41</v>
      </c>
      <c r="P31" s="163">
        <v>25.5</v>
      </c>
      <c r="Q31" s="163">
        <v>28.99</v>
      </c>
      <c r="R31" s="163">
        <v>33.299999999999997</v>
      </c>
      <c r="S31" s="163">
        <v>29.8</v>
      </c>
      <c r="T31" s="163">
        <v>35.270000000000003</v>
      </c>
      <c r="U31" s="140"/>
      <c r="V31" s="163">
        <v>11.15</v>
      </c>
      <c r="W31" s="163">
        <v>11.33</v>
      </c>
      <c r="X31" s="163"/>
      <c r="Y31" s="163"/>
    </row>
    <row r="32" spans="1:25" ht="12.75" customHeight="1" x14ac:dyDescent="0.2">
      <c r="A32" s="138"/>
      <c r="B32" s="161" t="s">
        <v>54</v>
      </c>
      <c r="C32" s="163">
        <v>9.2200000000000006</v>
      </c>
      <c r="D32" s="163">
        <v>9.33</v>
      </c>
      <c r="E32" s="162" t="s">
        <v>10</v>
      </c>
      <c r="F32" s="163">
        <v>10.210000000000001</v>
      </c>
      <c r="G32" s="163">
        <v>11.14</v>
      </c>
      <c r="H32" s="163">
        <v>11.83</v>
      </c>
      <c r="I32" s="140"/>
      <c r="J32" s="163">
        <v>16.8</v>
      </c>
      <c r="K32" s="163">
        <v>18.920000000000002</v>
      </c>
      <c r="L32" s="163" t="s">
        <v>10</v>
      </c>
      <c r="M32" s="163" t="s">
        <v>10</v>
      </c>
      <c r="N32" s="140"/>
      <c r="O32" s="163">
        <v>23.03</v>
      </c>
      <c r="P32" s="163">
        <v>25.5</v>
      </c>
      <c r="Q32" s="163">
        <v>29.47</v>
      </c>
      <c r="R32" s="163">
        <v>33.299999999999997</v>
      </c>
      <c r="S32" s="163">
        <v>30.8</v>
      </c>
      <c r="T32" s="163">
        <v>33.9</v>
      </c>
      <c r="U32" s="140"/>
      <c r="V32" s="163">
        <v>11.15</v>
      </c>
      <c r="W32" s="163">
        <v>11.33</v>
      </c>
      <c r="X32" s="163"/>
      <c r="Y32" s="163"/>
    </row>
    <row r="33" spans="1:25" ht="12.75" customHeight="1" x14ac:dyDescent="0.2">
      <c r="A33" s="138"/>
      <c r="B33" s="161" t="s">
        <v>55</v>
      </c>
      <c r="C33" s="163">
        <v>9.15</v>
      </c>
      <c r="D33" s="163">
        <v>9.33</v>
      </c>
      <c r="E33" s="163">
        <v>9.8800000000000008</v>
      </c>
      <c r="F33" s="163">
        <v>10.210000000000001</v>
      </c>
      <c r="G33" s="163">
        <v>11.1</v>
      </c>
      <c r="H33" s="163">
        <v>11.83</v>
      </c>
      <c r="I33" s="140"/>
      <c r="J33" s="163">
        <v>17.95</v>
      </c>
      <c r="K33" s="163">
        <v>18.920000000000002</v>
      </c>
      <c r="L33" s="163" t="s">
        <v>10</v>
      </c>
      <c r="M33" s="163" t="s">
        <v>10</v>
      </c>
      <c r="N33" s="140"/>
      <c r="O33" s="163">
        <v>24.34</v>
      </c>
      <c r="P33" s="163">
        <v>25.5</v>
      </c>
      <c r="Q33" s="163">
        <v>27.87</v>
      </c>
      <c r="R33" s="163">
        <v>33.299999999999997</v>
      </c>
      <c r="S33" s="163">
        <v>30.81</v>
      </c>
      <c r="T33" s="163">
        <v>33.9</v>
      </c>
      <c r="U33" s="140"/>
      <c r="V33" s="163">
        <v>11.16</v>
      </c>
      <c r="W33" s="163">
        <v>11.33</v>
      </c>
      <c r="X33" s="163"/>
      <c r="Y33" s="163"/>
    </row>
    <row r="34" spans="1:25" ht="12.75" customHeight="1" x14ac:dyDescent="0.2">
      <c r="A34" s="138"/>
      <c r="B34" s="161" t="s">
        <v>645</v>
      </c>
      <c r="C34" s="163">
        <v>9.15</v>
      </c>
      <c r="D34" s="163">
        <v>9.33</v>
      </c>
      <c r="E34" s="163">
        <v>9.93</v>
      </c>
      <c r="F34" s="163">
        <v>10.210000000000001</v>
      </c>
      <c r="G34" s="163">
        <v>11.38</v>
      </c>
      <c r="H34" s="163">
        <v>11.83</v>
      </c>
      <c r="I34" s="140"/>
      <c r="J34" s="163">
        <v>18</v>
      </c>
      <c r="K34" s="163">
        <v>18.920000000000002</v>
      </c>
      <c r="L34" s="163" t="s">
        <v>10</v>
      </c>
      <c r="M34" s="163" t="s">
        <v>10</v>
      </c>
      <c r="N34" s="140"/>
      <c r="O34" s="163">
        <v>23.92</v>
      </c>
      <c r="P34" s="163">
        <v>25.5</v>
      </c>
      <c r="Q34" s="163">
        <v>28.15</v>
      </c>
      <c r="R34" s="163">
        <v>33.299999999999997</v>
      </c>
      <c r="S34" s="163">
        <v>30.91</v>
      </c>
      <c r="T34" s="163">
        <v>33.9</v>
      </c>
      <c r="U34" s="140"/>
      <c r="V34" s="163">
        <v>11.16</v>
      </c>
      <c r="W34" s="163">
        <v>11.33</v>
      </c>
      <c r="X34" s="163"/>
      <c r="Y34" s="163"/>
    </row>
    <row r="35" spans="1:25" ht="12.75" customHeight="1" x14ac:dyDescent="0.2">
      <c r="A35" s="138"/>
      <c r="B35" s="161" t="s">
        <v>57</v>
      </c>
      <c r="C35" s="163">
        <v>9.19</v>
      </c>
      <c r="D35" s="163">
        <v>9.33</v>
      </c>
      <c r="E35" s="163">
        <v>9.84</v>
      </c>
      <c r="F35" s="163">
        <v>10.210000000000001</v>
      </c>
      <c r="G35" s="163">
        <v>11.32</v>
      </c>
      <c r="H35" s="163">
        <v>11.83</v>
      </c>
      <c r="I35" s="140"/>
      <c r="J35" s="163">
        <v>18.03</v>
      </c>
      <c r="K35" s="163">
        <v>18.920000000000002</v>
      </c>
      <c r="L35" s="163" t="s">
        <v>10</v>
      </c>
      <c r="M35" s="163" t="s">
        <v>10</v>
      </c>
      <c r="N35" s="140"/>
      <c r="O35" s="163">
        <v>23.74</v>
      </c>
      <c r="P35" s="163">
        <v>25.5</v>
      </c>
      <c r="Q35" s="163">
        <v>28.56</v>
      </c>
      <c r="R35" s="163">
        <v>33.299999999999997</v>
      </c>
      <c r="S35" s="163">
        <v>30.83</v>
      </c>
      <c r="T35" s="163">
        <v>33.9</v>
      </c>
      <c r="U35" s="140"/>
      <c r="V35" s="163">
        <v>11.13</v>
      </c>
      <c r="W35" s="163">
        <v>11.33</v>
      </c>
      <c r="X35" s="163"/>
      <c r="Y35" s="163"/>
    </row>
    <row r="36" spans="1:25" ht="12.75" customHeight="1" x14ac:dyDescent="0.2">
      <c r="A36" s="138"/>
      <c r="B36" s="161" t="s">
        <v>646</v>
      </c>
      <c r="C36" s="163">
        <v>9.19</v>
      </c>
      <c r="D36" s="163">
        <v>9.33</v>
      </c>
      <c r="E36" s="163">
        <v>9.84</v>
      </c>
      <c r="F36" s="163">
        <v>10.210000000000001</v>
      </c>
      <c r="G36" s="163">
        <v>11.32</v>
      </c>
      <c r="H36" s="163">
        <v>11.83</v>
      </c>
      <c r="I36" s="140"/>
      <c r="J36" s="163">
        <v>18.03</v>
      </c>
      <c r="K36" s="163">
        <v>18.920000000000002</v>
      </c>
      <c r="L36" s="163" t="s">
        <v>10</v>
      </c>
      <c r="M36" s="163" t="s">
        <v>10</v>
      </c>
      <c r="N36" s="140"/>
      <c r="O36" s="163">
        <v>23.74</v>
      </c>
      <c r="P36" s="163">
        <v>25.5</v>
      </c>
      <c r="Q36" s="163">
        <v>28.56</v>
      </c>
      <c r="R36" s="163">
        <v>33.299999999999997</v>
      </c>
      <c r="S36" s="163">
        <v>30.83</v>
      </c>
      <c r="T36" s="163">
        <v>33.9</v>
      </c>
      <c r="U36" s="140"/>
      <c r="V36" s="163">
        <v>11.13</v>
      </c>
      <c r="W36" s="163">
        <v>11.33</v>
      </c>
      <c r="X36" s="163"/>
      <c r="Y36" s="163"/>
    </row>
    <row r="37" spans="1:25" ht="12.75" customHeight="1" x14ac:dyDescent="0.2">
      <c r="A37" s="138"/>
      <c r="B37" s="161" t="s">
        <v>59</v>
      </c>
      <c r="C37" s="163">
        <v>9.19</v>
      </c>
      <c r="D37" s="163">
        <v>9.33</v>
      </c>
      <c r="E37" s="163">
        <v>9.9</v>
      </c>
      <c r="F37" s="163">
        <v>10.210000000000001</v>
      </c>
      <c r="G37" s="163">
        <v>11.28</v>
      </c>
      <c r="H37" s="163">
        <v>11.83</v>
      </c>
      <c r="I37" s="140"/>
      <c r="J37" s="163">
        <v>17.940000000000001</v>
      </c>
      <c r="K37" s="163">
        <v>18.920000000000002</v>
      </c>
      <c r="L37" s="163"/>
      <c r="M37" s="163"/>
      <c r="N37" s="140"/>
      <c r="O37" s="163">
        <v>23.29</v>
      </c>
      <c r="P37" s="163">
        <v>25.5</v>
      </c>
      <c r="Q37" s="163">
        <v>27.78</v>
      </c>
      <c r="R37" s="163">
        <v>33.299999999999997</v>
      </c>
      <c r="S37" s="163">
        <v>30.54</v>
      </c>
      <c r="T37" s="163">
        <v>33.9</v>
      </c>
      <c r="U37" s="140"/>
      <c r="V37" s="163">
        <v>11.15</v>
      </c>
      <c r="W37" s="163">
        <v>11.33</v>
      </c>
      <c r="X37" s="163"/>
      <c r="Y37" s="163"/>
    </row>
    <row r="38" spans="1:25" ht="12.75" customHeight="1" x14ac:dyDescent="0.2">
      <c r="A38" s="138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</row>
    <row r="39" spans="1:25" ht="12.75" customHeight="1" x14ac:dyDescent="0.2">
      <c r="A39" s="164">
        <v>2010</v>
      </c>
      <c r="B39" s="161" t="s">
        <v>60</v>
      </c>
      <c r="C39" s="163">
        <v>9.1300000000000008</v>
      </c>
      <c r="D39" s="163">
        <v>9.33</v>
      </c>
      <c r="E39" s="163">
        <v>9.9700000000000006</v>
      </c>
      <c r="F39" s="163">
        <v>10.210000000000001</v>
      </c>
      <c r="G39" s="163">
        <v>11.19</v>
      </c>
      <c r="H39" s="163">
        <v>11.83</v>
      </c>
      <c r="I39" s="140"/>
      <c r="J39" s="163">
        <v>18.079999999999998</v>
      </c>
      <c r="K39" s="163">
        <v>18.920000000000002</v>
      </c>
      <c r="L39" s="163" t="s">
        <v>10</v>
      </c>
      <c r="M39" s="163" t="s">
        <v>10</v>
      </c>
      <c r="N39" s="140"/>
      <c r="O39" s="163">
        <v>23.07</v>
      </c>
      <c r="P39" s="163">
        <v>25.5</v>
      </c>
      <c r="Q39" s="163">
        <v>28.29</v>
      </c>
      <c r="R39" s="163">
        <v>33.299999999999997</v>
      </c>
      <c r="S39" s="163">
        <v>30.53</v>
      </c>
      <c r="T39" s="163">
        <v>33.9</v>
      </c>
      <c r="U39" s="140"/>
      <c r="V39" s="163">
        <v>11.11</v>
      </c>
      <c r="W39" s="163">
        <v>11.33</v>
      </c>
      <c r="X39" s="163"/>
      <c r="Y39" s="163"/>
    </row>
    <row r="40" spans="1:25" ht="12.75" customHeight="1" x14ac:dyDescent="0.2">
      <c r="A40" s="138"/>
      <c r="B40" s="161" t="s">
        <v>61</v>
      </c>
      <c r="C40" s="163">
        <v>9.1</v>
      </c>
      <c r="D40" s="163">
        <v>9.33</v>
      </c>
      <c r="E40" s="163">
        <v>9.92</v>
      </c>
      <c r="F40" s="163">
        <v>10.210000000000001</v>
      </c>
      <c r="G40" s="163">
        <v>11.38</v>
      </c>
      <c r="H40" s="163">
        <v>11.83</v>
      </c>
      <c r="I40" s="140"/>
      <c r="J40" s="163">
        <v>18.100000000000001</v>
      </c>
      <c r="K40" s="163">
        <v>16.3</v>
      </c>
      <c r="L40" s="163" t="s">
        <v>10</v>
      </c>
      <c r="M40" s="163" t="s">
        <v>10</v>
      </c>
      <c r="N40" s="140"/>
      <c r="O40" s="163">
        <v>22.9</v>
      </c>
      <c r="P40" s="163">
        <v>25.5</v>
      </c>
      <c r="Q40" s="163">
        <v>27.85</v>
      </c>
      <c r="R40" s="163">
        <v>33.299999999999997</v>
      </c>
      <c r="S40" s="163">
        <v>29.72</v>
      </c>
      <c r="T40" s="163">
        <v>33.9</v>
      </c>
      <c r="U40" s="140"/>
      <c r="V40" s="163">
        <v>11.05</v>
      </c>
      <c r="W40" s="163">
        <v>11.33</v>
      </c>
      <c r="X40" s="163"/>
      <c r="Y40" s="163"/>
    </row>
    <row r="41" spans="1:25" ht="12.75" customHeight="1" x14ac:dyDescent="0.2">
      <c r="A41" s="138"/>
      <c r="B41" s="161" t="s">
        <v>50</v>
      </c>
      <c r="C41" s="163">
        <v>9.2100000000000009</v>
      </c>
      <c r="D41" s="163">
        <v>9.33</v>
      </c>
      <c r="E41" s="163">
        <v>9.94</v>
      </c>
      <c r="F41" s="163">
        <v>10.210000000000001</v>
      </c>
      <c r="G41" s="163">
        <v>11.35</v>
      </c>
      <c r="H41" s="163">
        <v>11.83</v>
      </c>
      <c r="I41" s="140"/>
      <c r="J41" s="163">
        <v>16.8</v>
      </c>
      <c r="K41" s="163">
        <v>16.3</v>
      </c>
      <c r="L41" s="163" t="s">
        <v>10</v>
      </c>
      <c r="M41" s="163" t="s">
        <v>10</v>
      </c>
      <c r="N41" s="140"/>
      <c r="O41" s="163">
        <v>23.06</v>
      </c>
      <c r="P41" s="163">
        <v>25.5</v>
      </c>
      <c r="Q41" s="163">
        <v>28.13</v>
      </c>
      <c r="R41" s="163">
        <v>33.299999999999997</v>
      </c>
      <c r="S41" s="163">
        <v>30.23</v>
      </c>
      <c r="T41" s="163">
        <v>33.9</v>
      </c>
      <c r="U41" s="140"/>
      <c r="V41" s="163">
        <v>10.94</v>
      </c>
      <c r="W41" s="163">
        <v>11.33</v>
      </c>
      <c r="X41" s="163"/>
      <c r="Y41" s="163"/>
    </row>
    <row r="42" spans="1:25" ht="12.75" customHeight="1" x14ac:dyDescent="0.2">
      <c r="A42" s="138"/>
      <c r="B42" s="161" t="s">
        <v>51</v>
      </c>
      <c r="C42" s="163">
        <v>9.1199999999999992</v>
      </c>
      <c r="D42" s="163">
        <v>9.33</v>
      </c>
      <c r="E42" s="163">
        <v>9.91</v>
      </c>
      <c r="F42" s="163">
        <v>10.210000000000001</v>
      </c>
      <c r="G42" s="163">
        <v>11.39</v>
      </c>
      <c r="H42" s="163">
        <v>11.83</v>
      </c>
      <c r="I42" s="140"/>
      <c r="J42" s="163">
        <v>15.97</v>
      </c>
      <c r="K42" s="163">
        <v>16.3</v>
      </c>
      <c r="L42" s="163" t="s">
        <v>10</v>
      </c>
      <c r="M42" s="163" t="s">
        <v>10</v>
      </c>
      <c r="N42" s="140"/>
      <c r="O42" s="163">
        <v>23.01</v>
      </c>
      <c r="P42" s="163">
        <v>25.5</v>
      </c>
      <c r="Q42" s="163">
        <v>27.85</v>
      </c>
      <c r="R42" s="163">
        <v>33.299999999999997</v>
      </c>
      <c r="S42" s="163">
        <v>30.54</v>
      </c>
      <c r="T42" s="163">
        <v>33.9</v>
      </c>
      <c r="U42" s="140"/>
      <c r="V42" s="163">
        <v>10.87</v>
      </c>
      <c r="W42" s="163">
        <v>11.33</v>
      </c>
      <c r="X42" s="163"/>
      <c r="Y42" s="163"/>
    </row>
    <row r="43" spans="1:25" ht="12.75" customHeight="1" x14ac:dyDescent="0.2">
      <c r="A43" s="138"/>
      <c r="B43" s="161" t="s">
        <v>52</v>
      </c>
      <c r="C43" s="163">
        <v>9.11</v>
      </c>
      <c r="D43" s="163">
        <v>9.33</v>
      </c>
      <c r="E43" s="163">
        <v>9.8800000000000008</v>
      </c>
      <c r="F43" s="163">
        <v>10.210000000000001</v>
      </c>
      <c r="G43" s="163">
        <v>11.35</v>
      </c>
      <c r="H43" s="163">
        <v>11.83</v>
      </c>
      <c r="I43" s="140"/>
      <c r="J43" s="163">
        <v>15.95</v>
      </c>
      <c r="K43" s="163">
        <v>16.3</v>
      </c>
      <c r="L43" s="163" t="s">
        <v>10</v>
      </c>
      <c r="M43" s="163" t="s">
        <v>10</v>
      </c>
      <c r="N43" s="140"/>
      <c r="O43" s="163">
        <v>22.78</v>
      </c>
      <c r="P43" s="163">
        <v>25.5</v>
      </c>
      <c r="Q43" s="163">
        <v>27.79</v>
      </c>
      <c r="R43" s="163">
        <v>27.5</v>
      </c>
      <c r="S43" s="163">
        <v>30.76</v>
      </c>
      <c r="T43" s="163">
        <v>30.5</v>
      </c>
      <c r="U43" s="140"/>
      <c r="V43" s="163">
        <v>10.77</v>
      </c>
      <c r="W43" s="163">
        <v>11.33</v>
      </c>
      <c r="X43" s="163"/>
      <c r="Y43" s="163"/>
    </row>
    <row r="44" spans="1:25" ht="12.75" customHeight="1" x14ac:dyDescent="0.2">
      <c r="A44" s="138"/>
      <c r="B44" s="161" t="s">
        <v>53</v>
      </c>
      <c r="C44" s="163">
        <v>9.02</v>
      </c>
      <c r="D44" s="163">
        <v>9.33</v>
      </c>
      <c r="E44" s="163">
        <v>9.8699999999999992</v>
      </c>
      <c r="F44" s="163">
        <v>10.210000000000001</v>
      </c>
      <c r="G44" s="163">
        <v>11.35</v>
      </c>
      <c r="H44" s="163">
        <v>11.83</v>
      </c>
      <c r="I44" s="140"/>
      <c r="J44" s="163">
        <v>15.92</v>
      </c>
      <c r="K44" s="163">
        <v>16.3</v>
      </c>
      <c r="L44" s="163" t="s">
        <v>10</v>
      </c>
      <c r="M44" s="163" t="s">
        <v>10</v>
      </c>
      <c r="N44" s="140"/>
      <c r="O44" s="163">
        <v>22.67</v>
      </c>
      <c r="P44" s="163">
        <v>25.5</v>
      </c>
      <c r="Q44" s="163">
        <v>26.36</v>
      </c>
      <c r="R44" s="163">
        <v>27.5</v>
      </c>
      <c r="S44" s="163">
        <v>29.14</v>
      </c>
      <c r="T44" s="163">
        <v>30.5</v>
      </c>
      <c r="U44" s="140"/>
      <c r="V44" s="163">
        <v>10.74</v>
      </c>
      <c r="W44" s="163">
        <v>11.33</v>
      </c>
      <c r="X44" s="163"/>
      <c r="Y44" s="163"/>
    </row>
    <row r="45" spans="1:25" ht="12.75" customHeight="1" x14ac:dyDescent="0.2">
      <c r="A45" s="138"/>
      <c r="B45" s="161" t="s">
        <v>54</v>
      </c>
      <c r="C45" s="163">
        <v>8.99</v>
      </c>
      <c r="D45" s="163">
        <v>9.33</v>
      </c>
      <c r="E45" s="163">
        <v>9.77</v>
      </c>
      <c r="F45" s="163">
        <v>10.210000000000001</v>
      </c>
      <c r="G45" s="163">
        <v>11.33</v>
      </c>
      <c r="H45" s="163">
        <v>11.83</v>
      </c>
      <c r="I45" s="140"/>
      <c r="J45" s="163">
        <v>15.86</v>
      </c>
      <c r="K45" s="163">
        <v>16.3</v>
      </c>
      <c r="L45" s="163" t="s">
        <v>10</v>
      </c>
      <c r="M45" s="163" t="s">
        <v>10</v>
      </c>
      <c r="N45" s="140"/>
      <c r="O45" s="163">
        <v>22.65</v>
      </c>
      <c r="P45" s="163">
        <v>25.5</v>
      </c>
      <c r="Q45" s="163">
        <v>24.97</v>
      </c>
      <c r="R45" s="163">
        <v>27.5</v>
      </c>
      <c r="S45" s="163">
        <v>27.69</v>
      </c>
      <c r="T45" s="163">
        <v>30.5</v>
      </c>
      <c r="U45" s="140"/>
      <c r="V45" s="163">
        <v>10.56</v>
      </c>
      <c r="W45" s="163">
        <v>11.33</v>
      </c>
      <c r="X45" s="163"/>
      <c r="Y45" s="163"/>
    </row>
    <row r="46" spans="1:25" ht="12.75" customHeight="1" x14ac:dyDescent="0.2">
      <c r="A46" s="138"/>
      <c r="B46" s="161" t="s">
        <v>55</v>
      </c>
      <c r="C46" s="163">
        <v>9.0399999999999991</v>
      </c>
      <c r="D46" s="163">
        <v>9.33</v>
      </c>
      <c r="E46" s="163">
        <v>9.7799999999999994</v>
      </c>
      <c r="F46" s="163">
        <v>10.210000000000001</v>
      </c>
      <c r="G46" s="163">
        <v>11.27</v>
      </c>
      <c r="H46" s="163">
        <v>11.83</v>
      </c>
      <c r="I46" s="140"/>
      <c r="J46" s="163">
        <v>15.86</v>
      </c>
      <c r="K46" s="163">
        <v>16.3</v>
      </c>
      <c r="L46" s="163" t="s">
        <v>10</v>
      </c>
      <c r="M46" s="163" t="s">
        <v>10</v>
      </c>
      <c r="N46" s="140"/>
      <c r="O46" s="163">
        <v>22.75</v>
      </c>
      <c r="P46" s="163">
        <v>25.5</v>
      </c>
      <c r="Q46" s="163">
        <v>24.99</v>
      </c>
      <c r="R46" s="163">
        <v>27.5</v>
      </c>
      <c r="S46" s="163">
        <v>28.45</v>
      </c>
      <c r="T46" s="163">
        <v>30.5</v>
      </c>
      <c r="U46" s="140"/>
      <c r="V46" s="163">
        <v>10.64</v>
      </c>
      <c r="W46" s="163">
        <v>11.33</v>
      </c>
      <c r="X46" s="163"/>
      <c r="Y46" s="163"/>
    </row>
    <row r="47" spans="1:25" ht="12.75" customHeight="1" x14ac:dyDescent="0.2">
      <c r="A47" s="138"/>
      <c r="B47" s="161" t="s">
        <v>645</v>
      </c>
      <c r="C47" s="163">
        <v>9.0399999999999991</v>
      </c>
      <c r="D47" s="163">
        <v>9.33</v>
      </c>
      <c r="E47" s="163">
        <v>9.7799999999999994</v>
      </c>
      <c r="F47" s="163">
        <v>10.210000000000001</v>
      </c>
      <c r="G47" s="163">
        <v>11.27</v>
      </c>
      <c r="H47" s="163">
        <v>11.83</v>
      </c>
      <c r="I47" s="140"/>
      <c r="J47" s="163">
        <v>15.86</v>
      </c>
      <c r="K47" s="163">
        <v>16.3</v>
      </c>
      <c r="L47" s="163" t="s">
        <v>10</v>
      </c>
      <c r="M47" s="163" t="s">
        <v>10</v>
      </c>
      <c r="N47" s="140"/>
      <c r="O47" s="163">
        <v>22.75</v>
      </c>
      <c r="P47" s="163">
        <v>25.5</v>
      </c>
      <c r="Q47" s="163">
        <v>24.99</v>
      </c>
      <c r="R47" s="163">
        <v>27.5</v>
      </c>
      <c r="S47" s="163">
        <v>28.45</v>
      </c>
      <c r="T47" s="163">
        <v>30.5</v>
      </c>
      <c r="U47" s="140"/>
      <c r="V47" s="163">
        <v>10.64</v>
      </c>
      <c r="W47" s="163">
        <v>11.33</v>
      </c>
      <c r="X47" s="163"/>
      <c r="Y47" s="163"/>
    </row>
    <row r="48" spans="1:25" ht="12.75" customHeight="1" x14ac:dyDescent="0.2">
      <c r="A48" s="138"/>
      <c r="B48" s="161" t="s">
        <v>57</v>
      </c>
      <c r="C48" s="163">
        <v>8.94</v>
      </c>
      <c r="D48" s="163">
        <v>9.33</v>
      </c>
      <c r="E48" s="163">
        <v>9.67</v>
      </c>
      <c r="F48" s="163">
        <v>10.210000000000001</v>
      </c>
      <c r="G48" s="163">
        <v>11.32</v>
      </c>
      <c r="H48" s="163">
        <v>11.83</v>
      </c>
      <c r="I48" s="140"/>
      <c r="J48" s="163">
        <v>15.89</v>
      </c>
      <c r="K48" s="163">
        <v>16.3</v>
      </c>
      <c r="L48" s="163" t="s">
        <v>10</v>
      </c>
      <c r="M48" s="163" t="s">
        <v>10</v>
      </c>
      <c r="N48" s="140"/>
      <c r="O48" s="163">
        <v>23.08</v>
      </c>
      <c r="P48" s="163">
        <v>25.5</v>
      </c>
      <c r="Q48" s="163">
        <v>25.17</v>
      </c>
      <c r="R48" s="163">
        <v>27.5</v>
      </c>
      <c r="S48" s="163">
        <v>28.7</v>
      </c>
      <c r="T48" s="163">
        <v>30.5</v>
      </c>
      <c r="U48" s="140"/>
      <c r="V48" s="163">
        <v>10.62</v>
      </c>
      <c r="W48" s="163">
        <v>11.33</v>
      </c>
      <c r="X48" s="163"/>
      <c r="Y48" s="163"/>
    </row>
    <row r="49" spans="1:25" ht="12.75" customHeight="1" x14ac:dyDescent="0.2">
      <c r="A49" s="138"/>
      <c r="B49" s="161" t="s">
        <v>646</v>
      </c>
      <c r="C49" s="163">
        <v>8.94</v>
      </c>
      <c r="D49" s="163">
        <v>9.33</v>
      </c>
      <c r="E49" s="163">
        <v>9.67</v>
      </c>
      <c r="F49" s="163">
        <v>10.210000000000001</v>
      </c>
      <c r="G49" s="163">
        <v>11.32</v>
      </c>
      <c r="H49" s="163">
        <v>11.83</v>
      </c>
      <c r="I49" s="140"/>
      <c r="J49" s="163">
        <v>15.89</v>
      </c>
      <c r="K49" s="163">
        <v>16.3</v>
      </c>
      <c r="L49" s="163" t="s">
        <v>10</v>
      </c>
      <c r="M49" s="163" t="s">
        <v>10</v>
      </c>
      <c r="N49" s="140"/>
      <c r="O49" s="163">
        <v>23.08</v>
      </c>
      <c r="P49" s="163">
        <v>25.5</v>
      </c>
      <c r="Q49" s="163">
        <v>25.17</v>
      </c>
      <c r="R49" s="163">
        <v>27.5</v>
      </c>
      <c r="S49" s="163">
        <v>28.7</v>
      </c>
      <c r="T49" s="163">
        <v>30.5</v>
      </c>
      <c r="U49" s="140"/>
      <c r="V49" s="163">
        <v>10.62</v>
      </c>
      <c r="W49" s="163">
        <v>11.33</v>
      </c>
      <c r="X49" s="163"/>
      <c r="Y49" s="163"/>
    </row>
    <row r="50" spans="1:25" ht="12.75" customHeight="1" x14ac:dyDescent="0.2">
      <c r="A50" s="138"/>
      <c r="B50" s="161" t="s">
        <v>59</v>
      </c>
      <c r="C50" s="163">
        <v>8.68</v>
      </c>
      <c r="D50" s="163">
        <v>9.33</v>
      </c>
      <c r="E50" s="163">
        <v>9.5399999999999991</v>
      </c>
      <c r="F50" s="163">
        <v>10.210000000000001</v>
      </c>
      <c r="G50" s="163">
        <v>11.3</v>
      </c>
      <c r="H50" s="163">
        <v>11.83</v>
      </c>
      <c r="I50" s="140"/>
      <c r="J50" s="163">
        <v>15.94</v>
      </c>
      <c r="K50" s="163">
        <v>16.3</v>
      </c>
      <c r="L50" s="163" t="s">
        <v>10</v>
      </c>
      <c r="M50" s="163" t="s">
        <v>10</v>
      </c>
      <c r="N50" s="140"/>
      <c r="O50" s="163">
        <v>23.11</v>
      </c>
      <c r="P50" s="163">
        <v>25.5</v>
      </c>
      <c r="Q50" s="163">
        <v>25.37</v>
      </c>
      <c r="R50" s="163">
        <v>27.5</v>
      </c>
      <c r="S50" s="163">
        <v>29.04</v>
      </c>
      <c r="T50" s="163">
        <v>30.5</v>
      </c>
      <c r="U50" s="140"/>
      <c r="V50" s="163">
        <v>10.38</v>
      </c>
      <c r="W50" s="163">
        <v>11.33</v>
      </c>
      <c r="X50" s="163"/>
      <c r="Y50" s="163"/>
    </row>
    <row r="51" spans="1:25" ht="12.75" customHeight="1" x14ac:dyDescent="0.2">
      <c r="A51" s="138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</row>
    <row r="52" spans="1:25" ht="12.75" customHeight="1" x14ac:dyDescent="0.2">
      <c r="A52" s="164">
        <v>2011</v>
      </c>
      <c r="B52" s="161" t="s">
        <v>60</v>
      </c>
      <c r="C52" s="163">
        <v>8.59</v>
      </c>
      <c r="D52" s="163">
        <v>9.33</v>
      </c>
      <c r="E52" s="163">
        <v>9.4700000000000006</v>
      </c>
      <c r="F52" s="163">
        <v>10.210000000000001</v>
      </c>
      <c r="G52" s="163">
        <v>11.28</v>
      </c>
      <c r="H52" s="163">
        <v>11.83</v>
      </c>
      <c r="I52" s="140"/>
      <c r="J52" s="163">
        <v>15.94</v>
      </c>
      <c r="K52" s="163">
        <v>16.3</v>
      </c>
      <c r="L52" s="163" t="s">
        <v>10</v>
      </c>
      <c r="M52" s="163" t="s">
        <v>10</v>
      </c>
      <c r="N52" s="140"/>
      <c r="O52" s="163">
        <v>23</v>
      </c>
      <c r="P52" s="163">
        <v>25.5</v>
      </c>
      <c r="Q52" s="163">
        <v>25.25</v>
      </c>
      <c r="R52" s="163">
        <v>27.5</v>
      </c>
      <c r="S52" s="163">
        <v>28.8</v>
      </c>
      <c r="T52" s="163">
        <v>30.5</v>
      </c>
      <c r="U52" s="140"/>
      <c r="V52" s="163">
        <v>10.47</v>
      </c>
      <c r="W52" s="163">
        <v>11.33</v>
      </c>
      <c r="X52" s="163"/>
      <c r="Y52" s="163"/>
    </row>
    <row r="53" spans="1:25" ht="12.75" customHeight="1" x14ac:dyDescent="0.2">
      <c r="A53" s="138"/>
      <c r="B53" s="161" t="s">
        <v>61</v>
      </c>
      <c r="C53" s="163">
        <v>8.25</v>
      </c>
      <c r="D53" s="163">
        <v>9.33</v>
      </c>
      <c r="E53" s="163">
        <v>9.7100000000000009</v>
      </c>
      <c r="F53" s="163">
        <v>10.210000000000001</v>
      </c>
      <c r="G53" s="163">
        <v>11.24</v>
      </c>
      <c r="H53" s="163">
        <v>11.83</v>
      </c>
      <c r="I53" s="140"/>
      <c r="J53" s="163">
        <v>15.9</v>
      </c>
      <c r="K53" s="163">
        <v>16.3</v>
      </c>
      <c r="L53" s="163" t="s">
        <v>10</v>
      </c>
      <c r="M53" s="163" t="s">
        <v>10</v>
      </c>
      <c r="N53" s="140"/>
      <c r="O53" s="163">
        <v>23</v>
      </c>
      <c r="P53" s="163">
        <v>25.5</v>
      </c>
      <c r="Q53" s="163">
        <v>25.2</v>
      </c>
      <c r="R53" s="163">
        <v>27.5</v>
      </c>
      <c r="S53" s="163">
        <v>28.28</v>
      </c>
      <c r="T53" s="163">
        <v>30.5</v>
      </c>
      <c r="U53" s="140"/>
      <c r="V53" s="163">
        <v>10.47</v>
      </c>
      <c r="W53" s="163">
        <v>11.33</v>
      </c>
      <c r="X53" s="163"/>
      <c r="Y53" s="163"/>
    </row>
    <row r="54" spans="1:25" ht="12.75" customHeight="1" x14ac:dyDescent="0.2">
      <c r="A54" s="138"/>
      <c r="B54" s="161" t="s">
        <v>50</v>
      </c>
      <c r="C54" s="163">
        <v>8.65</v>
      </c>
      <c r="D54" s="163">
        <v>9.33</v>
      </c>
      <c r="E54" s="163">
        <v>9.66</v>
      </c>
      <c r="F54" s="163">
        <v>10.210000000000001</v>
      </c>
      <c r="G54" s="163">
        <v>11.31</v>
      </c>
      <c r="H54" s="163">
        <v>11.83</v>
      </c>
      <c r="I54" s="140"/>
      <c r="J54" s="163">
        <v>15.96</v>
      </c>
      <c r="K54" s="163">
        <v>16.3</v>
      </c>
      <c r="L54" s="163" t="s">
        <v>10</v>
      </c>
      <c r="M54" s="163" t="s">
        <v>10</v>
      </c>
      <c r="N54" s="140"/>
      <c r="O54" s="163">
        <v>23.09</v>
      </c>
      <c r="P54" s="163">
        <v>25.5</v>
      </c>
      <c r="Q54" s="163">
        <v>25.66</v>
      </c>
      <c r="R54" s="163">
        <v>27.5</v>
      </c>
      <c r="S54" s="163">
        <v>28.94</v>
      </c>
      <c r="T54" s="163">
        <v>30.5</v>
      </c>
      <c r="U54" s="140"/>
      <c r="V54" s="163">
        <v>10.55</v>
      </c>
      <c r="W54" s="163">
        <v>11.33</v>
      </c>
      <c r="X54" s="163"/>
      <c r="Y54" s="163"/>
    </row>
    <row r="55" spans="1:25" ht="12.75" customHeight="1" x14ac:dyDescent="0.2">
      <c r="A55" s="138"/>
      <c r="B55" s="161" t="s">
        <v>51</v>
      </c>
      <c r="C55" s="163">
        <v>8.34</v>
      </c>
      <c r="D55" s="163">
        <v>9.33</v>
      </c>
      <c r="E55" s="163">
        <v>9.6300000000000008</v>
      </c>
      <c r="F55" s="163">
        <v>10.210000000000001</v>
      </c>
      <c r="G55" s="163">
        <v>11.28</v>
      </c>
      <c r="H55" s="163">
        <v>11.83</v>
      </c>
      <c r="I55" s="140"/>
      <c r="J55" s="163">
        <v>15.88</v>
      </c>
      <c r="K55" s="163">
        <v>16.3</v>
      </c>
      <c r="L55" s="163" t="s">
        <v>10</v>
      </c>
      <c r="M55" s="163" t="s">
        <v>10</v>
      </c>
      <c r="N55" s="140"/>
      <c r="O55" s="163">
        <v>23.08</v>
      </c>
      <c r="P55" s="163">
        <v>25.5</v>
      </c>
      <c r="Q55" s="163">
        <v>25.5</v>
      </c>
      <c r="R55" s="163">
        <v>27.5</v>
      </c>
      <c r="S55" s="163">
        <v>28.97</v>
      </c>
      <c r="T55" s="163">
        <v>30.5</v>
      </c>
      <c r="U55" s="140"/>
      <c r="V55" s="163">
        <v>10.56</v>
      </c>
      <c r="W55" s="163">
        <v>11.33</v>
      </c>
      <c r="X55" s="163"/>
      <c r="Y55" s="163"/>
    </row>
    <row r="56" spans="1:25" ht="12.75" customHeight="1" x14ac:dyDescent="0.2">
      <c r="A56" s="138"/>
      <c r="B56" s="161" t="s">
        <v>52</v>
      </c>
      <c r="C56" s="163">
        <v>8.34</v>
      </c>
      <c r="D56" s="163">
        <v>9.33</v>
      </c>
      <c r="E56" s="163">
        <v>9.6300000000000008</v>
      </c>
      <c r="F56" s="163">
        <v>10.210000000000001</v>
      </c>
      <c r="G56" s="163">
        <v>11.28</v>
      </c>
      <c r="H56" s="163">
        <v>11.83</v>
      </c>
      <c r="I56" s="140"/>
      <c r="J56" s="163">
        <v>15.88</v>
      </c>
      <c r="K56" s="163">
        <v>16.3</v>
      </c>
      <c r="L56" s="163" t="s">
        <v>10</v>
      </c>
      <c r="M56" s="163" t="s">
        <v>10</v>
      </c>
      <c r="N56" s="140"/>
      <c r="O56" s="163">
        <v>23.08</v>
      </c>
      <c r="P56" s="163">
        <v>25.5</v>
      </c>
      <c r="Q56" s="163">
        <v>25.5</v>
      </c>
      <c r="R56" s="163">
        <v>27.5</v>
      </c>
      <c r="S56" s="163">
        <v>28.97</v>
      </c>
      <c r="T56" s="163">
        <v>30.5</v>
      </c>
      <c r="U56" s="140"/>
      <c r="V56" s="163">
        <v>10.56</v>
      </c>
      <c r="W56" s="163">
        <v>11.33</v>
      </c>
      <c r="X56" s="163"/>
      <c r="Y56" s="163"/>
    </row>
    <row r="57" spans="1:25" ht="12.75" customHeight="1" x14ac:dyDescent="0.2">
      <c r="A57" s="138"/>
      <c r="B57" s="161" t="s">
        <v>53</v>
      </c>
      <c r="C57" s="163">
        <v>8.3699999999999992</v>
      </c>
      <c r="D57" s="163">
        <v>9.33</v>
      </c>
      <c r="E57" s="163">
        <v>9.5399999999999991</v>
      </c>
      <c r="F57" s="163">
        <v>10.210000000000001</v>
      </c>
      <c r="G57" s="163">
        <v>11.27</v>
      </c>
      <c r="H57" s="163">
        <v>11.83</v>
      </c>
      <c r="I57" s="140"/>
      <c r="J57" s="163">
        <v>15.99</v>
      </c>
      <c r="K57" s="163">
        <v>16.3</v>
      </c>
      <c r="L57" s="163" t="s">
        <v>10</v>
      </c>
      <c r="M57" s="163" t="s">
        <v>10</v>
      </c>
      <c r="N57" s="140"/>
      <c r="O57" s="163">
        <v>22.97</v>
      </c>
      <c r="P57" s="163">
        <v>25.5</v>
      </c>
      <c r="Q57" s="163">
        <v>25.24</v>
      </c>
      <c r="R57" s="163">
        <v>27.5</v>
      </c>
      <c r="S57" s="163">
        <v>28.97</v>
      </c>
      <c r="T57" s="163">
        <v>30.5</v>
      </c>
      <c r="U57" s="140"/>
      <c r="V57" s="163">
        <v>10.38</v>
      </c>
      <c r="W57" s="163">
        <v>11.33</v>
      </c>
      <c r="X57" s="163"/>
      <c r="Y57" s="163"/>
    </row>
    <row r="58" spans="1:25" ht="12.75" customHeight="1" x14ac:dyDescent="0.2">
      <c r="A58" s="138"/>
      <c r="B58" s="161" t="s">
        <v>647</v>
      </c>
      <c r="C58" s="163">
        <v>8.3699999999999992</v>
      </c>
      <c r="D58" s="163">
        <v>9.33</v>
      </c>
      <c r="E58" s="163">
        <v>9.5399999999999991</v>
      </c>
      <c r="F58" s="163">
        <v>10.210000000000001</v>
      </c>
      <c r="G58" s="163">
        <v>11.27</v>
      </c>
      <c r="H58" s="163">
        <v>11.83</v>
      </c>
      <c r="I58" s="140"/>
      <c r="J58" s="163">
        <v>15.99</v>
      </c>
      <c r="K58" s="163">
        <v>16.3</v>
      </c>
      <c r="L58" s="163" t="s">
        <v>10</v>
      </c>
      <c r="M58" s="163" t="s">
        <v>10</v>
      </c>
      <c r="N58" s="140"/>
      <c r="O58" s="163">
        <v>22.97</v>
      </c>
      <c r="P58" s="163">
        <v>25.5</v>
      </c>
      <c r="Q58" s="163">
        <v>25.24</v>
      </c>
      <c r="R58" s="163">
        <v>27.5</v>
      </c>
      <c r="S58" s="163">
        <v>28.97</v>
      </c>
      <c r="T58" s="163">
        <v>30.5</v>
      </c>
      <c r="U58" s="140"/>
      <c r="V58" s="163">
        <v>10.38</v>
      </c>
      <c r="W58" s="163">
        <v>11.33</v>
      </c>
      <c r="X58" s="163"/>
      <c r="Y58" s="163"/>
    </row>
    <row r="59" spans="1:25" ht="12.75" customHeight="1" x14ac:dyDescent="0.2">
      <c r="A59" s="138"/>
      <c r="B59" s="161" t="s">
        <v>648</v>
      </c>
      <c r="C59" s="163">
        <v>8.3699999999999992</v>
      </c>
      <c r="D59" s="163">
        <v>9.33</v>
      </c>
      <c r="E59" s="163">
        <v>9.5399999999999991</v>
      </c>
      <c r="F59" s="163">
        <v>10.210000000000001</v>
      </c>
      <c r="G59" s="163">
        <v>11.27</v>
      </c>
      <c r="H59" s="163">
        <v>11.83</v>
      </c>
      <c r="I59" s="140"/>
      <c r="J59" s="163">
        <v>15.99</v>
      </c>
      <c r="K59" s="163">
        <v>16.3</v>
      </c>
      <c r="L59" s="163" t="s">
        <v>10</v>
      </c>
      <c r="M59" s="163" t="s">
        <v>10</v>
      </c>
      <c r="N59" s="140"/>
      <c r="O59" s="163">
        <v>22.97</v>
      </c>
      <c r="P59" s="163">
        <v>25.5</v>
      </c>
      <c r="Q59" s="163">
        <v>25.24</v>
      </c>
      <c r="R59" s="163">
        <v>27.5</v>
      </c>
      <c r="S59" s="163">
        <v>28.97</v>
      </c>
      <c r="T59" s="163">
        <v>30.5</v>
      </c>
      <c r="U59" s="140"/>
      <c r="V59" s="163">
        <v>10.38</v>
      </c>
      <c r="W59" s="163">
        <v>11.33</v>
      </c>
      <c r="X59" s="163"/>
      <c r="Y59" s="163"/>
    </row>
    <row r="60" spans="1:25" ht="12.75" customHeight="1" x14ac:dyDescent="0.2">
      <c r="A60" s="138"/>
      <c r="B60" s="161" t="s">
        <v>645</v>
      </c>
      <c r="C60" s="163">
        <v>8.3699999999999992</v>
      </c>
      <c r="D60" s="163">
        <v>9.33</v>
      </c>
      <c r="E60" s="163">
        <v>9.5399999999999991</v>
      </c>
      <c r="F60" s="163">
        <v>10.210000000000001</v>
      </c>
      <c r="G60" s="163">
        <v>11.27</v>
      </c>
      <c r="H60" s="163">
        <v>11.83</v>
      </c>
      <c r="I60" s="140"/>
      <c r="J60" s="163">
        <v>15.99</v>
      </c>
      <c r="K60" s="163">
        <v>16.3</v>
      </c>
      <c r="L60" s="163" t="s">
        <v>10</v>
      </c>
      <c r="M60" s="163" t="s">
        <v>10</v>
      </c>
      <c r="N60" s="140"/>
      <c r="O60" s="163">
        <v>22.97</v>
      </c>
      <c r="P60" s="163">
        <v>25.5</v>
      </c>
      <c r="Q60" s="163">
        <v>25.24</v>
      </c>
      <c r="R60" s="163">
        <v>27.5</v>
      </c>
      <c r="S60" s="163">
        <v>28.97</v>
      </c>
      <c r="T60" s="163">
        <v>30.5</v>
      </c>
      <c r="U60" s="140"/>
      <c r="V60" s="163">
        <v>10.38</v>
      </c>
      <c r="W60" s="163">
        <v>11.33</v>
      </c>
      <c r="X60" s="163"/>
      <c r="Y60" s="163"/>
    </row>
    <row r="61" spans="1:25" ht="12.75" customHeight="1" x14ac:dyDescent="0.2">
      <c r="A61" s="138"/>
      <c r="B61" s="161" t="s">
        <v>57</v>
      </c>
      <c r="C61" s="163">
        <v>8.17</v>
      </c>
      <c r="D61" s="163">
        <v>9.33</v>
      </c>
      <c r="E61" s="163">
        <v>9.5299999999999994</v>
      </c>
      <c r="F61" s="163">
        <v>10.210000000000001</v>
      </c>
      <c r="G61" s="163">
        <v>11.2</v>
      </c>
      <c r="H61" s="163">
        <v>11.83</v>
      </c>
      <c r="I61" s="140"/>
      <c r="J61" s="163">
        <v>15.91</v>
      </c>
      <c r="K61" s="163">
        <v>16.3</v>
      </c>
      <c r="L61" s="163" t="s">
        <v>10</v>
      </c>
      <c r="M61" s="163" t="s">
        <v>10</v>
      </c>
      <c r="N61" s="140"/>
      <c r="O61" s="163">
        <v>22.44</v>
      </c>
      <c r="P61" s="163">
        <v>25.5</v>
      </c>
      <c r="Q61" s="163">
        <v>25.2</v>
      </c>
      <c r="R61" s="163">
        <v>27.5</v>
      </c>
      <c r="S61" s="163">
        <v>28.82</v>
      </c>
      <c r="T61" s="163">
        <v>30.5</v>
      </c>
      <c r="U61" s="140"/>
      <c r="V61" s="163">
        <v>10.64</v>
      </c>
      <c r="W61" s="163">
        <v>11.33</v>
      </c>
      <c r="X61" s="163"/>
      <c r="Y61" s="163"/>
    </row>
    <row r="62" spans="1:25" ht="12.75" customHeight="1" x14ac:dyDescent="0.2">
      <c r="A62" s="138"/>
      <c r="B62" s="161" t="s">
        <v>646</v>
      </c>
      <c r="C62" s="163">
        <v>8.17</v>
      </c>
      <c r="D62" s="163">
        <v>9.33</v>
      </c>
      <c r="E62" s="163">
        <v>9.5299999999999994</v>
      </c>
      <c r="F62" s="163">
        <v>10.210000000000001</v>
      </c>
      <c r="G62" s="163">
        <v>11.2</v>
      </c>
      <c r="H62" s="163">
        <v>11.83</v>
      </c>
      <c r="I62" s="140"/>
      <c r="J62" s="163">
        <v>15.91</v>
      </c>
      <c r="K62" s="163">
        <v>16.3</v>
      </c>
      <c r="L62" s="163" t="s">
        <v>10</v>
      </c>
      <c r="M62" s="163" t="s">
        <v>10</v>
      </c>
      <c r="N62" s="140"/>
      <c r="O62" s="163">
        <v>22.44</v>
      </c>
      <c r="P62" s="163">
        <v>25.5</v>
      </c>
      <c r="Q62" s="163">
        <v>25.2</v>
      </c>
      <c r="R62" s="163">
        <v>27.5</v>
      </c>
      <c r="S62" s="163">
        <v>28.82</v>
      </c>
      <c r="T62" s="163">
        <v>30.5</v>
      </c>
      <c r="U62" s="140"/>
      <c r="V62" s="163">
        <v>10.64</v>
      </c>
      <c r="W62" s="163">
        <v>11.33</v>
      </c>
      <c r="X62" s="163"/>
      <c r="Y62" s="163"/>
    </row>
    <row r="63" spans="1:25" ht="12.75" customHeight="1" x14ac:dyDescent="0.2">
      <c r="A63" s="138"/>
      <c r="B63" s="161" t="s">
        <v>59</v>
      </c>
      <c r="C63" s="163">
        <v>8.17</v>
      </c>
      <c r="D63" s="163">
        <v>9.33</v>
      </c>
      <c r="E63" s="163">
        <v>9.5299999999999994</v>
      </c>
      <c r="F63" s="163">
        <v>10.210000000000001</v>
      </c>
      <c r="G63" s="163">
        <v>11.2</v>
      </c>
      <c r="H63" s="163">
        <v>11.83</v>
      </c>
      <c r="I63" s="140"/>
      <c r="J63" s="163">
        <v>15.91</v>
      </c>
      <c r="K63" s="163">
        <v>16.3</v>
      </c>
      <c r="L63" s="163" t="s">
        <v>10</v>
      </c>
      <c r="M63" s="163" t="s">
        <v>10</v>
      </c>
      <c r="N63" s="140"/>
      <c r="O63" s="163">
        <v>22.44</v>
      </c>
      <c r="P63" s="163">
        <v>25.5</v>
      </c>
      <c r="Q63" s="163">
        <v>25.2</v>
      </c>
      <c r="R63" s="163">
        <v>27.5</v>
      </c>
      <c r="S63" s="163">
        <v>28.82</v>
      </c>
      <c r="T63" s="163">
        <v>30.5</v>
      </c>
      <c r="U63" s="140"/>
      <c r="V63" s="163">
        <v>10.64</v>
      </c>
      <c r="W63" s="163">
        <v>11.33</v>
      </c>
      <c r="X63" s="163"/>
      <c r="Y63" s="163"/>
    </row>
    <row r="64" spans="1:25" ht="12.75" customHeight="1" x14ac:dyDescent="0.2">
      <c r="A64" s="138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</row>
    <row r="65" spans="1:25" ht="12.75" customHeight="1" x14ac:dyDescent="0.2">
      <c r="A65" s="164">
        <v>2012</v>
      </c>
      <c r="B65" s="161" t="s">
        <v>60</v>
      </c>
      <c r="C65" s="163">
        <v>8.17</v>
      </c>
      <c r="D65" s="163">
        <v>9.33</v>
      </c>
      <c r="E65" s="163">
        <v>9.5299999999999994</v>
      </c>
      <c r="F65" s="163">
        <v>10.210000000000001</v>
      </c>
      <c r="G65" s="163">
        <v>11.2</v>
      </c>
      <c r="H65" s="163">
        <v>11.83</v>
      </c>
      <c r="I65" s="140"/>
      <c r="J65" s="163">
        <v>15.91</v>
      </c>
      <c r="K65" s="163">
        <v>16.3</v>
      </c>
      <c r="L65" s="163" t="s">
        <v>10</v>
      </c>
      <c r="M65" s="163" t="s">
        <v>10</v>
      </c>
      <c r="N65" s="140"/>
      <c r="O65" s="163">
        <v>22.44</v>
      </c>
      <c r="P65" s="163">
        <v>25.5</v>
      </c>
      <c r="Q65" s="163">
        <v>25.2</v>
      </c>
      <c r="R65" s="163">
        <v>27.5</v>
      </c>
      <c r="S65" s="163">
        <v>28.82</v>
      </c>
      <c r="T65" s="163">
        <v>30.5</v>
      </c>
      <c r="U65" s="140"/>
      <c r="V65" s="163">
        <v>10.64</v>
      </c>
      <c r="W65" s="163">
        <v>11.33</v>
      </c>
      <c r="X65" s="163"/>
      <c r="Y65" s="163"/>
    </row>
    <row r="66" spans="1:25" ht="12.75" customHeight="1" x14ac:dyDescent="0.2">
      <c r="A66" s="138"/>
      <c r="B66" s="161" t="s">
        <v>61</v>
      </c>
      <c r="C66" s="163">
        <v>8.17</v>
      </c>
      <c r="D66" s="163">
        <v>9.33</v>
      </c>
      <c r="E66" s="163">
        <v>9.5299999999999994</v>
      </c>
      <c r="F66" s="163">
        <v>10.210000000000001</v>
      </c>
      <c r="G66" s="163">
        <v>11.2</v>
      </c>
      <c r="H66" s="163">
        <v>11.83</v>
      </c>
      <c r="I66" s="140"/>
      <c r="J66" s="163">
        <v>15.91</v>
      </c>
      <c r="K66" s="163">
        <v>16.3</v>
      </c>
      <c r="L66" s="163" t="s">
        <v>10</v>
      </c>
      <c r="M66" s="163" t="s">
        <v>10</v>
      </c>
      <c r="N66" s="140"/>
      <c r="O66" s="163">
        <v>22.44</v>
      </c>
      <c r="P66" s="163">
        <v>25.5</v>
      </c>
      <c r="Q66" s="163">
        <v>25.2</v>
      </c>
      <c r="R66" s="163">
        <v>27.5</v>
      </c>
      <c r="S66" s="163">
        <v>28.82</v>
      </c>
      <c r="T66" s="163">
        <v>30.5</v>
      </c>
      <c r="U66" s="140"/>
      <c r="V66" s="163">
        <v>10.64</v>
      </c>
      <c r="W66" s="163">
        <v>11.33</v>
      </c>
      <c r="X66" s="163"/>
      <c r="Y66" s="163"/>
    </row>
    <row r="67" spans="1:25" ht="12.75" customHeight="1" x14ac:dyDescent="0.2">
      <c r="A67" s="138"/>
      <c r="B67" s="161" t="s">
        <v>50</v>
      </c>
      <c r="C67" s="163">
        <v>8.17</v>
      </c>
      <c r="D67" s="163">
        <v>9.33</v>
      </c>
      <c r="E67" s="163">
        <v>9.5299999999999994</v>
      </c>
      <c r="F67" s="163">
        <v>10.210000000000001</v>
      </c>
      <c r="G67" s="163">
        <v>11.2</v>
      </c>
      <c r="H67" s="163">
        <v>11.83</v>
      </c>
      <c r="I67" s="140"/>
      <c r="J67" s="163">
        <v>15.91</v>
      </c>
      <c r="K67" s="163">
        <v>16.3</v>
      </c>
      <c r="L67" s="163" t="s">
        <v>10</v>
      </c>
      <c r="M67" s="163" t="s">
        <v>10</v>
      </c>
      <c r="N67" s="140"/>
      <c r="O67" s="163">
        <v>22.44</v>
      </c>
      <c r="P67" s="163">
        <v>25.5</v>
      </c>
      <c r="Q67" s="163">
        <v>25.2</v>
      </c>
      <c r="R67" s="163">
        <v>27.5</v>
      </c>
      <c r="S67" s="163">
        <v>28.82</v>
      </c>
      <c r="T67" s="163">
        <v>30.5</v>
      </c>
      <c r="U67" s="140"/>
      <c r="V67" s="163">
        <v>10.64</v>
      </c>
      <c r="W67" s="163">
        <v>11.33</v>
      </c>
      <c r="X67" s="163"/>
      <c r="Y67" s="163"/>
    </row>
    <row r="68" spans="1:25" ht="12.75" customHeight="1" x14ac:dyDescent="0.2">
      <c r="A68" s="138"/>
      <c r="B68" s="161" t="s">
        <v>51</v>
      </c>
      <c r="C68" s="163">
        <v>8.17</v>
      </c>
      <c r="D68" s="163">
        <v>9.33</v>
      </c>
      <c r="E68" s="163">
        <v>9.5299999999999994</v>
      </c>
      <c r="F68" s="163">
        <v>10.210000000000001</v>
      </c>
      <c r="G68" s="163">
        <v>11.2</v>
      </c>
      <c r="H68" s="163">
        <v>11.83</v>
      </c>
      <c r="I68" s="140"/>
      <c r="J68" s="163">
        <v>15.91</v>
      </c>
      <c r="K68" s="163">
        <v>16.3</v>
      </c>
      <c r="L68" s="163" t="s">
        <v>10</v>
      </c>
      <c r="M68" s="163" t="s">
        <v>10</v>
      </c>
      <c r="N68" s="140"/>
      <c r="O68" s="163">
        <v>22.44</v>
      </c>
      <c r="P68" s="163">
        <v>25.5</v>
      </c>
      <c r="Q68" s="163">
        <v>25.2</v>
      </c>
      <c r="R68" s="163">
        <v>27.5</v>
      </c>
      <c r="S68" s="163">
        <v>28.82</v>
      </c>
      <c r="T68" s="163">
        <v>30.5</v>
      </c>
      <c r="U68" s="140"/>
      <c r="V68" s="163">
        <v>10.64</v>
      </c>
      <c r="W68" s="163">
        <v>11.33</v>
      </c>
      <c r="X68" s="163"/>
      <c r="Y68" s="163"/>
    </row>
    <row r="69" spans="1:25" ht="12.75" customHeight="1" x14ac:dyDescent="0.2">
      <c r="A69" s="138"/>
      <c r="B69" s="161" t="s">
        <v>52</v>
      </c>
      <c r="C69" s="163">
        <v>8.17</v>
      </c>
      <c r="D69" s="163">
        <v>9.33</v>
      </c>
      <c r="E69" s="163">
        <v>9.5299999999999994</v>
      </c>
      <c r="F69" s="163">
        <v>10.210000000000001</v>
      </c>
      <c r="G69" s="163">
        <v>11.2</v>
      </c>
      <c r="H69" s="163">
        <v>11.83</v>
      </c>
      <c r="I69" s="140"/>
      <c r="J69" s="163">
        <v>15.91</v>
      </c>
      <c r="K69" s="163">
        <v>16.3</v>
      </c>
      <c r="L69" s="163" t="s">
        <v>10</v>
      </c>
      <c r="M69" s="163" t="s">
        <v>10</v>
      </c>
      <c r="N69" s="140"/>
      <c r="O69" s="163">
        <v>22.44</v>
      </c>
      <c r="P69" s="163">
        <v>25.5</v>
      </c>
      <c r="Q69" s="163">
        <v>25.2</v>
      </c>
      <c r="R69" s="163">
        <v>27.5</v>
      </c>
      <c r="S69" s="163">
        <v>28.82</v>
      </c>
      <c r="T69" s="163">
        <v>30.5</v>
      </c>
      <c r="U69" s="140"/>
      <c r="V69" s="163">
        <v>10.64</v>
      </c>
      <c r="W69" s="163">
        <v>11.33</v>
      </c>
      <c r="X69" s="163"/>
      <c r="Y69" s="163"/>
    </row>
    <row r="70" spans="1:25" ht="12.75" customHeight="1" x14ac:dyDescent="0.2">
      <c r="A70" s="138"/>
      <c r="B70" s="161" t="s">
        <v>53</v>
      </c>
      <c r="C70" s="163">
        <v>8.17</v>
      </c>
      <c r="D70" s="163">
        <v>9.33</v>
      </c>
      <c r="E70" s="163">
        <v>9.5299999999999994</v>
      </c>
      <c r="F70" s="163">
        <v>10.210000000000001</v>
      </c>
      <c r="G70" s="163">
        <v>11.2</v>
      </c>
      <c r="H70" s="163">
        <v>11.83</v>
      </c>
      <c r="I70" s="140"/>
      <c r="J70" s="163">
        <v>15.91</v>
      </c>
      <c r="K70" s="163">
        <v>16.3</v>
      </c>
      <c r="L70" s="163" t="s">
        <v>10</v>
      </c>
      <c r="M70" s="163" t="s">
        <v>10</v>
      </c>
      <c r="N70" s="140"/>
      <c r="O70" s="163">
        <v>22.44</v>
      </c>
      <c r="P70" s="163">
        <v>25.5</v>
      </c>
      <c r="Q70" s="163">
        <v>25.2</v>
      </c>
      <c r="R70" s="163">
        <v>27.5</v>
      </c>
      <c r="S70" s="163">
        <v>28.82</v>
      </c>
      <c r="T70" s="163">
        <v>30.5</v>
      </c>
      <c r="U70" s="140"/>
      <c r="V70" s="163">
        <v>10.64</v>
      </c>
      <c r="W70" s="163">
        <v>11.33</v>
      </c>
      <c r="X70" s="163"/>
      <c r="Y70" s="163"/>
    </row>
    <row r="71" spans="1:25" ht="12.75" customHeight="1" x14ac:dyDescent="0.2">
      <c r="A71" s="138"/>
      <c r="B71" s="161" t="s">
        <v>647</v>
      </c>
      <c r="C71" s="163">
        <v>8.17</v>
      </c>
      <c r="D71" s="163">
        <v>9.33</v>
      </c>
      <c r="E71" s="163">
        <v>9.5299999999999994</v>
      </c>
      <c r="F71" s="163">
        <v>10.210000000000001</v>
      </c>
      <c r="G71" s="163">
        <v>11.2</v>
      </c>
      <c r="H71" s="163">
        <v>11.83</v>
      </c>
      <c r="I71" s="140"/>
      <c r="J71" s="163">
        <v>15.91</v>
      </c>
      <c r="K71" s="163">
        <v>16.3</v>
      </c>
      <c r="L71" s="163" t="s">
        <v>10</v>
      </c>
      <c r="M71" s="163" t="s">
        <v>10</v>
      </c>
      <c r="N71" s="140"/>
      <c r="O71" s="163">
        <v>22.44</v>
      </c>
      <c r="P71" s="163">
        <v>25.5</v>
      </c>
      <c r="Q71" s="163">
        <v>25.2</v>
      </c>
      <c r="R71" s="163">
        <v>27.5</v>
      </c>
      <c r="S71" s="163">
        <v>28.82</v>
      </c>
      <c r="T71" s="163">
        <v>30.5</v>
      </c>
      <c r="U71" s="140"/>
      <c r="V71" s="163">
        <v>10.64</v>
      </c>
      <c r="W71" s="163">
        <v>11.33</v>
      </c>
      <c r="X71" s="163"/>
      <c r="Y71" s="163"/>
    </row>
    <row r="72" spans="1:25" ht="12.75" customHeight="1" x14ac:dyDescent="0.2">
      <c r="A72" s="138"/>
      <c r="B72" s="161" t="s">
        <v>648</v>
      </c>
      <c r="C72" s="163">
        <v>8.17</v>
      </c>
      <c r="D72" s="163">
        <v>9.33</v>
      </c>
      <c r="E72" s="163">
        <v>9.5299999999999994</v>
      </c>
      <c r="F72" s="163">
        <v>10.210000000000001</v>
      </c>
      <c r="G72" s="163">
        <v>11.2</v>
      </c>
      <c r="H72" s="163">
        <v>11.83</v>
      </c>
      <c r="I72" s="140"/>
      <c r="J72" s="163">
        <v>15.91</v>
      </c>
      <c r="K72" s="163">
        <v>16.3</v>
      </c>
      <c r="L72" s="163" t="s">
        <v>10</v>
      </c>
      <c r="M72" s="163" t="s">
        <v>10</v>
      </c>
      <c r="N72" s="140"/>
      <c r="O72" s="163">
        <v>22.44</v>
      </c>
      <c r="P72" s="163">
        <v>25.5</v>
      </c>
      <c r="Q72" s="163">
        <v>25.2</v>
      </c>
      <c r="R72" s="163">
        <v>27.5</v>
      </c>
      <c r="S72" s="163">
        <v>28.82</v>
      </c>
      <c r="T72" s="163">
        <v>30.5</v>
      </c>
      <c r="U72" s="140"/>
      <c r="V72" s="163">
        <v>10.64</v>
      </c>
      <c r="W72" s="163">
        <v>11.33</v>
      </c>
      <c r="X72" s="163"/>
      <c r="Y72" s="163"/>
    </row>
    <row r="73" spans="1:25" ht="12.75" customHeight="1" x14ac:dyDescent="0.2">
      <c r="A73" s="138"/>
      <c r="B73" s="161" t="s">
        <v>645</v>
      </c>
      <c r="C73" s="163">
        <v>8.17</v>
      </c>
      <c r="D73" s="163">
        <v>9.33</v>
      </c>
      <c r="E73" s="163">
        <v>9.5299999999999994</v>
      </c>
      <c r="F73" s="163">
        <v>10.210000000000001</v>
      </c>
      <c r="G73" s="163">
        <v>11.2</v>
      </c>
      <c r="H73" s="163">
        <v>11.83</v>
      </c>
      <c r="I73" s="140"/>
      <c r="J73" s="163">
        <v>15.91</v>
      </c>
      <c r="K73" s="163">
        <v>16.3</v>
      </c>
      <c r="L73" s="163" t="s">
        <v>10</v>
      </c>
      <c r="M73" s="163" t="s">
        <v>10</v>
      </c>
      <c r="N73" s="140"/>
      <c r="O73" s="163">
        <v>22.44</v>
      </c>
      <c r="P73" s="163">
        <v>25.5</v>
      </c>
      <c r="Q73" s="163">
        <v>25.2</v>
      </c>
      <c r="R73" s="163">
        <v>27.5</v>
      </c>
      <c r="S73" s="163">
        <v>28.82</v>
      </c>
      <c r="T73" s="163">
        <v>30.5</v>
      </c>
      <c r="U73" s="140"/>
      <c r="V73" s="163">
        <v>10.64</v>
      </c>
      <c r="W73" s="163">
        <v>11.33</v>
      </c>
      <c r="X73" s="163"/>
      <c r="Y73" s="163"/>
    </row>
    <row r="74" spans="1:25" ht="12.75" customHeight="1" x14ac:dyDescent="0.2">
      <c r="A74" s="138"/>
      <c r="B74" s="161" t="s">
        <v>57</v>
      </c>
      <c r="C74" s="163">
        <v>8.17</v>
      </c>
      <c r="D74" s="163">
        <v>9.33</v>
      </c>
      <c r="E74" s="163">
        <v>9.5299999999999994</v>
      </c>
      <c r="F74" s="163">
        <v>10.210000000000001</v>
      </c>
      <c r="G74" s="163">
        <v>11.2</v>
      </c>
      <c r="H74" s="163">
        <v>11.83</v>
      </c>
      <c r="I74" s="140"/>
      <c r="J74" s="163">
        <v>15.91</v>
      </c>
      <c r="K74" s="163">
        <v>16.3</v>
      </c>
      <c r="L74" s="163" t="s">
        <v>10</v>
      </c>
      <c r="M74" s="163" t="s">
        <v>10</v>
      </c>
      <c r="N74" s="140"/>
      <c r="O74" s="163">
        <v>22.44</v>
      </c>
      <c r="P74" s="163">
        <v>25.5</v>
      </c>
      <c r="Q74" s="163">
        <v>25.2</v>
      </c>
      <c r="R74" s="163">
        <v>27.5</v>
      </c>
      <c r="S74" s="163">
        <v>28.82</v>
      </c>
      <c r="T74" s="163">
        <v>30.5</v>
      </c>
      <c r="U74" s="140"/>
      <c r="V74" s="163">
        <v>10.64</v>
      </c>
      <c r="W74" s="163">
        <v>11.33</v>
      </c>
      <c r="X74" s="163"/>
      <c r="Y74" s="163"/>
    </row>
    <row r="75" spans="1:25" ht="12.75" customHeight="1" x14ac:dyDescent="0.2">
      <c r="A75" s="138"/>
      <c r="B75" s="161" t="s">
        <v>646</v>
      </c>
      <c r="C75" s="163">
        <v>8.17</v>
      </c>
      <c r="D75" s="163">
        <v>9.33</v>
      </c>
      <c r="E75" s="163">
        <v>9.5299999999999994</v>
      </c>
      <c r="F75" s="163">
        <v>10.210000000000001</v>
      </c>
      <c r="G75" s="163">
        <v>11.2</v>
      </c>
      <c r="H75" s="163">
        <v>11.83</v>
      </c>
      <c r="I75" s="140"/>
      <c r="J75" s="163">
        <v>15.91</v>
      </c>
      <c r="K75" s="163">
        <v>16.3</v>
      </c>
      <c r="L75" s="163" t="s">
        <v>10</v>
      </c>
      <c r="M75" s="163" t="s">
        <v>10</v>
      </c>
      <c r="N75" s="140"/>
      <c r="O75" s="163">
        <v>22.44</v>
      </c>
      <c r="P75" s="163">
        <v>25.5</v>
      </c>
      <c r="Q75" s="163">
        <v>25.2</v>
      </c>
      <c r="R75" s="163">
        <v>27.5</v>
      </c>
      <c r="S75" s="163">
        <v>28.82</v>
      </c>
      <c r="T75" s="163">
        <v>30.5</v>
      </c>
      <c r="U75" s="140"/>
      <c r="V75" s="163">
        <v>10.64</v>
      </c>
      <c r="W75" s="163">
        <v>11.33</v>
      </c>
      <c r="X75" s="163"/>
      <c r="Y75" s="163"/>
    </row>
    <row r="76" spans="1:25" ht="12.75" customHeight="1" x14ac:dyDescent="0.2">
      <c r="A76" s="138"/>
      <c r="B76" s="161" t="s">
        <v>59</v>
      </c>
      <c r="C76" s="163">
        <v>8.17</v>
      </c>
      <c r="D76" s="163">
        <v>9.33</v>
      </c>
      <c r="E76" s="163">
        <v>9.5299999999999994</v>
      </c>
      <c r="F76" s="163">
        <v>10.210000000000001</v>
      </c>
      <c r="G76" s="163">
        <v>11.2</v>
      </c>
      <c r="H76" s="163">
        <v>11.83</v>
      </c>
      <c r="I76" s="140"/>
      <c r="J76" s="163">
        <v>15.91</v>
      </c>
      <c r="K76" s="163">
        <v>16.3</v>
      </c>
      <c r="L76" s="163" t="s">
        <v>10</v>
      </c>
      <c r="M76" s="163" t="s">
        <v>10</v>
      </c>
      <c r="N76" s="140"/>
      <c r="O76" s="163">
        <v>22.44</v>
      </c>
      <c r="P76" s="163">
        <v>25.5</v>
      </c>
      <c r="Q76" s="163">
        <v>25.2</v>
      </c>
      <c r="R76" s="163">
        <v>27.5</v>
      </c>
      <c r="S76" s="163">
        <v>28.82</v>
      </c>
      <c r="T76" s="163">
        <v>30.5</v>
      </c>
      <c r="U76" s="140"/>
      <c r="V76" s="163">
        <v>10.64</v>
      </c>
      <c r="W76" s="163">
        <v>11.33</v>
      </c>
      <c r="X76" s="163"/>
      <c r="Y76" s="163"/>
    </row>
    <row r="77" spans="1:25" ht="12.75" customHeight="1" x14ac:dyDescent="0.2">
      <c r="A77" s="138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</row>
    <row r="78" spans="1:25" ht="12.75" customHeight="1" x14ac:dyDescent="0.2">
      <c r="A78" s="164">
        <v>2013</v>
      </c>
      <c r="B78" s="161" t="s">
        <v>60</v>
      </c>
      <c r="C78" s="163">
        <v>8.17</v>
      </c>
      <c r="D78" s="163">
        <v>9.33</v>
      </c>
      <c r="E78" s="163">
        <v>9.5299999999999994</v>
      </c>
      <c r="F78" s="163">
        <v>10.210000000000001</v>
      </c>
      <c r="G78" s="163">
        <v>11.2</v>
      </c>
      <c r="H78" s="163">
        <v>11.83</v>
      </c>
      <c r="I78" s="140"/>
      <c r="J78" s="163">
        <v>15.91</v>
      </c>
      <c r="K78" s="163">
        <v>16.3</v>
      </c>
      <c r="L78" s="163" t="s">
        <v>10</v>
      </c>
      <c r="M78" s="163" t="s">
        <v>10</v>
      </c>
      <c r="N78" s="140"/>
      <c r="O78" s="163">
        <v>22.44</v>
      </c>
      <c r="P78" s="163">
        <v>25.5</v>
      </c>
      <c r="Q78" s="163">
        <v>25.2</v>
      </c>
      <c r="R78" s="163">
        <v>27.5</v>
      </c>
      <c r="S78" s="163">
        <v>28.82</v>
      </c>
      <c r="T78" s="163">
        <v>30.5</v>
      </c>
      <c r="U78" s="140"/>
      <c r="V78" s="163">
        <v>10.64</v>
      </c>
      <c r="W78" s="163">
        <v>11.33</v>
      </c>
      <c r="X78" s="163"/>
      <c r="Y78" s="163"/>
    </row>
    <row r="79" spans="1:25" ht="12.75" customHeight="1" x14ac:dyDescent="0.2">
      <c r="A79" s="138"/>
      <c r="B79" s="161" t="s">
        <v>61</v>
      </c>
      <c r="C79" s="163">
        <v>8.17</v>
      </c>
      <c r="D79" s="163">
        <v>9.33</v>
      </c>
      <c r="E79" s="163">
        <v>9.5299999999999994</v>
      </c>
      <c r="F79" s="163">
        <v>10.210000000000001</v>
      </c>
      <c r="G79" s="163">
        <v>11.2</v>
      </c>
      <c r="H79" s="163">
        <v>11.83</v>
      </c>
      <c r="I79" s="140"/>
      <c r="J79" s="163">
        <v>15.91</v>
      </c>
      <c r="K79" s="163">
        <v>16.3</v>
      </c>
      <c r="L79" s="163" t="s">
        <v>10</v>
      </c>
      <c r="M79" s="163" t="s">
        <v>10</v>
      </c>
      <c r="N79" s="140"/>
      <c r="O79" s="163">
        <v>22.44</v>
      </c>
      <c r="P79" s="163">
        <v>25.5</v>
      </c>
      <c r="Q79" s="163">
        <v>25.2</v>
      </c>
      <c r="R79" s="163">
        <v>27.5</v>
      </c>
      <c r="S79" s="163">
        <v>28.82</v>
      </c>
      <c r="T79" s="163">
        <v>30.5</v>
      </c>
      <c r="U79" s="140"/>
      <c r="V79" s="163">
        <v>10.64</v>
      </c>
      <c r="W79" s="163">
        <v>11.33</v>
      </c>
      <c r="X79" s="163"/>
      <c r="Y79" s="163"/>
    </row>
    <row r="80" spans="1:25" ht="12.75" customHeight="1" x14ac:dyDescent="0.2">
      <c r="A80" s="138"/>
      <c r="B80" s="161" t="s">
        <v>50</v>
      </c>
      <c r="C80" s="163">
        <v>8.17</v>
      </c>
      <c r="D80" s="163">
        <v>9.33</v>
      </c>
      <c r="E80" s="163">
        <v>9.5299999999999994</v>
      </c>
      <c r="F80" s="163">
        <v>10.210000000000001</v>
      </c>
      <c r="G80" s="163">
        <v>11.2</v>
      </c>
      <c r="H80" s="163">
        <v>11.83</v>
      </c>
      <c r="I80" s="140"/>
      <c r="J80" s="163">
        <v>15.91</v>
      </c>
      <c r="K80" s="163">
        <v>16.3</v>
      </c>
      <c r="L80" s="163" t="s">
        <v>10</v>
      </c>
      <c r="M80" s="163" t="s">
        <v>10</v>
      </c>
      <c r="N80" s="140"/>
      <c r="O80" s="163">
        <v>22.44</v>
      </c>
      <c r="P80" s="163">
        <v>25.5</v>
      </c>
      <c r="Q80" s="163">
        <v>25.2</v>
      </c>
      <c r="R80" s="163">
        <v>27.5</v>
      </c>
      <c r="S80" s="163">
        <v>28.82</v>
      </c>
      <c r="T80" s="163">
        <v>30.5</v>
      </c>
      <c r="U80" s="140"/>
      <c r="V80" s="163">
        <v>10.64</v>
      </c>
      <c r="W80" s="163">
        <v>11.33</v>
      </c>
      <c r="X80" s="163"/>
      <c r="Y80" s="163"/>
    </row>
    <row r="81" spans="1:25" ht="12.75" customHeight="1" x14ac:dyDescent="0.2">
      <c r="A81" s="138"/>
      <c r="B81" s="161" t="s">
        <v>51</v>
      </c>
      <c r="C81" s="163">
        <v>8.17</v>
      </c>
      <c r="D81" s="163">
        <v>9.33</v>
      </c>
      <c r="E81" s="163">
        <v>9.5299999999999994</v>
      </c>
      <c r="F81" s="163">
        <v>10.210000000000001</v>
      </c>
      <c r="G81" s="163">
        <v>11.2</v>
      </c>
      <c r="H81" s="163">
        <v>11.83</v>
      </c>
      <c r="I81" s="140"/>
      <c r="J81" s="163">
        <v>15.91</v>
      </c>
      <c r="K81" s="163">
        <v>16.3</v>
      </c>
      <c r="L81" s="163" t="s">
        <v>10</v>
      </c>
      <c r="M81" s="163" t="s">
        <v>10</v>
      </c>
      <c r="N81" s="140"/>
      <c r="O81" s="163">
        <v>22.44</v>
      </c>
      <c r="P81" s="163">
        <v>25.5</v>
      </c>
      <c r="Q81" s="163">
        <v>25.2</v>
      </c>
      <c r="R81" s="163">
        <v>27.5</v>
      </c>
      <c r="S81" s="163">
        <v>28.82</v>
      </c>
      <c r="T81" s="163">
        <v>30.5</v>
      </c>
      <c r="U81" s="140"/>
      <c r="V81" s="163">
        <v>10.64</v>
      </c>
      <c r="W81" s="163">
        <v>11.33</v>
      </c>
      <c r="X81" s="163"/>
      <c r="Y81" s="163"/>
    </row>
    <row r="82" spans="1:25" ht="12.75" customHeight="1" x14ac:dyDescent="0.2">
      <c r="A82" s="138"/>
      <c r="B82" s="161" t="s">
        <v>52</v>
      </c>
      <c r="C82" s="163">
        <v>8.17</v>
      </c>
      <c r="D82" s="163">
        <v>9.33</v>
      </c>
      <c r="E82" s="163">
        <v>9.5299999999999994</v>
      </c>
      <c r="F82" s="163">
        <v>10.210000000000001</v>
      </c>
      <c r="G82" s="163">
        <v>11.2</v>
      </c>
      <c r="H82" s="163">
        <v>11.83</v>
      </c>
      <c r="I82" s="140"/>
      <c r="J82" s="163">
        <v>15.91</v>
      </c>
      <c r="K82" s="163">
        <v>16.3</v>
      </c>
      <c r="L82" s="163" t="s">
        <v>10</v>
      </c>
      <c r="M82" s="163" t="s">
        <v>10</v>
      </c>
      <c r="N82" s="140"/>
      <c r="O82" s="163">
        <v>22.44</v>
      </c>
      <c r="P82" s="163">
        <v>25.5</v>
      </c>
      <c r="Q82" s="163">
        <v>25.2</v>
      </c>
      <c r="R82" s="163">
        <v>27.5</v>
      </c>
      <c r="S82" s="163">
        <v>28.82</v>
      </c>
      <c r="T82" s="163">
        <v>30.5</v>
      </c>
      <c r="U82" s="140"/>
      <c r="V82" s="163">
        <v>10.64</v>
      </c>
      <c r="W82" s="163">
        <v>11.33</v>
      </c>
      <c r="X82" s="163"/>
      <c r="Y82" s="163"/>
    </row>
    <row r="83" spans="1:25" ht="12.75" customHeight="1" x14ac:dyDescent="0.2">
      <c r="A83" s="138"/>
      <c r="B83" s="161" t="s">
        <v>53</v>
      </c>
      <c r="C83" s="163">
        <v>8.17</v>
      </c>
      <c r="D83" s="163">
        <v>9.33</v>
      </c>
      <c r="E83" s="163">
        <v>9.5299999999999994</v>
      </c>
      <c r="F83" s="163">
        <v>10.210000000000001</v>
      </c>
      <c r="G83" s="163">
        <v>11.2</v>
      </c>
      <c r="H83" s="163">
        <v>11.83</v>
      </c>
      <c r="I83" s="140"/>
      <c r="J83" s="163">
        <v>15.91</v>
      </c>
      <c r="K83" s="163">
        <v>16.3</v>
      </c>
      <c r="L83" s="163" t="s">
        <v>10</v>
      </c>
      <c r="M83" s="163" t="s">
        <v>10</v>
      </c>
      <c r="N83" s="140"/>
      <c r="O83" s="163">
        <v>22.44</v>
      </c>
      <c r="P83" s="163">
        <v>25.5</v>
      </c>
      <c r="Q83" s="163">
        <v>25.2</v>
      </c>
      <c r="R83" s="163">
        <v>27.5</v>
      </c>
      <c r="S83" s="163">
        <v>28.82</v>
      </c>
      <c r="T83" s="163">
        <v>30.5</v>
      </c>
      <c r="U83" s="140"/>
      <c r="V83" s="163">
        <v>10.64</v>
      </c>
      <c r="W83" s="163">
        <v>11.33</v>
      </c>
      <c r="X83" s="163"/>
      <c r="Y83" s="163"/>
    </row>
    <row r="84" spans="1:25" ht="12.75" customHeight="1" x14ac:dyDescent="0.2">
      <c r="A84" s="138"/>
      <c r="B84" s="161" t="s">
        <v>647</v>
      </c>
      <c r="C84" s="163">
        <v>8.17</v>
      </c>
      <c r="D84" s="163">
        <v>9.33</v>
      </c>
      <c r="E84" s="163">
        <v>9.5299999999999994</v>
      </c>
      <c r="F84" s="163">
        <v>10.210000000000001</v>
      </c>
      <c r="G84" s="163">
        <v>11.2</v>
      </c>
      <c r="H84" s="163">
        <v>11.83</v>
      </c>
      <c r="I84" s="140"/>
      <c r="J84" s="163">
        <v>15.91</v>
      </c>
      <c r="K84" s="163">
        <v>16.3</v>
      </c>
      <c r="L84" s="163" t="s">
        <v>10</v>
      </c>
      <c r="M84" s="163" t="s">
        <v>10</v>
      </c>
      <c r="N84" s="140"/>
      <c r="O84" s="163">
        <v>22.44</v>
      </c>
      <c r="P84" s="163">
        <v>25.5</v>
      </c>
      <c r="Q84" s="163">
        <v>25.2</v>
      </c>
      <c r="R84" s="163">
        <v>27.5</v>
      </c>
      <c r="S84" s="163">
        <v>28.82</v>
      </c>
      <c r="T84" s="163">
        <v>30.5</v>
      </c>
      <c r="U84" s="140"/>
      <c r="V84" s="163">
        <v>10.64</v>
      </c>
      <c r="W84" s="163">
        <v>11.33</v>
      </c>
      <c r="X84" s="163"/>
      <c r="Y84" s="163"/>
    </row>
    <row r="85" spans="1:25" ht="12.75" customHeight="1" x14ac:dyDescent="0.2">
      <c r="A85" s="138"/>
      <c r="B85" s="161" t="s">
        <v>648</v>
      </c>
      <c r="C85" s="163">
        <v>8.17</v>
      </c>
      <c r="D85" s="163">
        <v>9.33</v>
      </c>
      <c r="E85" s="163">
        <v>9.5299999999999994</v>
      </c>
      <c r="F85" s="163">
        <v>10.210000000000001</v>
      </c>
      <c r="G85" s="163">
        <v>11.2</v>
      </c>
      <c r="H85" s="163">
        <v>11.83</v>
      </c>
      <c r="I85" s="140"/>
      <c r="J85" s="163">
        <v>15.91</v>
      </c>
      <c r="K85" s="163">
        <v>16.3</v>
      </c>
      <c r="L85" s="163" t="s">
        <v>10</v>
      </c>
      <c r="M85" s="163" t="s">
        <v>10</v>
      </c>
      <c r="N85" s="140"/>
      <c r="O85" s="163">
        <v>22.44</v>
      </c>
      <c r="P85" s="163">
        <v>25.5</v>
      </c>
      <c r="Q85" s="163">
        <v>25.2</v>
      </c>
      <c r="R85" s="163">
        <v>27.5</v>
      </c>
      <c r="S85" s="163">
        <v>28.82</v>
      </c>
      <c r="T85" s="163">
        <v>30.5</v>
      </c>
      <c r="U85" s="140"/>
      <c r="V85" s="163">
        <v>10.64</v>
      </c>
      <c r="W85" s="163">
        <v>11.33</v>
      </c>
      <c r="X85" s="163"/>
      <c r="Y85" s="163"/>
    </row>
    <row r="86" spans="1:25" ht="12.75" customHeight="1" x14ac:dyDescent="0.2">
      <c r="A86" s="138"/>
      <c r="B86" s="161" t="s">
        <v>645</v>
      </c>
      <c r="C86" s="163">
        <v>8.17</v>
      </c>
      <c r="D86" s="163">
        <v>9.33</v>
      </c>
      <c r="E86" s="163">
        <v>9.5299999999999994</v>
      </c>
      <c r="F86" s="163">
        <v>10.210000000000001</v>
      </c>
      <c r="G86" s="163">
        <v>11.2</v>
      </c>
      <c r="H86" s="163">
        <v>11.83</v>
      </c>
      <c r="I86" s="140"/>
      <c r="J86" s="163">
        <v>15.91</v>
      </c>
      <c r="K86" s="163">
        <v>16.3</v>
      </c>
      <c r="L86" s="163" t="s">
        <v>10</v>
      </c>
      <c r="M86" s="163" t="s">
        <v>10</v>
      </c>
      <c r="N86" s="140"/>
      <c r="O86" s="163">
        <v>22.44</v>
      </c>
      <c r="P86" s="163">
        <v>25.5</v>
      </c>
      <c r="Q86" s="163">
        <v>25.2</v>
      </c>
      <c r="R86" s="163">
        <v>27.5</v>
      </c>
      <c r="S86" s="163">
        <v>28.82</v>
      </c>
      <c r="T86" s="163">
        <v>30.5</v>
      </c>
      <c r="U86" s="140"/>
      <c r="V86" s="163">
        <v>10.64</v>
      </c>
      <c r="W86" s="163">
        <v>11.33</v>
      </c>
      <c r="X86" s="163"/>
      <c r="Y86" s="163"/>
    </row>
    <row r="87" spans="1:25" ht="12.75" customHeight="1" x14ac:dyDescent="0.2">
      <c r="A87" s="138"/>
      <c r="B87" s="161" t="s">
        <v>57</v>
      </c>
      <c r="C87" s="163">
        <v>8.17</v>
      </c>
      <c r="D87" s="163">
        <v>9.33</v>
      </c>
      <c r="E87" s="163">
        <v>9.5299999999999994</v>
      </c>
      <c r="F87" s="163">
        <v>10.210000000000001</v>
      </c>
      <c r="G87" s="163">
        <v>11.2</v>
      </c>
      <c r="H87" s="163">
        <v>11.83</v>
      </c>
      <c r="I87" s="140"/>
      <c r="J87" s="163">
        <v>15.91</v>
      </c>
      <c r="K87" s="163">
        <v>16.3</v>
      </c>
      <c r="L87" s="163" t="s">
        <v>10</v>
      </c>
      <c r="M87" s="163" t="s">
        <v>10</v>
      </c>
      <c r="N87" s="140"/>
      <c r="O87" s="163">
        <v>22.44</v>
      </c>
      <c r="P87" s="163">
        <v>25.5</v>
      </c>
      <c r="Q87" s="163">
        <v>25.2</v>
      </c>
      <c r="R87" s="163">
        <v>27.5</v>
      </c>
      <c r="S87" s="163">
        <v>28.82</v>
      </c>
      <c r="T87" s="163">
        <v>30.5</v>
      </c>
      <c r="U87" s="140"/>
      <c r="V87" s="163">
        <v>10.64</v>
      </c>
      <c r="W87" s="163">
        <v>11.33</v>
      </c>
      <c r="X87" s="163"/>
      <c r="Y87" s="163"/>
    </row>
    <row r="88" spans="1:25" ht="12.75" customHeight="1" x14ac:dyDescent="0.2">
      <c r="A88" s="138"/>
      <c r="B88" s="161" t="s">
        <v>646</v>
      </c>
      <c r="C88" s="163">
        <v>8.17</v>
      </c>
      <c r="D88" s="163">
        <v>9.33</v>
      </c>
      <c r="E88" s="163">
        <v>9.5299999999999994</v>
      </c>
      <c r="F88" s="163">
        <v>10.210000000000001</v>
      </c>
      <c r="G88" s="163">
        <v>11.2</v>
      </c>
      <c r="H88" s="163">
        <v>11.83</v>
      </c>
      <c r="I88" s="140"/>
      <c r="J88" s="163">
        <v>15.91</v>
      </c>
      <c r="K88" s="163">
        <v>16.3</v>
      </c>
      <c r="L88" s="163" t="s">
        <v>10</v>
      </c>
      <c r="M88" s="163" t="s">
        <v>10</v>
      </c>
      <c r="N88" s="140"/>
      <c r="O88" s="163">
        <v>22.44</v>
      </c>
      <c r="P88" s="163">
        <v>25.5</v>
      </c>
      <c r="Q88" s="163">
        <v>25.2</v>
      </c>
      <c r="R88" s="163">
        <v>27.5</v>
      </c>
      <c r="S88" s="163">
        <v>28.82</v>
      </c>
      <c r="T88" s="163">
        <v>30.5</v>
      </c>
      <c r="U88" s="140"/>
      <c r="V88" s="163">
        <v>10.64</v>
      </c>
      <c r="W88" s="163">
        <v>11.33</v>
      </c>
      <c r="X88" s="163"/>
      <c r="Y88" s="163"/>
    </row>
    <row r="89" spans="1:25" ht="12.75" customHeight="1" x14ac:dyDescent="0.2">
      <c r="A89" s="138"/>
      <c r="B89" s="161" t="s">
        <v>59</v>
      </c>
      <c r="C89" s="163">
        <v>8.17</v>
      </c>
      <c r="D89" s="163">
        <v>9.33</v>
      </c>
      <c r="E89" s="163">
        <v>9.5299999999999994</v>
      </c>
      <c r="F89" s="163">
        <v>10.210000000000001</v>
      </c>
      <c r="G89" s="163">
        <v>11.2</v>
      </c>
      <c r="H89" s="163">
        <v>11.83</v>
      </c>
      <c r="I89" s="140"/>
      <c r="J89" s="163">
        <v>15.91</v>
      </c>
      <c r="K89" s="163">
        <v>16.3</v>
      </c>
      <c r="L89" s="163" t="s">
        <v>10</v>
      </c>
      <c r="M89" s="163" t="s">
        <v>10</v>
      </c>
      <c r="N89" s="140"/>
      <c r="O89" s="163">
        <v>22.44</v>
      </c>
      <c r="P89" s="163">
        <v>25.5</v>
      </c>
      <c r="Q89" s="163">
        <v>25.2</v>
      </c>
      <c r="R89" s="163">
        <v>27.5</v>
      </c>
      <c r="S89" s="163">
        <v>28.82</v>
      </c>
      <c r="T89" s="163">
        <v>30.5</v>
      </c>
      <c r="U89" s="140"/>
      <c r="V89" s="163">
        <v>10.64</v>
      </c>
      <c r="W89" s="163">
        <v>11.33</v>
      </c>
      <c r="X89" s="163"/>
      <c r="Y89" s="163"/>
    </row>
    <row r="90" spans="1:25" ht="12.75" customHeight="1" x14ac:dyDescent="0.2">
      <c r="A90" s="138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</row>
    <row r="91" spans="1:25" ht="12.75" customHeight="1" x14ac:dyDescent="0.2">
      <c r="A91" s="164">
        <v>2014</v>
      </c>
      <c r="B91" s="161" t="s">
        <v>60</v>
      </c>
      <c r="C91" s="163">
        <v>8.17</v>
      </c>
      <c r="D91" s="163">
        <v>9.33</v>
      </c>
      <c r="E91" s="163">
        <v>9.5299999999999994</v>
      </c>
      <c r="F91" s="163">
        <v>10.210000000000001</v>
      </c>
      <c r="G91" s="163">
        <v>11.2</v>
      </c>
      <c r="H91" s="163">
        <v>11.83</v>
      </c>
      <c r="I91" s="140"/>
      <c r="J91" s="163">
        <v>15.91</v>
      </c>
      <c r="K91" s="163">
        <v>16.3</v>
      </c>
      <c r="L91" s="163" t="s">
        <v>10</v>
      </c>
      <c r="M91" s="163" t="s">
        <v>10</v>
      </c>
      <c r="N91" s="140"/>
      <c r="O91" s="163">
        <v>22.44</v>
      </c>
      <c r="P91" s="163">
        <v>25.5</v>
      </c>
      <c r="Q91" s="163">
        <v>25.2</v>
      </c>
      <c r="R91" s="163">
        <v>27.5</v>
      </c>
      <c r="S91" s="163">
        <v>28.82</v>
      </c>
      <c r="T91" s="163">
        <v>30.5</v>
      </c>
      <c r="U91" s="140"/>
      <c r="V91" s="163">
        <v>10.64</v>
      </c>
      <c r="W91" s="163">
        <v>11.33</v>
      </c>
      <c r="X91" s="163"/>
      <c r="Y91" s="163"/>
    </row>
    <row r="92" spans="1:25" ht="12.75" customHeight="1" x14ac:dyDescent="0.2">
      <c r="A92" s="138"/>
      <c r="B92" s="161" t="s">
        <v>61</v>
      </c>
      <c r="C92" s="163">
        <v>8.17</v>
      </c>
      <c r="D92" s="163">
        <v>9.33</v>
      </c>
      <c r="E92" s="163">
        <v>9.5299999999999994</v>
      </c>
      <c r="F92" s="163">
        <v>10.210000000000001</v>
      </c>
      <c r="G92" s="163">
        <v>11.2</v>
      </c>
      <c r="H92" s="163">
        <v>11.83</v>
      </c>
      <c r="I92" s="140"/>
      <c r="J92" s="163">
        <v>15.91</v>
      </c>
      <c r="K92" s="163">
        <v>16.3</v>
      </c>
      <c r="L92" s="163" t="s">
        <v>10</v>
      </c>
      <c r="M92" s="163" t="s">
        <v>10</v>
      </c>
      <c r="N92" s="140"/>
      <c r="O92" s="163">
        <v>22.44</v>
      </c>
      <c r="P92" s="163">
        <v>25.5</v>
      </c>
      <c r="Q92" s="163">
        <v>25.2</v>
      </c>
      <c r="R92" s="163">
        <v>27.5</v>
      </c>
      <c r="S92" s="163">
        <v>28.82</v>
      </c>
      <c r="T92" s="163">
        <v>30.5</v>
      </c>
      <c r="U92" s="140"/>
      <c r="V92" s="163">
        <v>10.64</v>
      </c>
      <c r="W92" s="163">
        <v>11.33</v>
      </c>
      <c r="X92" s="163"/>
      <c r="Y92" s="163"/>
    </row>
    <row r="93" spans="1:25" ht="12.75" customHeight="1" x14ac:dyDescent="0.2">
      <c r="A93" s="138"/>
      <c r="B93" s="161" t="s">
        <v>50</v>
      </c>
      <c r="C93" s="163">
        <v>8.17</v>
      </c>
      <c r="D93" s="163">
        <v>9.33</v>
      </c>
      <c r="E93" s="163">
        <v>9.5299999999999994</v>
      </c>
      <c r="F93" s="163">
        <v>10.210000000000001</v>
      </c>
      <c r="G93" s="163">
        <v>11.2</v>
      </c>
      <c r="H93" s="163">
        <v>11.83</v>
      </c>
      <c r="I93" s="140"/>
      <c r="J93" s="163">
        <v>15.91</v>
      </c>
      <c r="K93" s="163">
        <v>16.3</v>
      </c>
      <c r="L93" s="163" t="s">
        <v>10</v>
      </c>
      <c r="M93" s="163" t="s">
        <v>10</v>
      </c>
      <c r="N93" s="140"/>
      <c r="O93" s="163">
        <v>22.44</v>
      </c>
      <c r="P93" s="163">
        <v>25.5</v>
      </c>
      <c r="Q93" s="163">
        <v>25.2</v>
      </c>
      <c r="R93" s="163">
        <v>27.5</v>
      </c>
      <c r="S93" s="163">
        <v>28.82</v>
      </c>
      <c r="T93" s="163">
        <v>30.5</v>
      </c>
      <c r="U93" s="140"/>
      <c r="V93" s="163">
        <v>10.64</v>
      </c>
      <c r="W93" s="163">
        <v>11.33</v>
      </c>
      <c r="X93" s="163"/>
      <c r="Y93" s="163"/>
    </row>
    <row r="94" spans="1:25" ht="12.75" customHeight="1" x14ac:dyDescent="0.2">
      <c r="A94" s="138"/>
      <c r="B94" s="161" t="s">
        <v>51</v>
      </c>
      <c r="C94" s="163">
        <v>8.17</v>
      </c>
      <c r="D94" s="163">
        <v>9.33</v>
      </c>
      <c r="E94" s="163">
        <v>9.5299999999999994</v>
      </c>
      <c r="F94" s="163">
        <v>10.210000000000001</v>
      </c>
      <c r="G94" s="163">
        <v>11.2</v>
      </c>
      <c r="H94" s="163">
        <v>11.83</v>
      </c>
      <c r="I94" s="140"/>
      <c r="J94" s="163">
        <v>15.91</v>
      </c>
      <c r="K94" s="163">
        <v>16.3</v>
      </c>
      <c r="L94" s="163" t="s">
        <v>10</v>
      </c>
      <c r="M94" s="163" t="s">
        <v>10</v>
      </c>
      <c r="N94" s="140"/>
      <c r="O94" s="163">
        <v>22.44</v>
      </c>
      <c r="P94" s="163">
        <v>25.5</v>
      </c>
      <c r="Q94" s="163">
        <v>25.2</v>
      </c>
      <c r="R94" s="163">
        <v>27.5</v>
      </c>
      <c r="S94" s="163">
        <v>28.82</v>
      </c>
      <c r="T94" s="163">
        <v>30.5</v>
      </c>
      <c r="U94" s="140"/>
      <c r="V94" s="163">
        <v>10.64</v>
      </c>
      <c r="W94" s="163">
        <v>11.33</v>
      </c>
      <c r="X94" s="163"/>
      <c r="Y94" s="163"/>
    </row>
    <row r="95" spans="1:25" ht="12.75" customHeight="1" x14ac:dyDescent="0.2">
      <c r="A95" s="138"/>
      <c r="B95" s="161" t="s">
        <v>52</v>
      </c>
      <c r="C95" s="163">
        <v>7.64</v>
      </c>
      <c r="D95" s="163">
        <v>9.33</v>
      </c>
      <c r="E95" s="163">
        <v>9.4600000000000009</v>
      </c>
      <c r="F95" s="163">
        <v>10.210000000000001</v>
      </c>
      <c r="G95" s="163">
        <v>11.08</v>
      </c>
      <c r="H95" s="163">
        <v>11.83</v>
      </c>
      <c r="I95" s="140"/>
      <c r="J95" s="163">
        <v>15.96</v>
      </c>
      <c r="K95" s="163">
        <v>16.3</v>
      </c>
      <c r="L95" s="163" t="s">
        <v>10</v>
      </c>
      <c r="M95" s="163" t="s">
        <v>10</v>
      </c>
      <c r="N95" s="140"/>
      <c r="O95" s="163">
        <v>22.15</v>
      </c>
      <c r="P95" s="163">
        <v>25.5</v>
      </c>
      <c r="Q95" s="163">
        <v>25</v>
      </c>
      <c r="R95" s="163">
        <v>27.5</v>
      </c>
      <c r="S95" s="163">
        <v>28.4</v>
      </c>
      <c r="T95" s="163">
        <v>30.5</v>
      </c>
      <c r="U95" s="140"/>
      <c r="V95" s="163">
        <v>10.92</v>
      </c>
      <c r="W95" s="163">
        <v>11.33</v>
      </c>
      <c r="X95" s="163"/>
      <c r="Y95" s="163"/>
    </row>
    <row r="96" spans="1:25" ht="12.75" customHeight="1" x14ac:dyDescent="0.2">
      <c r="A96" s="138"/>
      <c r="B96" s="161" t="s">
        <v>53</v>
      </c>
      <c r="C96" s="163">
        <v>8.19</v>
      </c>
      <c r="D96" s="163">
        <v>9.33</v>
      </c>
      <c r="E96" s="163">
        <v>9.5399999999999991</v>
      </c>
      <c r="F96" s="163">
        <v>10.210000000000001</v>
      </c>
      <c r="G96" s="163">
        <v>11.28</v>
      </c>
      <c r="H96" s="163">
        <v>11.83</v>
      </c>
      <c r="I96" s="140"/>
      <c r="J96" s="163">
        <v>15.99</v>
      </c>
      <c r="K96" s="163">
        <v>16.3</v>
      </c>
      <c r="L96" s="163" t="s">
        <v>10</v>
      </c>
      <c r="M96" s="163" t="s">
        <v>10</v>
      </c>
      <c r="N96" s="140"/>
      <c r="O96" s="163">
        <v>22.16</v>
      </c>
      <c r="P96" s="163">
        <v>25.5</v>
      </c>
      <c r="Q96" s="163">
        <v>25.08</v>
      </c>
      <c r="R96" s="163">
        <v>27.5</v>
      </c>
      <c r="S96" s="163">
        <v>28.54</v>
      </c>
      <c r="T96" s="163">
        <v>30.5</v>
      </c>
      <c r="U96" s="140"/>
      <c r="V96" s="163">
        <v>10.89</v>
      </c>
      <c r="W96" s="163">
        <v>11.33</v>
      </c>
      <c r="X96" s="163"/>
      <c r="Y96" s="163"/>
    </row>
    <row r="97" spans="1:25" ht="12.75" customHeight="1" x14ac:dyDescent="0.2">
      <c r="A97" s="138"/>
      <c r="B97" s="161" t="s">
        <v>647</v>
      </c>
      <c r="C97" s="163">
        <v>8.2100000000000009</v>
      </c>
      <c r="D97" s="163">
        <v>9.33</v>
      </c>
      <c r="E97" s="163">
        <v>9.65</v>
      </c>
      <c r="F97" s="163">
        <v>10.210000000000001</v>
      </c>
      <c r="G97" s="163">
        <v>11.26</v>
      </c>
      <c r="H97" s="163">
        <v>11.83</v>
      </c>
      <c r="I97" s="140"/>
      <c r="J97" s="163">
        <v>15.98</v>
      </c>
      <c r="K97" s="163">
        <v>16.3</v>
      </c>
      <c r="L97" s="163" t="s">
        <v>10</v>
      </c>
      <c r="M97" s="163" t="s">
        <v>10</v>
      </c>
      <c r="N97" s="140"/>
      <c r="O97" s="163">
        <v>22.24</v>
      </c>
      <c r="P97" s="163">
        <v>25.5</v>
      </c>
      <c r="Q97" s="163">
        <v>25.08</v>
      </c>
      <c r="R97" s="163">
        <v>27.5</v>
      </c>
      <c r="S97" s="163">
        <v>28.53</v>
      </c>
      <c r="T97" s="163">
        <v>30.5</v>
      </c>
      <c r="U97" s="140"/>
      <c r="V97" s="163">
        <v>10.81</v>
      </c>
      <c r="W97" s="163">
        <v>11.33</v>
      </c>
      <c r="X97" s="163"/>
      <c r="Y97" s="163"/>
    </row>
    <row r="98" spans="1:25" ht="12.75" customHeight="1" x14ac:dyDescent="0.2">
      <c r="A98" s="138"/>
      <c r="B98" s="161" t="s">
        <v>648</v>
      </c>
      <c r="C98" s="163">
        <v>8.16</v>
      </c>
      <c r="D98" s="163">
        <v>9.33</v>
      </c>
      <c r="E98" s="163">
        <v>9.68</v>
      </c>
      <c r="F98" s="163">
        <v>10.210000000000001</v>
      </c>
      <c r="G98" s="163">
        <v>10.97</v>
      </c>
      <c r="H98" s="163">
        <v>11.83</v>
      </c>
      <c r="I98" s="140"/>
      <c r="J98" s="163">
        <v>15.95</v>
      </c>
      <c r="K98" s="163">
        <v>16.3</v>
      </c>
      <c r="L98" s="163" t="s">
        <v>10</v>
      </c>
      <c r="M98" s="163" t="s">
        <v>10</v>
      </c>
      <c r="N98" s="140"/>
      <c r="O98" s="163">
        <v>22.49</v>
      </c>
      <c r="P98" s="163">
        <v>25.5</v>
      </c>
      <c r="Q98" s="163">
        <v>25.03</v>
      </c>
      <c r="R98" s="163">
        <v>27.5</v>
      </c>
      <c r="S98" s="163">
        <v>28.44</v>
      </c>
      <c r="T98" s="163">
        <v>30.5</v>
      </c>
      <c r="U98" s="140"/>
      <c r="V98" s="163">
        <v>10.83</v>
      </c>
      <c r="W98" s="163">
        <v>11.33</v>
      </c>
      <c r="X98" s="163"/>
      <c r="Y98" s="163"/>
    </row>
    <row r="99" spans="1:25" ht="12.75" customHeight="1" x14ac:dyDescent="0.2">
      <c r="A99" s="138"/>
      <c r="B99" s="161" t="s">
        <v>645</v>
      </c>
      <c r="C99" s="163">
        <v>7.86</v>
      </c>
      <c r="D99" s="163">
        <v>9.33</v>
      </c>
      <c r="E99" s="163">
        <v>9.64</v>
      </c>
      <c r="F99" s="163">
        <v>10.210000000000001</v>
      </c>
      <c r="G99" s="163">
        <v>11.32</v>
      </c>
      <c r="H99" s="163">
        <v>11.83</v>
      </c>
      <c r="I99" s="140"/>
      <c r="J99" s="163">
        <v>15.96</v>
      </c>
      <c r="K99" s="163">
        <v>16.3</v>
      </c>
      <c r="L99" s="163" t="s">
        <v>10</v>
      </c>
      <c r="M99" s="163" t="s">
        <v>10</v>
      </c>
      <c r="N99" s="140"/>
      <c r="O99" s="163">
        <v>22.4</v>
      </c>
      <c r="P99" s="163">
        <v>25.5</v>
      </c>
      <c r="Q99" s="163">
        <v>25.03</v>
      </c>
      <c r="R99" s="163">
        <v>27.5</v>
      </c>
      <c r="S99" s="163">
        <v>28.51</v>
      </c>
      <c r="T99" s="163">
        <v>30.5</v>
      </c>
      <c r="U99" s="140"/>
      <c r="V99" s="163">
        <v>10.74</v>
      </c>
      <c r="W99" s="163">
        <v>11.33</v>
      </c>
      <c r="X99" s="163"/>
      <c r="Y99" s="163"/>
    </row>
    <row r="100" spans="1:25" ht="12.75" customHeight="1" x14ac:dyDescent="0.2">
      <c r="A100" s="138"/>
      <c r="B100" s="161" t="s">
        <v>57</v>
      </c>
      <c r="C100" s="163">
        <v>8.34</v>
      </c>
      <c r="D100" s="163">
        <v>9.33</v>
      </c>
      <c r="E100" s="163">
        <v>9.64</v>
      </c>
      <c r="F100" s="163">
        <v>10.210000000000001</v>
      </c>
      <c r="G100" s="163">
        <v>11.22</v>
      </c>
      <c r="H100" s="163">
        <v>11.83</v>
      </c>
      <c r="I100" s="140"/>
      <c r="J100" s="163">
        <v>15.97</v>
      </c>
      <c r="K100" s="163">
        <v>16.3</v>
      </c>
      <c r="L100" s="163" t="s">
        <v>10</v>
      </c>
      <c r="M100" s="163" t="s">
        <v>10</v>
      </c>
      <c r="N100" s="140"/>
      <c r="O100" s="163">
        <v>22.14</v>
      </c>
      <c r="P100" s="163">
        <v>25.5</v>
      </c>
      <c r="Q100" s="163">
        <v>24.9</v>
      </c>
      <c r="R100" s="163">
        <v>27.5</v>
      </c>
      <c r="S100" s="163">
        <v>28.24</v>
      </c>
      <c r="T100" s="163">
        <v>30.5</v>
      </c>
      <c r="U100" s="140"/>
      <c r="V100" s="163">
        <v>10.73</v>
      </c>
      <c r="W100" s="163">
        <v>11.33</v>
      </c>
      <c r="X100" s="163"/>
      <c r="Y100" s="163"/>
    </row>
    <row r="101" spans="1:25" ht="12.75" customHeight="1" x14ac:dyDescent="0.2">
      <c r="A101" s="138"/>
      <c r="B101" s="161" t="s">
        <v>646</v>
      </c>
      <c r="C101" s="163">
        <v>8.1300000000000008</v>
      </c>
      <c r="D101" s="163">
        <v>9.33</v>
      </c>
      <c r="E101" s="163">
        <v>9.52</v>
      </c>
      <c r="F101" s="163">
        <v>10.210000000000001</v>
      </c>
      <c r="G101" s="163">
        <v>10.99</v>
      </c>
      <c r="H101" s="163">
        <v>11.83</v>
      </c>
      <c r="I101" s="140"/>
      <c r="J101" s="163">
        <v>15.96</v>
      </c>
      <c r="K101" s="163">
        <v>16.3</v>
      </c>
      <c r="L101" s="163" t="s">
        <v>10</v>
      </c>
      <c r="M101" s="163" t="s">
        <v>10</v>
      </c>
      <c r="N101" s="140"/>
      <c r="O101" s="163">
        <v>22.42</v>
      </c>
      <c r="P101" s="163">
        <v>25.5</v>
      </c>
      <c r="Q101" s="163">
        <v>25.12</v>
      </c>
      <c r="R101" s="163">
        <v>27.5</v>
      </c>
      <c r="S101" s="163">
        <v>28.47</v>
      </c>
      <c r="T101" s="163">
        <v>30.5</v>
      </c>
      <c r="U101" s="140"/>
      <c r="V101" s="163">
        <v>10.72</v>
      </c>
      <c r="W101" s="163">
        <v>11.33</v>
      </c>
      <c r="X101" s="163"/>
      <c r="Y101" s="163"/>
    </row>
    <row r="102" spans="1:25" ht="12.75" customHeight="1" x14ac:dyDescent="0.2">
      <c r="A102" s="138"/>
      <c r="B102" s="161" t="s">
        <v>59</v>
      </c>
      <c r="C102" s="163">
        <v>8.19</v>
      </c>
      <c r="D102" s="163">
        <v>9.33</v>
      </c>
      <c r="E102" s="163">
        <v>9.6300000000000008</v>
      </c>
      <c r="F102" s="163">
        <v>10.210000000000001</v>
      </c>
      <c r="G102" s="163">
        <v>11.19</v>
      </c>
      <c r="H102" s="163">
        <v>11.83</v>
      </c>
      <c r="I102" s="140"/>
      <c r="J102" s="163">
        <v>15.96</v>
      </c>
      <c r="K102" s="163">
        <v>16.3</v>
      </c>
      <c r="L102" s="163" t="s">
        <v>10</v>
      </c>
      <c r="M102" s="163" t="s">
        <v>10</v>
      </c>
      <c r="N102" s="140"/>
      <c r="O102" s="163">
        <v>22.31</v>
      </c>
      <c r="P102" s="163">
        <v>25.5</v>
      </c>
      <c r="Q102" s="163">
        <v>25.16</v>
      </c>
      <c r="R102" s="163">
        <v>27.5</v>
      </c>
      <c r="S102" s="163">
        <v>28.47</v>
      </c>
      <c r="T102" s="163">
        <v>30.5</v>
      </c>
      <c r="U102" s="140"/>
      <c r="V102" s="163">
        <v>10.73</v>
      </c>
      <c r="W102" s="163">
        <v>11.33</v>
      </c>
      <c r="X102" s="163"/>
      <c r="Y102" s="163"/>
    </row>
    <row r="103" spans="1:25" ht="12.75" customHeight="1" x14ac:dyDescent="0.2">
      <c r="A103" s="138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</row>
    <row r="104" spans="1:25" ht="12.75" customHeight="1" x14ac:dyDescent="0.2">
      <c r="A104" s="164">
        <v>2015</v>
      </c>
      <c r="B104" s="161" t="s">
        <v>60</v>
      </c>
      <c r="C104" s="163">
        <v>7.84</v>
      </c>
      <c r="D104" s="163">
        <v>9.33</v>
      </c>
      <c r="E104" s="163">
        <v>9.5299999999999994</v>
      </c>
      <c r="F104" s="163">
        <v>10.210000000000001</v>
      </c>
      <c r="G104" s="163">
        <v>11.18</v>
      </c>
      <c r="H104" s="163">
        <v>11.83</v>
      </c>
      <c r="I104" s="140"/>
      <c r="J104" s="163">
        <v>15.97</v>
      </c>
      <c r="K104" s="163">
        <v>16.3</v>
      </c>
      <c r="L104" s="163" t="s">
        <v>10</v>
      </c>
      <c r="M104" s="163" t="s">
        <v>10</v>
      </c>
      <c r="N104" s="140"/>
      <c r="O104" s="163">
        <v>22.84</v>
      </c>
      <c r="P104" s="163">
        <v>25.5</v>
      </c>
      <c r="Q104" s="163">
        <v>25.41</v>
      </c>
      <c r="R104" s="163">
        <v>27.5</v>
      </c>
      <c r="S104" s="163">
        <v>29.08</v>
      </c>
      <c r="T104" s="163">
        <v>30.5</v>
      </c>
      <c r="U104" s="140"/>
      <c r="V104" s="163">
        <v>10.71</v>
      </c>
      <c r="W104" s="163">
        <v>11.33</v>
      </c>
      <c r="X104" s="163"/>
      <c r="Y104" s="163"/>
    </row>
    <row r="105" spans="1:25" ht="12.75" customHeight="1" x14ac:dyDescent="0.2">
      <c r="A105" s="138"/>
      <c r="B105" s="161" t="s">
        <v>61</v>
      </c>
      <c r="C105" s="163">
        <v>7.41</v>
      </c>
      <c r="D105" s="163">
        <v>9.33</v>
      </c>
      <c r="E105" s="163">
        <v>9.48</v>
      </c>
      <c r="F105" s="163">
        <v>10.210000000000001</v>
      </c>
      <c r="G105" s="163">
        <v>11.1</v>
      </c>
      <c r="H105" s="163">
        <v>11.83</v>
      </c>
      <c r="I105" s="140"/>
      <c r="J105" s="163">
        <v>15.98</v>
      </c>
      <c r="K105" s="163">
        <v>16.3</v>
      </c>
      <c r="L105" s="163" t="s">
        <v>10</v>
      </c>
      <c r="M105" s="163" t="s">
        <v>10</v>
      </c>
      <c r="N105" s="140"/>
      <c r="O105" s="163">
        <v>23.8</v>
      </c>
      <c r="P105" s="163">
        <v>25.5</v>
      </c>
      <c r="Q105" s="163">
        <v>25.26</v>
      </c>
      <c r="R105" s="163">
        <v>27.5</v>
      </c>
      <c r="S105" s="163">
        <v>29.35</v>
      </c>
      <c r="T105" s="163">
        <v>30.5</v>
      </c>
      <c r="U105" s="140"/>
      <c r="V105" s="163">
        <v>10.77</v>
      </c>
      <c r="W105" s="163">
        <v>11.33</v>
      </c>
      <c r="X105" s="163"/>
      <c r="Y105" s="163"/>
    </row>
    <row r="106" spans="1:25" ht="12.75" customHeight="1" x14ac:dyDescent="0.2">
      <c r="A106" s="138"/>
      <c r="B106" s="161" t="s">
        <v>50</v>
      </c>
      <c r="C106" s="163">
        <v>7.31</v>
      </c>
      <c r="D106" s="163">
        <v>9.33</v>
      </c>
      <c r="E106" s="163">
        <v>9.43</v>
      </c>
      <c r="F106" s="163">
        <v>10.210000000000001</v>
      </c>
      <c r="G106" s="163">
        <v>11.17</v>
      </c>
      <c r="H106" s="163">
        <v>11.83</v>
      </c>
      <c r="I106" s="140"/>
      <c r="J106" s="163">
        <v>15.94</v>
      </c>
      <c r="K106" s="163">
        <v>16.3</v>
      </c>
      <c r="L106" s="163" t="s">
        <v>10</v>
      </c>
      <c r="M106" s="163" t="s">
        <v>10</v>
      </c>
      <c r="N106" s="140"/>
      <c r="O106" s="163">
        <v>22.22</v>
      </c>
      <c r="P106" s="163">
        <v>25.5</v>
      </c>
      <c r="Q106" s="163">
        <v>25.02</v>
      </c>
      <c r="R106" s="163">
        <v>27.5</v>
      </c>
      <c r="S106" s="163">
        <v>28.21</v>
      </c>
      <c r="T106" s="163">
        <v>30.5</v>
      </c>
      <c r="U106" s="140"/>
      <c r="V106" s="163">
        <v>10.61</v>
      </c>
      <c r="W106" s="163">
        <v>11.33</v>
      </c>
      <c r="X106" s="163"/>
      <c r="Y106" s="163"/>
    </row>
    <row r="107" spans="1:25" ht="12.75" customHeight="1" x14ac:dyDescent="0.2">
      <c r="A107" s="138"/>
      <c r="B107" s="161" t="s">
        <v>51</v>
      </c>
      <c r="C107" s="163">
        <v>8.09</v>
      </c>
      <c r="D107" s="163">
        <v>9.33</v>
      </c>
      <c r="E107" s="163">
        <v>9.5399999999999991</v>
      </c>
      <c r="F107" s="163">
        <v>10.210000000000001</v>
      </c>
      <c r="G107" s="163">
        <v>11.16</v>
      </c>
      <c r="H107" s="163">
        <v>11.83</v>
      </c>
      <c r="I107" s="140"/>
      <c r="J107" s="163">
        <v>15.9</v>
      </c>
      <c r="K107" s="163">
        <v>16.3</v>
      </c>
      <c r="L107" s="163" t="s">
        <v>10</v>
      </c>
      <c r="M107" s="163" t="s">
        <v>10</v>
      </c>
      <c r="N107" s="140"/>
      <c r="O107" s="163">
        <v>22.18</v>
      </c>
      <c r="P107" s="163">
        <v>25.5</v>
      </c>
      <c r="Q107" s="163">
        <v>24.86</v>
      </c>
      <c r="R107" s="163">
        <v>27.5</v>
      </c>
      <c r="S107" s="163">
        <v>28.02</v>
      </c>
      <c r="T107" s="163">
        <v>30.5</v>
      </c>
      <c r="U107" s="140"/>
      <c r="V107" s="163">
        <v>10.75</v>
      </c>
      <c r="W107" s="163">
        <v>11.33</v>
      </c>
      <c r="X107" s="163"/>
      <c r="Y107" s="163"/>
    </row>
    <row r="108" spans="1:25" ht="12.75" customHeight="1" x14ac:dyDescent="0.2">
      <c r="A108" s="138"/>
      <c r="B108" s="161" t="s">
        <v>52</v>
      </c>
      <c r="C108" s="163">
        <v>8.4499999999999993</v>
      </c>
      <c r="D108" s="163">
        <v>9.33</v>
      </c>
      <c r="E108" s="163">
        <v>9.5299999999999994</v>
      </c>
      <c r="F108" s="163">
        <v>10.210000000000001</v>
      </c>
      <c r="G108" s="163">
        <v>11.15</v>
      </c>
      <c r="H108" s="163">
        <v>11.83</v>
      </c>
      <c r="I108" s="140"/>
      <c r="J108" s="163">
        <v>15.82</v>
      </c>
      <c r="K108" s="163">
        <v>16.3</v>
      </c>
      <c r="L108" s="163" t="s">
        <v>10</v>
      </c>
      <c r="M108" s="163" t="s">
        <v>10</v>
      </c>
      <c r="N108" s="140"/>
      <c r="O108" s="163">
        <v>22.07</v>
      </c>
      <c r="P108" s="163">
        <v>25.5</v>
      </c>
      <c r="Q108" s="163">
        <v>24.67</v>
      </c>
      <c r="R108" s="163">
        <v>27.5</v>
      </c>
      <c r="S108" s="163">
        <v>27.75</v>
      </c>
      <c r="T108" s="163">
        <v>30.5</v>
      </c>
      <c r="U108" s="140"/>
      <c r="V108" s="163">
        <v>10.76</v>
      </c>
      <c r="W108" s="163">
        <v>11.33</v>
      </c>
      <c r="X108" s="163"/>
      <c r="Y108" s="163"/>
    </row>
    <row r="109" spans="1:25" ht="12.75" customHeight="1" x14ac:dyDescent="0.2">
      <c r="A109" s="138"/>
      <c r="B109" s="161" t="s">
        <v>53</v>
      </c>
      <c r="C109" s="163">
        <v>8.6999999999999993</v>
      </c>
      <c r="D109" s="163">
        <v>9.33</v>
      </c>
      <c r="E109" s="163">
        <v>9.7799999999999994</v>
      </c>
      <c r="F109" s="163">
        <v>10.210000000000001</v>
      </c>
      <c r="G109" s="163">
        <v>11.16</v>
      </c>
      <c r="H109" s="163">
        <v>11.83</v>
      </c>
      <c r="I109" s="140"/>
      <c r="J109" s="163">
        <v>15.84</v>
      </c>
      <c r="K109" s="163">
        <v>16.3</v>
      </c>
      <c r="L109" s="163" t="s">
        <v>10</v>
      </c>
      <c r="M109" s="163" t="s">
        <v>10</v>
      </c>
      <c r="N109" s="140"/>
      <c r="O109" s="163">
        <v>22.02</v>
      </c>
      <c r="P109" s="163">
        <v>25.5</v>
      </c>
      <c r="Q109" s="163">
        <v>24.86</v>
      </c>
      <c r="R109" s="163">
        <v>27.5</v>
      </c>
      <c r="S109" s="163">
        <v>27.47</v>
      </c>
      <c r="T109" s="163">
        <v>30.5</v>
      </c>
      <c r="U109" s="140"/>
      <c r="V109" s="163">
        <v>10.62</v>
      </c>
      <c r="W109" s="163">
        <v>11.33</v>
      </c>
      <c r="X109" s="163"/>
      <c r="Y109" s="163"/>
    </row>
    <row r="110" spans="1:25" ht="12.75" customHeight="1" x14ac:dyDescent="0.2">
      <c r="A110" s="138"/>
      <c r="B110" s="161" t="s">
        <v>647</v>
      </c>
      <c r="C110" s="163">
        <v>8.5399999999999991</v>
      </c>
      <c r="D110" s="163">
        <v>9.33</v>
      </c>
      <c r="E110" s="163">
        <v>9.7799999999999994</v>
      </c>
      <c r="F110" s="163">
        <v>10.210000000000001</v>
      </c>
      <c r="G110" s="163">
        <v>11.1</v>
      </c>
      <c r="H110" s="163">
        <v>11.83</v>
      </c>
      <c r="I110" s="140"/>
      <c r="J110" s="163">
        <v>15.78</v>
      </c>
      <c r="K110" s="163">
        <v>16.3</v>
      </c>
      <c r="L110" s="163" t="s">
        <v>10</v>
      </c>
      <c r="M110" s="163" t="s">
        <v>10</v>
      </c>
      <c r="N110" s="140"/>
      <c r="O110" s="163">
        <v>21.82</v>
      </c>
      <c r="P110" s="163">
        <v>25.5</v>
      </c>
      <c r="Q110" s="163">
        <v>24.98</v>
      </c>
      <c r="R110" s="163">
        <v>27.5</v>
      </c>
      <c r="S110" s="163">
        <v>26.91</v>
      </c>
      <c r="T110" s="163">
        <v>30.5</v>
      </c>
      <c r="U110" s="140"/>
      <c r="V110" s="163">
        <v>10.62</v>
      </c>
      <c r="W110" s="163">
        <v>11.33</v>
      </c>
      <c r="X110" s="163">
        <v>4.88</v>
      </c>
      <c r="Y110" s="163">
        <v>4.99</v>
      </c>
    </row>
    <row r="111" spans="1:25" ht="13.5" thickBot="1" x14ac:dyDescent="0.25">
      <c r="A111" s="143"/>
      <c r="B111" s="143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</row>
    <row r="112" spans="1:25" x14ac:dyDescent="0.2">
      <c r="A112" s="135"/>
      <c r="B112" s="135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</row>
    <row r="113" spans="1:25" x14ac:dyDescent="0.2">
      <c r="B113" s="145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</row>
    <row r="114" spans="1:25" x14ac:dyDescent="0.2">
      <c r="A114" s="410"/>
      <c r="B114" s="135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</row>
    <row r="115" spans="1:25" x14ac:dyDescent="0.2">
      <c r="A115" s="124" t="s">
        <v>598</v>
      </c>
      <c r="B115" s="135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</row>
    <row r="116" spans="1:25" s="145" customFormat="1" x14ac:dyDescent="0.2">
      <c r="A116" s="135"/>
      <c r="B116" s="135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</row>
    <row r="117" spans="1:25" s="145" customFormat="1" x14ac:dyDescent="0.2">
      <c r="A117" s="135"/>
      <c r="B117" s="135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</row>
    <row r="118" spans="1:25" s="145" customFormat="1" x14ac:dyDescent="0.2">
      <c r="A118" s="135"/>
      <c r="B118" s="135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</row>
    <row r="119" spans="1:25" hidden="1" x14ac:dyDescent="0.2">
      <c r="A119" s="135"/>
      <c r="B119" s="13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 spans="1:25" x14ac:dyDescent="0.2">
      <c r="A120" s="135"/>
      <c r="B120" s="13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 spans="1:25" x14ac:dyDescent="0.2">
      <c r="A121" s="135"/>
      <c r="B121" s="13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 spans="1:25" x14ac:dyDescent="0.2">
      <c r="A122" s="135"/>
      <c r="B122" s="13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 spans="1:25" x14ac:dyDescent="0.2">
      <c r="A123" s="135"/>
      <c r="B123" s="13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 spans="1:25" x14ac:dyDescent="0.2">
      <c r="A124" s="135"/>
      <c r="B124" s="13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 spans="1:25" x14ac:dyDescent="0.2">
      <c r="A125" s="135"/>
      <c r="B125" s="13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 spans="1:25" x14ac:dyDescent="0.2">
      <c r="A126" s="135"/>
      <c r="B126" s="13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 spans="1:25" x14ac:dyDescent="0.2">
      <c r="A127" s="135"/>
      <c r="B127" s="13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</row>
    <row r="128" spans="1:25" x14ac:dyDescent="0.2">
      <c r="A128" s="135"/>
      <c r="B128" s="13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</row>
    <row r="129" spans="1:25" x14ac:dyDescent="0.2">
      <c r="A129" s="135"/>
      <c r="B129" s="13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</row>
    <row r="130" spans="1:25" x14ac:dyDescent="0.2">
      <c r="A130" s="135"/>
      <c r="B130" s="13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36"/>
      <c r="W130" s="136"/>
      <c r="X130" s="136"/>
      <c r="Y130" s="136"/>
    </row>
    <row r="131" spans="1:25" x14ac:dyDescent="0.2">
      <c r="A131" s="135"/>
      <c r="B131" s="13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</row>
    <row r="132" spans="1:25" x14ac:dyDescent="0.2">
      <c r="A132" s="146"/>
      <c r="B132" s="146"/>
    </row>
  </sheetData>
  <mergeCells count="5">
    <mergeCell ref="A4:B5"/>
    <mergeCell ref="C4:H4"/>
    <mergeCell ref="J4:M4"/>
    <mergeCell ref="O4:T4"/>
    <mergeCell ref="V4:Y4"/>
  </mergeCells>
  <hyperlinks>
    <hyperlink ref="A115" location="'indice cap.1'!A1" display="regresar al índice" xr:uid="{00000000-0004-0000-0800-000000000000}"/>
  </hyperlinks>
  <printOptions horizontalCentered="1" verticalCentered="1" gridLinesSet="0"/>
  <pageMargins left="0" right="0" top="0" bottom="0" header="0" footer="0"/>
  <pageSetup paperSize="9" scale="44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47"/>
  <sheetViews>
    <sheetView showGridLines="0" zoomScaleNormal="100" workbookViewId="0">
      <selection activeCell="A2" sqref="A2"/>
    </sheetView>
  </sheetViews>
  <sheetFormatPr defaultColWidth="11.42578125" defaultRowHeight="12.75" x14ac:dyDescent="0.2"/>
  <cols>
    <col min="1" max="1" width="7.140625" style="134" customWidth="1"/>
    <col min="2" max="2" width="20.7109375" style="134" customWidth="1"/>
    <col min="3" max="8" width="12.7109375" style="134" customWidth="1"/>
    <col min="9" max="9" width="1.7109375" style="134" customWidth="1"/>
    <col min="10" max="11" width="12.7109375" style="134" customWidth="1"/>
    <col min="12" max="12" width="1.7109375" style="134" customWidth="1"/>
    <col min="13" max="18" width="12.7109375" style="134" customWidth="1"/>
    <col min="19" max="19" width="1.7109375" style="134" customWidth="1"/>
    <col min="20" max="21" width="12.7109375" style="134" customWidth="1"/>
    <col min="22" max="22" width="1.7109375" style="134" customWidth="1"/>
    <col min="23" max="24" width="12.7109375" style="134" customWidth="1"/>
    <col min="25" max="25" width="1.7109375" style="134" customWidth="1"/>
    <col min="26" max="27" width="12.7109375" style="134" customWidth="1"/>
    <col min="28" max="28" width="1.7109375" style="134" customWidth="1"/>
    <col min="29" max="30" width="12.7109375" style="134" customWidth="1"/>
    <col min="31" max="31" width="1.7109375" style="134" customWidth="1"/>
    <col min="32" max="33" width="12.7109375" style="134" customWidth="1"/>
    <col min="34" max="34" width="1.7109375" style="134" customWidth="1"/>
    <col min="35" max="40" width="12.7109375" style="134" customWidth="1"/>
    <col min="41" max="41" width="1.7109375" style="134" customWidth="1"/>
    <col min="42" max="43" width="12.7109375" style="134" customWidth="1"/>
    <col min="44" max="16384" width="11.42578125" style="134"/>
  </cols>
  <sheetData>
    <row r="1" spans="1:43" x14ac:dyDescent="0.2">
      <c r="A1" s="489" t="s">
        <v>956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</row>
    <row r="2" spans="1:43" x14ac:dyDescent="0.2">
      <c r="A2" s="489" t="s">
        <v>639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</row>
    <row r="3" spans="1:43" ht="12.75" customHeight="1" x14ac:dyDescent="0.2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</row>
    <row r="4" spans="1:43" ht="27" customHeight="1" x14ac:dyDescent="0.2">
      <c r="A4" s="514" t="s">
        <v>644</v>
      </c>
      <c r="B4" s="515"/>
      <c r="C4" s="518" t="s">
        <v>640</v>
      </c>
      <c r="D4" s="518"/>
      <c r="E4" s="518"/>
      <c r="F4" s="518"/>
      <c r="G4" s="518"/>
      <c r="H4" s="519"/>
      <c r="I4" s="149"/>
      <c r="J4" s="514" t="s">
        <v>912</v>
      </c>
      <c r="K4" s="525"/>
      <c r="L4" s="149"/>
      <c r="M4" s="518" t="s">
        <v>913</v>
      </c>
      <c r="N4" s="518"/>
      <c r="O4" s="518"/>
      <c r="P4" s="518"/>
      <c r="Q4" s="518"/>
      <c r="R4" s="519"/>
      <c r="S4" s="149"/>
      <c r="T4" s="514" t="s">
        <v>914</v>
      </c>
      <c r="U4" s="525"/>
      <c r="V4" s="149"/>
      <c r="W4" s="520" t="s">
        <v>915</v>
      </c>
      <c r="X4" s="518"/>
      <c r="Y4" s="149"/>
      <c r="Z4" s="520" t="s">
        <v>916</v>
      </c>
      <c r="AA4" s="518"/>
      <c r="AB4" s="149"/>
      <c r="AC4" s="526" t="s">
        <v>917</v>
      </c>
      <c r="AD4" s="527"/>
      <c r="AE4" s="149"/>
      <c r="AF4" s="526" t="s">
        <v>918</v>
      </c>
      <c r="AG4" s="527"/>
      <c r="AH4" s="149"/>
      <c r="AI4" s="521" t="s">
        <v>642</v>
      </c>
      <c r="AJ4" s="522"/>
      <c r="AK4" s="522"/>
      <c r="AL4" s="522"/>
      <c r="AM4" s="522"/>
      <c r="AN4" s="523"/>
      <c r="AO4" s="152"/>
      <c r="AP4" s="524" t="s">
        <v>919</v>
      </c>
      <c r="AQ4" s="524"/>
    </row>
    <row r="5" spans="1:43" s="147" customFormat="1" ht="62.25" customHeight="1" x14ac:dyDescent="0.25">
      <c r="A5" s="516"/>
      <c r="B5" s="517"/>
      <c r="C5" s="153" t="s">
        <v>721</v>
      </c>
      <c r="D5" s="153" t="s">
        <v>920</v>
      </c>
      <c r="E5" s="153" t="s">
        <v>723</v>
      </c>
      <c r="F5" s="153" t="s">
        <v>921</v>
      </c>
      <c r="G5" s="154" t="s">
        <v>738</v>
      </c>
      <c r="H5" s="155" t="s">
        <v>922</v>
      </c>
      <c r="I5" s="150"/>
      <c r="J5" s="160" t="s">
        <v>923</v>
      </c>
      <c r="K5" s="155" t="s">
        <v>924</v>
      </c>
      <c r="L5" s="150"/>
      <c r="M5" s="153" t="s">
        <v>925</v>
      </c>
      <c r="N5" s="153" t="s">
        <v>926</v>
      </c>
      <c r="O5" s="153" t="s">
        <v>927</v>
      </c>
      <c r="P5" s="153" t="s">
        <v>928</v>
      </c>
      <c r="Q5" s="154" t="s">
        <v>929</v>
      </c>
      <c r="R5" s="155" t="s">
        <v>930</v>
      </c>
      <c r="S5" s="150"/>
      <c r="T5" s="160" t="s">
        <v>931</v>
      </c>
      <c r="U5" s="155" t="s">
        <v>932</v>
      </c>
      <c r="V5" s="150"/>
      <c r="W5" s="156" t="s">
        <v>933</v>
      </c>
      <c r="X5" s="153" t="s">
        <v>934</v>
      </c>
      <c r="Y5" s="150"/>
      <c r="Z5" s="156" t="s">
        <v>935</v>
      </c>
      <c r="AA5" s="153" t="s">
        <v>936</v>
      </c>
      <c r="AB5" s="150"/>
      <c r="AC5" s="156" t="s">
        <v>937</v>
      </c>
      <c r="AD5" s="153" t="s">
        <v>938</v>
      </c>
      <c r="AE5" s="151"/>
      <c r="AF5" s="156" t="s">
        <v>939</v>
      </c>
      <c r="AG5" s="153" t="s">
        <v>940</v>
      </c>
      <c r="AH5" s="151"/>
      <c r="AI5" s="159" t="s">
        <v>941</v>
      </c>
      <c r="AJ5" s="157" t="s">
        <v>942</v>
      </c>
      <c r="AK5" s="157" t="s">
        <v>943</v>
      </c>
      <c r="AL5" s="157" t="s">
        <v>944</v>
      </c>
      <c r="AM5" s="157" t="s">
        <v>945</v>
      </c>
      <c r="AN5" s="158" t="s">
        <v>946</v>
      </c>
      <c r="AO5" s="151"/>
      <c r="AP5" s="160" t="s">
        <v>947</v>
      </c>
      <c r="AQ5" s="155" t="s">
        <v>948</v>
      </c>
    </row>
    <row r="6" spans="1:43" x14ac:dyDescent="0.2">
      <c r="A6" s="135"/>
      <c r="B6" s="135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</row>
    <row r="7" spans="1:43" ht="12.75" customHeight="1" x14ac:dyDescent="0.2">
      <c r="A7" s="164">
        <v>2015</v>
      </c>
      <c r="B7" s="161" t="s">
        <v>55</v>
      </c>
      <c r="C7" s="133"/>
      <c r="D7" s="133">
        <v>9.33</v>
      </c>
      <c r="E7" s="162"/>
      <c r="F7" s="162">
        <v>10.210000000000001</v>
      </c>
      <c r="G7" s="162"/>
      <c r="H7" s="162">
        <v>11.83</v>
      </c>
      <c r="J7" s="162"/>
      <c r="K7" s="162">
        <v>11.83</v>
      </c>
      <c r="M7" s="162"/>
      <c r="N7" s="162">
        <v>9.33</v>
      </c>
      <c r="O7" s="162"/>
      <c r="P7" s="162">
        <v>10.210000000000001</v>
      </c>
      <c r="Q7" s="162"/>
      <c r="R7" s="162">
        <v>11.83</v>
      </c>
      <c r="T7" s="162"/>
      <c r="U7" s="162">
        <v>16.3</v>
      </c>
      <c r="W7" s="133"/>
      <c r="X7" s="133">
        <v>16.3</v>
      </c>
      <c r="Z7" s="133"/>
      <c r="AA7" s="133">
        <v>9</v>
      </c>
      <c r="AC7" s="133"/>
      <c r="AD7" s="133">
        <v>4.99</v>
      </c>
      <c r="AF7" s="133"/>
      <c r="AG7" s="133">
        <v>11.33</v>
      </c>
      <c r="AI7" s="133"/>
      <c r="AJ7" s="133">
        <v>25.5</v>
      </c>
      <c r="AK7" s="162"/>
      <c r="AL7" s="162">
        <v>27.5</v>
      </c>
      <c r="AM7" s="162"/>
      <c r="AN7" s="162">
        <v>30.5</v>
      </c>
      <c r="AP7" s="133"/>
      <c r="AQ7" s="133">
        <v>9.33</v>
      </c>
    </row>
    <row r="8" spans="1:43" ht="12.75" customHeight="1" x14ac:dyDescent="0.2">
      <c r="A8" s="138"/>
      <c r="B8" s="161" t="s">
        <v>56</v>
      </c>
      <c r="C8" s="163"/>
      <c r="D8" s="163">
        <v>9.33</v>
      </c>
      <c r="E8" s="162"/>
      <c r="F8" s="162">
        <v>10.210000000000001</v>
      </c>
      <c r="G8" s="163"/>
      <c r="H8" s="163">
        <v>11.83</v>
      </c>
      <c r="I8" s="140"/>
      <c r="J8" s="163"/>
      <c r="K8" s="163">
        <v>11.83</v>
      </c>
      <c r="L8" s="140"/>
      <c r="M8" s="163"/>
      <c r="N8" s="163">
        <v>9.33</v>
      </c>
      <c r="O8" s="163"/>
      <c r="P8" s="163">
        <v>10.210000000000001</v>
      </c>
      <c r="Q8" s="163"/>
      <c r="R8" s="163">
        <v>11.83</v>
      </c>
      <c r="S8" s="140"/>
      <c r="T8" s="163"/>
      <c r="U8" s="163">
        <v>16.3</v>
      </c>
      <c r="V8" s="140"/>
      <c r="W8" s="163"/>
      <c r="X8" s="163">
        <v>16.3</v>
      </c>
      <c r="Y8" s="140"/>
      <c r="Z8" s="163"/>
      <c r="AA8" s="163">
        <v>9</v>
      </c>
      <c r="AB8" s="140"/>
      <c r="AC8" s="163"/>
      <c r="AD8" s="163">
        <v>4.99</v>
      </c>
      <c r="AE8" s="140"/>
      <c r="AF8" s="163"/>
      <c r="AG8" s="163">
        <v>11.33</v>
      </c>
      <c r="AH8" s="140"/>
      <c r="AI8" s="163"/>
      <c r="AJ8" s="163">
        <v>25.5</v>
      </c>
      <c r="AK8" s="163"/>
      <c r="AL8" s="163">
        <v>27.5</v>
      </c>
      <c r="AM8" s="163"/>
      <c r="AN8" s="163">
        <v>30.5</v>
      </c>
      <c r="AO8" s="140"/>
      <c r="AP8" s="163"/>
      <c r="AQ8" s="163">
        <v>9.33</v>
      </c>
    </row>
    <row r="9" spans="1:43" ht="12.75" customHeight="1" x14ac:dyDescent="0.2">
      <c r="A9" s="138"/>
      <c r="B9" s="161" t="s">
        <v>57</v>
      </c>
      <c r="C9" s="163">
        <v>8.6999999999999993</v>
      </c>
      <c r="D9" s="163">
        <v>9.33</v>
      </c>
      <c r="E9" s="162">
        <v>9.6999999999999993</v>
      </c>
      <c r="F9" s="162">
        <v>10.210000000000001</v>
      </c>
      <c r="G9" s="163">
        <v>10.61</v>
      </c>
      <c r="H9" s="163">
        <v>11.83</v>
      </c>
      <c r="I9" s="140"/>
      <c r="J9" s="163">
        <v>8.43</v>
      </c>
      <c r="K9" s="163">
        <v>11.83</v>
      </c>
      <c r="L9" s="140"/>
      <c r="M9" s="163">
        <v>9.11</v>
      </c>
      <c r="N9" s="163">
        <v>9.33</v>
      </c>
      <c r="O9" s="163">
        <v>10.08</v>
      </c>
      <c r="P9" s="163">
        <v>10.210000000000001</v>
      </c>
      <c r="Q9" s="163">
        <v>10.87</v>
      </c>
      <c r="R9" s="163">
        <v>11.83</v>
      </c>
      <c r="S9" s="140"/>
      <c r="T9" s="163">
        <v>16.22</v>
      </c>
      <c r="U9" s="163">
        <v>16.3</v>
      </c>
      <c r="V9" s="140"/>
      <c r="W9" s="163">
        <v>16.04</v>
      </c>
      <c r="X9" s="163">
        <v>16.3</v>
      </c>
      <c r="Y9" s="140"/>
      <c r="Z9" s="163">
        <v>7.2</v>
      </c>
      <c r="AA9" s="163">
        <v>9</v>
      </c>
      <c r="AB9" s="140"/>
      <c r="AC9" s="163">
        <v>4.9400000000000004</v>
      </c>
      <c r="AD9" s="163">
        <v>4.99</v>
      </c>
      <c r="AE9" s="140"/>
      <c r="AF9" s="163">
        <v>10.75</v>
      </c>
      <c r="AG9" s="163">
        <v>11.33</v>
      </c>
      <c r="AH9" s="140"/>
      <c r="AI9" s="163">
        <v>23.27</v>
      </c>
      <c r="AJ9" s="163">
        <v>25.5</v>
      </c>
      <c r="AK9" s="163">
        <v>26.95</v>
      </c>
      <c r="AL9" s="163">
        <v>27.5</v>
      </c>
      <c r="AM9" s="163">
        <v>29.02</v>
      </c>
      <c r="AN9" s="163">
        <v>30.5</v>
      </c>
      <c r="AO9" s="140"/>
      <c r="AP9" s="163">
        <v>8.01</v>
      </c>
      <c r="AQ9" s="163">
        <v>9.33</v>
      </c>
    </row>
    <row r="10" spans="1:43" ht="12.75" customHeight="1" x14ac:dyDescent="0.2">
      <c r="A10" s="138"/>
      <c r="B10" s="161" t="s">
        <v>58</v>
      </c>
      <c r="C10" s="163">
        <v>8.0399999999999991</v>
      </c>
      <c r="D10" s="163">
        <v>9.33</v>
      </c>
      <c r="E10" s="162">
        <v>9.6300000000000008</v>
      </c>
      <c r="F10" s="162">
        <v>10.210000000000001</v>
      </c>
      <c r="G10" s="163">
        <v>10.64</v>
      </c>
      <c r="H10" s="163">
        <v>11.83</v>
      </c>
      <c r="I10" s="140"/>
      <c r="J10" s="163">
        <v>8.43</v>
      </c>
      <c r="K10" s="163">
        <v>11.83</v>
      </c>
      <c r="L10" s="140"/>
      <c r="M10" s="163">
        <v>9.2200000000000006</v>
      </c>
      <c r="N10" s="163">
        <v>9.33</v>
      </c>
      <c r="O10" s="163">
        <v>9.92</v>
      </c>
      <c r="P10" s="163">
        <v>10.210000000000001</v>
      </c>
      <c r="Q10" s="163">
        <v>10.89</v>
      </c>
      <c r="R10" s="163">
        <v>11.83</v>
      </c>
      <c r="S10" s="140"/>
      <c r="T10" s="163">
        <v>16.239999999999998</v>
      </c>
      <c r="U10" s="163">
        <v>17.3</v>
      </c>
      <c r="V10" s="140"/>
      <c r="W10" s="163">
        <v>16.03</v>
      </c>
      <c r="X10" s="163">
        <v>17.3</v>
      </c>
      <c r="Y10" s="140"/>
      <c r="Z10" s="163">
        <v>7.23</v>
      </c>
      <c r="AA10" s="163">
        <v>9.5</v>
      </c>
      <c r="AB10" s="140"/>
      <c r="AC10" s="163">
        <v>4.9800000000000004</v>
      </c>
      <c r="AD10" s="163">
        <v>4.99</v>
      </c>
      <c r="AE10" s="140"/>
      <c r="AF10" s="163">
        <v>10.76</v>
      </c>
      <c r="AG10" s="163">
        <v>11.33</v>
      </c>
      <c r="AH10" s="140"/>
      <c r="AI10" s="163">
        <v>24.12</v>
      </c>
      <c r="AJ10" s="163">
        <v>25.5</v>
      </c>
      <c r="AK10" s="163">
        <v>26.97</v>
      </c>
      <c r="AL10" s="163">
        <v>27.5</v>
      </c>
      <c r="AM10" s="163">
        <v>29.16</v>
      </c>
      <c r="AN10" s="163">
        <v>30.5</v>
      </c>
      <c r="AO10" s="140"/>
      <c r="AP10" s="163">
        <v>7.99</v>
      </c>
      <c r="AQ10" s="163">
        <v>9.33</v>
      </c>
    </row>
    <row r="11" spans="1:43" ht="12.75" customHeight="1" x14ac:dyDescent="0.2">
      <c r="A11" s="138"/>
      <c r="B11" s="161" t="s">
        <v>59</v>
      </c>
      <c r="C11" s="163">
        <v>9.1999999999999993</v>
      </c>
      <c r="D11" s="163">
        <v>9.33</v>
      </c>
      <c r="E11" s="162">
        <v>9.76</v>
      </c>
      <c r="F11" s="162">
        <v>10.210000000000001</v>
      </c>
      <c r="G11" s="163">
        <v>10.28</v>
      </c>
      <c r="H11" s="163">
        <v>11.83</v>
      </c>
      <c r="I11" s="140"/>
      <c r="J11" s="163">
        <v>9.0299999999999994</v>
      </c>
      <c r="K11" s="163">
        <v>11.83</v>
      </c>
      <c r="L11" s="140"/>
      <c r="M11" s="163">
        <v>9.1199999999999992</v>
      </c>
      <c r="N11" s="163">
        <v>9.33</v>
      </c>
      <c r="O11" s="163">
        <v>9.92</v>
      </c>
      <c r="P11" s="163">
        <v>10.210000000000001</v>
      </c>
      <c r="Q11" s="163">
        <v>11.12</v>
      </c>
      <c r="R11" s="163">
        <v>11.83</v>
      </c>
      <c r="S11" s="140"/>
      <c r="T11" s="163">
        <v>16.21</v>
      </c>
      <c r="U11" s="163">
        <v>17.3</v>
      </c>
      <c r="V11" s="140"/>
      <c r="W11" s="163">
        <v>16</v>
      </c>
      <c r="X11" s="163">
        <v>17.3</v>
      </c>
      <c r="Y11" s="140"/>
      <c r="Z11" s="163">
        <v>7.11</v>
      </c>
      <c r="AA11" s="163">
        <v>9.5</v>
      </c>
      <c r="AB11" s="140"/>
      <c r="AC11" s="163">
        <v>4.97</v>
      </c>
      <c r="AD11" s="163">
        <v>4.99</v>
      </c>
      <c r="AE11" s="140"/>
      <c r="AF11" s="163">
        <v>10.89</v>
      </c>
      <c r="AG11" s="163">
        <v>11.33</v>
      </c>
      <c r="AH11" s="140"/>
      <c r="AI11" s="163">
        <v>24.25</v>
      </c>
      <c r="AJ11" s="163">
        <v>25.5</v>
      </c>
      <c r="AK11" s="163">
        <v>26.9</v>
      </c>
      <c r="AL11" s="163">
        <v>27.5</v>
      </c>
      <c r="AM11" s="163">
        <v>29.04</v>
      </c>
      <c r="AN11" s="163">
        <v>30.5</v>
      </c>
      <c r="AO11" s="140"/>
      <c r="AP11" s="163">
        <v>8.23</v>
      </c>
      <c r="AQ11" s="163">
        <v>9.33</v>
      </c>
    </row>
    <row r="12" spans="1:43" ht="12.75" customHeight="1" x14ac:dyDescent="0.2">
      <c r="A12" s="138"/>
      <c r="C12" s="140"/>
      <c r="D12" s="140"/>
      <c r="E12" s="140"/>
      <c r="F12" s="140"/>
      <c r="G12" s="140"/>
      <c r="H12" s="139"/>
      <c r="I12" s="139"/>
      <c r="J12" s="140"/>
      <c r="K12" s="139"/>
      <c r="L12" s="139"/>
      <c r="M12" s="139"/>
      <c r="N12" s="139"/>
      <c r="O12" s="139"/>
      <c r="P12" s="139"/>
      <c r="Q12" s="139"/>
      <c r="R12" s="139"/>
      <c r="S12" s="139"/>
      <c r="T12" s="140"/>
      <c r="U12" s="139"/>
      <c r="V12" s="139"/>
      <c r="W12" s="140"/>
      <c r="X12" s="140"/>
      <c r="Y12" s="139"/>
      <c r="Z12" s="140"/>
      <c r="AA12" s="140"/>
      <c r="AB12" s="139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</row>
    <row r="13" spans="1:43" ht="12.75" customHeight="1" x14ac:dyDescent="0.2">
      <c r="A13" s="164">
        <v>2016</v>
      </c>
      <c r="B13" s="161" t="s">
        <v>60</v>
      </c>
      <c r="C13" s="163">
        <v>9.32</v>
      </c>
      <c r="D13" s="163">
        <v>9.33</v>
      </c>
      <c r="E13" s="162">
        <v>9.5299999999999994</v>
      </c>
      <c r="F13" s="162">
        <v>10.210000000000001</v>
      </c>
      <c r="G13" s="163">
        <v>11.8</v>
      </c>
      <c r="H13" s="163">
        <v>11.83</v>
      </c>
      <c r="I13" s="140"/>
      <c r="J13" s="163">
        <v>9.58</v>
      </c>
      <c r="K13" s="163">
        <v>11.83</v>
      </c>
      <c r="L13" s="140"/>
      <c r="M13" s="163">
        <v>9.15</v>
      </c>
      <c r="N13" s="163">
        <v>9.33</v>
      </c>
      <c r="O13" s="163">
        <v>10</v>
      </c>
      <c r="P13" s="163">
        <v>10.210000000000001</v>
      </c>
      <c r="Q13" s="163">
        <v>11.26</v>
      </c>
      <c r="R13" s="163">
        <v>11.83</v>
      </c>
      <c r="S13" s="140"/>
      <c r="T13" s="163">
        <v>16.25</v>
      </c>
      <c r="U13" s="163">
        <v>17.3</v>
      </c>
      <c r="V13" s="140"/>
      <c r="W13" s="163">
        <v>16.100000000000001</v>
      </c>
      <c r="X13" s="163">
        <v>17.3</v>
      </c>
      <c r="Y13" s="140"/>
      <c r="Z13" s="163">
        <v>7.14</v>
      </c>
      <c r="AA13" s="163">
        <v>9.5</v>
      </c>
      <c r="AB13" s="140"/>
      <c r="AC13" s="163">
        <v>4.9800000000000004</v>
      </c>
      <c r="AD13" s="163">
        <v>4.99</v>
      </c>
      <c r="AE13" s="140"/>
      <c r="AF13" s="163">
        <v>10.88</v>
      </c>
      <c r="AG13" s="163">
        <v>11.33</v>
      </c>
      <c r="AH13" s="140"/>
      <c r="AI13" s="163">
        <v>22.13</v>
      </c>
      <c r="AJ13" s="163">
        <v>25.5</v>
      </c>
      <c r="AK13" s="163">
        <v>25.25</v>
      </c>
      <c r="AL13" s="163">
        <v>27.5</v>
      </c>
      <c r="AM13" s="163">
        <v>27.96</v>
      </c>
      <c r="AN13" s="163">
        <v>30.5</v>
      </c>
      <c r="AO13" s="140"/>
      <c r="AP13" s="163">
        <v>8.14</v>
      </c>
      <c r="AQ13" s="163">
        <v>9.33</v>
      </c>
    </row>
    <row r="14" spans="1:43" ht="12.75" customHeight="1" x14ac:dyDescent="0.2">
      <c r="A14" s="138"/>
      <c r="B14" s="161" t="s">
        <v>61</v>
      </c>
      <c r="C14" s="163">
        <v>9.32</v>
      </c>
      <c r="D14" s="163">
        <v>9.33</v>
      </c>
      <c r="E14" s="162">
        <v>10.17</v>
      </c>
      <c r="F14" s="162">
        <v>10.210000000000001</v>
      </c>
      <c r="G14" s="163">
        <v>11.82</v>
      </c>
      <c r="H14" s="163">
        <v>11.83</v>
      </c>
      <c r="I14" s="140"/>
      <c r="J14" s="163">
        <v>9.59</v>
      </c>
      <c r="K14" s="163">
        <v>11.83</v>
      </c>
      <c r="L14" s="140"/>
      <c r="M14" s="163">
        <v>8.8800000000000008</v>
      </c>
      <c r="N14" s="163">
        <v>9.33</v>
      </c>
      <c r="O14" s="163">
        <v>10.01</v>
      </c>
      <c r="P14" s="163">
        <v>10.210000000000001</v>
      </c>
      <c r="Q14" s="163">
        <v>11.14</v>
      </c>
      <c r="R14" s="163">
        <v>11.83</v>
      </c>
      <c r="S14" s="140"/>
      <c r="T14" s="163">
        <v>16.649999999999999</v>
      </c>
      <c r="U14" s="163">
        <v>17.3</v>
      </c>
      <c r="V14" s="140"/>
      <c r="W14" s="163">
        <v>16.59</v>
      </c>
      <c r="X14" s="163">
        <v>17.3</v>
      </c>
      <c r="Y14" s="140"/>
      <c r="Z14" s="163">
        <v>7.21</v>
      </c>
      <c r="AA14" s="163">
        <v>9.5</v>
      </c>
      <c r="AB14" s="140"/>
      <c r="AC14" s="163">
        <v>4.9800000000000004</v>
      </c>
      <c r="AD14" s="163">
        <v>4.99</v>
      </c>
      <c r="AE14" s="140"/>
      <c r="AF14" s="163">
        <v>10.89</v>
      </c>
      <c r="AG14" s="163">
        <v>11.33</v>
      </c>
      <c r="AH14" s="140"/>
      <c r="AI14" s="163">
        <v>22.02</v>
      </c>
      <c r="AJ14" s="163">
        <v>25.5</v>
      </c>
      <c r="AK14" s="163">
        <v>25.07</v>
      </c>
      <c r="AL14" s="163">
        <v>27.5</v>
      </c>
      <c r="AM14" s="163">
        <v>27.63</v>
      </c>
      <c r="AN14" s="163">
        <v>30.5</v>
      </c>
      <c r="AO14" s="140"/>
      <c r="AP14" s="163">
        <v>8.24</v>
      </c>
      <c r="AQ14" s="163">
        <v>9.33</v>
      </c>
    </row>
    <row r="15" spans="1:43" ht="12.75" customHeight="1" x14ac:dyDescent="0.2">
      <c r="A15" s="138"/>
      <c r="B15" s="161" t="s">
        <v>50</v>
      </c>
      <c r="C15" s="163">
        <v>9.27</v>
      </c>
      <c r="D15" s="163">
        <v>9.33</v>
      </c>
      <c r="E15" s="162">
        <v>9.58</v>
      </c>
      <c r="F15" s="162">
        <v>10.210000000000001</v>
      </c>
      <c r="G15" s="163">
        <v>11.77</v>
      </c>
      <c r="H15" s="163">
        <v>11.83</v>
      </c>
      <c r="I15" s="140"/>
      <c r="J15" s="163">
        <v>9.64</v>
      </c>
      <c r="K15" s="163">
        <v>11.83</v>
      </c>
      <c r="L15" s="140"/>
      <c r="M15" s="163">
        <v>8.86</v>
      </c>
      <c r="N15" s="163">
        <v>9.33</v>
      </c>
      <c r="O15" s="163">
        <v>10.050000000000001</v>
      </c>
      <c r="P15" s="163">
        <v>10.210000000000001</v>
      </c>
      <c r="Q15" s="163">
        <v>11.19</v>
      </c>
      <c r="R15" s="163">
        <v>11.83</v>
      </c>
      <c r="S15" s="140"/>
      <c r="T15" s="163">
        <v>16.77</v>
      </c>
      <c r="U15" s="163">
        <v>17.3</v>
      </c>
      <c r="V15" s="140"/>
      <c r="W15" s="163">
        <v>16.52</v>
      </c>
      <c r="X15" s="163">
        <v>17.3</v>
      </c>
      <c r="Y15" s="140"/>
      <c r="Z15" s="163">
        <v>7.44</v>
      </c>
      <c r="AA15" s="163">
        <v>9.5</v>
      </c>
      <c r="AB15" s="140"/>
      <c r="AC15" s="163">
        <v>4.9800000000000004</v>
      </c>
      <c r="AD15" s="163">
        <v>4.99</v>
      </c>
      <c r="AE15" s="140"/>
      <c r="AF15" s="163">
        <v>10.89</v>
      </c>
      <c r="AG15" s="163">
        <v>11.33</v>
      </c>
      <c r="AH15" s="140"/>
      <c r="AI15" s="163">
        <v>22.05</v>
      </c>
      <c r="AJ15" s="163">
        <v>25.5</v>
      </c>
      <c r="AK15" s="163">
        <v>25.25</v>
      </c>
      <c r="AL15" s="163">
        <v>27.5</v>
      </c>
      <c r="AM15" s="163">
        <v>27.41</v>
      </c>
      <c r="AN15" s="163">
        <v>30.5</v>
      </c>
      <c r="AO15" s="140"/>
      <c r="AP15" s="163">
        <v>8.15</v>
      </c>
      <c r="AQ15" s="163">
        <v>9.33</v>
      </c>
    </row>
    <row r="16" spans="1:43" ht="12.75" customHeight="1" x14ac:dyDescent="0.2">
      <c r="A16" s="138"/>
      <c r="B16" s="161" t="s">
        <v>51</v>
      </c>
      <c r="C16" s="163">
        <v>9.31</v>
      </c>
      <c r="D16" s="163">
        <v>9.33</v>
      </c>
      <c r="E16" s="162">
        <v>10.16</v>
      </c>
      <c r="F16" s="162">
        <v>10.210000000000001</v>
      </c>
      <c r="G16" s="163">
        <v>10.28</v>
      </c>
      <c r="H16" s="163">
        <v>11.83</v>
      </c>
      <c r="I16" s="140"/>
      <c r="J16" s="163">
        <v>9.5</v>
      </c>
      <c r="K16" s="163">
        <v>11.83</v>
      </c>
      <c r="L16" s="140"/>
      <c r="M16" s="163">
        <v>9.0299999999999994</v>
      </c>
      <c r="N16" s="163">
        <v>9.33</v>
      </c>
      <c r="O16" s="163">
        <v>10.02</v>
      </c>
      <c r="P16" s="163">
        <v>10.210000000000001</v>
      </c>
      <c r="Q16" s="163">
        <v>11.21</v>
      </c>
      <c r="R16" s="163">
        <v>11.83</v>
      </c>
      <c r="S16" s="140"/>
      <c r="T16" s="163">
        <v>16.86</v>
      </c>
      <c r="U16" s="163">
        <v>17.3</v>
      </c>
      <c r="V16" s="140"/>
      <c r="W16" s="163">
        <v>16.579999999999998</v>
      </c>
      <c r="X16" s="163">
        <v>17.3</v>
      </c>
      <c r="Y16" s="140"/>
      <c r="Z16" s="163">
        <v>7.47</v>
      </c>
      <c r="AA16" s="163">
        <v>9.5</v>
      </c>
      <c r="AB16" s="140"/>
      <c r="AC16" s="163">
        <v>4.9800000000000004</v>
      </c>
      <c r="AD16" s="163">
        <v>4.99</v>
      </c>
      <c r="AE16" s="140"/>
      <c r="AF16" s="163">
        <v>10.89</v>
      </c>
      <c r="AG16" s="163">
        <v>11.33</v>
      </c>
      <c r="AH16" s="140"/>
      <c r="AI16" s="163">
        <v>22.11</v>
      </c>
      <c r="AJ16" s="163">
        <v>25.5</v>
      </c>
      <c r="AK16" s="163">
        <v>25.04</v>
      </c>
      <c r="AL16" s="163">
        <v>27.5</v>
      </c>
      <c r="AM16" s="163">
        <v>26.59</v>
      </c>
      <c r="AN16" s="163">
        <v>30.5</v>
      </c>
      <c r="AO16" s="140"/>
      <c r="AP16" s="163">
        <v>8.23</v>
      </c>
      <c r="AQ16" s="163">
        <v>9.33</v>
      </c>
    </row>
    <row r="17" spans="1:43" ht="12.75" customHeight="1" x14ac:dyDescent="0.2">
      <c r="A17" s="138"/>
      <c r="B17" s="161" t="s">
        <v>52</v>
      </c>
      <c r="C17" s="163">
        <v>8.9700000000000006</v>
      </c>
      <c r="D17" s="163">
        <v>9.33</v>
      </c>
      <c r="E17" s="162">
        <v>10.17</v>
      </c>
      <c r="F17" s="162">
        <v>10.210000000000001</v>
      </c>
      <c r="G17" s="163">
        <v>11.63</v>
      </c>
      <c r="H17" s="163">
        <v>11.83</v>
      </c>
      <c r="I17" s="140"/>
      <c r="J17" s="163">
        <v>9.65</v>
      </c>
      <c r="K17" s="163">
        <v>11.83</v>
      </c>
      <c r="L17" s="140"/>
      <c r="M17" s="163">
        <v>8.89</v>
      </c>
      <c r="N17" s="163">
        <v>9.33</v>
      </c>
      <c r="O17" s="163">
        <v>10.09</v>
      </c>
      <c r="P17" s="163">
        <v>10.210000000000001</v>
      </c>
      <c r="Q17" s="163">
        <v>11.09</v>
      </c>
      <c r="R17" s="163">
        <v>11.83</v>
      </c>
      <c r="S17" s="140"/>
      <c r="T17" s="163">
        <v>16.809999999999999</v>
      </c>
      <c r="U17" s="163">
        <v>17.3</v>
      </c>
      <c r="V17" s="140"/>
      <c r="W17" s="163">
        <v>16.71</v>
      </c>
      <c r="X17" s="163">
        <v>17.3</v>
      </c>
      <c r="Y17" s="140"/>
      <c r="Z17" s="163">
        <v>9.3000000000000007</v>
      </c>
      <c r="AA17" s="163">
        <v>9.5</v>
      </c>
      <c r="AB17" s="140"/>
      <c r="AC17" s="163">
        <v>4.97</v>
      </c>
      <c r="AD17" s="163">
        <v>4.99</v>
      </c>
      <c r="AE17" s="140"/>
      <c r="AF17" s="163">
        <v>10.91</v>
      </c>
      <c r="AG17" s="163">
        <v>11.33</v>
      </c>
      <c r="AH17" s="140"/>
      <c r="AI17" s="163">
        <v>22.21</v>
      </c>
      <c r="AJ17" s="163">
        <v>25.5</v>
      </c>
      <c r="AK17" s="163">
        <v>25.3</v>
      </c>
      <c r="AL17" s="163">
        <v>27.5</v>
      </c>
      <c r="AM17" s="163">
        <v>26.98</v>
      </c>
      <c r="AN17" s="163">
        <v>30.5</v>
      </c>
      <c r="AO17" s="140"/>
      <c r="AP17" s="163">
        <v>7.84</v>
      </c>
      <c r="AQ17" s="163">
        <v>9.33</v>
      </c>
    </row>
    <row r="18" spans="1:43" ht="12.75" customHeight="1" x14ac:dyDescent="0.2">
      <c r="A18" s="138"/>
      <c r="B18" s="161" t="s">
        <v>53</v>
      </c>
      <c r="C18" s="163">
        <v>9.31</v>
      </c>
      <c r="D18" s="163">
        <v>9.33</v>
      </c>
      <c r="E18" s="162">
        <v>9.9600000000000009</v>
      </c>
      <c r="F18" s="162">
        <v>10.210000000000001</v>
      </c>
      <c r="G18" s="163">
        <v>11.33</v>
      </c>
      <c r="H18" s="163">
        <v>11.83</v>
      </c>
      <c r="I18" s="140"/>
      <c r="J18" s="163">
        <v>9.34</v>
      </c>
      <c r="K18" s="163">
        <v>11.83</v>
      </c>
      <c r="L18" s="140"/>
      <c r="M18" s="163">
        <v>8.66</v>
      </c>
      <c r="N18" s="163">
        <v>9.33</v>
      </c>
      <c r="O18" s="163">
        <v>9.82</v>
      </c>
      <c r="P18" s="163">
        <v>10.210000000000001</v>
      </c>
      <c r="Q18" s="163">
        <v>11.1</v>
      </c>
      <c r="R18" s="163">
        <v>11.83</v>
      </c>
      <c r="S18" s="140"/>
      <c r="T18" s="163">
        <v>16.239999999999998</v>
      </c>
      <c r="U18" s="163">
        <v>17.3</v>
      </c>
      <c r="V18" s="140"/>
      <c r="W18" s="163">
        <v>15.9</v>
      </c>
      <c r="X18" s="163">
        <v>17.3</v>
      </c>
      <c r="Y18" s="140"/>
      <c r="Z18" s="163">
        <v>9.31</v>
      </c>
      <c r="AA18" s="163">
        <v>9.5</v>
      </c>
      <c r="AB18" s="140"/>
      <c r="AC18" s="163">
        <v>4.9800000000000004</v>
      </c>
      <c r="AD18" s="163">
        <v>4.99</v>
      </c>
      <c r="AE18" s="140"/>
      <c r="AF18" s="163">
        <v>10.72</v>
      </c>
      <c r="AG18" s="163">
        <v>11.33</v>
      </c>
      <c r="AH18" s="140"/>
      <c r="AI18" s="163">
        <v>21.18</v>
      </c>
      <c r="AJ18" s="163">
        <v>25.5</v>
      </c>
      <c r="AK18" s="163">
        <v>23.85</v>
      </c>
      <c r="AL18" s="163">
        <v>27.5</v>
      </c>
      <c r="AM18" s="163">
        <v>24.46</v>
      </c>
      <c r="AN18" s="163">
        <v>30.5</v>
      </c>
      <c r="AO18" s="140"/>
      <c r="AP18" s="163">
        <v>8.32</v>
      </c>
      <c r="AQ18" s="163">
        <v>9.33</v>
      </c>
    </row>
    <row r="19" spans="1:43" ht="12.75" customHeight="1" x14ac:dyDescent="0.2">
      <c r="A19" s="138"/>
      <c r="B19" s="161" t="s">
        <v>54</v>
      </c>
      <c r="C19" s="163">
        <v>9.3000000000000007</v>
      </c>
      <c r="D19" s="163">
        <v>9.33</v>
      </c>
      <c r="E19" s="162">
        <v>10.119999999999999</v>
      </c>
      <c r="F19" s="162">
        <v>10.210000000000001</v>
      </c>
      <c r="G19" s="163">
        <v>11.82</v>
      </c>
      <c r="H19" s="163">
        <v>11.83</v>
      </c>
      <c r="I19" s="140"/>
      <c r="J19" s="163">
        <v>9.43</v>
      </c>
      <c r="K19" s="163">
        <v>11.83</v>
      </c>
      <c r="L19" s="140"/>
      <c r="M19" s="163">
        <v>8.67</v>
      </c>
      <c r="N19" s="163">
        <v>9.33</v>
      </c>
      <c r="O19" s="163">
        <v>9.98</v>
      </c>
      <c r="P19" s="163">
        <v>10.210000000000001</v>
      </c>
      <c r="Q19" s="163">
        <v>11.16</v>
      </c>
      <c r="R19" s="163">
        <v>11.83</v>
      </c>
      <c r="S19" s="140"/>
      <c r="T19" s="163">
        <v>16.440000000000001</v>
      </c>
      <c r="U19" s="163">
        <v>17.3</v>
      </c>
      <c r="V19" s="140"/>
      <c r="W19" s="163">
        <v>16.3</v>
      </c>
      <c r="X19" s="163">
        <v>17.3</v>
      </c>
      <c r="Y19" s="140"/>
      <c r="Z19" s="163">
        <v>9.43</v>
      </c>
      <c r="AA19" s="163">
        <v>9.5</v>
      </c>
      <c r="AB19" s="140"/>
      <c r="AC19" s="163">
        <v>4.9800000000000004</v>
      </c>
      <c r="AD19" s="163">
        <v>4.99</v>
      </c>
      <c r="AE19" s="140"/>
      <c r="AF19" s="163">
        <v>10.78</v>
      </c>
      <c r="AG19" s="163">
        <v>11.33</v>
      </c>
      <c r="AH19" s="140"/>
      <c r="AI19" s="163">
        <v>20.87</v>
      </c>
      <c r="AJ19" s="163">
        <v>25.5</v>
      </c>
      <c r="AK19" s="163">
        <v>23.8</v>
      </c>
      <c r="AL19" s="163">
        <v>27.5</v>
      </c>
      <c r="AM19" s="163">
        <v>24.96</v>
      </c>
      <c r="AN19" s="163">
        <v>30.5</v>
      </c>
      <c r="AO19" s="140"/>
      <c r="AP19" s="163">
        <v>8.23</v>
      </c>
      <c r="AQ19" s="163">
        <v>9.33</v>
      </c>
    </row>
    <row r="20" spans="1:43" ht="12.75" customHeight="1" x14ac:dyDescent="0.2">
      <c r="A20" s="138"/>
      <c r="B20" s="161" t="s">
        <v>55</v>
      </c>
      <c r="C20" s="163">
        <v>9.02</v>
      </c>
      <c r="D20" s="163">
        <v>9.33</v>
      </c>
      <c r="E20" s="162">
        <v>10.029999999999999</v>
      </c>
      <c r="F20" s="162">
        <v>10.210000000000001</v>
      </c>
      <c r="G20" s="163">
        <v>11.66</v>
      </c>
      <c r="H20" s="163">
        <v>11.83</v>
      </c>
      <c r="I20" s="140"/>
      <c r="J20" s="163">
        <v>9.67</v>
      </c>
      <c r="K20" s="163">
        <v>11.83</v>
      </c>
      <c r="L20" s="140"/>
      <c r="M20" s="163">
        <v>8.2100000000000009</v>
      </c>
      <c r="N20" s="163">
        <v>9.33</v>
      </c>
      <c r="O20" s="163">
        <v>9.99</v>
      </c>
      <c r="P20" s="163">
        <v>10.210000000000001</v>
      </c>
      <c r="Q20" s="163">
        <v>11.33</v>
      </c>
      <c r="R20" s="163">
        <v>11.83</v>
      </c>
      <c r="S20" s="140"/>
      <c r="T20" s="163">
        <v>16.7</v>
      </c>
      <c r="U20" s="163">
        <v>17.3</v>
      </c>
      <c r="V20" s="140"/>
      <c r="W20" s="163">
        <v>16.72</v>
      </c>
      <c r="X20" s="163">
        <v>17.3</v>
      </c>
      <c r="Y20" s="140"/>
      <c r="Z20" s="163">
        <v>9.3800000000000008</v>
      </c>
      <c r="AA20" s="163">
        <v>9.5</v>
      </c>
      <c r="AB20" s="140"/>
      <c r="AC20" s="163">
        <v>4.97</v>
      </c>
      <c r="AD20" s="163">
        <v>4.99</v>
      </c>
      <c r="AE20" s="140"/>
      <c r="AF20" s="163">
        <v>10.91</v>
      </c>
      <c r="AG20" s="163">
        <v>11.33</v>
      </c>
      <c r="AH20" s="140"/>
      <c r="AI20" s="163">
        <v>21.35</v>
      </c>
      <c r="AJ20" s="163">
        <v>25.5</v>
      </c>
      <c r="AK20" s="163">
        <v>24.66</v>
      </c>
      <c r="AL20" s="163">
        <v>27.5</v>
      </c>
      <c r="AM20" s="163">
        <v>26.77</v>
      </c>
      <c r="AN20" s="163">
        <v>30.5</v>
      </c>
      <c r="AO20" s="140"/>
      <c r="AP20" s="163">
        <v>8.15</v>
      </c>
      <c r="AQ20" s="163">
        <v>9.33</v>
      </c>
    </row>
    <row r="21" spans="1:43" ht="12.75" customHeight="1" x14ac:dyDescent="0.2">
      <c r="A21" s="138"/>
      <c r="B21" s="161" t="s">
        <v>645</v>
      </c>
      <c r="C21" s="163">
        <v>9.32</v>
      </c>
      <c r="D21" s="163">
        <v>9.33</v>
      </c>
      <c r="E21" s="162">
        <v>8.67</v>
      </c>
      <c r="F21" s="162">
        <v>10.210000000000001</v>
      </c>
      <c r="G21" s="163">
        <v>11.34</v>
      </c>
      <c r="H21" s="163">
        <v>11.83</v>
      </c>
      <c r="I21" s="140"/>
      <c r="J21" s="163">
        <v>9.56</v>
      </c>
      <c r="K21" s="163">
        <v>11.83</v>
      </c>
      <c r="L21" s="140"/>
      <c r="M21" s="163">
        <v>8.7799999999999994</v>
      </c>
      <c r="N21" s="163">
        <v>9.33</v>
      </c>
      <c r="O21" s="163">
        <v>10.06</v>
      </c>
      <c r="P21" s="163">
        <v>10.210000000000001</v>
      </c>
      <c r="Q21" s="163">
        <v>11.31</v>
      </c>
      <c r="R21" s="163">
        <v>11.83</v>
      </c>
      <c r="S21" s="140"/>
      <c r="T21" s="163">
        <v>16.899999999999999</v>
      </c>
      <c r="U21" s="163">
        <v>17.3</v>
      </c>
      <c r="V21" s="140"/>
      <c r="W21" s="163">
        <v>16.7</v>
      </c>
      <c r="X21" s="163">
        <v>17.3</v>
      </c>
      <c r="Y21" s="140"/>
      <c r="Z21" s="163">
        <v>9.5</v>
      </c>
      <c r="AA21" s="163">
        <v>9.5</v>
      </c>
      <c r="AB21" s="140"/>
      <c r="AC21" s="163">
        <v>4.96</v>
      </c>
      <c r="AD21" s="163">
        <v>4.99</v>
      </c>
      <c r="AE21" s="140"/>
      <c r="AF21" s="163">
        <v>10.91</v>
      </c>
      <c r="AG21" s="163">
        <v>11.33</v>
      </c>
      <c r="AH21" s="140"/>
      <c r="AI21" s="163">
        <v>21.31</v>
      </c>
      <c r="AJ21" s="163">
        <v>25.5</v>
      </c>
      <c r="AK21" s="163">
        <v>24.83</v>
      </c>
      <c r="AL21" s="163">
        <v>27.5</v>
      </c>
      <c r="AM21" s="163">
        <v>27.01</v>
      </c>
      <c r="AN21" s="163">
        <v>30.5</v>
      </c>
      <c r="AO21" s="140"/>
      <c r="AP21" s="163">
        <v>8.2899999999999991</v>
      </c>
      <c r="AQ21" s="163">
        <v>9.33</v>
      </c>
    </row>
    <row r="22" spans="1:43" ht="12.75" customHeight="1" x14ac:dyDescent="0.2">
      <c r="A22" s="138"/>
      <c r="B22" s="161" t="s">
        <v>57</v>
      </c>
      <c r="C22" s="163">
        <v>9</v>
      </c>
      <c r="D22" s="163">
        <v>9.33</v>
      </c>
      <c r="E22" s="162">
        <v>10.130000000000001</v>
      </c>
      <c r="F22" s="162">
        <v>10.210000000000001</v>
      </c>
      <c r="G22" s="163">
        <v>10.92</v>
      </c>
      <c r="H22" s="163">
        <v>11.83</v>
      </c>
      <c r="I22" s="140"/>
      <c r="J22" s="163">
        <v>9.34</v>
      </c>
      <c r="K22" s="163">
        <v>11.83</v>
      </c>
      <c r="L22" s="140"/>
      <c r="M22" s="163">
        <v>8.7100000000000009</v>
      </c>
      <c r="N22" s="163">
        <v>9.33</v>
      </c>
      <c r="O22" s="163">
        <v>9.9700000000000006</v>
      </c>
      <c r="P22" s="163">
        <v>10.210000000000001</v>
      </c>
      <c r="Q22" s="163">
        <v>11.35</v>
      </c>
      <c r="R22" s="163">
        <v>11.83</v>
      </c>
      <c r="S22" s="140"/>
      <c r="T22" s="163">
        <v>16.940000000000001</v>
      </c>
      <c r="U22" s="163">
        <v>17.3</v>
      </c>
      <c r="V22" s="140"/>
      <c r="W22" s="163">
        <v>16.72</v>
      </c>
      <c r="X22" s="163">
        <v>17.3</v>
      </c>
      <c r="Y22" s="140"/>
      <c r="Z22" s="163">
        <v>9.5</v>
      </c>
      <c r="AA22" s="163">
        <v>9.5</v>
      </c>
      <c r="AB22" s="140"/>
      <c r="AC22" s="163">
        <v>4.9800000000000004</v>
      </c>
      <c r="AD22" s="163">
        <v>4.99</v>
      </c>
      <c r="AE22" s="140"/>
      <c r="AF22" s="163">
        <v>10.94</v>
      </c>
      <c r="AG22" s="163">
        <v>11.33</v>
      </c>
      <c r="AH22" s="140"/>
      <c r="AI22" s="163">
        <v>21.3</v>
      </c>
      <c r="AJ22" s="163">
        <v>25.5</v>
      </c>
      <c r="AK22" s="163">
        <v>24.91</v>
      </c>
      <c r="AL22" s="163">
        <v>27.5</v>
      </c>
      <c r="AM22" s="163">
        <v>26.69</v>
      </c>
      <c r="AN22" s="163">
        <v>30.5</v>
      </c>
      <c r="AO22" s="140"/>
      <c r="AP22" s="163">
        <v>8.01</v>
      </c>
      <c r="AQ22" s="163">
        <v>9.33</v>
      </c>
    </row>
    <row r="23" spans="1:43" ht="12.75" customHeight="1" x14ac:dyDescent="0.2">
      <c r="A23" s="138"/>
      <c r="B23" s="161" t="s">
        <v>646</v>
      </c>
      <c r="C23" s="163">
        <v>8.77</v>
      </c>
      <c r="D23" s="163">
        <v>9.33</v>
      </c>
      <c r="E23" s="162">
        <v>10.19</v>
      </c>
      <c r="F23" s="162">
        <v>10.210000000000001</v>
      </c>
      <c r="G23" s="163">
        <v>10.97</v>
      </c>
      <c r="H23" s="163">
        <v>11.83</v>
      </c>
      <c r="I23" s="140"/>
      <c r="J23" s="163">
        <v>9.26</v>
      </c>
      <c r="K23" s="163">
        <v>11.83</v>
      </c>
      <c r="L23" s="140"/>
      <c r="M23" s="163">
        <v>8.3800000000000008</v>
      </c>
      <c r="N23" s="163">
        <v>9.33</v>
      </c>
      <c r="O23" s="163">
        <v>10.01</v>
      </c>
      <c r="P23" s="163">
        <v>10.210000000000001</v>
      </c>
      <c r="Q23" s="163">
        <v>11.37</v>
      </c>
      <c r="R23" s="163">
        <v>11.83</v>
      </c>
      <c r="S23" s="140"/>
      <c r="T23" s="163">
        <v>16.86</v>
      </c>
      <c r="U23" s="163">
        <v>17.3</v>
      </c>
      <c r="V23" s="140"/>
      <c r="W23" s="163">
        <v>16.809999999999999</v>
      </c>
      <c r="X23" s="163">
        <v>17.3</v>
      </c>
      <c r="Y23" s="140"/>
      <c r="Z23" s="163">
        <v>9.5</v>
      </c>
      <c r="AA23" s="163">
        <v>9.5</v>
      </c>
      <c r="AB23" s="140"/>
      <c r="AC23" s="163">
        <v>4.9800000000000004</v>
      </c>
      <c r="AD23" s="163">
        <v>4.99</v>
      </c>
      <c r="AE23" s="140"/>
      <c r="AF23" s="163">
        <v>10.81</v>
      </c>
      <c r="AG23" s="163">
        <v>11.33</v>
      </c>
      <c r="AH23" s="140"/>
      <c r="AI23" s="163">
        <v>21.43</v>
      </c>
      <c r="AJ23" s="163">
        <v>25.5</v>
      </c>
      <c r="AK23" s="163">
        <v>25.03</v>
      </c>
      <c r="AL23" s="163">
        <v>27.5</v>
      </c>
      <c r="AM23" s="163">
        <v>27.22</v>
      </c>
      <c r="AN23" s="163">
        <v>30.5</v>
      </c>
      <c r="AO23" s="140"/>
      <c r="AP23" s="163">
        <v>8.18</v>
      </c>
      <c r="AQ23" s="163">
        <v>9.33</v>
      </c>
    </row>
    <row r="24" spans="1:43" ht="12.75" customHeight="1" x14ac:dyDescent="0.2">
      <c r="A24" s="138"/>
      <c r="B24" s="161" t="s">
        <v>59</v>
      </c>
      <c r="C24" s="163">
        <v>8.48</v>
      </c>
      <c r="D24" s="163">
        <v>9.33</v>
      </c>
      <c r="E24" s="162">
        <v>9.84</v>
      </c>
      <c r="F24" s="162">
        <v>10.210000000000001</v>
      </c>
      <c r="G24" s="163">
        <v>11.15</v>
      </c>
      <c r="H24" s="163">
        <v>11.83</v>
      </c>
      <c r="I24" s="140"/>
      <c r="J24" s="163">
        <v>9.35</v>
      </c>
      <c r="K24" s="163">
        <v>11.83</v>
      </c>
      <c r="L24" s="140"/>
      <c r="M24" s="163">
        <v>8.1</v>
      </c>
      <c r="N24" s="163">
        <v>9.33</v>
      </c>
      <c r="O24" s="163">
        <v>9.92</v>
      </c>
      <c r="P24" s="163">
        <v>10.210000000000001</v>
      </c>
      <c r="Q24" s="163">
        <v>11</v>
      </c>
      <c r="R24" s="163">
        <v>11.83</v>
      </c>
      <c r="S24" s="140"/>
      <c r="T24" s="163">
        <v>16.77</v>
      </c>
      <c r="U24" s="163">
        <v>17.3</v>
      </c>
      <c r="V24" s="140"/>
      <c r="W24" s="163">
        <v>16.690000000000001</v>
      </c>
      <c r="X24" s="163">
        <v>17.3</v>
      </c>
      <c r="Y24" s="140"/>
      <c r="Z24" s="163">
        <v>9.5</v>
      </c>
      <c r="AA24" s="163">
        <v>9.5</v>
      </c>
      <c r="AB24" s="140"/>
      <c r="AC24" s="163">
        <v>4.9800000000000004</v>
      </c>
      <c r="AD24" s="163">
        <v>4.99</v>
      </c>
      <c r="AE24" s="140"/>
      <c r="AF24" s="163">
        <v>10.86</v>
      </c>
      <c r="AG24" s="163">
        <v>11.33</v>
      </c>
      <c r="AH24" s="140"/>
      <c r="AI24" s="163">
        <v>21.48</v>
      </c>
      <c r="AJ24" s="163">
        <v>25.5</v>
      </c>
      <c r="AK24" s="163">
        <v>25.15</v>
      </c>
      <c r="AL24" s="163">
        <v>27.5</v>
      </c>
      <c r="AM24" s="163">
        <v>27.26</v>
      </c>
      <c r="AN24" s="163">
        <v>30.5</v>
      </c>
      <c r="AO24" s="140"/>
      <c r="AP24" s="163">
        <v>8.19</v>
      </c>
      <c r="AQ24" s="163">
        <v>9.33</v>
      </c>
    </row>
    <row r="25" spans="1:43" ht="12.75" customHeight="1" x14ac:dyDescent="0.2">
      <c r="A25" s="138"/>
      <c r="B25" s="141"/>
      <c r="C25" s="142"/>
      <c r="D25" s="140"/>
      <c r="E25" s="140"/>
      <c r="F25" s="140"/>
      <c r="G25" s="142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2"/>
      <c r="X25" s="140"/>
      <c r="Y25" s="140"/>
      <c r="Z25" s="142"/>
      <c r="AA25" s="140"/>
      <c r="AB25" s="140"/>
      <c r="AC25" s="142"/>
      <c r="AD25" s="140"/>
      <c r="AE25" s="140"/>
      <c r="AF25" s="140"/>
      <c r="AG25" s="140"/>
      <c r="AH25" s="140"/>
      <c r="AI25" s="142"/>
      <c r="AJ25" s="140"/>
      <c r="AK25" s="142"/>
      <c r="AL25" s="140"/>
      <c r="AM25" s="142"/>
      <c r="AN25" s="140"/>
      <c r="AO25" s="140"/>
      <c r="AP25" s="142"/>
      <c r="AQ25" s="140"/>
    </row>
    <row r="26" spans="1:43" ht="13.5" thickBot="1" x14ac:dyDescent="0.25">
      <c r="A26" s="143"/>
      <c r="B26" s="14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</row>
    <row r="27" spans="1:43" x14ac:dyDescent="0.2">
      <c r="A27" s="135"/>
      <c r="B27" s="135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</row>
    <row r="28" spans="1:43" x14ac:dyDescent="0.2">
      <c r="B28" s="145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</row>
    <row r="29" spans="1:43" x14ac:dyDescent="0.2">
      <c r="A29" s="410"/>
      <c r="B29" s="135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</row>
    <row r="30" spans="1:43" x14ac:dyDescent="0.2">
      <c r="A30" s="124" t="s">
        <v>598</v>
      </c>
      <c r="B30" s="135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</row>
    <row r="31" spans="1:43" s="145" customFormat="1" x14ac:dyDescent="0.2">
      <c r="A31" s="135"/>
      <c r="B31" s="135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</row>
    <row r="32" spans="1:43" s="145" customFormat="1" x14ac:dyDescent="0.2">
      <c r="A32" s="135"/>
      <c r="B32" s="135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</row>
    <row r="33" spans="1:43" s="145" customFormat="1" x14ac:dyDescent="0.2">
      <c r="A33" s="135"/>
      <c r="B33" s="135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</row>
    <row r="34" spans="1:43" hidden="1" x14ac:dyDescent="0.2">
      <c r="A34" s="135"/>
      <c r="B34" s="13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</row>
    <row r="35" spans="1:43" x14ac:dyDescent="0.2">
      <c r="A35" s="135"/>
      <c r="B35" s="13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</row>
    <row r="36" spans="1:43" x14ac:dyDescent="0.2">
      <c r="A36" s="135"/>
      <c r="B36" s="13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</row>
    <row r="37" spans="1:43" x14ac:dyDescent="0.2">
      <c r="A37" s="135"/>
      <c r="B37" s="13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</row>
    <row r="38" spans="1:43" x14ac:dyDescent="0.2">
      <c r="A38" s="135"/>
      <c r="B38" s="13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</row>
    <row r="39" spans="1:43" x14ac:dyDescent="0.2">
      <c r="A39" s="135"/>
      <c r="B39" s="13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</row>
    <row r="40" spans="1:43" x14ac:dyDescent="0.2">
      <c r="A40" s="135"/>
      <c r="B40" s="13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</row>
    <row r="41" spans="1:43" x14ac:dyDescent="0.2">
      <c r="A41" s="135"/>
      <c r="B41" s="13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</row>
    <row r="42" spans="1:43" x14ac:dyDescent="0.2">
      <c r="A42" s="135"/>
      <c r="B42" s="13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</row>
    <row r="43" spans="1:43" x14ac:dyDescent="0.2">
      <c r="A43" s="135"/>
      <c r="B43" s="13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</row>
    <row r="44" spans="1:43" x14ac:dyDescent="0.2">
      <c r="A44" s="135"/>
      <c r="B44" s="13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</row>
    <row r="45" spans="1:43" x14ac:dyDescent="0.2">
      <c r="A45" s="135"/>
      <c r="B45" s="13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36"/>
      <c r="AQ45" s="136"/>
    </row>
    <row r="46" spans="1:43" x14ac:dyDescent="0.2">
      <c r="A46" s="135"/>
      <c r="B46" s="13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</row>
    <row r="47" spans="1:43" x14ac:dyDescent="0.2">
      <c r="A47" s="146"/>
      <c r="B47" s="146"/>
    </row>
  </sheetData>
  <mergeCells count="11">
    <mergeCell ref="AP4:AQ4"/>
    <mergeCell ref="A4:B5"/>
    <mergeCell ref="C4:H4"/>
    <mergeCell ref="J4:K4"/>
    <mergeCell ref="M4:R4"/>
    <mergeCell ref="T4:U4"/>
    <mergeCell ref="W4:X4"/>
    <mergeCell ref="Z4:AA4"/>
    <mergeCell ref="AC4:AD4"/>
    <mergeCell ref="AF4:AG4"/>
    <mergeCell ref="AI4:AN4"/>
  </mergeCells>
  <hyperlinks>
    <hyperlink ref="A30" location="'indice cap.1'!A1" display="regresar al índice" xr:uid="{00000000-0004-0000-0900-000000000000}"/>
  </hyperlinks>
  <printOptions horizontalCentered="1" verticalCentered="1" gridLinesSet="0"/>
  <pageMargins left="0" right="0" top="0" bottom="0" header="0" footer="0"/>
  <pageSetup paperSize="9" scale="44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showGridLines="0" workbookViewId="0">
      <selection activeCell="A25" sqref="A25"/>
    </sheetView>
  </sheetViews>
  <sheetFormatPr defaultColWidth="11.42578125" defaultRowHeight="12.75" x14ac:dyDescent="0.2"/>
  <cols>
    <col min="1" max="1" width="19" style="108" customWidth="1"/>
    <col min="2" max="19" width="11.42578125" style="108"/>
    <col min="20" max="21" width="4.5703125" style="108" customWidth="1"/>
    <col min="22" max="22" width="5.7109375" style="108" customWidth="1"/>
    <col min="23" max="16384" width="11.42578125" style="108"/>
  </cols>
  <sheetData>
    <row r="1" spans="1:23" x14ac:dyDescent="0.2">
      <c r="A1" s="493" t="s">
        <v>740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W1" s="166"/>
    </row>
    <row r="2" spans="1:23" x14ac:dyDescent="0.2">
      <c r="A2" s="493" t="s">
        <v>739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W2" s="166"/>
    </row>
    <row r="3" spans="1:23" x14ac:dyDescent="0.2">
      <c r="A3" s="493" t="s">
        <v>62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W3" s="166"/>
    </row>
    <row r="4" spans="1:23" x14ac:dyDescent="0.2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W4" s="110"/>
    </row>
    <row r="5" spans="1:23" x14ac:dyDescent="0.2">
      <c r="A5" s="535" t="s">
        <v>67</v>
      </c>
      <c r="B5" s="533" t="s">
        <v>63</v>
      </c>
      <c r="C5" s="534"/>
      <c r="D5" s="534"/>
      <c r="E5" s="534"/>
      <c r="F5" s="534"/>
      <c r="G5" s="534"/>
      <c r="H5" s="528" t="s">
        <v>64</v>
      </c>
      <c r="I5" s="534"/>
      <c r="J5" s="534"/>
      <c r="K5" s="534"/>
      <c r="L5" s="534"/>
      <c r="M5" s="534"/>
      <c r="N5" s="528" t="s">
        <v>65</v>
      </c>
      <c r="O5" s="528"/>
      <c r="P5" s="528"/>
      <c r="Q5" s="528"/>
      <c r="R5" s="528"/>
      <c r="S5" s="529"/>
      <c r="W5" s="110"/>
    </row>
    <row r="6" spans="1:23" x14ac:dyDescent="0.2">
      <c r="A6" s="506"/>
      <c r="B6" s="532" t="s">
        <v>66</v>
      </c>
      <c r="C6" s="530"/>
      <c r="D6" s="530"/>
      <c r="E6" s="530"/>
      <c r="F6" s="530"/>
      <c r="G6" s="530"/>
      <c r="H6" s="530" t="s">
        <v>66</v>
      </c>
      <c r="I6" s="530"/>
      <c r="J6" s="530"/>
      <c r="K6" s="530"/>
      <c r="L6" s="530"/>
      <c r="M6" s="530"/>
      <c r="N6" s="530" t="s">
        <v>66</v>
      </c>
      <c r="O6" s="530"/>
      <c r="P6" s="530"/>
      <c r="Q6" s="530"/>
      <c r="R6" s="530"/>
      <c r="S6" s="531"/>
      <c r="W6" s="110"/>
    </row>
    <row r="7" spans="1:23" x14ac:dyDescent="0.2">
      <c r="A7" s="506"/>
      <c r="B7" s="168" t="s">
        <v>68</v>
      </c>
      <c r="C7" s="169" t="s">
        <v>69</v>
      </c>
      <c r="D7" s="169" t="s">
        <v>70</v>
      </c>
      <c r="E7" s="169" t="s">
        <v>71</v>
      </c>
      <c r="F7" s="169" t="s">
        <v>72</v>
      </c>
      <c r="G7" s="169" t="s">
        <v>73</v>
      </c>
      <c r="H7" s="169" t="s">
        <v>74</v>
      </c>
      <c r="I7" s="169" t="s">
        <v>69</v>
      </c>
      <c r="J7" s="169" t="s">
        <v>70</v>
      </c>
      <c r="K7" s="169" t="s">
        <v>71</v>
      </c>
      <c r="L7" s="169" t="s">
        <v>72</v>
      </c>
      <c r="M7" s="169" t="s">
        <v>73</v>
      </c>
      <c r="N7" s="169" t="s">
        <v>74</v>
      </c>
      <c r="O7" s="169" t="s">
        <v>69</v>
      </c>
      <c r="P7" s="169" t="s">
        <v>70</v>
      </c>
      <c r="Q7" s="169" t="s">
        <v>75</v>
      </c>
      <c r="R7" s="169" t="s">
        <v>76</v>
      </c>
      <c r="S7" s="170" t="s">
        <v>73</v>
      </c>
      <c r="W7" s="109"/>
    </row>
    <row r="8" spans="1:23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</row>
    <row r="9" spans="1:23" s="174" customFormat="1" ht="15" customHeight="1" x14ac:dyDescent="0.2">
      <c r="A9" s="171">
        <v>1995</v>
      </c>
      <c r="B9" s="172">
        <v>15.18</v>
      </c>
      <c r="C9" s="172">
        <v>18.920000000000002</v>
      </c>
      <c r="D9" s="172">
        <v>17.489999999999998</v>
      </c>
      <c r="E9" s="172">
        <v>19.02</v>
      </c>
      <c r="F9" s="172">
        <v>13.29</v>
      </c>
      <c r="G9" s="173">
        <v>17.82</v>
      </c>
      <c r="H9" s="172" t="s">
        <v>10</v>
      </c>
      <c r="I9" s="172" t="s">
        <v>10</v>
      </c>
      <c r="J9" s="172" t="s">
        <v>10</v>
      </c>
      <c r="K9" s="172" t="s">
        <v>10</v>
      </c>
      <c r="L9" s="172" t="s">
        <v>10</v>
      </c>
      <c r="M9" s="173" t="s">
        <v>10</v>
      </c>
      <c r="N9" s="172" t="s">
        <v>10</v>
      </c>
      <c r="O9" s="172" t="s">
        <v>10</v>
      </c>
      <c r="P9" s="172" t="s">
        <v>10</v>
      </c>
      <c r="Q9" s="172" t="s">
        <v>10</v>
      </c>
      <c r="R9" s="172" t="s">
        <v>10</v>
      </c>
      <c r="S9" s="172" t="s">
        <v>10</v>
      </c>
    </row>
    <row r="10" spans="1:23" s="174" customFormat="1" ht="15" customHeight="1" x14ac:dyDescent="0.2">
      <c r="A10" s="171">
        <v>1996</v>
      </c>
      <c r="B10" s="172">
        <v>18.91</v>
      </c>
      <c r="C10" s="172">
        <v>16.57</v>
      </c>
      <c r="D10" s="172">
        <v>15.35</v>
      </c>
      <c r="E10" s="172">
        <v>15.33</v>
      </c>
      <c r="F10" s="172">
        <v>16.23</v>
      </c>
      <c r="G10" s="173">
        <v>14.47</v>
      </c>
      <c r="H10" s="172">
        <v>20.45</v>
      </c>
      <c r="I10" s="172">
        <v>15.66</v>
      </c>
      <c r="J10" s="172">
        <v>20.75</v>
      </c>
      <c r="K10" s="172">
        <v>22.4</v>
      </c>
      <c r="L10" s="172">
        <v>18.96</v>
      </c>
      <c r="M10" s="173">
        <v>16.78</v>
      </c>
      <c r="N10" s="172" t="s">
        <v>10</v>
      </c>
      <c r="O10" s="172">
        <v>10.91</v>
      </c>
      <c r="P10" s="172">
        <v>17.14</v>
      </c>
      <c r="Q10" s="172" t="s">
        <v>10</v>
      </c>
      <c r="R10" s="172">
        <v>16.239999999999998</v>
      </c>
      <c r="S10" s="172">
        <v>16.25</v>
      </c>
      <c r="W10" s="175"/>
    </row>
    <row r="11" spans="1:23" s="174" customFormat="1" ht="15" customHeight="1" x14ac:dyDescent="0.2">
      <c r="A11" s="171">
        <v>1997</v>
      </c>
      <c r="B11" s="172">
        <v>9.51</v>
      </c>
      <c r="C11" s="172">
        <v>12.76</v>
      </c>
      <c r="D11" s="172">
        <v>13.33</v>
      </c>
      <c r="E11" s="172">
        <v>13.33</v>
      </c>
      <c r="F11" s="172">
        <v>10.56</v>
      </c>
      <c r="G11" s="173">
        <v>13.57</v>
      </c>
      <c r="H11" s="172">
        <v>16.940000000000001</v>
      </c>
      <c r="I11" s="172">
        <v>17.05</v>
      </c>
      <c r="J11" s="172">
        <v>18.03</v>
      </c>
      <c r="K11" s="172">
        <v>17.239999999999998</v>
      </c>
      <c r="L11" s="172">
        <v>16.03</v>
      </c>
      <c r="M11" s="173">
        <v>17.170000000000002</v>
      </c>
      <c r="N11" s="172" t="s">
        <v>10</v>
      </c>
      <c r="O11" s="172">
        <v>15.01</v>
      </c>
      <c r="P11" s="172">
        <v>18</v>
      </c>
      <c r="Q11" s="172">
        <v>12.99</v>
      </c>
      <c r="R11" s="172">
        <v>15</v>
      </c>
      <c r="S11" s="172">
        <v>14.47</v>
      </c>
      <c r="W11" s="175"/>
    </row>
    <row r="12" spans="1:23" s="174" customFormat="1" ht="15" customHeight="1" x14ac:dyDescent="0.2">
      <c r="A12" s="171">
        <v>1998</v>
      </c>
      <c r="B12" s="172">
        <v>11.18</v>
      </c>
      <c r="C12" s="172">
        <v>16.38</v>
      </c>
      <c r="D12" s="172">
        <v>16.13</v>
      </c>
      <c r="E12" s="172">
        <v>16.77</v>
      </c>
      <c r="F12" s="172">
        <v>16.149999999999999</v>
      </c>
      <c r="G12" s="173">
        <v>11.59</v>
      </c>
      <c r="H12" s="172">
        <v>19.809999999999999</v>
      </c>
      <c r="I12" s="172">
        <v>19.420000000000002</v>
      </c>
      <c r="J12" s="172">
        <v>16.559999999999999</v>
      </c>
      <c r="K12" s="172">
        <v>18.55</v>
      </c>
      <c r="L12" s="172">
        <v>16.420000000000002</v>
      </c>
      <c r="M12" s="173">
        <v>19.98</v>
      </c>
      <c r="N12" s="172" t="s">
        <v>10</v>
      </c>
      <c r="O12" s="172">
        <v>18</v>
      </c>
      <c r="P12" s="172">
        <v>21.72</v>
      </c>
      <c r="Q12" s="172">
        <v>21.99</v>
      </c>
      <c r="R12" s="172">
        <v>21.04</v>
      </c>
      <c r="S12" s="172">
        <v>17.61</v>
      </c>
      <c r="W12" s="175"/>
    </row>
    <row r="13" spans="1:23" s="174" customFormat="1" ht="15" customHeight="1" x14ac:dyDescent="0.2">
      <c r="A13" s="171">
        <v>1999</v>
      </c>
      <c r="B13" s="172">
        <v>21.49</v>
      </c>
      <c r="C13" s="172">
        <v>15.79</v>
      </c>
      <c r="D13" s="172">
        <v>16.98</v>
      </c>
      <c r="E13" s="172">
        <v>15.5</v>
      </c>
      <c r="F13" s="172">
        <v>13.69</v>
      </c>
      <c r="G13" s="173">
        <v>13.09</v>
      </c>
      <c r="H13" s="172">
        <v>18.86</v>
      </c>
      <c r="I13" s="172">
        <v>16.14</v>
      </c>
      <c r="J13" s="172">
        <v>17.68</v>
      </c>
      <c r="K13" s="172">
        <v>17.71</v>
      </c>
      <c r="L13" s="172">
        <v>17.41</v>
      </c>
      <c r="M13" s="173">
        <v>17.91</v>
      </c>
      <c r="N13" s="172" t="s">
        <v>10</v>
      </c>
      <c r="O13" s="172">
        <v>18</v>
      </c>
      <c r="P13" s="172" t="s">
        <v>10</v>
      </c>
      <c r="Q13" s="172">
        <v>18</v>
      </c>
      <c r="R13" s="172">
        <v>17.88</v>
      </c>
      <c r="S13" s="172">
        <v>17.239999999999998</v>
      </c>
      <c r="W13" s="175"/>
    </row>
    <row r="14" spans="1:23" s="174" customFormat="1" ht="15" customHeight="1" x14ac:dyDescent="0.2">
      <c r="A14" s="171">
        <v>2000</v>
      </c>
      <c r="B14" s="172">
        <v>17.93</v>
      </c>
      <c r="C14" s="172">
        <v>15.99</v>
      </c>
      <c r="D14" s="172">
        <v>16.02</v>
      </c>
      <c r="E14" s="172">
        <v>15.96</v>
      </c>
      <c r="F14" s="172">
        <v>16.760000000000002</v>
      </c>
      <c r="G14" s="173">
        <v>16.260000000000002</v>
      </c>
      <c r="H14" s="172">
        <v>15.89</v>
      </c>
      <c r="I14" s="172">
        <v>20.74</v>
      </c>
      <c r="J14" s="172">
        <v>18.29</v>
      </c>
      <c r="K14" s="172">
        <v>18.16</v>
      </c>
      <c r="L14" s="172">
        <v>14.18</v>
      </c>
      <c r="M14" s="173">
        <v>17.43</v>
      </c>
      <c r="N14" s="172">
        <v>16.8</v>
      </c>
      <c r="O14" s="172">
        <v>17.89</v>
      </c>
      <c r="P14" s="172">
        <v>18.04</v>
      </c>
      <c r="Q14" s="172">
        <v>17.559999999999999</v>
      </c>
      <c r="R14" s="172">
        <v>17.62</v>
      </c>
      <c r="S14" s="172">
        <v>17.510000000000002</v>
      </c>
      <c r="W14" s="175"/>
    </row>
    <row r="15" spans="1:23" s="174" customFormat="1" ht="15" customHeight="1" x14ac:dyDescent="0.2">
      <c r="A15" s="171">
        <v>2001</v>
      </c>
      <c r="B15" s="172">
        <v>8.52</v>
      </c>
      <c r="C15" s="172">
        <v>17.920000000000002</v>
      </c>
      <c r="D15" s="172">
        <v>16.149999999999999</v>
      </c>
      <c r="E15" s="172">
        <v>14.88</v>
      </c>
      <c r="F15" s="172">
        <v>16.97</v>
      </c>
      <c r="G15" s="173">
        <v>16.600000000000001</v>
      </c>
      <c r="H15" s="172">
        <v>20.059999999999999</v>
      </c>
      <c r="I15" s="172">
        <v>16.96</v>
      </c>
      <c r="J15" s="172">
        <v>20.22</v>
      </c>
      <c r="K15" s="172">
        <v>19.329999999999998</v>
      </c>
      <c r="L15" s="172">
        <v>18.989999999999998</v>
      </c>
      <c r="M15" s="173">
        <v>19.93</v>
      </c>
      <c r="N15" s="172" t="s">
        <v>10</v>
      </c>
      <c r="O15" s="172">
        <v>19.559999999999999</v>
      </c>
      <c r="P15" s="172">
        <v>18.22</v>
      </c>
      <c r="Q15" s="172" t="s">
        <v>10</v>
      </c>
      <c r="R15" s="172">
        <v>16.16</v>
      </c>
      <c r="S15" s="172">
        <v>18.190000000000001</v>
      </c>
      <c r="W15" s="175"/>
    </row>
    <row r="16" spans="1:23" s="174" customFormat="1" ht="15" customHeight="1" x14ac:dyDescent="0.2">
      <c r="A16" s="171">
        <v>2002</v>
      </c>
      <c r="B16" s="172">
        <v>11.48</v>
      </c>
      <c r="C16" s="172">
        <v>15.34</v>
      </c>
      <c r="D16" s="172">
        <v>15.42</v>
      </c>
      <c r="E16" s="172">
        <v>14.96</v>
      </c>
      <c r="F16" s="172">
        <v>16.57</v>
      </c>
      <c r="G16" s="173">
        <v>15.67</v>
      </c>
      <c r="H16" s="172">
        <v>19.77</v>
      </c>
      <c r="I16" s="172">
        <v>20.12</v>
      </c>
      <c r="J16" s="172">
        <v>20.239999999999998</v>
      </c>
      <c r="K16" s="172">
        <v>19.54</v>
      </c>
      <c r="L16" s="172">
        <v>20.149999999999999</v>
      </c>
      <c r="M16" s="173">
        <v>16.079999999999998</v>
      </c>
      <c r="N16" s="172" t="s">
        <v>10</v>
      </c>
      <c r="O16" s="172">
        <v>0</v>
      </c>
      <c r="P16" s="172">
        <v>21.45</v>
      </c>
      <c r="Q16" s="172" t="s">
        <v>10</v>
      </c>
      <c r="R16" s="172">
        <v>20.21</v>
      </c>
      <c r="S16" s="172">
        <v>18.03</v>
      </c>
      <c r="W16" s="175"/>
    </row>
    <row r="17" spans="1:23" s="174" customFormat="1" ht="15" customHeight="1" x14ac:dyDescent="0.2">
      <c r="A17" s="171">
        <v>2003</v>
      </c>
      <c r="B17" s="176">
        <v>11.51</v>
      </c>
      <c r="C17" s="176">
        <v>14.63</v>
      </c>
      <c r="D17" s="176">
        <v>13.47</v>
      </c>
      <c r="E17" s="176">
        <v>13.84</v>
      </c>
      <c r="F17" s="176">
        <v>14.56</v>
      </c>
      <c r="G17" s="177">
        <v>14.05</v>
      </c>
      <c r="H17" s="176">
        <v>17.34</v>
      </c>
      <c r="I17" s="176">
        <v>16.920000000000002</v>
      </c>
      <c r="J17" s="176">
        <v>16.440000000000001</v>
      </c>
      <c r="K17" s="176">
        <v>16.98</v>
      </c>
      <c r="L17" s="176">
        <v>16.12</v>
      </c>
      <c r="M17" s="177">
        <v>16.88</v>
      </c>
      <c r="N17" s="178">
        <v>17.66</v>
      </c>
      <c r="O17" s="176">
        <v>16.440000000000001</v>
      </c>
      <c r="P17" s="176">
        <v>17.32</v>
      </c>
      <c r="Q17" s="178" t="s">
        <v>10</v>
      </c>
      <c r="R17" s="176">
        <v>17.16</v>
      </c>
      <c r="S17" s="176">
        <v>17.149999999999999</v>
      </c>
      <c r="W17" s="175"/>
    </row>
    <row r="18" spans="1:23" s="174" customFormat="1" ht="15" customHeight="1" x14ac:dyDescent="0.2">
      <c r="A18" s="171">
        <v>2004</v>
      </c>
      <c r="B18" s="176">
        <v>8.0399999999999991</v>
      </c>
      <c r="C18" s="176">
        <v>11.66</v>
      </c>
      <c r="D18" s="176">
        <v>9.77</v>
      </c>
      <c r="E18" s="176">
        <v>9.01</v>
      </c>
      <c r="F18" s="176">
        <v>11.89</v>
      </c>
      <c r="G18" s="177">
        <v>11.96</v>
      </c>
      <c r="H18" s="176">
        <v>14.62</v>
      </c>
      <c r="I18" s="176">
        <v>14.65</v>
      </c>
      <c r="J18" s="176">
        <v>14.57</v>
      </c>
      <c r="K18" s="176">
        <v>14.62</v>
      </c>
      <c r="L18" s="176">
        <v>14.63</v>
      </c>
      <c r="M18" s="177">
        <v>14.5</v>
      </c>
      <c r="N18" s="179" t="s">
        <v>10</v>
      </c>
      <c r="O18" s="180">
        <v>14.65</v>
      </c>
      <c r="P18" s="180">
        <v>14.65</v>
      </c>
      <c r="Q18" s="180" t="s">
        <v>10</v>
      </c>
      <c r="R18" s="180">
        <v>14.51</v>
      </c>
      <c r="S18" s="180">
        <v>13.41</v>
      </c>
      <c r="W18" s="175"/>
    </row>
    <row r="19" spans="1:23" s="174" customFormat="1" ht="15" customHeight="1" x14ac:dyDescent="0.2">
      <c r="A19" s="171">
        <v>2005</v>
      </c>
      <c r="B19" s="176">
        <v>6.73</v>
      </c>
      <c r="C19" s="176">
        <v>9.86</v>
      </c>
      <c r="D19" s="176">
        <v>10.38</v>
      </c>
      <c r="E19" s="176">
        <v>10.16</v>
      </c>
      <c r="F19" s="176">
        <v>10.27</v>
      </c>
      <c r="G19" s="177">
        <v>10.8</v>
      </c>
      <c r="H19" s="176">
        <v>13.39</v>
      </c>
      <c r="I19" s="176">
        <v>13.04</v>
      </c>
      <c r="J19" s="176">
        <v>13.39</v>
      </c>
      <c r="K19" s="176">
        <v>13.35</v>
      </c>
      <c r="L19" s="176">
        <v>13.21</v>
      </c>
      <c r="M19" s="181">
        <v>13.03</v>
      </c>
      <c r="N19" s="178" t="s">
        <v>10</v>
      </c>
      <c r="O19" s="178">
        <v>12</v>
      </c>
      <c r="P19" s="178">
        <v>13.43</v>
      </c>
      <c r="Q19" s="178">
        <v>12.05</v>
      </c>
      <c r="R19" s="176">
        <v>12.07</v>
      </c>
      <c r="S19" s="176">
        <v>12.2</v>
      </c>
      <c r="W19" s="175"/>
    </row>
    <row r="20" spans="1:23" s="174" customFormat="1" ht="15" customHeight="1" x14ac:dyDescent="0.2">
      <c r="A20" s="171">
        <v>2006</v>
      </c>
      <c r="B20" s="176">
        <v>7.41</v>
      </c>
      <c r="C20" s="176">
        <v>10.210000000000001</v>
      </c>
      <c r="D20" s="176">
        <v>10.24</v>
      </c>
      <c r="E20" s="176">
        <v>9.9700000000000006</v>
      </c>
      <c r="F20" s="176">
        <v>9.89</v>
      </c>
      <c r="G20" s="177">
        <v>10.63</v>
      </c>
      <c r="H20" s="176">
        <v>13.75</v>
      </c>
      <c r="I20" s="176">
        <v>13.78</v>
      </c>
      <c r="J20" s="176">
        <v>13.78</v>
      </c>
      <c r="K20" s="178">
        <v>13.73</v>
      </c>
      <c r="L20" s="178">
        <v>13.8</v>
      </c>
      <c r="M20" s="181">
        <v>13.3</v>
      </c>
      <c r="N20" s="178" t="s">
        <v>10</v>
      </c>
      <c r="O20" s="179" t="s">
        <v>10</v>
      </c>
      <c r="P20" s="178">
        <v>13.83</v>
      </c>
      <c r="Q20" s="179" t="s">
        <v>10</v>
      </c>
      <c r="R20" s="178">
        <v>13.29</v>
      </c>
      <c r="S20" s="176">
        <v>11.87</v>
      </c>
      <c r="W20" s="175"/>
    </row>
    <row r="21" spans="1:23" s="174" customFormat="1" x14ac:dyDescent="0.2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W21" s="175"/>
    </row>
    <row r="22" spans="1:23" s="174" customFormat="1" x14ac:dyDescent="0.2"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W22" s="175"/>
    </row>
    <row r="23" spans="1:23" s="174" customFormat="1" x14ac:dyDescent="0.2"/>
    <row r="24" spans="1:23" s="174" customFormat="1" x14ac:dyDescent="0.2">
      <c r="A24" s="410"/>
      <c r="W24" s="175"/>
    </row>
    <row r="25" spans="1:23" s="174" customFormat="1" x14ac:dyDescent="0.2">
      <c r="A25" s="124" t="s">
        <v>598</v>
      </c>
    </row>
    <row r="26" spans="1:23" s="174" customFormat="1" x14ac:dyDescent="0.2">
      <c r="W26" s="175"/>
    </row>
    <row r="27" spans="1:23" s="174" customFormat="1" x14ac:dyDescent="0.2">
      <c r="W27" s="175"/>
    </row>
    <row r="28" spans="1:23" s="174" customFormat="1" x14ac:dyDescent="0.2">
      <c r="W28" s="175"/>
    </row>
    <row r="29" spans="1:23" s="174" customFormat="1" x14ac:dyDescent="0.2">
      <c r="W29" s="175"/>
    </row>
    <row r="30" spans="1:23" s="174" customFormat="1" x14ac:dyDescent="0.2">
      <c r="W30" s="175"/>
    </row>
    <row r="31" spans="1:23" s="174" customFormat="1" x14ac:dyDescent="0.2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W31" s="175"/>
    </row>
    <row r="32" spans="1:23" s="174" customFormat="1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W32" s="175"/>
    </row>
    <row r="33" spans="1:23" s="174" customFormat="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W33" s="175"/>
    </row>
    <row r="34" spans="1:23" s="174" customFormat="1" x14ac:dyDescent="0.2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W34" s="175"/>
    </row>
    <row r="35" spans="1:23" s="174" customFormat="1" x14ac:dyDescent="0.2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W35" s="175"/>
    </row>
    <row r="36" spans="1:23" s="174" customFormat="1" x14ac:dyDescent="0.2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</row>
    <row r="37" spans="1:23" s="174" customFormat="1" x14ac:dyDescent="0.2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W37" s="175"/>
    </row>
    <row r="38" spans="1:23" s="174" customFormat="1" x14ac:dyDescent="0.2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</row>
    <row r="39" spans="1:23" s="174" customFormat="1" x14ac:dyDescent="0.2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W39" s="175"/>
    </row>
    <row r="40" spans="1:23" s="174" customFormat="1" x14ac:dyDescent="0.2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W40" s="175"/>
    </row>
    <row r="41" spans="1:23" s="174" customFormat="1" x14ac:dyDescent="0.2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W41" s="175"/>
    </row>
    <row r="42" spans="1:23" s="174" customFormat="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W42" s="175"/>
    </row>
    <row r="43" spans="1:23" s="174" customFormat="1" x14ac:dyDescent="0.2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W43" s="175"/>
    </row>
    <row r="44" spans="1:23" s="174" customFormat="1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W44" s="175"/>
    </row>
    <row r="45" spans="1:23" s="174" customFormat="1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W45" s="175"/>
    </row>
    <row r="46" spans="1:23" s="174" customFormat="1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W46" s="175"/>
    </row>
    <row r="47" spans="1:23" s="174" customFormat="1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W47" s="175"/>
    </row>
    <row r="48" spans="1:23" s="174" customFormat="1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W48" s="175"/>
    </row>
    <row r="49" spans="1:23" s="174" customFormat="1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</row>
    <row r="50" spans="1:23" s="174" customFormat="1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</row>
    <row r="51" spans="1:23" s="174" customFormat="1" x14ac:dyDescent="0.2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</row>
    <row r="52" spans="1:23" s="174" customFormat="1" x14ac:dyDescent="0.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W52" s="175"/>
    </row>
    <row r="53" spans="1:23" s="174" customFormat="1" x14ac:dyDescent="0.2">
      <c r="A53" s="108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W53" s="175"/>
    </row>
    <row r="54" spans="1:23" s="174" customFormat="1" x14ac:dyDescent="0.2">
      <c r="A54" s="108"/>
      <c r="B54" s="108"/>
      <c r="C54" s="183"/>
      <c r="D54" s="108"/>
      <c r="E54" s="108"/>
      <c r="F54" s="183"/>
      <c r="G54" s="183"/>
      <c r="H54" s="183"/>
      <c r="I54" s="183"/>
      <c r="J54" s="183"/>
      <c r="K54" s="183"/>
      <c r="L54" s="108"/>
      <c r="M54" s="108"/>
      <c r="N54" s="108"/>
      <c r="O54" s="108"/>
      <c r="P54" s="108"/>
      <c r="Q54" s="108"/>
      <c r="R54" s="108"/>
      <c r="S54" s="108"/>
      <c r="W54" s="175"/>
    </row>
    <row r="55" spans="1:23" s="174" customFormat="1" x14ac:dyDescent="0.2">
      <c r="A55" s="108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W55" s="175"/>
    </row>
    <row r="56" spans="1:23" s="174" customFormat="1" x14ac:dyDescent="0.2">
      <c r="A56" s="108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W56" s="175"/>
    </row>
    <row r="57" spans="1:23" s="174" customFormat="1" x14ac:dyDescent="0.2">
      <c r="A57" s="108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W57" s="175"/>
    </row>
    <row r="58" spans="1:23" s="174" customFormat="1" x14ac:dyDescent="0.2">
      <c r="A58" s="108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W58" s="175"/>
    </row>
    <row r="59" spans="1:23" s="174" customFormat="1" x14ac:dyDescent="0.2">
      <c r="A59" s="108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W59" s="175"/>
    </row>
    <row r="60" spans="1:23" s="174" customFormat="1" x14ac:dyDescent="0.2">
      <c r="A60" s="108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W60" s="175"/>
    </row>
    <row r="61" spans="1:23" s="174" customFormat="1" x14ac:dyDescent="0.2">
      <c r="A61" s="108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W61" s="175"/>
    </row>
    <row r="62" spans="1:23" s="174" customFormat="1" x14ac:dyDescent="0.2">
      <c r="A62" s="108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</row>
    <row r="63" spans="1:23" s="174" customFormat="1" x14ac:dyDescent="0.2">
      <c r="A63" s="108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</row>
    <row r="64" spans="1:23" s="174" customFormat="1" x14ac:dyDescent="0.2">
      <c r="A64" s="108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75"/>
      <c r="W64" s="182"/>
    </row>
    <row r="65" spans="1:19" s="174" customFormat="1" x14ac:dyDescent="0.2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</row>
    <row r="66" spans="1:19" s="174" customFormat="1" x14ac:dyDescent="0.2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</row>
    <row r="67" spans="1:19" s="174" customFormat="1" x14ac:dyDescent="0.2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</row>
    <row r="68" spans="1:19" s="174" customFormat="1" x14ac:dyDescent="0.2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</row>
    <row r="69" spans="1:19" s="174" customFormat="1" x14ac:dyDescent="0.2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</row>
    <row r="70" spans="1:19" s="174" customFormat="1" x14ac:dyDescent="0.2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</row>
    <row r="71" spans="1:19" s="174" customFormat="1" x14ac:dyDescent="0.2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</row>
    <row r="72" spans="1:19" s="174" customFormat="1" x14ac:dyDescent="0.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</row>
    <row r="73" spans="1:19" s="174" customFormat="1" x14ac:dyDescent="0.2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</row>
    <row r="74" spans="1:19" s="174" customFormat="1" x14ac:dyDescent="0.2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</row>
  </sheetData>
  <mergeCells count="10">
    <mergeCell ref="A1:S1"/>
    <mergeCell ref="A2:S2"/>
    <mergeCell ref="A3:S3"/>
    <mergeCell ref="N5:S5"/>
    <mergeCell ref="N6:S6"/>
    <mergeCell ref="B6:G6"/>
    <mergeCell ref="B5:G5"/>
    <mergeCell ref="A5:A7"/>
    <mergeCell ref="H6:M6"/>
    <mergeCell ref="H5:M5"/>
  </mergeCells>
  <hyperlinks>
    <hyperlink ref="A25" location="'indice cap.1'!A1" display="regresar al índice" xr:uid="{00000000-0004-0000-0A00-000000000000}"/>
  </hyperlinks>
  <pageMargins left="0" right="0" top="0.59055118110236227" bottom="0.74803149606299213" header="0.31496062992125984" footer="0.31496062992125984"/>
  <pageSetup paperSize="9" scale="63" orientation="landscape" verticalDpi="599" r:id="rId1"/>
  <ignoredErrors>
    <ignoredError sqref="H7 N7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62"/>
  <sheetViews>
    <sheetView showGridLines="0" workbookViewId="0">
      <selection sqref="A1:V1"/>
    </sheetView>
  </sheetViews>
  <sheetFormatPr defaultColWidth="11.42578125" defaultRowHeight="12.75" x14ac:dyDescent="0.2"/>
  <cols>
    <col min="1" max="1" width="19.7109375" style="108" customWidth="1"/>
    <col min="2" max="8" width="11.42578125" style="108"/>
    <col min="9" max="9" width="13.85546875" style="108" customWidth="1"/>
    <col min="10" max="15" width="11.42578125" style="108"/>
    <col min="16" max="16" width="16.85546875" style="108" customWidth="1"/>
    <col min="17" max="21" width="11.42578125" style="108"/>
    <col min="22" max="22" width="13" style="108" customWidth="1"/>
    <col min="23" max="23" width="8.140625" style="108" customWidth="1"/>
    <col min="24" max="24" width="6" style="108" customWidth="1"/>
    <col min="25" max="16384" width="11.42578125" style="108"/>
  </cols>
  <sheetData>
    <row r="1" spans="1:22" ht="15" x14ac:dyDescent="0.25">
      <c r="A1" s="493" t="s">
        <v>741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</row>
    <row r="2" spans="1:22" ht="15" x14ac:dyDescent="0.25">
      <c r="A2" s="493" t="s">
        <v>739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</row>
    <row r="3" spans="1:22" ht="15" x14ac:dyDescent="0.25">
      <c r="A3" s="493" t="s">
        <v>62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</row>
    <row r="4" spans="1:22" x14ac:dyDescent="0.2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</row>
    <row r="5" spans="1:22" ht="15" x14ac:dyDescent="0.2">
      <c r="A5" s="541" t="s">
        <v>79</v>
      </c>
      <c r="B5" s="503" t="s">
        <v>63</v>
      </c>
      <c r="C5" s="539"/>
      <c r="D5" s="539"/>
      <c r="E5" s="539"/>
      <c r="F5" s="539"/>
      <c r="G5" s="539"/>
      <c r="H5" s="539"/>
      <c r="I5" s="511"/>
      <c r="J5" s="503" t="s">
        <v>64</v>
      </c>
      <c r="K5" s="539"/>
      <c r="L5" s="539"/>
      <c r="M5" s="539"/>
      <c r="N5" s="539"/>
      <c r="O5" s="539"/>
      <c r="P5" s="511"/>
      <c r="Q5" s="503" t="s">
        <v>65</v>
      </c>
      <c r="R5" s="540"/>
      <c r="S5" s="540"/>
      <c r="T5" s="540"/>
      <c r="U5" s="540"/>
      <c r="V5" s="540"/>
    </row>
    <row r="6" spans="1:22" s="186" customFormat="1" ht="38.25" customHeight="1" x14ac:dyDescent="0.25">
      <c r="A6" s="542"/>
      <c r="B6" s="536" t="s">
        <v>742</v>
      </c>
      <c r="C6" s="187" t="s">
        <v>743</v>
      </c>
      <c r="D6" s="536" t="s">
        <v>78</v>
      </c>
      <c r="E6" s="537"/>
      <c r="F6" s="537"/>
      <c r="G6" s="537"/>
      <c r="H6" s="537"/>
      <c r="I6" s="187" t="s">
        <v>744</v>
      </c>
      <c r="J6" s="187" t="s">
        <v>743</v>
      </c>
      <c r="K6" s="536" t="s">
        <v>78</v>
      </c>
      <c r="L6" s="543"/>
      <c r="M6" s="543"/>
      <c r="N6" s="543"/>
      <c r="O6" s="543"/>
      <c r="P6" s="187" t="s">
        <v>744</v>
      </c>
      <c r="Q6" s="187" t="s">
        <v>742</v>
      </c>
      <c r="R6" s="536" t="s">
        <v>78</v>
      </c>
      <c r="S6" s="543"/>
      <c r="T6" s="543"/>
      <c r="U6" s="543"/>
      <c r="V6" s="544"/>
    </row>
    <row r="7" spans="1:22" ht="12.75" customHeight="1" x14ac:dyDescent="0.2">
      <c r="A7" s="542"/>
      <c r="B7" s="545"/>
      <c r="C7" s="169" t="s">
        <v>80</v>
      </c>
      <c r="D7" s="169" t="s">
        <v>81</v>
      </c>
      <c r="E7" s="169" t="s">
        <v>82</v>
      </c>
      <c r="F7" s="169" t="s">
        <v>83</v>
      </c>
      <c r="G7" s="169" t="s">
        <v>76</v>
      </c>
      <c r="H7" s="169" t="s">
        <v>84</v>
      </c>
      <c r="I7" s="169" t="s">
        <v>85</v>
      </c>
      <c r="J7" s="169" t="s">
        <v>74</v>
      </c>
      <c r="K7" s="169" t="s">
        <v>69</v>
      </c>
      <c r="L7" s="169" t="s">
        <v>70</v>
      </c>
      <c r="M7" s="169" t="s">
        <v>71</v>
      </c>
      <c r="N7" s="169" t="s">
        <v>72</v>
      </c>
      <c r="O7" s="169" t="s">
        <v>73</v>
      </c>
      <c r="P7" s="169" t="s">
        <v>74</v>
      </c>
      <c r="Q7" s="169"/>
      <c r="R7" s="169" t="s">
        <v>81</v>
      </c>
      <c r="S7" s="169" t="s">
        <v>82</v>
      </c>
      <c r="T7" s="169" t="s">
        <v>83</v>
      </c>
      <c r="U7" s="169" t="s">
        <v>76</v>
      </c>
      <c r="V7" s="170" t="s">
        <v>84</v>
      </c>
    </row>
    <row r="8" spans="1:22" s="174" customFormat="1" x14ac:dyDescent="0.2"/>
    <row r="9" spans="1:22" s="174" customFormat="1" ht="15" customHeight="1" x14ac:dyDescent="0.2">
      <c r="A9" s="171">
        <v>1995</v>
      </c>
      <c r="B9" s="172">
        <v>7.39</v>
      </c>
      <c r="C9" s="172">
        <v>15.52</v>
      </c>
      <c r="D9" s="172">
        <v>13.83</v>
      </c>
      <c r="E9" s="172">
        <v>13.98</v>
      </c>
      <c r="F9" s="172">
        <v>12.01</v>
      </c>
      <c r="G9" s="172">
        <v>10.37</v>
      </c>
      <c r="H9" s="172">
        <v>11.41</v>
      </c>
      <c r="I9" s="172">
        <v>9.91</v>
      </c>
      <c r="J9" s="172" t="s">
        <v>10</v>
      </c>
      <c r="K9" s="172" t="s">
        <v>10</v>
      </c>
      <c r="L9" s="172" t="s">
        <v>10</v>
      </c>
      <c r="M9" s="172" t="s">
        <v>10</v>
      </c>
      <c r="N9" s="172" t="s">
        <v>10</v>
      </c>
      <c r="O9" s="172" t="s">
        <v>10</v>
      </c>
      <c r="P9" s="172" t="s">
        <v>10</v>
      </c>
      <c r="Q9" s="172" t="s">
        <v>10</v>
      </c>
      <c r="R9" s="172" t="s">
        <v>10</v>
      </c>
      <c r="S9" s="172" t="s">
        <v>10</v>
      </c>
      <c r="T9" s="172" t="s">
        <v>10</v>
      </c>
      <c r="U9" s="172" t="s">
        <v>10</v>
      </c>
      <c r="V9" s="172" t="s">
        <v>10</v>
      </c>
    </row>
    <row r="10" spans="1:22" s="174" customFormat="1" ht="15" customHeight="1" x14ac:dyDescent="0.2">
      <c r="A10" s="171">
        <v>1996</v>
      </c>
      <c r="B10" s="172">
        <v>6</v>
      </c>
      <c r="C10" s="172">
        <v>12.22</v>
      </c>
      <c r="D10" s="172">
        <v>9.56</v>
      </c>
      <c r="E10" s="172">
        <v>10.84</v>
      </c>
      <c r="F10" s="172">
        <v>10.27</v>
      </c>
      <c r="G10" s="172">
        <v>10.92</v>
      </c>
      <c r="H10" s="172">
        <v>11.8</v>
      </c>
      <c r="I10" s="172">
        <v>9.09</v>
      </c>
      <c r="J10" s="172">
        <v>11.89</v>
      </c>
      <c r="K10" s="172">
        <v>10.46</v>
      </c>
      <c r="L10" s="172">
        <v>11.35</v>
      </c>
      <c r="M10" s="172">
        <v>11.69</v>
      </c>
      <c r="N10" s="172">
        <v>14.93</v>
      </c>
      <c r="O10" s="172">
        <v>9.24</v>
      </c>
      <c r="P10" s="172">
        <v>11.74</v>
      </c>
      <c r="Q10" s="172">
        <v>3.39</v>
      </c>
      <c r="R10" s="172">
        <v>4.92</v>
      </c>
      <c r="S10" s="172">
        <v>5.64</v>
      </c>
      <c r="T10" s="172">
        <v>7.8</v>
      </c>
      <c r="U10" s="172">
        <v>5.92</v>
      </c>
      <c r="V10" s="172" t="s">
        <v>10</v>
      </c>
    </row>
    <row r="11" spans="1:22" s="174" customFormat="1" ht="15" customHeight="1" x14ac:dyDescent="0.2">
      <c r="A11" s="171">
        <v>1997</v>
      </c>
      <c r="B11" s="172">
        <v>5.0199999999999996</v>
      </c>
      <c r="C11" s="172">
        <v>8.7200000000000006</v>
      </c>
      <c r="D11" s="172">
        <v>8.6300000000000008</v>
      </c>
      <c r="E11" s="172">
        <v>9.33</v>
      </c>
      <c r="F11" s="172">
        <v>9.92</v>
      </c>
      <c r="G11" s="172">
        <v>9.9700000000000006</v>
      </c>
      <c r="H11" s="172">
        <v>9.35</v>
      </c>
      <c r="I11" s="172">
        <v>6.09</v>
      </c>
      <c r="J11" s="172">
        <v>8.8000000000000007</v>
      </c>
      <c r="K11" s="172">
        <v>9.17</v>
      </c>
      <c r="L11" s="172">
        <v>9.11</v>
      </c>
      <c r="M11" s="172">
        <v>11.54</v>
      </c>
      <c r="N11" s="172">
        <v>11.24</v>
      </c>
      <c r="O11" s="172">
        <v>9.06</v>
      </c>
      <c r="P11" s="172">
        <v>5.49</v>
      </c>
      <c r="Q11" s="172">
        <v>3.31</v>
      </c>
      <c r="R11" s="172">
        <v>6.56</v>
      </c>
      <c r="S11" s="172">
        <v>7.05</v>
      </c>
      <c r="T11" s="172">
        <v>8.58</v>
      </c>
      <c r="U11" s="172">
        <v>9.59</v>
      </c>
      <c r="V11" s="172" t="s">
        <v>10</v>
      </c>
    </row>
    <row r="12" spans="1:22" s="174" customFormat="1" ht="15" customHeight="1" x14ac:dyDescent="0.2">
      <c r="A12" s="171">
        <v>1998</v>
      </c>
      <c r="B12" s="172">
        <v>5.99</v>
      </c>
      <c r="C12" s="172">
        <v>9.51</v>
      </c>
      <c r="D12" s="172">
        <v>10.46</v>
      </c>
      <c r="E12" s="172">
        <v>11.58</v>
      </c>
      <c r="F12" s="172">
        <v>12.24</v>
      </c>
      <c r="G12" s="172">
        <v>12.08</v>
      </c>
      <c r="H12" s="172">
        <v>11.14</v>
      </c>
      <c r="I12" s="172">
        <v>6.45</v>
      </c>
      <c r="J12" s="172">
        <v>10.29</v>
      </c>
      <c r="K12" s="172">
        <v>9.92</v>
      </c>
      <c r="L12" s="172">
        <v>11.13</v>
      </c>
      <c r="M12" s="172">
        <v>12.04</v>
      </c>
      <c r="N12" s="172">
        <v>12.31</v>
      </c>
      <c r="O12" s="172">
        <v>10.49</v>
      </c>
      <c r="P12" s="172">
        <v>9.31</v>
      </c>
      <c r="Q12" s="172">
        <v>3.21</v>
      </c>
      <c r="R12" s="172">
        <v>7.96</v>
      </c>
      <c r="S12" s="172">
        <v>8.81</v>
      </c>
      <c r="T12" s="172">
        <v>11.97</v>
      </c>
      <c r="U12" s="172">
        <v>9.31</v>
      </c>
      <c r="V12" s="172">
        <v>14.52</v>
      </c>
    </row>
    <row r="13" spans="1:22" s="174" customFormat="1" ht="15" customHeight="1" x14ac:dyDescent="0.2">
      <c r="A13" s="171">
        <v>1999</v>
      </c>
      <c r="B13" s="172">
        <v>4.54</v>
      </c>
      <c r="C13" s="172">
        <v>4.7</v>
      </c>
      <c r="D13" s="172">
        <v>9.2799999999999994</v>
      </c>
      <c r="E13" s="172">
        <v>9.0500000000000007</v>
      </c>
      <c r="F13" s="172">
        <v>9.8000000000000007</v>
      </c>
      <c r="G13" s="172">
        <v>8.86</v>
      </c>
      <c r="H13" s="172">
        <v>14.65</v>
      </c>
      <c r="I13" s="172">
        <v>9.1999999999999993</v>
      </c>
      <c r="J13" s="172" t="s">
        <v>10</v>
      </c>
      <c r="K13" s="172">
        <v>9.48</v>
      </c>
      <c r="L13" s="172">
        <v>8.93</v>
      </c>
      <c r="M13" s="172">
        <v>8.6999999999999993</v>
      </c>
      <c r="N13" s="172">
        <v>8.3800000000000008</v>
      </c>
      <c r="O13" s="172">
        <v>8.09</v>
      </c>
      <c r="P13" s="172">
        <v>4.8</v>
      </c>
      <c r="Q13" s="172">
        <v>3.24</v>
      </c>
      <c r="R13" s="172">
        <v>6.3</v>
      </c>
      <c r="S13" s="172">
        <v>6.58</v>
      </c>
      <c r="T13" s="172">
        <v>6.84</v>
      </c>
      <c r="U13" s="172">
        <v>8.1</v>
      </c>
      <c r="V13" s="172" t="s">
        <v>10</v>
      </c>
    </row>
    <row r="14" spans="1:22" s="174" customFormat="1" ht="15" customHeight="1" x14ac:dyDescent="0.2">
      <c r="A14" s="171">
        <v>2000</v>
      </c>
      <c r="B14" s="172">
        <v>4.43</v>
      </c>
      <c r="C14" s="172">
        <v>5.9</v>
      </c>
      <c r="D14" s="172">
        <v>8.5299999999999994</v>
      </c>
      <c r="E14" s="172">
        <v>8.4700000000000006</v>
      </c>
      <c r="F14" s="172">
        <v>9.44</v>
      </c>
      <c r="G14" s="172">
        <v>8.7799999999999994</v>
      </c>
      <c r="H14" s="172">
        <v>7.82</v>
      </c>
      <c r="I14" s="172">
        <v>5.78</v>
      </c>
      <c r="J14" s="172">
        <v>7.1</v>
      </c>
      <c r="K14" s="172">
        <v>8.9600000000000009</v>
      </c>
      <c r="L14" s="172">
        <v>8.9600000000000009</v>
      </c>
      <c r="M14" s="172">
        <v>8.68</v>
      </c>
      <c r="N14" s="172">
        <v>9.1300000000000008</v>
      </c>
      <c r="O14" s="172">
        <v>8.2200000000000006</v>
      </c>
      <c r="P14" s="172">
        <v>6.48</v>
      </c>
      <c r="Q14" s="172">
        <v>3.29</v>
      </c>
      <c r="R14" s="172">
        <v>6.68</v>
      </c>
      <c r="S14" s="172">
        <v>7.28</v>
      </c>
      <c r="T14" s="172">
        <v>7.63</v>
      </c>
      <c r="U14" s="172">
        <v>7.86</v>
      </c>
      <c r="V14" s="172">
        <v>7.31</v>
      </c>
    </row>
    <row r="15" spans="1:22" s="174" customFormat="1" ht="15" customHeight="1" x14ac:dyDescent="0.2">
      <c r="A15" s="171">
        <v>2001</v>
      </c>
      <c r="B15" s="172">
        <v>3.03</v>
      </c>
      <c r="C15" s="172">
        <v>4.21</v>
      </c>
      <c r="D15" s="172">
        <v>5.91</v>
      </c>
      <c r="E15" s="172">
        <v>5.48</v>
      </c>
      <c r="F15" s="172">
        <v>7.3</v>
      </c>
      <c r="G15" s="172">
        <v>6.89</v>
      </c>
      <c r="H15" s="172">
        <v>7.03</v>
      </c>
      <c r="I15" s="172">
        <v>1.69</v>
      </c>
      <c r="J15" s="172">
        <v>7.13</v>
      </c>
      <c r="K15" s="172">
        <v>8.35</v>
      </c>
      <c r="L15" s="172">
        <v>8.73</v>
      </c>
      <c r="M15" s="172">
        <v>8.67</v>
      </c>
      <c r="N15" s="172">
        <v>10.81</v>
      </c>
      <c r="O15" s="172">
        <v>10.8</v>
      </c>
      <c r="P15" s="172">
        <v>4.25</v>
      </c>
      <c r="Q15" s="172">
        <v>3.12</v>
      </c>
      <c r="R15" s="172">
        <v>6.82</v>
      </c>
      <c r="S15" s="172">
        <v>7.17</v>
      </c>
      <c r="T15" s="172">
        <v>6.71</v>
      </c>
      <c r="U15" s="172">
        <v>8</v>
      </c>
      <c r="V15" s="172">
        <v>6.87</v>
      </c>
    </row>
    <row r="16" spans="1:22" s="174" customFormat="1" ht="15" customHeight="1" x14ac:dyDescent="0.2">
      <c r="A16" s="171">
        <v>2002</v>
      </c>
      <c r="B16" s="132">
        <v>2.25</v>
      </c>
      <c r="C16" s="132">
        <v>3</v>
      </c>
      <c r="D16" s="132">
        <v>5.63</v>
      </c>
      <c r="E16" s="132">
        <v>5.09</v>
      </c>
      <c r="F16" s="132">
        <v>6.59</v>
      </c>
      <c r="G16" s="132">
        <v>6.61</v>
      </c>
      <c r="H16" s="132">
        <v>8.3000000000000007</v>
      </c>
      <c r="I16" s="132">
        <v>0.69</v>
      </c>
      <c r="J16" s="172" t="s">
        <v>10</v>
      </c>
      <c r="K16" s="132">
        <v>7.11</v>
      </c>
      <c r="L16" s="132">
        <v>8.1199999999999992</v>
      </c>
      <c r="M16" s="132">
        <v>8.0299999999999994</v>
      </c>
      <c r="N16" s="132">
        <v>9.58</v>
      </c>
      <c r="O16" s="132">
        <v>10.43</v>
      </c>
      <c r="P16" s="188">
        <v>4.18</v>
      </c>
      <c r="Q16" s="132">
        <v>3.33</v>
      </c>
      <c r="R16" s="132">
        <v>6.31</v>
      </c>
      <c r="S16" s="132">
        <v>6.86</v>
      </c>
      <c r="T16" s="132">
        <v>6.93</v>
      </c>
      <c r="U16" s="132">
        <v>7.77</v>
      </c>
      <c r="V16" s="172" t="s">
        <v>10</v>
      </c>
    </row>
    <row r="17" spans="1:22" s="174" customFormat="1" ht="15" customHeight="1" x14ac:dyDescent="0.2">
      <c r="A17" s="171">
        <v>2003</v>
      </c>
      <c r="B17" s="132">
        <v>2.21</v>
      </c>
      <c r="C17" s="132">
        <v>2.77</v>
      </c>
      <c r="D17" s="132">
        <v>5.25</v>
      </c>
      <c r="E17" s="132">
        <v>4.9800000000000004</v>
      </c>
      <c r="F17" s="132">
        <v>6.14</v>
      </c>
      <c r="G17" s="132">
        <v>6.22</v>
      </c>
      <c r="H17" s="132">
        <v>7.23</v>
      </c>
      <c r="I17" s="189">
        <v>0.48</v>
      </c>
      <c r="J17" s="189">
        <v>0</v>
      </c>
      <c r="K17" s="132">
        <v>5.96</v>
      </c>
      <c r="L17" s="132">
        <v>8.74</v>
      </c>
      <c r="M17" s="132">
        <v>7.14</v>
      </c>
      <c r="N17" s="132">
        <v>8.15</v>
      </c>
      <c r="O17" s="188">
        <v>10.37</v>
      </c>
      <c r="P17" s="132">
        <v>5.07</v>
      </c>
      <c r="Q17" s="132">
        <v>3.06</v>
      </c>
      <c r="R17" s="132">
        <v>5.51</v>
      </c>
      <c r="S17" s="132">
        <v>6.27</v>
      </c>
      <c r="T17" s="132">
        <v>6.88</v>
      </c>
      <c r="U17" s="132">
        <v>7.2</v>
      </c>
      <c r="V17" s="132">
        <v>7.7</v>
      </c>
    </row>
    <row r="18" spans="1:22" s="174" customFormat="1" ht="15" customHeight="1" x14ac:dyDescent="0.2">
      <c r="A18" s="171">
        <v>2004</v>
      </c>
      <c r="B18" s="132">
        <v>1.89</v>
      </c>
      <c r="C18" s="132">
        <v>2.15</v>
      </c>
      <c r="D18" s="132">
        <v>3.47</v>
      </c>
      <c r="E18" s="132">
        <v>3.84</v>
      </c>
      <c r="F18" s="132">
        <v>4.28</v>
      </c>
      <c r="G18" s="132">
        <v>5.03</v>
      </c>
      <c r="H18" s="132">
        <v>6.64</v>
      </c>
      <c r="I18" s="132">
        <v>0.56000000000000005</v>
      </c>
      <c r="J18" s="132">
        <v>0</v>
      </c>
      <c r="K18" s="132">
        <v>4.6500000000000004</v>
      </c>
      <c r="L18" s="132">
        <v>6.92</v>
      </c>
      <c r="M18" s="132">
        <v>5.18</v>
      </c>
      <c r="N18" s="180">
        <v>6.56</v>
      </c>
      <c r="O18" s="180">
        <v>9.32</v>
      </c>
      <c r="P18" s="180">
        <v>1.07</v>
      </c>
      <c r="Q18" s="180">
        <v>3.05</v>
      </c>
      <c r="R18" s="180">
        <v>3.88</v>
      </c>
      <c r="S18" s="180">
        <v>4.5</v>
      </c>
      <c r="T18" s="180">
        <v>4.96</v>
      </c>
      <c r="U18" s="180">
        <v>5.54</v>
      </c>
      <c r="V18" s="180">
        <v>6.65</v>
      </c>
    </row>
    <row r="19" spans="1:22" s="174" customFormat="1" ht="15" customHeight="1" x14ac:dyDescent="0.2">
      <c r="A19" s="171">
        <v>2005</v>
      </c>
      <c r="B19" s="132">
        <v>1.54</v>
      </c>
      <c r="C19" s="132">
        <v>2.13</v>
      </c>
      <c r="D19" s="132">
        <v>3.78</v>
      </c>
      <c r="E19" s="132">
        <v>4.28</v>
      </c>
      <c r="F19" s="132">
        <v>5.18</v>
      </c>
      <c r="G19" s="132">
        <v>5.45</v>
      </c>
      <c r="H19" s="132">
        <v>6.81</v>
      </c>
      <c r="I19" s="132">
        <v>1.87</v>
      </c>
      <c r="J19" s="132">
        <v>0</v>
      </c>
      <c r="K19" s="132">
        <v>4.07</v>
      </c>
      <c r="L19" s="132">
        <v>6.88</v>
      </c>
      <c r="M19" s="132">
        <v>5.4</v>
      </c>
      <c r="N19" s="132">
        <v>6.83</v>
      </c>
      <c r="O19" s="132">
        <v>8.7200000000000006</v>
      </c>
      <c r="P19" s="132">
        <v>1</v>
      </c>
      <c r="Q19" s="132">
        <v>3.94</v>
      </c>
      <c r="R19" s="132">
        <v>4.5199999999999996</v>
      </c>
      <c r="S19" s="132">
        <v>4.8899999999999997</v>
      </c>
      <c r="T19" s="132">
        <v>6</v>
      </c>
      <c r="U19" s="132">
        <v>6.7</v>
      </c>
      <c r="V19" s="132">
        <v>7.11</v>
      </c>
    </row>
    <row r="20" spans="1:22" s="174" customFormat="1" ht="15" customHeight="1" x14ac:dyDescent="0.2">
      <c r="A20" s="171">
        <v>2006</v>
      </c>
      <c r="B20" s="189">
        <v>1.77</v>
      </c>
      <c r="C20" s="189">
        <v>2.87</v>
      </c>
      <c r="D20" s="189">
        <v>4.7699999999999996</v>
      </c>
      <c r="E20" s="189">
        <v>5.31</v>
      </c>
      <c r="F20" s="189">
        <v>5.72</v>
      </c>
      <c r="G20" s="189">
        <v>5.34</v>
      </c>
      <c r="H20" s="189">
        <v>6.77</v>
      </c>
      <c r="I20" s="189">
        <v>2.19</v>
      </c>
      <c r="J20" s="189">
        <v>0</v>
      </c>
      <c r="K20" s="189">
        <v>4.5199999999999996</v>
      </c>
      <c r="L20" s="189">
        <v>6.41</v>
      </c>
      <c r="M20" s="189">
        <v>6.12</v>
      </c>
      <c r="N20" s="189">
        <v>7.2</v>
      </c>
      <c r="O20" s="189">
        <v>7.95</v>
      </c>
      <c r="P20" s="189">
        <v>1</v>
      </c>
      <c r="Q20" s="189">
        <v>1.6</v>
      </c>
      <c r="R20" s="189">
        <v>4.58</v>
      </c>
      <c r="S20" s="189">
        <v>5.13</v>
      </c>
      <c r="T20" s="189">
        <v>5.99</v>
      </c>
      <c r="U20" s="189">
        <v>6.38</v>
      </c>
      <c r="V20" s="189">
        <v>7.08</v>
      </c>
    </row>
    <row r="21" spans="1:22" s="174" customFormat="1" x14ac:dyDescent="0.2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</row>
    <row r="22" spans="1:22" s="174" customFormat="1" x14ac:dyDescent="0.2"/>
    <row r="23" spans="1:22" s="174" customFormat="1" x14ac:dyDescent="0.2"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</row>
    <row r="24" spans="1:22" s="174" customFormat="1" ht="15" x14ac:dyDescent="0.25">
      <c r="A24" s="4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</row>
    <row r="25" spans="1:22" s="174" customFormat="1" ht="15" x14ac:dyDescent="0.25">
      <c r="A25" s="128" t="s">
        <v>598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</row>
    <row r="26" spans="1:22" s="174" customFormat="1" x14ac:dyDescent="0.2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</row>
    <row r="27" spans="1:22" s="174" customFormat="1" x14ac:dyDescent="0.2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</row>
    <row r="28" spans="1:22" s="174" customFormat="1" x14ac:dyDescent="0.2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</row>
    <row r="29" spans="1:22" s="174" customFormat="1" x14ac:dyDescent="0.2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</row>
    <row r="30" spans="1:22" s="174" customFormat="1" x14ac:dyDescent="0.2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</row>
    <row r="31" spans="1:22" s="174" customFormat="1" x14ac:dyDescent="0.2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</row>
    <row r="32" spans="1:22" s="174" customFormat="1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</row>
    <row r="33" spans="1:22" s="174" customFormat="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</row>
    <row r="34" spans="1:22" s="174" customFormat="1" x14ac:dyDescent="0.2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</row>
    <row r="35" spans="1:22" s="174" customFormat="1" x14ac:dyDescent="0.2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</row>
    <row r="36" spans="1:22" s="174" customFormat="1" x14ac:dyDescent="0.2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</row>
    <row r="37" spans="1:22" s="174" customFormat="1" x14ac:dyDescent="0.2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</row>
    <row r="38" spans="1:22" s="174" customFormat="1" x14ac:dyDescent="0.2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</row>
    <row r="39" spans="1:22" s="174" customFormat="1" x14ac:dyDescent="0.2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</row>
    <row r="40" spans="1:22" s="174" customFormat="1" x14ac:dyDescent="0.2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</row>
    <row r="41" spans="1:22" s="174" customFormat="1" x14ac:dyDescent="0.2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</row>
    <row r="42" spans="1:22" s="174" customFormat="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</row>
    <row r="43" spans="1:22" s="174" customFormat="1" x14ac:dyDescent="0.2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</row>
    <row r="44" spans="1:22" s="174" customFormat="1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</row>
    <row r="45" spans="1:22" s="174" customFormat="1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</row>
    <row r="46" spans="1:22" s="174" customFormat="1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</row>
    <row r="47" spans="1:22" s="174" customFormat="1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</row>
    <row r="48" spans="1:22" s="174" customFormat="1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</row>
    <row r="49" spans="1:22" s="174" customFormat="1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</row>
    <row r="50" spans="1:22" s="174" customFormat="1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</row>
    <row r="51" spans="1:22" s="174" customFormat="1" x14ac:dyDescent="0.2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</row>
    <row r="52" spans="1:22" s="174" customFormat="1" x14ac:dyDescent="0.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</row>
    <row r="53" spans="1:22" s="174" customFormat="1" x14ac:dyDescent="0.2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</row>
    <row r="54" spans="1:22" s="174" customFormat="1" x14ac:dyDescent="0.2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</row>
    <row r="55" spans="1:22" s="174" customFormat="1" x14ac:dyDescent="0.2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</row>
    <row r="56" spans="1:22" s="174" customFormat="1" x14ac:dyDescent="0.2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</row>
    <row r="57" spans="1:22" s="174" customFormat="1" x14ac:dyDescent="0.2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</row>
    <row r="58" spans="1:22" s="174" customFormat="1" x14ac:dyDescent="0.2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</row>
    <row r="59" spans="1:22" s="174" customFormat="1" x14ac:dyDescent="0.2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</row>
    <row r="60" spans="1:22" s="174" customFormat="1" x14ac:dyDescent="0.2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</row>
    <row r="61" spans="1:22" s="174" customFormat="1" x14ac:dyDescent="0.2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</row>
    <row r="62" spans="1:22" s="174" customFormat="1" x14ac:dyDescent="0.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</row>
  </sheetData>
  <mergeCells count="11">
    <mergeCell ref="D6:H6"/>
    <mergeCell ref="A1:V1"/>
    <mergeCell ref="A2:V2"/>
    <mergeCell ref="A3:V3"/>
    <mergeCell ref="J5:P5"/>
    <mergeCell ref="Q5:V5"/>
    <mergeCell ref="B5:I5"/>
    <mergeCell ref="A5:A7"/>
    <mergeCell ref="R6:V6"/>
    <mergeCell ref="K6:O6"/>
    <mergeCell ref="B6:B7"/>
  </mergeCells>
  <hyperlinks>
    <hyperlink ref="A25" location="'indice cap.1'!A1" display="regresar al índice" xr:uid="{00000000-0004-0000-0B00-000000000000}"/>
  </hyperlinks>
  <pageMargins left="0" right="0" top="0.74803149606299213" bottom="0.74803149606299213" header="0.31496062992125984" footer="0.31496062992125984"/>
  <pageSetup paperSize="9" scale="55" orientation="landscape" verticalDpi="599" r:id="rId1"/>
  <ignoredErrors>
    <ignoredError sqref="I7:J7 P7" twoDigitTextYea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R85"/>
  <sheetViews>
    <sheetView showGridLines="0" workbookViewId="0">
      <selection activeCell="G35" sqref="G35"/>
    </sheetView>
  </sheetViews>
  <sheetFormatPr defaultColWidth="11.42578125" defaultRowHeight="12.75" x14ac:dyDescent="0.2"/>
  <cols>
    <col min="1" max="1" width="8.140625" style="108" customWidth="1"/>
    <col min="2" max="2" width="3.140625" style="108" customWidth="1"/>
    <col min="3" max="12" width="15.7109375" style="108" customWidth="1"/>
    <col min="13" max="16" width="11.42578125" style="108"/>
    <col min="17" max="17" width="12.28515625" style="108" customWidth="1"/>
    <col min="18" max="16384" width="11.42578125" style="108"/>
  </cols>
  <sheetData>
    <row r="1" spans="1:18" x14ac:dyDescent="0.2">
      <c r="A1" s="493" t="s">
        <v>674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</row>
    <row r="2" spans="1:18" x14ac:dyDescent="0.2">
      <c r="A2" s="493" t="s">
        <v>86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</row>
    <row r="3" spans="1:18" x14ac:dyDescent="0.2">
      <c r="F3" s="167"/>
    </row>
    <row r="4" spans="1:18" x14ac:dyDescent="0.2">
      <c r="A4" s="511" t="s">
        <v>87</v>
      </c>
      <c r="B4" s="509"/>
      <c r="C4" s="547" t="s">
        <v>745</v>
      </c>
      <c r="D4" s="549" t="s">
        <v>746</v>
      </c>
      <c r="E4" s="195" t="s">
        <v>88</v>
      </c>
      <c r="F4" s="196"/>
      <c r="G4" s="196"/>
      <c r="H4" s="549" t="s">
        <v>89</v>
      </c>
      <c r="I4" s="549" t="s">
        <v>749</v>
      </c>
      <c r="J4" s="195" t="s">
        <v>90</v>
      </c>
      <c r="K4" s="195"/>
      <c r="L4" s="197" t="s">
        <v>91</v>
      </c>
      <c r="M4" s="110"/>
      <c r="N4" s="110"/>
      <c r="O4" s="110"/>
    </row>
    <row r="5" spans="1:18" ht="38.25" x14ac:dyDescent="0.2">
      <c r="A5" s="546"/>
      <c r="B5" s="513"/>
      <c r="C5" s="548"/>
      <c r="D5" s="548"/>
      <c r="E5" s="198" t="s">
        <v>92</v>
      </c>
      <c r="F5" s="198" t="s">
        <v>747</v>
      </c>
      <c r="G5" s="198" t="s">
        <v>748</v>
      </c>
      <c r="H5" s="550"/>
      <c r="I5" s="551"/>
      <c r="J5" s="198" t="s">
        <v>93</v>
      </c>
      <c r="K5" s="198" t="s">
        <v>94</v>
      </c>
      <c r="L5" s="131" t="s">
        <v>95</v>
      </c>
      <c r="M5" s="115"/>
      <c r="N5" s="115"/>
      <c r="O5" s="115"/>
    </row>
    <row r="6" spans="1:18" x14ac:dyDescent="0.2">
      <c r="C6" s="199" t="s">
        <v>97</v>
      </c>
      <c r="D6" s="200" t="s">
        <v>98</v>
      </c>
      <c r="E6" s="200" t="s">
        <v>99</v>
      </c>
      <c r="F6" s="200" t="s">
        <v>100</v>
      </c>
      <c r="G6" s="200" t="s">
        <v>101</v>
      </c>
      <c r="H6" s="200" t="s">
        <v>102</v>
      </c>
      <c r="I6" s="200" t="s">
        <v>103</v>
      </c>
      <c r="J6" s="200" t="s">
        <v>104</v>
      </c>
      <c r="K6" s="201" t="s">
        <v>105</v>
      </c>
      <c r="L6" s="115"/>
      <c r="M6" s="115"/>
      <c r="N6" s="115"/>
      <c r="O6" s="115"/>
    </row>
    <row r="7" spans="1:18" x14ac:dyDescent="0.2">
      <c r="C7" s="191"/>
    </row>
    <row r="8" spans="1:18" x14ac:dyDescent="0.2">
      <c r="A8" s="180">
        <v>1927</v>
      </c>
      <c r="B8" s="202" t="s">
        <v>48</v>
      </c>
      <c r="C8" s="203">
        <v>38.661000000000001</v>
      </c>
      <c r="D8" s="204">
        <v>44.53</v>
      </c>
      <c r="E8" s="205">
        <v>64.995999999999995</v>
      </c>
      <c r="F8" s="205">
        <v>34.58</v>
      </c>
      <c r="G8" s="205">
        <v>30.416</v>
      </c>
      <c r="H8" s="205">
        <v>6.9050000000000002</v>
      </c>
      <c r="I8" s="205">
        <v>71.900999999999996</v>
      </c>
      <c r="J8" s="206">
        <v>1.4596002694812484</v>
      </c>
      <c r="K8" s="206">
        <v>1.6146642712777901</v>
      </c>
      <c r="L8" s="207">
        <v>0.61313472691617643</v>
      </c>
      <c r="M8" s="194"/>
      <c r="N8" s="194"/>
      <c r="O8" s="194"/>
      <c r="Q8" s="193"/>
      <c r="R8" s="191"/>
    </row>
    <row r="9" spans="1:18" x14ac:dyDescent="0.2">
      <c r="A9" s="180">
        <v>1928</v>
      </c>
      <c r="B9" s="180"/>
      <c r="C9" s="203">
        <v>38.85</v>
      </c>
      <c r="D9" s="204">
        <v>44.725999999999999</v>
      </c>
      <c r="E9" s="205">
        <v>65.162000000000006</v>
      </c>
      <c r="F9" s="205">
        <v>35.930999999999997</v>
      </c>
      <c r="G9" s="205">
        <v>29.231000000000002</v>
      </c>
      <c r="H9" s="205">
        <v>7</v>
      </c>
      <c r="I9" s="205">
        <v>72.162000000000006</v>
      </c>
      <c r="J9" s="206">
        <v>1.4569154406832716</v>
      </c>
      <c r="K9" s="206">
        <v>1.6134239592183519</v>
      </c>
      <c r="L9" s="207">
        <v>0.52699481721681773</v>
      </c>
      <c r="M9" s="194"/>
      <c r="N9" s="194"/>
      <c r="O9" s="194"/>
      <c r="Q9" s="193"/>
      <c r="R9" s="191"/>
    </row>
    <row r="10" spans="1:18" x14ac:dyDescent="0.2">
      <c r="A10" s="180">
        <v>1929</v>
      </c>
      <c r="B10" s="180"/>
      <c r="C10" s="203">
        <v>34.679000000000002</v>
      </c>
      <c r="D10" s="204">
        <v>39.255000000000003</v>
      </c>
      <c r="E10" s="205">
        <v>57.009</v>
      </c>
      <c r="F10" s="205">
        <v>31.015000000000001</v>
      </c>
      <c r="G10" s="205">
        <v>25.994</v>
      </c>
      <c r="H10" s="205">
        <v>7.2480000000000002</v>
      </c>
      <c r="I10" s="205">
        <v>64.257000000000005</v>
      </c>
      <c r="J10" s="206">
        <v>1.4522735957202904</v>
      </c>
      <c r="K10" s="206">
        <v>1.6369124952235383</v>
      </c>
      <c r="L10" s="207">
        <v>0.54568373873663567</v>
      </c>
      <c r="M10" s="194"/>
      <c r="N10" s="194"/>
      <c r="O10" s="194"/>
      <c r="Q10" s="193"/>
      <c r="R10" s="191"/>
    </row>
    <row r="11" spans="1:18" x14ac:dyDescent="0.2">
      <c r="A11" s="180">
        <v>1930</v>
      </c>
      <c r="B11" s="180"/>
      <c r="C11" s="203">
        <v>28.76</v>
      </c>
      <c r="D11" s="204">
        <v>33.311</v>
      </c>
      <c r="E11" s="205">
        <v>44.575000000000003</v>
      </c>
      <c r="F11" s="205">
        <v>25.448</v>
      </c>
      <c r="G11" s="205">
        <v>19.126999999999999</v>
      </c>
      <c r="H11" s="205">
        <v>9.9930000000000003</v>
      </c>
      <c r="I11" s="205">
        <v>54.568000000000005</v>
      </c>
      <c r="J11" s="206">
        <v>1.33814655819399</v>
      </c>
      <c r="K11" s="206">
        <v>1.6381375521599473</v>
      </c>
      <c r="L11" s="207">
        <v>0.52988931241753401</v>
      </c>
      <c r="M11" s="194"/>
      <c r="N11" s="194"/>
      <c r="O11" s="194"/>
      <c r="Q11" s="193"/>
      <c r="R11" s="191"/>
    </row>
    <row r="12" spans="1:18" x14ac:dyDescent="0.2">
      <c r="A12" s="180">
        <v>1931</v>
      </c>
      <c r="B12" s="180"/>
      <c r="C12" s="203">
        <v>24.893999999999998</v>
      </c>
      <c r="D12" s="204">
        <v>27.074999999999999</v>
      </c>
      <c r="E12" s="205">
        <v>36.96</v>
      </c>
      <c r="F12" s="205">
        <v>22.911000000000001</v>
      </c>
      <c r="G12" s="205">
        <v>14.048999999999999</v>
      </c>
      <c r="H12" s="205">
        <v>7.4809999999999999</v>
      </c>
      <c r="I12" s="205">
        <v>44.441000000000003</v>
      </c>
      <c r="J12" s="206">
        <v>1.3650969529085872</v>
      </c>
      <c r="K12" s="206">
        <v>1.6414035087719299</v>
      </c>
      <c r="L12" s="207">
        <v>0.35028464706014717</v>
      </c>
      <c r="M12" s="194"/>
      <c r="N12" s="194"/>
      <c r="O12" s="194"/>
      <c r="Q12" s="193"/>
      <c r="R12" s="191"/>
    </row>
    <row r="13" spans="1:18" x14ac:dyDescent="0.2">
      <c r="A13" s="180">
        <v>1932</v>
      </c>
      <c r="B13" s="180"/>
      <c r="C13" s="203">
        <v>29.612000000000002</v>
      </c>
      <c r="D13" s="204">
        <v>41.13</v>
      </c>
      <c r="E13" s="205">
        <v>55.600999999999999</v>
      </c>
      <c r="F13" s="205">
        <v>27.753</v>
      </c>
      <c r="G13" s="205">
        <v>27.847999999999999</v>
      </c>
      <c r="H13" s="205">
        <v>9.5890000000000004</v>
      </c>
      <c r="I13" s="205">
        <v>65.19</v>
      </c>
      <c r="J13" s="206">
        <v>1.3518356430829077</v>
      </c>
      <c r="K13" s="206">
        <v>1.5849744711889131</v>
      </c>
      <c r="L13" s="207">
        <v>0.26703482129160916</v>
      </c>
      <c r="M13" s="194"/>
      <c r="N13" s="194"/>
      <c r="O13" s="194"/>
      <c r="Q13" s="193"/>
      <c r="R13" s="191"/>
    </row>
    <row r="14" spans="1:18" x14ac:dyDescent="0.2">
      <c r="A14" s="180">
        <v>1933</v>
      </c>
      <c r="B14" s="180"/>
      <c r="C14" s="203">
        <v>41.869</v>
      </c>
      <c r="D14" s="204">
        <v>59.530999999999999</v>
      </c>
      <c r="E14" s="205">
        <v>82.173000000000002</v>
      </c>
      <c r="F14" s="205">
        <v>35.966999999999999</v>
      </c>
      <c r="G14" s="205">
        <v>46.206000000000003</v>
      </c>
      <c r="H14" s="205">
        <v>10.34</v>
      </c>
      <c r="I14" s="205">
        <v>92.513000000000005</v>
      </c>
      <c r="J14" s="206">
        <v>1.3803396549696798</v>
      </c>
      <c r="K14" s="206">
        <v>1.5540306730946902</v>
      </c>
      <c r="L14" s="207">
        <v>0.19824240917492675</v>
      </c>
      <c r="M14" s="194"/>
      <c r="N14" s="194"/>
      <c r="O14" s="194"/>
      <c r="Q14" s="193"/>
      <c r="R14" s="191"/>
    </row>
    <row r="15" spans="1:18" x14ac:dyDescent="0.2">
      <c r="A15" s="180">
        <v>1934</v>
      </c>
      <c r="B15" s="180"/>
      <c r="C15" s="203">
        <v>56.692</v>
      </c>
      <c r="D15" s="204">
        <v>70.537999999999997</v>
      </c>
      <c r="E15" s="205">
        <v>103.14400000000001</v>
      </c>
      <c r="F15" s="205">
        <v>49.207000000000001</v>
      </c>
      <c r="G15" s="205">
        <v>53.936999999999998</v>
      </c>
      <c r="H15" s="205">
        <v>12.407999999999999</v>
      </c>
      <c r="I15" s="205">
        <v>115.55200000000001</v>
      </c>
      <c r="J15" s="206">
        <v>1.462247299328022</v>
      </c>
      <c r="K15" s="206">
        <v>1.6381524851852904</v>
      </c>
      <c r="L15" s="207">
        <v>0.22685024923843811</v>
      </c>
      <c r="M15" s="194"/>
      <c r="N15" s="194"/>
      <c r="O15" s="194"/>
      <c r="Q15" s="193"/>
      <c r="R15" s="191"/>
    </row>
    <row r="16" spans="1:18" x14ac:dyDescent="0.2">
      <c r="A16" s="180">
        <v>1935</v>
      </c>
      <c r="B16" s="180"/>
      <c r="C16" s="203">
        <v>59.911999999999999</v>
      </c>
      <c r="D16" s="204">
        <v>71.793999999999997</v>
      </c>
      <c r="E16" s="205">
        <v>99.936000000000007</v>
      </c>
      <c r="F16" s="205">
        <v>52.19</v>
      </c>
      <c r="G16" s="205">
        <v>47.746000000000002</v>
      </c>
      <c r="H16" s="205">
        <v>18.643999999999998</v>
      </c>
      <c r="I16" s="205">
        <v>118.58</v>
      </c>
      <c r="J16" s="206">
        <v>1.3919826169317773</v>
      </c>
      <c r="K16" s="206">
        <v>1.6516700559935373</v>
      </c>
      <c r="L16" s="207">
        <v>0.33480350818013155</v>
      </c>
      <c r="M16" s="194"/>
      <c r="N16" s="194"/>
      <c r="O16" s="194"/>
      <c r="Q16" s="193"/>
      <c r="R16" s="191"/>
    </row>
    <row r="17" spans="1:18" x14ac:dyDescent="0.2">
      <c r="A17" s="180">
        <v>1936</v>
      </c>
      <c r="B17" s="180"/>
      <c r="C17" s="203">
        <v>67.105999999999995</v>
      </c>
      <c r="D17" s="204">
        <v>94.171999999999997</v>
      </c>
      <c r="E17" s="205">
        <v>126.631</v>
      </c>
      <c r="F17" s="205">
        <v>62.451000000000001</v>
      </c>
      <c r="G17" s="205">
        <v>64.180000000000007</v>
      </c>
      <c r="H17" s="205">
        <v>17.445</v>
      </c>
      <c r="I17" s="205">
        <v>144.07599999999999</v>
      </c>
      <c r="J17" s="206">
        <v>1.3446778235568959</v>
      </c>
      <c r="K17" s="206">
        <v>1.5299239689079556</v>
      </c>
      <c r="L17" s="207">
        <v>0.3351495044282185</v>
      </c>
      <c r="M17" s="194"/>
      <c r="N17" s="194"/>
      <c r="O17" s="194"/>
      <c r="Q17" s="193"/>
      <c r="R17" s="191"/>
    </row>
    <row r="18" spans="1:18" x14ac:dyDescent="0.2">
      <c r="A18" s="180">
        <v>1937</v>
      </c>
      <c r="B18" s="180"/>
      <c r="C18" s="203">
        <v>79.763999999999996</v>
      </c>
      <c r="D18" s="204">
        <v>110.764</v>
      </c>
      <c r="E18" s="205">
        <v>137.608</v>
      </c>
      <c r="F18" s="205">
        <v>73.59</v>
      </c>
      <c r="G18" s="205">
        <v>64.018000000000001</v>
      </c>
      <c r="H18" s="205">
        <v>21.858000000000001</v>
      </c>
      <c r="I18" s="205">
        <v>159.46600000000001</v>
      </c>
      <c r="J18" s="206">
        <v>1.2423531111191362</v>
      </c>
      <c r="K18" s="206">
        <v>1.4396915965476149</v>
      </c>
      <c r="L18" s="207">
        <v>0.27492380820990042</v>
      </c>
      <c r="M18" s="194"/>
      <c r="N18" s="194"/>
      <c r="O18" s="194"/>
      <c r="Q18" s="193"/>
      <c r="R18" s="191"/>
    </row>
    <row r="19" spans="1:18" x14ac:dyDescent="0.2">
      <c r="A19" s="180">
        <v>1938</v>
      </c>
      <c r="B19" s="180"/>
      <c r="C19" s="203">
        <v>79.28</v>
      </c>
      <c r="D19" s="204">
        <v>105.589</v>
      </c>
      <c r="E19" s="205">
        <v>131.59800000000001</v>
      </c>
      <c r="F19" s="205">
        <v>73.132999999999996</v>
      </c>
      <c r="G19" s="205">
        <v>58.465000000000003</v>
      </c>
      <c r="H19" s="205">
        <v>24.516999999999999</v>
      </c>
      <c r="I19" s="205">
        <v>156.11500000000001</v>
      </c>
      <c r="J19" s="206">
        <v>1.2463230071314249</v>
      </c>
      <c r="K19" s="206">
        <v>1.4785157544820011</v>
      </c>
      <c r="L19" s="207">
        <v>0.26124971975787076</v>
      </c>
      <c r="M19" s="194"/>
      <c r="N19" s="194"/>
      <c r="O19" s="194"/>
      <c r="Q19" s="193"/>
      <c r="R19" s="191"/>
    </row>
    <row r="20" spans="1:18" x14ac:dyDescent="0.2">
      <c r="A20" s="180">
        <v>1939</v>
      </c>
      <c r="B20" s="180"/>
      <c r="C20" s="203">
        <v>83.522999999999996</v>
      </c>
      <c r="D20" s="204">
        <v>114.06</v>
      </c>
      <c r="E20" s="205">
        <v>137.95500000000001</v>
      </c>
      <c r="F20" s="205">
        <v>77.852999999999994</v>
      </c>
      <c r="G20" s="205">
        <v>60.101999999999997</v>
      </c>
      <c r="H20" s="205">
        <v>36.14</v>
      </c>
      <c r="I20" s="205">
        <v>174.095</v>
      </c>
      <c r="J20" s="206">
        <v>1.2094950026301945</v>
      </c>
      <c r="K20" s="206">
        <v>1.5263457829212692</v>
      </c>
      <c r="L20" s="207">
        <v>0.23468221373388096</v>
      </c>
      <c r="M20" s="194"/>
      <c r="N20" s="194"/>
      <c r="O20" s="194"/>
      <c r="Q20" s="193"/>
      <c r="R20" s="191"/>
    </row>
    <row r="21" spans="1:18" x14ac:dyDescent="0.2">
      <c r="A21" s="180">
        <v>1940</v>
      </c>
      <c r="B21" s="180"/>
      <c r="C21" s="203">
        <v>89.682000000000002</v>
      </c>
      <c r="D21" s="204">
        <v>134.929</v>
      </c>
      <c r="E21" s="205">
        <v>174.315</v>
      </c>
      <c r="F21" s="205">
        <v>80.150000000000006</v>
      </c>
      <c r="G21" s="205">
        <v>94.165000000000006</v>
      </c>
      <c r="H21" s="205">
        <v>35.362000000000002</v>
      </c>
      <c r="I21" s="205">
        <v>209.67699999999999</v>
      </c>
      <c r="J21" s="206">
        <v>1.2919016668025405</v>
      </c>
      <c r="K21" s="206">
        <v>1.5539802414603234</v>
      </c>
      <c r="L21" s="207">
        <v>0.37714675429350858</v>
      </c>
      <c r="M21" s="194"/>
      <c r="N21" s="194"/>
      <c r="O21" s="194"/>
      <c r="Q21" s="193"/>
      <c r="R21" s="191"/>
    </row>
    <row r="22" spans="1:18" x14ac:dyDescent="0.2">
      <c r="A22" s="180">
        <v>1941</v>
      </c>
      <c r="B22" s="180"/>
      <c r="C22" s="203">
        <v>128.345</v>
      </c>
      <c r="D22" s="204">
        <v>189.703</v>
      </c>
      <c r="E22" s="205">
        <v>224.53</v>
      </c>
      <c r="F22" s="205">
        <v>120.169</v>
      </c>
      <c r="G22" s="205">
        <v>104.361</v>
      </c>
      <c r="H22" s="205">
        <v>41.804000000000002</v>
      </c>
      <c r="I22" s="205">
        <v>266.334</v>
      </c>
      <c r="J22" s="206">
        <v>1.1835869754300143</v>
      </c>
      <c r="K22" s="206">
        <v>1.4039524941619268</v>
      </c>
      <c r="L22" s="207">
        <v>0.43232933084022312</v>
      </c>
      <c r="M22" s="194"/>
      <c r="N22" s="194"/>
      <c r="O22" s="194"/>
      <c r="Q22" s="193"/>
      <c r="R22" s="191"/>
    </row>
    <row r="23" spans="1:18" x14ac:dyDescent="0.2">
      <c r="A23" s="180">
        <v>1942</v>
      </c>
      <c r="B23" s="180"/>
      <c r="C23" s="203">
        <v>184.303</v>
      </c>
      <c r="D23" s="204">
        <v>267.28899999999999</v>
      </c>
      <c r="E23" s="205">
        <v>317.91300000000001</v>
      </c>
      <c r="F23" s="205">
        <v>169.345</v>
      </c>
      <c r="G23" s="205">
        <v>148.56800000000001</v>
      </c>
      <c r="H23" s="205">
        <v>70.616</v>
      </c>
      <c r="I23" s="205">
        <v>388.529</v>
      </c>
      <c r="J23" s="206">
        <v>1.1893979924351545</v>
      </c>
      <c r="K23" s="206">
        <v>1.4535914309979088</v>
      </c>
      <c r="L23" s="207">
        <v>0.53240813427054345</v>
      </c>
      <c r="M23" s="194"/>
      <c r="N23" s="194"/>
      <c r="O23" s="194"/>
      <c r="Q23" s="193"/>
      <c r="R23" s="191"/>
    </row>
    <row r="24" spans="1:18" x14ac:dyDescent="0.2">
      <c r="A24" s="180">
        <v>1943</v>
      </c>
      <c r="B24" s="180"/>
      <c r="C24" s="203">
        <v>246.73500000000001</v>
      </c>
      <c r="D24" s="204">
        <v>357.07900000000001</v>
      </c>
      <c r="E24" s="205">
        <v>453.48699999999997</v>
      </c>
      <c r="F24" s="205">
        <v>232.154</v>
      </c>
      <c r="G24" s="205">
        <v>221.333</v>
      </c>
      <c r="H24" s="205">
        <v>90.573000000000008</v>
      </c>
      <c r="I24" s="205">
        <v>544.05999999999995</v>
      </c>
      <c r="J24" s="206">
        <v>1.2699906743325706</v>
      </c>
      <c r="K24" s="206">
        <v>1.523640426908331</v>
      </c>
      <c r="L24" s="207">
        <v>0.66082601183692979</v>
      </c>
      <c r="M24" s="194"/>
      <c r="N24" s="194"/>
      <c r="O24" s="194"/>
      <c r="Q24" s="193"/>
      <c r="R24" s="191"/>
    </row>
    <row r="25" spans="1:18" x14ac:dyDescent="0.2">
      <c r="A25" s="180">
        <v>1944</v>
      </c>
      <c r="B25" s="180"/>
      <c r="C25" s="203">
        <v>339.88499999999999</v>
      </c>
      <c r="D25" s="204">
        <v>546.78</v>
      </c>
      <c r="E25" s="205">
        <v>574.38200000000006</v>
      </c>
      <c r="F25" s="205">
        <v>294.584</v>
      </c>
      <c r="G25" s="205">
        <v>279.798</v>
      </c>
      <c r="H25" s="205">
        <v>99.24199999999999</v>
      </c>
      <c r="I25" s="205">
        <v>673.62400000000002</v>
      </c>
      <c r="J25" s="206">
        <v>1.050480997841911</v>
      </c>
      <c r="K25" s="206">
        <v>1.2319836131533708</v>
      </c>
      <c r="L25" s="207">
        <v>0.69381880693086928</v>
      </c>
      <c r="M25" s="194"/>
      <c r="N25" s="194"/>
      <c r="O25" s="194"/>
      <c r="Q25" s="193"/>
      <c r="R25" s="191"/>
    </row>
    <row r="26" spans="1:18" x14ac:dyDescent="0.2">
      <c r="A26" s="180">
        <v>1945</v>
      </c>
      <c r="B26" s="180"/>
      <c r="C26" s="203">
        <v>365.226</v>
      </c>
      <c r="D26" s="204">
        <v>552.01400000000001</v>
      </c>
      <c r="E26" s="205">
        <v>631.596</v>
      </c>
      <c r="F26" s="205">
        <v>321.24200000000002</v>
      </c>
      <c r="G26" s="205">
        <v>310.35399999999998</v>
      </c>
      <c r="H26" s="205">
        <v>109.917</v>
      </c>
      <c r="I26" s="205">
        <v>741.51300000000003</v>
      </c>
      <c r="J26" s="206">
        <v>1.1441666334549485</v>
      </c>
      <c r="K26" s="206">
        <v>1.3432865833112928</v>
      </c>
      <c r="L26" s="207">
        <v>0.50039446375181551</v>
      </c>
      <c r="M26" s="194"/>
      <c r="N26" s="194"/>
      <c r="O26" s="194"/>
      <c r="Q26" s="193"/>
      <c r="R26" s="191"/>
    </row>
    <row r="27" spans="1:18" x14ac:dyDescent="0.2">
      <c r="A27" s="180">
        <v>1946</v>
      </c>
      <c r="B27" s="180"/>
      <c r="C27" s="203">
        <v>392.815</v>
      </c>
      <c r="D27" s="204">
        <v>616.39400000000001</v>
      </c>
      <c r="E27" s="205">
        <v>698.14200000000005</v>
      </c>
      <c r="F27" s="205">
        <v>349.71600000000001</v>
      </c>
      <c r="G27" s="205">
        <v>348.42599999999999</v>
      </c>
      <c r="H27" s="205">
        <v>107.85699999999999</v>
      </c>
      <c r="I27" s="205">
        <v>805.99900000000002</v>
      </c>
      <c r="J27" s="206">
        <v>1.1326229651813613</v>
      </c>
      <c r="K27" s="206">
        <v>1.3076035782308069</v>
      </c>
      <c r="L27" s="207">
        <v>0.49158869924156234</v>
      </c>
      <c r="M27" s="194"/>
      <c r="N27" s="194"/>
      <c r="O27" s="194"/>
      <c r="Q27" s="193"/>
      <c r="R27" s="191"/>
    </row>
    <row r="28" spans="1:18" x14ac:dyDescent="0.2">
      <c r="A28" s="180">
        <v>1947</v>
      </c>
      <c r="B28" s="202"/>
      <c r="C28" s="203">
        <v>372.22800000000001</v>
      </c>
      <c r="D28" s="204">
        <v>529.45500000000004</v>
      </c>
      <c r="E28" s="205">
        <v>601.76900000000001</v>
      </c>
      <c r="F28" s="205">
        <v>329.46199999999999</v>
      </c>
      <c r="G28" s="205">
        <v>272.30700000000002</v>
      </c>
      <c r="H28" s="205">
        <v>90.34099999999998</v>
      </c>
      <c r="I28" s="205">
        <v>692.11</v>
      </c>
      <c r="J28" s="206">
        <v>1.1365819569179627</v>
      </c>
      <c r="K28" s="206">
        <v>1.3072121332313416</v>
      </c>
      <c r="L28" s="207">
        <v>0.49560763462455387</v>
      </c>
      <c r="M28" s="194"/>
      <c r="N28" s="194"/>
      <c r="O28" s="194"/>
      <c r="Q28" s="193"/>
      <c r="R28" s="191"/>
    </row>
    <row r="29" spans="1:18" x14ac:dyDescent="0.2">
      <c r="A29" s="180">
        <v>1948</v>
      </c>
      <c r="B29" s="180"/>
      <c r="C29" s="203">
        <v>375.64400000000001</v>
      </c>
      <c r="D29" s="204">
        <v>547.63299999999992</v>
      </c>
      <c r="E29" s="205">
        <v>650.74199999999996</v>
      </c>
      <c r="F29" s="205">
        <v>344.56</v>
      </c>
      <c r="G29" s="205">
        <v>306.18200000000002</v>
      </c>
      <c r="H29" s="205">
        <v>84.61</v>
      </c>
      <c r="I29" s="205">
        <v>735.35199999999998</v>
      </c>
      <c r="J29" s="206">
        <v>1.1882812029223953</v>
      </c>
      <c r="K29" s="206">
        <v>1.3427824838897584</v>
      </c>
      <c r="L29" s="207">
        <v>0.49386688279898605</v>
      </c>
      <c r="M29" s="194"/>
      <c r="N29" s="194"/>
      <c r="O29" s="194"/>
      <c r="Q29" s="193"/>
      <c r="R29" s="191"/>
    </row>
    <row r="30" spans="1:18" x14ac:dyDescent="0.2">
      <c r="A30" s="180">
        <v>1949</v>
      </c>
      <c r="B30" s="180"/>
      <c r="C30" s="203">
        <v>392.79</v>
      </c>
      <c r="D30" s="204">
        <v>577.2410000000001</v>
      </c>
      <c r="E30" s="205">
        <v>712.452</v>
      </c>
      <c r="F30" s="205">
        <v>356.59100000000001</v>
      </c>
      <c r="G30" s="205">
        <v>355.86099999999999</v>
      </c>
      <c r="H30" s="205">
        <v>100.85299999999999</v>
      </c>
      <c r="I30" s="205">
        <v>813.30499999999995</v>
      </c>
      <c r="J30" s="206">
        <v>1.2342366533215761</v>
      </c>
      <c r="K30" s="206">
        <v>1.4089522400522483</v>
      </c>
      <c r="L30" s="207">
        <v>0.24714221601982037</v>
      </c>
      <c r="M30" s="194"/>
      <c r="N30" s="194"/>
      <c r="O30" s="194"/>
      <c r="Q30" s="193"/>
      <c r="R30" s="191"/>
    </row>
    <row r="31" spans="1:18" x14ac:dyDescent="0.2">
      <c r="A31" s="180">
        <v>1950</v>
      </c>
      <c r="B31" s="180"/>
      <c r="C31" s="203">
        <v>509.45100000000002</v>
      </c>
      <c r="D31" s="204">
        <v>744.35800000000006</v>
      </c>
      <c r="E31" s="205">
        <v>915.27200000000005</v>
      </c>
      <c r="F31" s="205">
        <v>458.66</v>
      </c>
      <c r="G31" s="205">
        <v>456.61200000000002</v>
      </c>
      <c r="H31" s="205">
        <v>120.56399999999999</v>
      </c>
      <c r="I31" s="205">
        <v>1035.836</v>
      </c>
      <c r="J31" s="206">
        <v>1.2296126326310726</v>
      </c>
      <c r="K31" s="206">
        <v>1.391583082334038</v>
      </c>
      <c r="L31" s="207">
        <v>0.51398677010646465</v>
      </c>
      <c r="M31" s="194"/>
      <c r="N31" s="194"/>
      <c r="O31" s="194"/>
      <c r="Q31" s="193"/>
      <c r="R31" s="191"/>
    </row>
    <row r="32" spans="1:18" x14ac:dyDescent="0.2">
      <c r="A32" s="180">
        <v>1951</v>
      </c>
      <c r="B32" s="180"/>
      <c r="C32" s="203">
        <v>489.58100000000002</v>
      </c>
      <c r="D32" s="204">
        <v>686.43899999999996</v>
      </c>
      <c r="E32" s="205">
        <v>843.06200000000001</v>
      </c>
      <c r="F32" s="205">
        <v>441.03100000000001</v>
      </c>
      <c r="G32" s="205">
        <v>402.03100000000001</v>
      </c>
      <c r="H32" s="205">
        <v>134.351</v>
      </c>
      <c r="I32" s="205">
        <v>977.41300000000001</v>
      </c>
      <c r="J32" s="206">
        <v>1.2281673972486995</v>
      </c>
      <c r="K32" s="206">
        <v>1.4238890855560364</v>
      </c>
      <c r="L32" s="207">
        <v>0.41500982696158117</v>
      </c>
      <c r="M32" s="194"/>
      <c r="N32" s="194"/>
      <c r="O32" s="194"/>
      <c r="Q32" s="193"/>
      <c r="R32" s="191"/>
    </row>
    <row r="33" spans="1:18" x14ac:dyDescent="0.2">
      <c r="A33" s="180">
        <v>1952</v>
      </c>
      <c r="B33" s="180"/>
      <c r="C33" s="203">
        <v>569.86400000000003</v>
      </c>
      <c r="D33" s="204">
        <v>852.65700000000004</v>
      </c>
      <c r="E33" s="205">
        <v>1037.8209999999999</v>
      </c>
      <c r="F33" s="205">
        <v>513.49</v>
      </c>
      <c r="G33" s="205">
        <v>524.33100000000002</v>
      </c>
      <c r="H33" s="205">
        <v>157.286</v>
      </c>
      <c r="I33" s="205">
        <v>1195.107</v>
      </c>
      <c r="J33" s="206">
        <v>1.2171611797006296</v>
      </c>
      <c r="K33" s="206">
        <v>1.4016269144568096</v>
      </c>
      <c r="L33" s="207">
        <v>0.49499166183446336</v>
      </c>
      <c r="M33" s="194"/>
      <c r="N33" s="194"/>
      <c r="O33" s="194"/>
      <c r="Q33" s="193"/>
      <c r="R33" s="191"/>
    </row>
    <row r="34" spans="1:18" x14ac:dyDescent="0.2">
      <c r="A34" s="180">
        <v>1953</v>
      </c>
      <c r="B34" s="180"/>
      <c r="C34" s="203">
        <v>601.04100000000005</v>
      </c>
      <c r="D34" s="204">
        <v>875.3180000000001</v>
      </c>
      <c r="E34" s="205">
        <v>1101.413</v>
      </c>
      <c r="F34" s="205">
        <v>550.67399999999998</v>
      </c>
      <c r="G34" s="205">
        <v>550.73900000000003</v>
      </c>
      <c r="H34" s="205">
        <v>189.75400000000002</v>
      </c>
      <c r="I34" s="205">
        <v>1291.1669999999999</v>
      </c>
      <c r="J34" s="206">
        <v>1.258300411964566</v>
      </c>
      <c r="K34" s="206">
        <v>1.4750833411400197</v>
      </c>
      <c r="L34" s="207">
        <v>0.37617132408123816</v>
      </c>
      <c r="M34" s="194"/>
      <c r="N34" s="194"/>
      <c r="O34" s="194"/>
      <c r="Q34" s="193"/>
      <c r="R34" s="191"/>
    </row>
    <row r="35" spans="1:18" x14ac:dyDescent="0.2">
      <c r="A35" s="180">
        <v>1954</v>
      </c>
      <c r="B35" s="180"/>
      <c r="C35" s="203">
        <v>698.846</v>
      </c>
      <c r="D35" s="204">
        <v>966.70600000000002</v>
      </c>
      <c r="E35" s="205">
        <v>1274.81</v>
      </c>
      <c r="F35" s="205">
        <v>639.11699999999996</v>
      </c>
      <c r="G35" s="205">
        <v>635.69299999999998</v>
      </c>
      <c r="H35" s="205">
        <v>227.136</v>
      </c>
      <c r="I35" s="205">
        <v>1501.9459999999999</v>
      </c>
      <c r="J35" s="206">
        <v>1.3187153074461107</v>
      </c>
      <c r="K35" s="206">
        <v>1.5536740229190673</v>
      </c>
      <c r="L35" s="207">
        <v>0.34069467211204663</v>
      </c>
      <c r="M35" s="194"/>
      <c r="N35" s="194"/>
      <c r="O35" s="194"/>
      <c r="Q35" s="193"/>
      <c r="R35" s="191"/>
    </row>
    <row r="36" spans="1:18" x14ac:dyDescent="0.2">
      <c r="A36" s="180">
        <v>1955</v>
      </c>
      <c r="B36" s="180"/>
      <c r="C36" s="203">
        <v>664.15800000000002</v>
      </c>
      <c r="D36" s="204">
        <v>933.50900000000001</v>
      </c>
      <c r="E36" s="205">
        <v>1199.6860000000001</v>
      </c>
      <c r="F36" s="205">
        <v>609.75</v>
      </c>
      <c r="G36" s="205">
        <v>589.93600000000004</v>
      </c>
      <c r="H36" s="205">
        <v>241.553</v>
      </c>
      <c r="I36" s="205">
        <v>1441.239</v>
      </c>
      <c r="J36" s="206">
        <v>1.2851359761930523</v>
      </c>
      <c r="K36" s="206">
        <v>1.5438940599394329</v>
      </c>
      <c r="L36" s="207">
        <v>0.24360428769968059</v>
      </c>
      <c r="M36" s="194"/>
      <c r="N36" s="194"/>
      <c r="O36" s="194"/>
      <c r="Q36" s="193"/>
      <c r="R36" s="191"/>
    </row>
    <row r="37" spans="1:18" x14ac:dyDescent="0.2">
      <c r="A37" s="180">
        <v>1956</v>
      </c>
      <c r="B37" s="180"/>
      <c r="C37" s="203">
        <v>751.91499999999996</v>
      </c>
      <c r="D37" s="204">
        <v>1043.6099999999999</v>
      </c>
      <c r="E37" s="205">
        <v>1356.9470000000001</v>
      </c>
      <c r="F37" s="205">
        <v>690.24400000000003</v>
      </c>
      <c r="G37" s="205">
        <v>666.70299999999997</v>
      </c>
      <c r="H37" s="205">
        <v>281.08800000000002</v>
      </c>
      <c r="I37" s="205">
        <v>1638.0350000000001</v>
      </c>
      <c r="J37" s="206">
        <v>1.300243385939192</v>
      </c>
      <c r="K37" s="206">
        <v>1.5695853815122509</v>
      </c>
      <c r="L37" s="207">
        <v>0.23975311882835229</v>
      </c>
      <c r="M37" s="194"/>
      <c r="N37" s="194"/>
      <c r="O37" s="194"/>
      <c r="Q37" s="193"/>
      <c r="R37" s="191"/>
    </row>
    <row r="38" spans="1:18" x14ac:dyDescent="0.2">
      <c r="A38" s="180">
        <v>1957</v>
      </c>
      <c r="B38" s="180"/>
      <c r="C38" s="203">
        <v>768.55100000000004</v>
      </c>
      <c r="D38" s="204">
        <v>1099.653</v>
      </c>
      <c r="E38" s="205">
        <v>1411.0930000000001</v>
      </c>
      <c r="F38" s="205">
        <v>703.34400000000005</v>
      </c>
      <c r="G38" s="205">
        <v>707.74900000000002</v>
      </c>
      <c r="H38" s="205">
        <v>316.03199999999998</v>
      </c>
      <c r="I38" s="205">
        <v>1727.125</v>
      </c>
      <c r="J38" s="206">
        <v>1.2832166146957269</v>
      </c>
      <c r="K38" s="206">
        <v>1.5706090921408844</v>
      </c>
      <c r="L38" s="207">
        <v>0.24282434681913584</v>
      </c>
      <c r="M38" s="194"/>
      <c r="N38" s="194"/>
      <c r="O38" s="194"/>
      <c r="Q38" s="193"/>
      <c r="R38" s="191"/>
    </row>
    <row r="39" spans="1:18" x14ac:dyDescent="0.2">
      <c r="A39" s="180">
        <v>1958</v>
      </c>
      <c r="B39" s="180"/>
      <c r="C39" s="203">
        <v>752.48299999999995</v>
      </c>
      <c r="D39" s="204">
        <v>1063.6099999999999</v>
      </c>
      <c r="E39" s="205">
        <v>1397.462</v>
      </c>
      <c r="F39" s="205">
        <v>688.3</v>
      </c>
      <c r="G39" s="205">
        <v>709.16200000000003</v>
      </c>
      <c r="H39" s="205">
        <v>310.50599999999997</v>
      </c>
      <c r="I39" s="205">
        <v>1707.9679999999998</v>
      </c>
      <c r="J39" s="206">
        <v>1.3138857287915684</v>
      </c>
      <c r="K39" s="206">
        <v>1.6058216827596581</v>
      </c>
      <c r="L39" s="207">
        <v>0.26735395510922927</v>
      </c>
      <c r="M39" s="194"/>
      <c r="N39" s="194"/>
      <c r="O39" s="194"/>
      <c r="Q39" s="193"/>
      <c r="R39" s="191"/>
    </row>
    <row r="40" spans="1:18" x14ac:dyDescent="0.2">
      <c r="A40" s="180">
        <v>1959</v>
      </c>
      <c r="B40" s="180"/>
      <c r="C40" s="203">
        <v>803.303</v>
      </c>
      <c r="D40" s="204">
        <v>1190.6680000000001</v>
      </c>
      <c r="E40" s="205">
        <v>1566.9929999999999</v>
      </c>
      <c r="F40" s="205">
        <v>730.39700000000005</v>
      </c>
      <c r="G40" s="205">
        <v>836.596</v>
      </c>
      <c r="H40" s="205">
        <v>357.221</v>
      </c>
      <c r="I40" s="205">
        <v>1924.2139999999999</v>
      </c>
      <c r="J40" s="206">
        <v>1.3160620760783022</v>
      </c>
      <c r="K40" s="206">
        <v>1.6160793772907307</v>
      </c>
      <c r="L40" s="207">
        <v>0.29557523227665944</v>
      </c>
      <c r="M40" s="194"/>
      <c r="N40" s="194"/>
      <c r="O40" s="194"/>
      <c r="Q40" s="193"/>
      <c r="R40" s="191"/>
    </row>
    <row r="41" spans="1:18" x14ac:dyDescent="0.2">
      <c r="A41" s="180">
        <v>1960</v>
      </c>
      <c r="B41" s="180"/>
      <c r="C41" s="203">
        <v>898.48699999999997</v>
      </c>
      <c r="D41" s="204">
        <v>1267.259</v>
      </c>
      <c r="E41" s="205">
        <v>1735.6220000000001</v>
      </c>
      <c r="F41" s="205">
        <v>826.82100000000003</v>
      </c>
      <c r="G41" s="205">
        <v>908.80100000000004</v>
      </c>
      <c r="H41" s="205">
        <v>393.71299999999997</v>
      </c>
      <c r="I41" s="205">
        <v>2129.335</v>
      </c>
      <c r="J41" s="206">
        <v>1.3695874324033208</v>
      </c>
      <c r="K41" s="206">
        <v>1.6802682008965808</v>
      </c>
      <c r="L41" s="207">
        <v>0.22875921355728432</v>
      </c>
      <c r="M41" s="194"/>
      <c r="N41" s="194"/>
      <c r="O41" s="194"/>
      <c r="Q41" s="193"/>
      <c r="R41" s="191"/>
    </row>
    <row r="42" spans="1:18" x14ac:dyDescent="0.2">
      <c r="A42" s="180">
        <v>1961</v>
      </c>
      <c r="B42" s="180"/>
      <c r="C42" s="203">
        <v>921.47199999999998</v>
      </c>
      <c r="D42" s="204">
        <v>1289.576</v>
      </c>
      <c r="E42" s="205">
        <v>1794.836</v>
      </c>
      <c r="F42" s="205">
        <v>860.07</v>
      </c>
      <c r="G42" s="205">
        <v>934.76599999999996</v>
      </c>
      <c r="H42" s="205">
        <v>422.18400000000003</v>
      </c>
      <c r="I42" s="205">
        <v>2217.02</v>
      </c>
      <c r="J42" s="206">
        <v>1.3918031973299752</v>
      </c>
      <c r="K42" s="206">
        <v>1.7191852205686209</v>
      </c>
      <c r="L42" s="207">
        <v>0.16867732361458174</v>
      </c>
      <c r="M42" s="194"/>
      <c r="N42" s="194"/>
      <c r="O42" s="194"/>
      <c r="Q42" s="193"/>
      <c r="R42" s="191"/>
    </row>
    <row r="43" spans="1:18" x14ac:dyDescent="0.2">
      <c r="A43" s="180">
        <v>1962</v>
      </c>
      <c r="B43" s="180"/>
      <c r="C43" s="203">
        <v>1006.5119999999999</v>
      </c>
      <c r="D43" s="204">
        <v>1470.7729999999999</v>
      </c>
      <c r="E43" s="205">
        <v>2000.473</v>
      </c>
      <c r="F43" s="205">
        <v>929.101</v>
      </c>
      <c r="G43" s="205">
        <v>1071.3720000000001</v>
      </c>
      <c r="H43" s="205">
        <v>473.61099999999999</v>
      </c>
      <c r="I43" s="205">
        <v>2474.0839999999998</v>
      </c>
      <c r="J43" s="206">
        <v>1.3601507506596873</v>
      </c>
      <c r="K43" s="206">
        <v>1.6821657726923189</v>
      </c>
      <c r="L43" s="207">
        <v>0.23465856454348361</v>
      </c>
      <c r="M43" s="194"/>
      <c r="N43" s="194"/>
      <c r="O43" s="194"/>
      <c r="Q43" s="193"/>
      <c r="R43" s="191"/>
    </row>
    <row r="44" spans="1:18" x14ac:dyDescent="0.2">
      <c r="A44" s="180">
        <v>1963</v>
      </c>
      <c r="B44" s="180"/>
      <c r="C44" s="203">
        <v>1106.9469999999999</v>
      </c>
      <c r="D44" s="204">
        <v>1630.7109999999998</v>
      </c>
      <c r="E44" s="205">
        <v>2251.4</v>
      </c>
      <c r="F44" s="205">
        <v>1014.5</v>
      </c>
      <c r="G44" s="205">
        <v>1236.9000000000001</v>
      </c>
      <c r="H44" s="205">
        <v>550.74900000000002</v>
      </c>
      <c r="I44" s="205">
        <v>2802.1490000000003</v>
      </c>
      <c r="J44" s="206">
        <v>1.3806247704222272</v>
      </c>
      <c r="K44" s="206">
        <v>1.7183602735248618</v>
      </c>
      <c r="L44" s="207">
        <v>0.26112315940372904</v>
      </c>
      <c r="M44" s="194"/>
      <c r="N44" s="194"/>
      <c r="O44" s="194"/>
      <c r="Q44" s="193"/>
      <c r="R44" s="191"/>
    </row>
    <row r="45" spans="1:18" x14ac:dyDescent="0.2">
      <c r="A45" s="180">
        <v>1964</v>
      </c>
      <c r="B45" s="180"/>
      <c r="C45" s="203">
        <v>1204.4749999999999</v>
      </c>
      <c r="D45" s="204">
        <v>1789.2539999999999</v>
      </c>
      <c r="E45" s="205">
        <v>2523.6</v>
      </c>
      <c r="F45" s="205">
        <v>1114</v>
      </c>
      <c r="G45" s="205">
        <v>1409.6</v>
      </c>
      <c r="H45" s="205">
        <v>627.03899999999999</v>
      </c>
      <c r="I45" s="205">
        <v>3150.6390000000001</v>
      </c>
      <c r="J45" s="206">
        <v>1.4104202086456143</v>
      </c>
      <c r="K45" s="206">
        <v>1.7608673782481417</v>
      </c>
      <c r="L45" s="207">
        <v>0.25737445641979295</v>
      </c>
      <c r="M45" s="194"/>
      <c r="N45" s="194"/>
      <c r="O45" s="194"/>
      <c r="Q45" s="193"/>
      <c r="R45" s="191"/>
    </row>
    <row r="46" spans="1:18" x14ac:dyDescent="0.2">
      <c r="A46" s="180">
        <v>1965</v>
      </c>
      <c r="B46" s="180"/>
      <c r="C46" s="203">
        <v>1310.0509999999999</v>
      </c>
      <c r="D46" s="204">
        <v>1888.2159999999999</v>
      </c>
      <c r="E46" s="205">
        <v>2582.0720000000001</v>
      </c>
      <c r="F46" s="205">
        <v>1214.944</v>
      </c>
      <c r="G46" s="205">
        <v>1367.1279999999999</v>
      </c>
      <c r="H46" s="205">
        <v>712.404</v>
      </c>
      <c r="I46" s="205">
        <v>3294.4760000000001</v>
      </c>
      <c r="J46" s="206">
        <v>1.3674664339249325</v>
      </c>
      <c r="K46" s="206">
        <v>1.7447558965711552</v>
      </c>
      <c r="L46" s="207">
        <v>0.18388994182989951</v>
      </c>
      <c r="M46" s="194"/>
      <c r="N46" s="194"/>
      <c r="O46" s="194"/>
      <c r="Q46" s="193"/>
      <c r="R46" s="191"/>
    </row>
    <row r="47" spans="1:18" x14ac:dyDescent="0.2">
      <c r="A47" s="180">
        <v>1966</v>
      </c>
      <c r="B47" s="180"/>
      <c r="C47" s="203">
        <v>1424.537</v>
      </c>
      <c r="D47" s="204">
        <v>2133.4610000000002</v>
      </c>
      <c r="E47" s="205">
        <v>2917.44</v>
      </c>
      <c r="F47" s="205">
        <v>1320.202</v>
      </c>
      <c r="G47" s="205">
        <v>1597.2380000000001</v>
      </c>
      <c r="H47" s="205">
        <v>855.8309999999999</v>
      </c>
      <c r="I47" s="205">
        <v>3773.2709999999997</v>
      </c>
      <c r="J47" s="206">
        <v>1.367468165576966</v>
      </c>
      <c r="K47" s="206">
        <v>1.7686149406996421</v>
      </c>
      <c r="L47" s="207">
        <v>0.21312304364038528</v>
      </c>
      <c r="M47" s="194"/>
      <c r="N47" s="194"/>
      <c r="O47" s="194"/>
      <c r="Q47" s="193"/>
      <c r="R47" s="191"/>
    </row>
    <row r="48" spans="1:18" x14ac:dyDescent="0.2">
      <c r="A48" s="180">
        <v>1967</v>
      </c>
      <c r="B48" s="180"/>
      <c r="C48" s="203">
        <v>1492.558</v>
      </c>
      <c r="D48" s="204">
        <v>2210.6619999999998</v>
      </c>
      <c r="E48" s="205">
        <v>3399.6819999999998</v>
      </c>
      <c r="F48" s="205">
        <v>1370.7149999999999</v>
      </c>
      <c r="G48" s="205">
        <v>2028.9670000000001</v>
      </c>
      <c r="H48" s="205">
        <v>934.56799999999998</v>
      </c>
      <c r="I48" s="205">
        <v>4334.25</v>
      </c>
      <c r="J48" s="206">
        <v>1.5378569858259652</v>
      </c>
      <c r="K48" s="206">
        <v>1.9606117986376934</v>
      </c>
      <c r="L48" s="207">
        <v>0.22382280671396437</v>
      </c>
      <c r="M48" s="194"/>
      <c r="N48" s="194"/>
      <c r="O48" s="194"/>
      <c r="Q48" s="193"/>
      <c r="R48" s="191"/>
    </row>
    <row r="49" spans="1:18" x14ac:dyDescent="0.2">
      <c r="A49" s="180">
        <v>1968</v>
      </c>
      <c r="B49" s="180"/>
      <c r="C49" s="203">
        <v>1726.9829999999999</v>
      </c>
      <c r="D49" s="204">
        <v>2542.634</v>
      </c>
      <c r="E49" s="205">
        <v>3868.0969999999998</v>
      </c>
      <c r="F49" s="205">
        <v>1564.057</v>
      </c>
      <c r="G49" s="205">
        <v>2304.04</v>
      </c>
      <c r="H49" s="205">
        <v>1249.3119999999999</v>
      </c>
      <c r="I49" s="205">
        <v>5117.4089999999997</v>
      </c>
      <c r="J49" s="206">
        <v>1.5212952395036012</v>
      </c>
      <c r="K49" s="206">
        <v>2.0126408283693209</v>
      </c>
      <c r="L49" s="207">
        <v>0.14558324339524162</v>
      </c>
      <c r="M49" s="194"/>
      <c r="N49" s="194"/>
      <c r="O49" s="194"/>
      <c r="Q49" s="193"/>
      <c r="R49" s="191"/>
    </row>
    <row r="50" spans="1:18" x14ac:dyDescent="0.2">
      <c r="A50" s="180">
        <v>1969</v>
      </c>
      <c r="B50" s="180"/>
      <c r="C50" s="203">
        <v>1873.1949999999999</v>
      </c>
      <c r="D50" s="204">
        <v>3003.8670000000002</v>
      </c>
      <c r="E50" s="205">
        <v>4389.2280000000001</v>
      </c>
      <c r="F50" s="205">
        <v>1702.48</v>
      </c>
      <c r="G50" s="205">
        <v>2686.748</v>
      </c>
      <c r="H50" s="205">
        <v>1573.82</v>
      </c>
      <c r="I50" s="205">
        <v>5963.0479999999998</v>
      </c>
      <c r="J50" s="206">
        <v>1.4611925228380616</v>
      </c>
      <c r="K50" s="206">
        <v>1.9851238420342843</v>
      </c>
      <c r="L50" s="207">
        <v>0.11775957530444164</v>
      </c>
      <c r="M50" s="194"/>
      <c r="N50" s="194"/>
      <c r="O50" s="194"/>
      <c r="Q50" s="193"/>
      <c r="R50" s="191"/>
    </row>
    <row r="51" spans="1:18" x14ac:dyDescent="0.2">
      <c r="A51" s="180">
        <v>1970</v>
      </c>
      <c r="B51" s="180"/>
      <c r="C51" s="203">
        <v>2469.5360000000001</v>
      </c>
      <c r="D51" s="204">
        <v>4021.402</v>
      </c>
      <c r="E51" s="205">
        <v>5465.0849999999991</v>
      </c>
      <c r="F51" s="205">
        <v>2271.9029999999998</v>
      </c>
      <c r="G51" s="205">
        <v>3193.1819999999998</v>
      </c>
      <c r="H51" s="205">
        <v>1795.8789999999999</v>
      </c>
      <c r="I51" s="205">
        <v>7260.963999999999</v>
      </c>
      <c r="J51" s="206">
        <v>1.3589999209231007</v>
      </c>
      <c r="K51" s="206">
        <v>1.8055802429103081</v>
      </c>
      <c r="L51" s="207">
        <v>0.18986156659088244</v>
      </c>
      <c r="M51" s="194"/>
      <c r="N51" s="194"/>
      <c r="O51" s="194"/>
      <c r="Q51" s="193"/>
      <c r="R51" s="191"/>
    </row>
    <row r="52" spans="1:18" x14ac:dyDescent="0.2">
      <c r="A52" s="180">
        <v>1971</v>
      </c>
      <c r="B52" s="180"/>
      <c r="C52" s="203">
        <v>2558.2130000000002</v>
      </c>
      <c r="D52" s="204">
        <v>4356.4080000000004</v>
      </c>
      <c r="E52" s="205">
        <v>6117.951</v>
      </c>
      <c r="F52" s="205">
        <v>2341.5909999999999</v>
      </c>
      <c r="G52" s="205">
        <v>3776.36</v>
      </c>
      <c r="H52" s="205">
        <v>2261.201</v>
      </c>
      <c r="I52" s="205">
        <v>8379.152</v>
      </c>
      <c r="J52" s="206">
        <v>1.4043567544637692</v>
      </c>
      <c r="K52" s="206">
        <v>1.9234084594464063</v>
      </c>
      <c r="L52" s="207">
        <v>7.4091029736660707E-2</v>
      </c>
      <c r="M52" s="194"/>
      <c r="N52" s="194"/>
      <c r="O52" s="194"/>
      <c r="Q52" s="193"/>
      <c r="R52" s="191"/>
    </row>
    <row r="53" spans="1:18" x14ac:dyDescent="0.2">
      <c r="A53" s="180">
        <v>1972</v>
      </c>
      <c r="B53" s="180"/>
      <c r="C53" s="203">
        <v>3065.2759999999998</v>
      </c>
      <c r="D53" s="204">
        <v>5473.1919999999991</v>
      </c>
      <c r="E53" s="205">
        <v>7423.2929999999997</v>
      </c>
      <c r="F53" s="205">
        <v>2817.5520000000001</v>
      </c>
      <c r="G53" s="205">
        <v>4605.741</v>
      </c>
      <c r="H53" s="205">
        <v>2773.8789999999999</v>
      </c>
      <c r="I53" s="205">
        <v>10197.171999999999</v>
      </c>
      <c r="J53" s="206">
        <v>1.3563004915595873</v>
      </c>
      <c r="K53" s="206">
        <v>1.8631124214169721</v>
      </c>
      <c r="L53" s="207">
        <v>0.31366510244212809</v>
      </c>
      <c r="M53" s="194"/>
      <c r="N53" s="194"/>
      <c r="O53" s="194"/>
      <c r="Q53" s="193"/>
      <c r="R53" s="191"/>
    </row>
    <row r="54" spans="1:18" x14ac:dyDescent="0.2">
      <c r="A54" s="180">
        <v>1973</v>
      </c>
      <c r="B54" s="180"/>
      <c r="C54" s="203">
        <v>3883.1550000000002</v>
      </c>
      <c r="D54" s="204">
        <v>7520.8040000000001</v>
      </c>
      <c r="E54" s="205">
        <v>9369.8060000000005</v>
      </c>
      <c r="F54" s="205">
        <v>3538.0830000000001</v>
      </c>
      <c r="G54" s="205">
        <v>5831.723</v>
      </c>
      <c r="H54" s="205">
        <v>3357.1439999999993</v>
      </c>
      <c r="I54" s="205">
        <v>12726.95</v>
      </c>
      <c r="J54" s="206">
        <v>1.2458516403299436</v>
      </c>
      <c r="K54" s="206">
        <v>1.692232638957218</v>
      </c>
      <c r="L54" s="207">
        <v>0.44385119765536912</v>
      </c>
      <c r="M54" s="194"/>
      <c r="N54" s="194"/>
      <c r="O54" s="194"/>
      <c r="Q54" s="193"/>
      <c r="R54" s="191"/>
    </row>
    <row r="55" spans="1:18" x14ac:dyDescent="0.2">
      <c r="A55" s="180">
        <v>1974</v>
      </c>
      <c r="B55" s="180"/>
      <c r="C55" s="203">
        <v>5078.9849999999997</v>
      </c>
      <c r="D55" s="204">
        <v>9332.2849999999999</v>
      </c>
      <c r="E55" s="205">
        <v>13381.298000000001</v>
      </c>
      <c r="F55" s="205">
        <v>4640.1440000000002</v>
      </c>
      <c r="G55" s="205">
        <v>8741.1540000000005</v>
      </c>
      <c r="H55" s="205">
        <v>4316.2519999999995</v>
      </c>
      <c r="I55" s="205">
        <v>17697.55</v>
      </c>
      <c r="J55" s="206">
        <v>1.4338715545013896</v>
      </c>
      <c r="K55" s="206">
        <v>1.8963790754354373</v>
      </c>
      <c r="L55" s="207">
        <v>0.47950467720108148</v>
      </c>
      <c r="M55" s="194"/>
      <c r="N55" s="194"/>
      <c r="O55" s="194"/>
      <c r="Q55" s="193"/>
      <c r="R55" s="191"/>
    </row>
    <row r="56" spans="1:18" x14ac:dyDescent="0.2">
      <c r="A56" s="180">
        <v>1975</v>
      </c>
      <c r="B56" s="180"/>
      <c r="C56" s="203">
        <v>5765.6850000000004</v>
      </c>
      <c r="D56" s="204">
        <v>9973.3180000000011</v>
      </c>
      <c r="E56" s="205">
        <v>15539.324000000001</v>
      </c>
      <c r="F56" s="205">
        <v>5241.1570000000002</v>
      </c>
      <c r="G56" s="205">
        <v>10298.166999999999</v>
      </c>
      <c r="H56" s="205">
        <v>4631.2689999999993</v>
      </c>
      <c r="I56" s="205">
        <v>20170.593000000001</v>
      </c>
      <c r="J56" s="206">
        <v>1.5580896949239962</v>
      </c>
      <c r="K56" s="206">
        <v>2.0224556160748106</v>
      </c>
      <c r="L56" s="207">
        <v>0.30436700596754884</v>
      </c>
      <c r="M56" s="194"/>
      <c r="N56" s="194"/>
      <c r="O56" s="194"/>
      <c r="Q56" s="193"/>
      <c r="R56" s="191"/>
    </row>
    <row r="57" spans="1:18" x14ac:dyDescent="0.2">
      <c r="A57" s="180">
        <v>1976</v>
      </c>
      <c r="B57" s="202"/>
      <c r="C57" s="203">
        <v>8048.482</v>
      </c>
      <c r="D57" s="204">
        <v>14702.628000000001</v>
      </c>
      <c r="E57" s="205">
        <v>21462.652999999998</v>
      </c>
      <c r="F57" s="205">
        <v>7387.6939999999995</v>
      </c>
      <c r="G57" s="205">
        <v>14074.958999999999</v>
      </c>
      <c r="H57" s="205">
        <v>5906.701448979592</v>
      </c>
      <c r="I57" s="205">
        <v>27369.35444897959</v>
      </c>
      <c r="J57" s="206">
        <v>1.459783448237961</v>
      </c>
      <c r="K57" s="206">
        <v>1.8615280512422396</v>
      </c>
      <c r="L57" s="207">
        <v>0.42854736021869505</v>
      </c>
      <c r="M57" s="194"/>
      <c r="N57" s="194"/>
      <c r="O57" s="194"/>
      <c r="Q57" s="193"/>
      <c r="R57" s="191"/>
    </row>
    <row r="58" spans="1:18" x14ac:dyDescent="0.2">
      <c r="A58" s="180">
        <v>1977</v>
      </c>
      <c r="B58" s="180"/>
      <c r="C58" s="203">
        <v>9619.2004940000006</v>
      </c>
      <c r="D58" s="204">
        <v>16090.955494</v>
      </c>
      <c r="E58" s="205">
        <v>26367.659</v>
      </c>
      <c r="F58" s="205">
        <v>8922.8799999999992</v>
      </c>
      <c r="G58" s="205">
        <v>17444.779000000002</v>
      </c>
      <c r="H58" s="205">
        <v>6644.7833113417355</v>
      </c>
      <c r="I58" s="205">
        <v>33012.442311341736</v>
      </c>
      <c r="J58" s="206">
        <v>1.638663347856004</v>
      </c>
      <c r="K58" s="206">
        <v>2.0516147921514931</v>
      </c>
      <c r="L58" s="207">
        <v>0.46385133343312568</v>
      </c>
      <c r="M58" s="194"/>
      <c r="N58" s="194"/>
      <c r="O58" s="194"/>
      <c r="Q58" s="193"/>
      <c r="R58" s="191"/>
    </row>
    <row r="59" spans="1:18" x14ac:dyDescent="0.2">
      <c r="A59" s="180">
        <v>1978</v>
      </c>
      <c r="B59" s="180"/>
      <c r="C59" s="203">
        <v>10913.428</v>
      </c>
      <c r="D59" s="204">
        <v>19995.292000000001</v>
      </c>
      <c r="E59" s="205">
        <v>29925.018</v>
      </c>
      <c r="F59" s="205">
        <v>10020.932000000001</v>
      </c>
      <c r="G59" s="205">
        <v>19904.085999999999</v>
      </c>
      <c r="H59" s="205">
        <v>7088.5572523719156</v>
      </c>
      <c r="I59" s="205">
        <v>37013.575252371913</v>
      </c>
      <c r="J59" s="206">
        <v>1.4966032003933725</v>
      </c>
      <c r="K59" s="206">
        <v>1.8511145149754207</v>
      </c>
      <c r="L59" s="207">
        <v>0.43951296508755411</v>
      </c>
      <c r="M59" s="194"/>
      <c r="N59" s="194"/>
      <c r="O59" s="194"/>
      <c r="Q59" s="193"/>
      <c r="R59" s="191"/>
    </row>
    <row r="60" spans="1:18" x14ac:dyDescent="0.2">
      <c r="A60" s="180">
        <v>1979</v>
      </c>
      <c r="B60" s="202"/>
      <c r="C60" s="203">
        <v>13008.808999999999</v>
      </c>
      <c r="D60" s="204">
        <v>23565.732</v>
      </c>
      <c r="E60" s="205">
        <v>34998.198000000004</v>
      </c>
      <c r="F60" s="205">
        <v>12095.464</v>
      </c>
      <c r="G60" s="205">
        <v>22902.734</v>
      </c>
      <c r="H60" s="205">
        <v>8404.9907991104519</v>
      </c>
      <c r="I60" s="205">
        <v>43403.18879911046</v>
      </c>
      <c r="J60" s="206">
        <v>1.4851309520111662</v>
      </c>
      <c r="K60" s="206">
        <v>1.841792514618704</v>
      </c>
      <c r="L60" s="207">
        <v>0.39711108487683927</v>
      </c>
      <c r="M60" s="194"/>
      <c r="N60" s="194"/>
      <c r="O60" s="194"/>
      <c r="Q60" s="193"/>
      <c r="R60" s="191"/>
    </row>
    <row r="61" spans="1:18" x14ac:dyDescent="0.2">
      <c r="A61" s="180">
        <v>1980</v>
      </c>
      <c r="B61" s="180"/>
      <c r="C61" s="203">
        <v>16162.629000000001</v>
      </c>
      <c r="D61" s="204">
        <v>27776.183000000001</v>
      </c>
      <c r="E61" s="205">
        <v>44789.438999999998</v>
      </c>
      <c r="F61" s="205">
        <v>14884.647000000001</v>
      </c>
      <c r="G61" s="205">
        <v>29904.792000000001</v>
      </c>
      <c r="H61" s="205">
        <v>9633.4941703650693</v>
      </c>
      <c r="I61" s="205">
        <v>54422.933170365068</v>
      </c>
      <c r="J61" s="206">
        <v>1.61251238156085</v>
      </c>
      <c r="K61" s="206">
        <v>1.9593380836512009</v>
      </c>
      <c r="L61" s="207">
        <v>0.43074328105402715</v>
      </c>
      <c r="M61" s="194"/>
      <c r="N61" s="194"/>
      <c r="O61" s="194"/>
      <c r="Q61" s="193"/>
      <c r="R61" s="191"/>
    </row>
    <row r="62" spans="1:18" x14ac:dyDescent="0.2">
      <c r="A62" s="180">
        <v>1981</v>
      </c>
      <c r="B62" s="180"/>
      <c r="C62" s="203">
        <v>18334</v>
      </c>
      <c r="D62" s="204">
        <v>30047</v>
      </c>
      <c r="E62" s="205">
        <v>50047.569000000003</v>
      </c>
      <c r="F62" s="205">
        <v>16906.761999999999</v>
      </c>
      <c r="G62" s="205">
        <v>33140.807000000001</v>
      </c>
      <c r="H62" s="205">
        <v>10861.998629449346</v>
      </c>
      <c r="I62" s="205">
        <v>60909.567629449346</v>
      </c>
      <c r="J62" s="206">
        <v>1.6656427929576998</v>
      </c>
      <c r="K62" s="206">
        <v>2.0271430635154708</v>
      </c>
      <c r="L62" s="207">
        <v>0.28663894706437359</v>
      </c>
      <c r="M62" s="194"/>
      <c r="N62" s="194"/>
      <c r="O62" s="194"/>
      <c r="Q62" s="193"/>
      <c r="R62" s="191"/>
    </row>
    <row r="63" spans="1:18" x14ac:dyDescent="0.2">
      <c r="A63" s="180">
        <v>1982</v>
      </c>
      <c r="B63" s="180"/>
      <c r="C63" s="203">
        <v>21582</v>
      </c>
      <c r="D63" s="204">
        <v>33902</v>
      </c>
      <c r="E63" s="205">
        <v>60167.33</v>
      </c>
      <c r="F63" s="205">
        <v>20024.331999999999</v>
      </c>
      <c r="G63" s="205">
        <v>40142.998</v>
      </c>
      <c r="H63" s="205">
        <v>12562.381596779189</v>
      </c>
      <c r="I63" s="205">
        <v>72729.711596779191</v>
      </c>
      <c r="J63" s="206">
        <v>1.7747427880361042</v>
      </c>
      <c r="K63" s="206">
        <v>2.1452926552055689</v>
      </c>
      <c r="L63" s="207">
        <v>0.10192133145695731</v>
      </c>
      <c r="M63" s="194"/>
      <c r="N63" s="194"/>
      <c r="O63" s="194"/>
      <c r="Q63" s="193"/>
      <c r="R63" s="191"/>
    </row>
    <row r="64" spans="1:18" x14ac:dyDescent="0.2">
      <c r="A64" s="180">
        <v>1983</v>
      </c>
      <c r="B64" s="180"/>
      <c r="C64" s="203">
        <v>26816</v>
      </c>
      <c r="D64" s="204">
        <v>38828</v>
      </c>
      <c r="E64" s="205">
        <v>78450.398000000001</v>
      </c>
      <c r="F64" s="205">
        <v>24918.471000000001</v>
      </c>
      <c r="G64" s="205">
        <v>53531.927000000003</v>
      </c>
      <c r="H64" s="205">
        <v>19628.33146616022</v>
      </c>
      <c r="I64" s="205">
        <v>98078.729466160221</v>
      </c>
      <c r="J64" s="206">
        <v>2.0204594107345213</v>
      </c>
      <c r="K64" s="206">
        <v>2.5259794340723247</v>
      </c>
      <c r="L64" s="207">
        <v>0.13573301456887218</v>
      </c>
      <c r="M64" s="194"/>
      <c r="N64" s="194"/>
      <c r="O64" s="194"/>
      <c r="Q64" s="193"/>
      <c r="R64" s="191"/>
    </row>
    <row r="65" spans="1:18" x14ac:dyDescent="0.2">
      <c r="A65" s="180">
        <v>1984</v>
      </c>
      <c r="B65" s="180"/>
      <c r="C65" s="203">
        <v>37845</v>
      </c>
      <c r="D65" s="204">
        <v>56204</v>
      </c>
      <c r="E65" s="205">
        <v>111530</v>
      </c>
      <c r="F65" s="205">
        <v>34622</v>
      </c>
      <c r="G65" s="205">
        <v>76908</v>
      </c>
      <c r="H65" s="205">
        <v>34948.491235953137</v>
      </c>
      <c r="I65" s="205">
        <v>146478.49123595314</v>
      </c>
      <c r="J65" s="206">
        <v>1.9843783360614904</v>
      </c>
      <c r="K65" s="206">
        <v>2.6061933534259687</v>
      </c>
      <c r="L65" s="207">
        <v>0.1124339729015679</v>
      </c>
      <c r="M65" s="194"/>
      <c r="N65" s="194"/>
      <c r="O65" s="194"/>
      <c r="Q65" s="193"/>
      <c r="R65" s="191"/>
    </row>
    <row r="66" spans="1:18" x14ac:dyDescent="0.2">
      <c r="A66" s="180">
        <v>1985</v>
      </c>
      <c r="B66" s="180"/>
      <c r="C66" s="203">
        <v>46526</v>
      </c>
      <c r="D66" s="204">
        <v>71573</v>
      </c>
      <c r="E66" s="205">
        <v>137846</v>
      </c>
      <c r="F66" s="205">
        <v>41697</v>
      </c>
      <c r="G66" s="205">
        <v>96149</v>
      </c>
      <c r="H66" s="205">
        <v>92706.879062348569</v>
      </c>
      <c r="I66" s="205">
        <v>230552.87906234857</v>
      </c>
      <c r="J66" s="206">
        <v>1.9259497296466546</v>
      </c>
      <c r="K66" s="206">
        <v>3.2212269859073754</v>
      </c>
      <c r="L66" s="207">
        <v>8.1978672188368476E-2</v>
      </c>
      <c r="M66" s="194"/>
      <c r="N66" s="194"/>
      <c r="O66" s="194"/>
      <c r="Q66" s="193"/>
      <c r="R66" s="191"/>
    </row>
    <row r="67" spans="1:18" x14ac:dyDescent="0.2">
      <c r="A67" s="180">
        <v>1986</v>
      </c>
      <c r="B67" s="180"/>
      <c r="C67" s="203">
        <v>59568</v>
      </c>
      <c r="D67" s="204">
        <v>98885</v>
      </c>
      <c r="E67" s="205">
        <v>166000</v>
      </c>
      <c r="F67" s="205">
        <v>53346</v>
      </c>
      <c r="G67" s="205">
        <v>112654</v>
      </c>
      <c r="H67" s="205">
        <v>135565.56443079046</v>
      </c>
      <c r="I67" s="205">
        <v>301565.56443079049</v>
      </c>
      <c r="J67" s="206">
        <v>1.6787177023815543</v>
      </c>
      <c r="K67" s="206">
        <v>3.0496593460159831</v>
      </c>
      <c r="L67" s="207">
        <v>-3.6793706064501858E-2</v>
      </c>
      <c r="M67" s="194"/>
      <c r="N67" s="194"/>
      <c r="O67" s="194"/>
      <c r="Q67" s="193"/>
      <c r="R67" s="191"/>
    </row>
    <row r="68" spans="1:18" x14ac:dyDescent="0.2">
      <c r="A68" s="180">
        <v>1987</v>
      </c>
      <c r="B68" s="180"/>
      <c r="C68" s="203">
        <v>80252</v>
      </c>
      <c r="D68" s="204">
        <v>135339</v>
      </c>
      <c r="E68" s="205">
        <v>219575</v>
      </c>
      <c r="F68" s="205">
        <v>73494</v>
      </c>
      <c r="G68" s="205">
        <v>146081</v>
      </c>
      <c r="H68" s="205">
        <v>202768.37334689725</v>
      </c>
      <c r="I68" s="205">
        <v>422343.37334689725</v>
      </c>
      <c r="J68" s="206">
        <v>1.6224074361418364</v>
      </c>
      <c r="K68" s="206">
        <v>3.120633175558392</v>
      </c>
      <c r="L68" s="207">
        <v>-7.9277623268411201E-2</v>
      </c>
      <c r="M68" s="194"/>
      <c r="N68" s="194"/>
      <c r="O68" s="194"/>
      <c r="Q68" s="193"/>
      <c r="R68" s="191"/>
    </row>
    <row r="69" spans="1:18" x14ac:dyDescent="0.2">
      <c r="A69" s="180">
        <v>1988</v>
      </c>
      <c r="B69" s="180"/>
      <c r="C69" s="203">
        <v>132465</v>
      </c>
      <c r="D69" s="204">
        <v>219126</v>
      </c>
      <c r="E69" s="205">
        <v>337667</v>
      </c>
      <c r="F69" s="205">
        <v>122470</v>
      </c>
      <c r="G69" s="205">
        <v>215197</v>
      </c>
      <c r="H69" s="205">
        <v>286569.45701999997</v>
      </c>
      <c r="I69" s="205">
        <v>624236.45701999997</v>
      </c>
      <c r="J69" s="206">
        <v>1.5409718609384555</v>
      </c>
      <c r="K69" s="206">
        <v>2.848755770743773</v>
      </c>
      <c r="L69" s="207">
        <v>-0.12785232506724056</v>
      </c>
      <c r="M69" s="194"/>
      <c r="N69" s="194"/>
      <c r="O69" s="194"/>
      <c r="Q69" s="193"/>
      <c r="R69" s="191"/>
    </row>
    <row r="70" spans="1:18" x14ac:dyDescent="0.2">
      <c r="A70" s="180">
        <v>1989</v>
      </c>
      <c r="B70" s="180"/>
      <c r="C70" s="203">
        <v>190402</v>
      </c>
      <c r="D70" s="204">
        <v>313675</v>
      </c>
      <c r="E70" s="205">
        <v>466307</v>
      </c>
      <c r="F70" s="205">
        <v>174307</v>
      </c>
      <c r="G70" s="205">
        <v>292000</v>
      </c>
      <c r="H70" s="205">
        <v>443785.15353658539</v>
      </c>
      <c r="I70" s="205">
        <v>910092.15353658539</v>
      </c>
      <c r="J70" s="206">
        <v>1.4865928110305253</v>
      </c>
      <c r="K70" s="206">
        <v>2.9013856811559271</v>
      </c>
      <c r="L70" s="207">
        <v>0.14636857064255401</v>
      </c>
      <c r="M70" s="194"/>
      <c r="N70" s="194"/>
      <c r="O70" s="194"/>
      <c r="Q70" s="193"/>
      <c r="R70" s="191"/>
    </row>
    <row r="71" spans="1:18" x14ac:dyDescent="0.2">
      <c r="A71" s="180">
        <v>1990</v>
      </c>
      <c r="B71" s="180"/>
      <c r="C71" s="203">
        <v>294719</v>
      </c>
      <c r="D71" s="204">
        <v>508494</v>
      </c>
      <c r="E71" s="205">
        <v>709668</v>
      </c>
      <c r="F71" s="205">
        <v>269972</v>
      </c>
      <c r="G71" s="205">
        <v>439696</v>
      </c>
      <c r="H71" s="205">
        <v>781887.46519524616</v>
      </c>
      <c r="I71" s="205">
        <v>1491555.465195246</v>
      </c>
      <c r="J71" s="206">
        <v>1.3956270870452749</v>
      </c>
      <c r="K71" s="206">
        <v>2.9332803635740952</v>
      </c>
      <c r="L71" s="207">
        <v>0.3587116740167372</v>
      </c>
      <c r="N71" s="194"/>
      <c r="O71" s="194"/>
      <c r="Q71" s="193"/>
      <c r="R71" s="191"/>
    </row>
    <row r="72" spans="1:18" x14ac:dyDescent="0.2">
      <c r="A72" s="180">
        <v>1991</v>
      </c>
      <c r="B72" s="180"/>
      <c r="C72" s="203">
        <v>425504</v>
      </c>
      <c r="D72" s="204">
        <v>742329</v>
      </c>
      <c r="E72" s="205">
        <v>1039481</v>
      </c>
      <c r="F72" s="205">
        <v>379733</v>
      </c>
      <c r="G72" s="205">
        <v>659748</v>
      </c>
      <c r="H72" s="205">
        <v>1318804.4351112847</v>
      </c>
      <c r="I72" s="205">
        <v>2358285.4351112847</v>
      </c>
      <c r="J72" s="206">
        <v>1.4002969033945865</v>
      </c>
      <c r="K72" s="206">
        <v>3.17687364377693</v>
      </c>
      <c r="L72" s="207">
        <v>0.41376490469266608</v>
      </c>
      <c r="N72" s="194"/>
      <c r="O72" s="194"/>
      <c r="Q72" s="193"/>
      <c r="R72" s="191"/>
    </row>
    <row r="73" spans="1:18" x14ac:dyDescent="0.2">
      <c r="A73" s="180">
        <v>1992</v>
      </c>
      <c r="B73" s="180"/>
      <c r="C73" s="203">
        <v>661013</v>
      </c>
      <c r="D73" s="204">
        <v>1172162</v>
      </c>
      <c r="E73" s="205">
        <v>1501917</v>
      </c>
      <c r="F73" s="205">
        <v>591154</v>
      </c>
      <c r="G73" s="205">
        <v>910763</v>
      </c>
      <c r="H73" s="205">
        <v>2198148.2997016544</v>
      </c>
      <c r="I73" s="205">
        <v>3700065.2997016544</v>
      </c>
      <c r="J73" s="206">
        <v>1.2813220356913122</v>
      </c>
      <c r="K73" s="206">
        <v>3.1566159794479383</v>
      </c>
      <c r="L73" s="207">
        <v>0.42259599847323492</v>
      </c>
      <c r="N73" s="194"/>
      <c r="O73" s="194"/>
      <c r="Q73" s="193"/>
      <c r="R73" s="191"/>
    </row>
    <row r="74" spans="1:18" x14ac:dyDescent="0.2">
      <c r="A74" s="180">
        <v>1993</v>
      </c>
      <c r="B74" s="180"/>
      <c r="C74" s="203">
        <v>933158</v>
      </c>
      <c r="D74" s="204">
        <v>1616583</v>
      </c>
      <c r="E74" s="205">
        <v>2243970</v>
      </c>
      <c r="F74" s="205">
        <v>846817</v>
      </c>
      <c r="G74" s="205">
        <v>1397153</v>
      </c>
      <c r="H74" s="205">
        <v>3410733.0737539446</v>
      </c>
      <c r="I74" s="205">
        <v>5654703.0737539446</v>
      </c>
      <c r="J74" s="206">
        <v>1.3880945178812347</v>
      </c>
      <c r="K74" s="206">
        <v>3.4979355057884098</v>
      </c>
      <c r="L74" s="207">
        <v>0.44987019951716262</v>
      </c>
      <c r="N74" s="194"/>
      <c r="O74" s="194"/>
      <c r="Q74" s="193"/>
      <c r="R74" s="191"/>
    </row>
    <row r="75" spans="1:18" x14ac:dyDescent="0.2">
      <c r="A75" s="180">
        <v>1994</v>
      </c>
      <c r="B75" s="180"/>
      <c r="C75" s="203">
        <v>1268667</v>
      </c>
      <c r="D75" s="204">
        <v>1858129</v>
      </c>
      <c r="E75" s="205">
        <v>3045743</v>
      </c>
      <c r="F75" s="205">
        <v>1111611</v>
      </c>
      <c r="G75" s="205">
        <v>1934132</v>
      </c>
      <c r="H75" s="205">
        <v>5818883.4128238121</v>
      </c>
      <c r="I75" s="205">
        <v>8864626.4128238112</v>
      </c>
      <c r="J75" s="206">
        <v>1.6391450755033692</v>
      </c>
      <c r="K75" s="206">
        <v>4.7707271200351595</v>
      </c>
      <c r="L75" s="207">
        <v>0.44354332804280211</v>
      </c>
      <c r="N75" s="194"/>
      <c r="O75" s="194"/>
      <c r="Q75" s="193"/>
      <c r="R75" s="191"/>
    </row>
    <row r="76" spans="1:18" x14ac:dyDescent="0.2">
      <c r="A76" s="180">
        <v>1995</v>
      </c>
      <c r="B76" s="180"/>
      <c r="C76" s="203">
        <v>1608602</v>
      </c>
      <c r="D76" s="204">
        <v>2411848</v>
      </c>
      <c r="E76" s="205">
        <v>3432342</v>
      </c>
      <c r="F76" s="205">
        <v>1364316</v>
      </c>
      <c r="G76" s="205">
        <v>2068026</v>
      </c>
      <c r="H76" s="205">
        <v>9142083.6732937247</v>
      </c>
      <c r="I76" s="205">
        <v>12574425.673293725</v>
      </c>
      <c r="J76" s="206">
        <v>1.4231170455186231</v>
      </c>
      <c r="K76" s="206">
        <v>5.2136061946249201</v>
      </c>
      <c r="L76" s="207">
        <v>0.36171923451423904</v>
      </c>
      <c r="N76" s="194"/>
      <c r="O76" s="194"/>
      <c r="Q76" s="193"/>
      <c r="R76" s="191"/>
    </row>
    <row r="77" spans="1:18" x14ac:dyDescent="0.2">
      <c r="A77" s="180">
        <v>1996</v>
      </c>
      <c r="B77" s="180"/>
      <c r="C77" s="203">
        <v>2321693</v>
      </c>
      <c r="D77" s="204">
        <v>3062398</v>
      </c>
      <c r="E77" s="205">
        <v>4647548</v>
      </c>
      <c r="F77" s="205">
        <v>1859012</v>
      </c>
      <c r="G77" s="205">
        <v>2788536</v>
      </c>
      <c r="H77" s="205">
        <v>13435461.431205284</v>
      </c>
      <c r="I77" s="205">
        <v>18083009.431205284</v>
      </c>
      <c r="J77" s="206">
        <v>1.5176172398231713</v>
      </c>
      <c r="K77" s="206">
        <v>5.9048528085524099</v>
      </c>
      <c r="L77" s="207">
        <v>0.36734467331178328</v>
      </c>
      <c r="N77" s="194"/>
      <c r="O77" s="194"/>
      <c r="Q77" s="193"/>
      <c r="R77" s="191"/>
    </row>
    <row r="78" spans="1:18" x14ac:dyDescent="0.2">
      <c r="A78" s="180">
        <v>1997</v>
      </c>
      <c r="B78" s="180"/>
      <c r="C78" s="203">
        <v>2906495</v>
      </c>
      <c r="D78" s="204">
        <v>4029362</v>
      </c>
      <c r="E78" s="205">
        <v>6029978</v>
      </c>
      <c r="F78" s="205">
        <v>2357325</v>
      </c>
      <c r="G78" s="205">
        <v>3672653</v>
      </c>
      <c r="H78" s="205">
        <v>18394475</v>
      </c>
      <c r="I78" s="205">
        <v>24424453</v>
      </c>
      <c r="J78" s="206">
        <v>1.4965093729478762</v>
      </c>
      <c r="K78" s="206">
        <v>6.0616179434858424</v>
      </c>
      <c r="L78" s="207">
        <v>0.38037130248116507</v>
      </c>
      <c r="N78" s="194"/>
      <c r="O78" s="194"/>
      <c r="Q78" s="193"/>
      <c r="R78" s="191"/>
    </row>
    <row r="79" spans="1:18" x14ac:dyDescent="0.2">
      <c r="A79" s="180">
        <v>1998</v>
      </c>
      <c r="B79" s="180"/>
      <c r="C79" s="203">
        <v>4192128</v>
      </c>
      <c r="D79" s="204">
        <v>5689445</v>
      </c>
      <c r="E79" s="205">
        <v>8130299</v>
      </c>
      <c r="F79" s="205">
        <v>3466923</v>
      </c>
      <c r="G79" s="205">
        <v>4663376</v>
      </c>
      <c r="H79" s="205">
        <v>26731761</v>
      </c>
      <c r="I79" s="205">
        <v>34862060</v>
      </c>
      <c r="J79" s="206">
        <v>1.4290144293511933</v>
      </c>
      <c r="K79" s="206">
        <v>6.1274974975590766</v>
      </c>
      <c r="L79" s="207">
        <v>0.31767187595913726</v>
      </c>
      <c r="N79" s="194"/>
      <c r="O79" s="194"/>
      <c r="Q79" s="193"/>
      <c r="R79" s="191"/>
    </row>
    <row r="80" spans="1:18" x14ac:dyDescent="0.2">
      <c r="A80" s="180">
        <v>1999</v>
      </c>
      <c r="B80" s="180"/>
      <c r="C80" s="203">
        <v>10568129</v>
      </c>
      <c r="D80" s="204">
        <v>13410226</v>
      </c>
      <c r="E80" s="205">
        <v>15331014</v>
      </c>
      <c r="F80" s="205">
        <v>9039459</v>
      </c>
      <c r="G80" s="205">
        <v>6291555</v>
      </c>
      <c r="H80" s="205">
        <v>47709821</v>
      </c>
      <c r="I80" s="205">
        <v>63040835</v>
      </c>
      <c r="J80" s="206">
        <v>1.1432330819778875</v>
      </c>
      <c r="K80" s="206">
        <v>4.7009524671694569</v>
      </c>
      <c r="L80" s="207">
        <v>0.37009322608115836</v>
      </c>
      <c r="N80" s="194"/>
      <c r="O80" s="194"/>
      <c r="Q80" s="193"/>
      <c r="R80" s="191"/>
    </row>
    <row r="81" spans="1:12" x14ac:dyDescent="0.2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4" spans="1:12" x14ac:dyDescent="0.2">
      <c r="A84" s="410"/>
    </row>
    <row r="85" spans="1:12" x14ac:dyDescent="0.2">
      <c r="A85" s="124" t="s">
        <v>598</v>
      </c>
    </row>
  </sheetData>
  <mergeCells count="7">
    <mergeCell ref="A1:L1"/>
    <mergeCell ref="A2:L2"/>
    <mergeCell ref="A4:B5"/>
    <mergeCell ref="C4:C5"/>
    <mergeCell ref="D4:D5"/>
    <mergeCell ref="H4:H5"/>
    <mergeCell ref="I4:I5"/>
  </mergeCells>
  <hyperlinks>
    <hyperlink ref="A85" location="'indice cap.1'!A1" display="regresar al índice" xr:uid="{00000000-0004-0000-0C00-000000000000}"/>
  </hyperlinks>
  <pageMargins left="0" right="0" top="0" bottom="0" header="0.31496062992125984" footer="0.31496062992125984"/>
  <pageSetup paperSize="9" orientation="landscape" verticalDpi="599" r:id="rId1"/>
  <ignoredErrors>
    <ignoredError sqref="B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H85"/>
  <sheetViews>
    <sheetView showGridLines="0" workbookViewId="0">
      <selection activeCell="G34" sqref="G34"/>
    </sheetView>
  </sheetViews>
  <sheetFormatPr defaultColWidth="11.42578125" defaultRowHeight="12.75" x14ac:dyDescent="0.2"/>
  <cols>
    <col min="1" max="1" width="11.42578125" style="108"/>
    <col min="2" max="8" width="15.7109375" style="108" customWidth="1"/>
    <col min="9" max="16384" width="11.42578125" style="108"/>
  </cols>
  <sheetData>
    <row r="1" spans="1:8" x14ac:dyDescent="0.2">
      <c r="A1" s="557" t="s">
        <v>687</v>
      </c>
      <c r="B1" s="494"/>
      <c r="C1" s="494"/>
      <c r="D1" s="494"/>
      <c r="E1" s="494"/>
      <c r="F1" s="494"/>
      <c r="G1" s="494"/>
      <c r="H1" s="494"/>
    </row>
    <row r="2" spans="1:8" x14ac:dyDescent="0.2">
      <c r="A2" s="558" t="s">
        <v>86</v>
      </c>
      <c r="B2" s="494"/>
      <c r="C2" s="494"/>
      <c r="D2" s="494"/>
      <c r="E2" s="494"/>
      <c r="F2" s="494"/>
      <c r="G2" s="494"/>
      <c r="H2" s="494"/>
    </row>
    <row r="3" spans="1:8" x14ac:dyDescent="0.2">
      <c r="B3" s="209"/>
      <c r="C3" s="209"/>
      <c r="D3" s="209"/>
      <c r="E3" s="209"/>
      <c r="F3" s="209"/>
      <c r="G3" s="209"/>
    </row>
    <row r="4" spans="1:8" x14ac:dyDescent="0.2">
      <c r="A4" s="553" t="s">
        <v>87</v>
      </c>
      <c r="B4" s="552" t="s">
        <v>466</v>
      </c>
      <c r="C4" s="552"/>
      <c r="D4" s="552"/>
      <c r="E4" s="552" t="s">
        <v>467</v>
      </c>
      <c r="F4" s="552"/>
      <c r="G4" s="552"/>
      <c r="H4" s="555" t="s">
        <v>753</v>
      </c>
    </row>
    <row r="5" spans="1:8" s="222" customFormat="1" ht="42" customHeight="1" x14ac:dyDescent="0.25">
      <c r="A5" s="554"/>
      <c r="B5" s="210" t="s">
        <v>468</v>
      </c>
      <c r="C5" s="210" t="s">
        <v>755</v>
      </c>
      <c r="D5" s="210" t="s">
        <v>754</v>
      </c>
      <c r="E5" s="210" t="s">
        <v>468</v>
      </c>
      <c r="F5" s="210" t="s">
        <v>756</v>
      </c>
      <c r="G5" s="210" t="s">
        <v>752</v>
      </c>
      <c r="H5" s="556"/>
    </row>
    <row r="6" spans="1:8" x14ac:dyDescent="0.2">
      <c r="A6" s="211"/>
      <c r="B6" s="212" t="s">
        <v>469</v>
      </c>
      <c r="C6" s="213" t="s">
        <v>98</v>
      </c>
      <c r="D6" s="213" t="s">
        <v>113</v>
      </c>
      <c r="E6" s="214" t="s">
        <v>470</v>
      </c>
      <c r="F6" s="214" t="s">
        <v>101</v>
      </c>
      <c r="G6" s="214" t="s">
        <v>102</v>
      </c>
      <c r="H6" s="215" t="s">
        <v>471</v>
      </c>
    </row>
    <row r="7" spans="1:8" x14ac:dyDescent="0.2">
      <c r="A7" s="209"/>
      <c r="B7" s="209"/>
      <c r="C7" s="209"/>
      <c r="D7" s="209"/>
      <c r="E7" s="209"/>
      <c r="F7" s="209"/>
      <c r="G7" s="209"/>
      <c r="H7" s="209"/>
    </row>
    <row r="8" spans="1:8" x14ac:dyDescent="0.2">
      <c r="A8" s="217">
        <v>1927</v>
      </c>
      <c r="B8" s="218">
        <v>71.900999999999996</v>
      </c>
      <c r="C8" s="219">
        <v>71.900999999999996</v>
      </c>
      <c r="D8" s="220" t="s">
        <v>10</v>
      </c>
      <c r="E8" s="218">
        <v>44.53</v>
      </c>
      <c r="F8" s="219">
        <v>9.9499999999999993</v>
      </c>
      <c r="G8" s="219">
        <v>34.58</v>
      </c>
      <c r="H8" s="221">
        <v>1.6146642712777901</v>
      </c>
    </row>
    <row r="9" spans="1:8" x14ac:dyDescent="0.2">
      <c r="A9" s="217">
        <v>1928</v>
      </c>
      <c r="B9" s="218">
        <v>72.162000000000006</v>
      </c>
      <c r="C9" s="218">
        <v>72.162000000000006</v>
      </c>
      <c r="D9" s="220" t="s">
        <v>10</v>
      </c>
      <c r="E9" s="218">
        <v>44.725999999999999</v>
      </c>
      <c r="F9" s="218">
        <v>8.7949999999999999</v>
      </c>
      <c r="G9" s="218">
        <v>35.930999999999997</v>
      </c>
      <c r="H9" s="221">
        <v>1.6134239592183519</v>
      </c>
    </row>
    <row r="10" spans="1:8" x14ac:dyDescent="0.2">
      <c r="A10" s="217">
        <v>1929</v>
      </c>
      <c r="B10" s="218">
        <v>64.257000000000005</v>
      </c>
      <c r="C10" s="218">
        <v>64.257000000000005</v>
      </c>
      <c r="D10" s="220" t="s">
        <v>10</v>
      </c>
      <c r="E10" s="218">
        <v>39.255000000000003</v>
      </c>
      <c r="F10" s="218">
        <v>8.24</v>
      </c>
      <c r="G10" s="218">
        <v>31.015000000000001</v>
      </c>
      <c r="H10" s="221">
        <v>1.6369124952235383</v>
      </c>
    </row>
    <row r="11" spans="1:8" x14ac:dyDescent="0.2">
      <c r="A11" s="217">
        <v>1930</v>
      </c>
      <c r="B11" s="218">
        <v>54.568000000000005</v>
      </c>
      <c r="C11" s="218">
        <v>54.568000000000005</v>
      </c>
      <c r="D11" s="220" t="s">
        <v>10</v>
      </c>
      <c r="E11" s="218">
        <v>33.311</v>
      </c>
      <c r="F11" s="218">
        <v>7.8629999999999995</v>
      </c>
      <c r="G11" s="218">
        <v>25.448</v>
      </c>
      <c r="H11" s="221">
        <v>1.6381375521599473</v>
      </c>
    </row>
    <row r="12" spans="1:8" x14ac:dyDescent="0.2">
      <c r="A12" s="217">
        <v>1931</v>
      </c>
      <c r="B12" s="218">
        <v>44.441000000000003</v>
      </c>
      <c r="C12" s="218">
        <v>44.441000000000003</v>
      </c>
      <c r="D12" s="220" t="s">
        <v>10</v>
      </c>
      <c r="E12" s="218">
        <v>27.074999999999999</v>
      </c>
      <c r="F12" s="218">
        <v>4.1639999999999979</v>
      </c>
      <c r="G12" s="218">
        <v>22.911000000000001</v>
      </c>
      <c r="H12" s="221">
        <v>1.6414035087719299</v>
      </c>
    </row>
    <row r="13" spans="1:8" x14ac:dyDescent="0.2">
      <c r="A13" s="217">
        <v>1932</v>
      </c>
      <c r="B13" s="218">
        <v>65.19</v>
      </c>
      <c r="C13" s="218">
        <v>65.19</v>
      </c>
      <c r="D13" s="220" t="s">
        <v>10</v>
      </c>
      <c r="E13" s="218">
        <v>41.13</v>
      </c>
      <c r="F13" s="218">
        <v>13.377000000000002</v>
      </c>
      <c r="G13" s="218">
        <v>27.753</v>
      </c>
      <c r="H13" s="221">
        <v>1.5849744711889131</v>
      </c>
    </row>
    <row r="14" spans="1:8" x14ac:dyDescent="0.2">
      <c r="A14" s="217">
        <v>1933</v>
      </c>
      <c r="B14" s="218">
        <v>92.513000000000005</v>
      </c>
      <c r="C14" s="218">
        <v>92.513000000000005</v>
      </c>
      <c r="D14" s="220" t="s">
        <v>10</v>
      </c>
      <c r="E14" s="218">
        <v>59.530999999999999</v>
      </c>
      <c r="F14" s="218">
        <v>23.564</v>
      </c>
      <c r="G14" s="218">
        <v>35.966999999999999</v>
      </c>
      <c r="H14" s="221">
        <v>1.5540306730946902</v>
      </c>
    </row>
    <row r="15" spans="1:8" x14ac:dyDescent="0.2">
      <c r="A15" s="217">
        <v>1934</v>
      </c>
      <c r="B15" s="218">
        <v>115.55200000000001</v>
      </c>
      <c r="C15" s="218">
        <v>115.55200000000001</v>
      </c>
      <c r="D15" s="220" t="s">
        <v>10</v>
      </c>
      <c r="E15" s="218">
        <v>70.537999999999997</v>
      </c>
      <c r="F15" s="218">
        <v>21.330999999999996</v>
      </c>
      <c r="G15" s="218">
        <v>49.207000000000001</v>
      </c>
      <c r="H15" s="221">
        <v>1.6381524851852904</v>
      </c>
    </row>
    <row r="16" spans="1:8" x14ac:dyDescent="0.2">
      <c r="A16" s="217">
        <v>1935</v>
      </c>
      <c r="B16" s="218">
        <v>118.58</v>
      </c>
      <c r="C16" s="218">
        <v>118.58</v>
      </c>
      <c r="D16" s="220" t="s">
        <v>10</v>
      </c>
      <c r="E16" s="218">
        <v>71.793999999999997</v>
      </c>
      <c r="F16" s="218">
        <v>19.603999999999999</v>
      </c>
      <c r="G16" s="218">
        <v>52.19</v>
      </c>
      <c r="H16" s="221">
        <v>1.6516700559935371</v>
      </c>
    </row>
    <row r="17" spans="1:8" x14ac:dyDescent="0.2">
      <c r="A17" s="217">
        <v>1936</v>
      </c>
      <c r="B17" s="218">
        <v>144.07599999999999</v>
      </c>
      <c r="C17" s="218">
        <v>144.07599999999999</v>
      </c>
      <c r="D17" s="220" t="s">
        <v>10</v>
      </c>
      <c r="E17" s="218">
        <v>94.171999999999997</v>
      </c>
      <c r="F17" s="218">
        <v>31.720999999999997</v>
      </c>
      <c r="G17" s="218">
        <v>62.451000000000001</v>
      </c>
      <c r="H17" s="221">
        <v>1.5299239689079556</v>
      </c>
    </row>
    <row r="18" spans="1:8" x14ac:dyDescent="0.2">
      <c r="A18" s="217">
        <v>1937</v>
      </c>
      <c r="B18" s="218">
        <v>159.46600000000001</v>
      </c>
      <c r="C18" s="218">
        <v>159.46600000000001</v>
      </c>
      <c r="D18" s="220" t="s">
        <v>10</v>
      </c>
      <c r="E18" s="218">
        <v>110.764</v>
      </c>
      <c r="F18" s="218">
        <v>37.173999999999992</v>
      </c>
      <c r="G18" s="218">
        <v>73.59</v>
      </c>
      <c r="H18" s="221">
        <v>1.4396915965476149</v>
      </c>
    </row>
    <row r="19" spans="1:8" x14ac:dyDescent="0.2">
      <c r="A19" s="217">
        <v>1938</v>
      </c>
      <c r="B19" s="218">
        <v>156.11500000000001</v>
      </c>
      <c r="C19" s="218">
        <v>156.11500000000001</v>
      </c>
      <c r="D19" s="220" t="s">
        <v>10</v>
      </c>
      <c r="E19" s="218">
        <v>105.589</v>
      </c>
      <c r="F19" s="218">
        <v>32.456000000000003</v>
      </c>
      <c r="G19" s="218">
        <v>73.132999999999996</v>
      </c>
      <c r="H19" s="221">
        <v>1.4785157544820011</v>
      </c>
    </row>
    <row r="20" spans="1:8" x14ac:dyDescent="0.2">
      <c r="A20" s="217">
        <v>1939</v>
      </c>
      <c r="B20" s="218">
        <v>174.095</v>
      </c>
      <c r="C20" s="218">
        <v>174.095</v>
      </c>
      <c r="D20" s="220" t="s">
        <v>10</v>
      </c>
      <c r="E20" s="218">
        <v>114.06</v>
      </c>
      <c r="F20" s="218">
        <v>36.207000000000008</v>
      </c>
      <c r="G20" s="218">
        <v>77.852999999999994</v>
      </c>
      <c r="H20" s="221">
        <v>1.5263457829212694</v>
      </c>
    </row>
    <row r="21" spans="1:8" x14ac:dyDescent="0.2">
      <c r="A21" s="217">
        <v>1940</v>
      </c>
      <c r="B21" s="218">
        <v>209.67699999999999</v>
      </c>
      <c r="C21" s="218">
        <v>209.67699999999999</v>
      </c>
      <c r="D21" s="220" t="s">
        <v>10</v>
      </c>
      <c r="E21" s="218">
        <v>134.929</v>
      </c>
      <c r="F21" s="218">
        <v>54.778999999999996</v>
      </c>
      <c r="G21" s="218">
        <v>80.150000000000006</v>
      </c>
      <c r="H21" s="221">
        <v>1.5539802414603234</v>
      </c>
    </row>
    <row r="22" spans="1:8" x14ac:dyDescent="0.2">
      <c r="A22" s="217">
        <v>1941</v>
      </c>
      <c r="B22" s="218">
        <v>266.334</v>
      </c>
      <c r="C22" s="218">
        <v>266.334</v>
      </c>
      <c r="D22" s="220" t="s">
        <v>10</v>
      </c>
      <c r="E22" s="218">
        <v>189.703</v>
      </c>
      <c r="F22" s="218">
        <v>69.534000000000006</v>
      </c>
      <c r="G22" s="218">
        <v>120.169</v>
      </c>
      <c r="H22" s="221">
        <v>1.4039524941619268</v>
      </c>
    </row>
    <row r="23" spans="1:8" x14ac:dyDescent="0.2">
      <c r="A23" s="217">
        <v>1942</v>
      </c>
      <c r="B23" s="218">
        <v>388.529</v>
      </c>
      <c r="C23" s="218">
        <v>388.529</v>
      </c>
      <c r="D23" s="220" t="s">
        <v>10</v>
      </c>
      <c r="E23" s="218">
        <v>267.28899999999999</v>
      </c>
      <c r="F23" s="218">
        <v>97.943999999999988</v>
      </c>
      <c r="G23" s="218">
        <v>169.345</v>
      </c>
      <c r="H23" s="221">
        <v>1.4535914309979088</v>
      </c>
    </row>
    <row r="24" spans="1:8" x14ac:dyDescent="0.2">
      <c r="A24" s="217">
        <v>1943</v>
      </c>
      <c r="B24" s="218">
        <v>544.05999999999995</v>
      </c>
      <c r="C24" s="218">
        <v>544.05999999999995</v>
      </c>
      <c r="D24" s="220" t="s">
        <v>10</v>
      </c>
      <c r="E24" s="218">
        <v>357.07900000000001</v>
      </c>
      <c r="F24" s="218">
        <v>124.925</v>
      </c>
      <c r="G24" s="218">
        <v>232.154</v>
      </c>
      <c r="H24" s="221">
        <v>1.523640426908331</v>
      </c>
    </row>
    <row r="25" spans="1:8" x14ac:dyDescent="0.2">
      <c r="A25" s="217">
        <v>1944</v>
      </c>
      <c r="B25" s="218">
        <v>673.62400000000002</v>
      </c>
      <c r="C25" s="218">
        <v>673.62400000000002</v>
      </c>
      <c r="D25" s="220" t="s">
        <v>10</v>
      </c>
      <c r="E25" s="218">
        <v>546.78</v>
      </c>
      <c r="F25" s="218">
        <v>252.19599999999997</v>
      </c>
      <c r="G25" s="218">
        <v>294.584</v>
      </c>
      <c r="H25" s="221">
        <v>1.2319836131533708</v>
      </c>
    </row>
    <row r="26" spans="1:8" x14ac:dyDescent="0.2">
      <c r="A26" s="217">
        <v>1945</v>
      </c>
      <c r="B26" s="218">
        <v>741.51300000000003</v>
      </c>
      <c r="C26" s="218">
        <v>741.51300000000003</v>
      </c>
      <c r="D26" s="220" t="s">
        <v>10</v>
      </c>
      <c r="E26" s="218">
        <v>552.01400000000001</v>
      </c>
      <c r="F26" s="218">
        <v>230.77199999999999</v>
      </c>
      <c r="G26" s="218">
        <v>321.24200000000002</v>
      </c>
      <c r="H26" s="221">
        <v>1.3432865833112928</v>
      </c>
    </row>
    <row r="27" spans="1:8" x14ac:dyDescent="0.2">
      <c r="A27" s="217">
        <v>1946</v>
      </c>
      <c r="B27" s="218">
        <v>805.99900000000002</v>
      </c>
      <c r="C27" s="218">
        <v>805.99900000000002</v>
      </c>
      <c r="D27" s="220" t="s">
        <v>10</v>
      </c>
      <c r="E27" s="218">
        <v>616.39400000000001</v>
      </c>
      <c r="F27" s="218">
        <v>266.678</v>
      </c>
      <c r="G27" s="218">
        <v>349.71600000000001</v>
      </c>
      <c r="H27" s="221">
        <v>1.3076035782308069</v>
      </c>
    </row>
    <row r="28" spans="1:8" x14ac:dyDescent="0.2">
      <c r="A28" s="217">
        <v>1947</v>
      </c>
      <c r="B28" s="218">
        <v>692.11</v>
      </c>
      <c r="C28" s="218">
        <v>692.11</v>
      </c>
      <c r="D28" s="220" t="s">
        <v>10</v>
      </c>
      <c r="E28" s="218">
        <v>529.45500000000004</v>
      </c>
      <c r="F28" s="218">
        <v>199.99300000000005</v>
      </c>
      <c r="G28" s="218">
        <v>329.46199999999999</v>
      </c>
      <c r="H28" s="221">
        <v>1.3072121332313416</v>
      </c>
    </row>
    <row r="29" spans="1:8" x14ac:dyDescent="0.2">
      <c r="A29" s="217">
        <v>1948</v>
      </c>
      <c r="B29" s="218">
        <v>735.35199999999998</v>
      </c>
      <c r="C29" s="218">
        <v>735.35199999999998</v>
      </c>
      <c r="D29" s="220" t="s">
        <v>10</v>
      </c>
      <c r="E29" s="218">
        <v>547.63299999999992</v>
      </c>
      <c r="F29" s="218">
        <v>203.07299999999992</v>
      </c>
      <c r="G29" s="218">
        <v>344.56</v>
      </c>
      <c r="H29" s="221">
        <v>1.3427824838897584</v>
      </c>
    </row>
    <row r="30" spans="1:8" x14ac:dyDescent="0.2">
      <c r="A30" s="217">
        <v>1949</v>
      </c>
      <c r="B30" s="218">
        <v>813.30499999999995</v>
      </c>
      <c r="C30" s="218">
        <v>813.30499999999995</v>
      </c>
      <c r="D30" s="220" t="s">
        <v>10</v>
      </c>
      <c r="E30" s="218">
        <v>577.24099999999999</v>
      </c>
      <c r="F30" s="218">
        <v>220.65</v>
      </c>
      <c r="G30" s="218">
        <v>356.59100000000001</v>
      </c>
      <c r="H30" s="221">
        <v>1.4089522400522485</v>
      </c>
    </row>
    <row r="31" spans="1:8" x14ac:dyDescent="0.2">
      <c r="A31" s="217">
        <v>1950</v>
      </c>
      <c r="B31" s="218">
        <v>1035.836</v>
      </c>
      <c r="C31" s="218">
        <v>1035.836</v>
      </c>
      <c r="D31" s="220" t="s">
        <v>10</v>
      </c>
      <c r="E31" s="218">
        <v>744.35800000000006</v>
      </c>
      <c r="F31" s="218">
        <v>285.69800000000004</v>
      </c>
      <c r="G31" s="218">
        <v>458.66</v>
      </c>
      <c r="H31" s="221">
        <v>1.391583082334038</v>
      </c>
    </row>
    <row r="32" spans="1:8" x14ac:dyDescent="0.2">
      <c r="A32" s="217">
        <v>1951</v>
      </c>
      <c r="B32" s="218">
        <v>977.41300000000001</v>
      </c>
      <c r="C32" s="218">
        <v>977.41300000000001</v>
      </c>
      <c r="D32" s="220" t="s">
        <v>10</v>
      </c>
      <c r="E32" s="218">
        <v>686.43899999999996</v>
      </c>
      <c r="F32" s="218">
        <v>245.40799999999996</v>
      </c>
      <c r="G32" s="218">
        <v>441.03100000000001</v>
      </c>
      <c r="H32" s="221">
        <v>1.4238890855560364</v>
      </c>
    </row>
    <row r="33" spans="1:8" x14ac:dyDescent="0.2">
      <c r="A33" s="217">
        <v>1952</v>
      </c>
      <c r="B33" s="218">
        <v>1195.107</v>
      </c>
      <c r="C33" s="218">
        <v>1195.107</v>
      </c>
      <c r="D33" s="220" t="s">
        <v>10</v>
      </c>
      <c r="E33" s="218">
        <v>852.65700000000004</v>
      </c>
      <c r="F33" s="218">
        <v>339.16700000000003</v>
      </c>
      <c r="G33" s="218">
        <v>513.49</v>
      </c>
      <c r="H33" s="221">
        <v>1.4016269144568096</v>
      </c>
    </row>
    <row r="34" spans="1:8" x14ac:dyDescent="0.2">
      <c r="A34" s="217">
        <v>1953</v>
      </c>
      <c r="B34" s="218">
        <v>1291.1669999999999</v>
      </c>
      <c r="C34" s="218">
        <v>1291.1669999999999</v>
      </c>
      <c r="D34" s="220" t="s">
        <v>10</v>
      </c>
      <c r="E34" s="218">
        <v>875.3180000000001</v>
      </c>
      <c r="F34" s="218">
        <v>324.64400000000012</v>
      </c>
      <c r="G34" s="218">
        <v>550.67399999999998</v>
      </c>
      <c r="H34" s="221">
        <v>1.4750833411400197</v>
      </c>
    </row>
    <row r="35" spans="1:8" x14ac:dyDescent="0.2">
      <c r="A35" s="217">
        <v>1954</v>
      </c>
      <c r="B35" s="218">
        <v>1501.9459999999999</v>
      </c>
      <c r="C35" s="218">
        <v>1501.9459999999999</v>
      </c>
      <c r="D35" s="220" t="s">
        <v>10</v>
      </c>
      <c r="E35" s="218">
        <v>966.70600000000002</v>
      </c>
      <c r="F35" s="218">
        <v>327.58900000000006</v>
      </c>
      <c r="G35" s="218">
        <v>639.11699999999996</v>
      </c>
      <c r="H35" s="221">
        <v>1.5536740229190673</v>
      </c>
    </row>
    <row r="36" spans="1:8" x14ac:dyDescent="0.2">
      <c r="A36" s="217">
        <v>1955</v>
      </c>
      <c r="B36" s="218">
        <v>1441.239</v>
      </c>
      <c r="C36" s="218">
        <v>1441.239</v>
      </c>
      <c r="D36" s="220" t="s">
        <v>10</v>
      </c>
      <c r="E36" s="218">
        <v>933.50900000000001</v>
      </c>
      <c r="F36" s="218">
        <v>323.75900000000001</v>
      </c>
      <c r="G36" s="218">
        <v>609.75</v>
      </c>
      <c r="H36" s="221">
        <v>1.5438940599394329</v>
      </c>
    </row>
    <row r="37" spans="1:8" x14ac:dyDescent="0.2">
      <c r="A37" s="217">
        <v>1956</v>
      </c>
      <c r="B37" s="218">
        <v>1638.0350000000001</v>
      </c>
      <c r="C37" s="218">
        <v>1638.0350000000001</v>
      </c>
      <c r="D37" s="220" t="s">
        <v>10</v>
      </c>
      <c r="E37" s="218">
        <v>1043.6099999999999</v>
      </c>
      <c r="F37" s="218">
        <v>353.36599999999987</v>
      </c>
      <c r="G37" s="218">
        <v>690.24400000000003</v>
      </c>
      <c r="H37" s="221">
        <v>1.5695853815122509</v>
      </c>
    </row>
    <row r="38" spans="1:8" x14ac:dyDescent="0.2">
      <c r="A38" s="217">
        <v>1957</v>
      </c>
      <c r="B38" s="218">
        <v>1727.125</v>
      </c>
      <c r="C38" s="218">
        <v>1725.5</v>
      </c>
      <c r="D38" s="218">
        <v>1.625</v>
      </c>
      <c r="E38" s="218">
        <v>1099.653</v>
      </c>
      <c r="F38" s="218">
        <v>396.30899999999997</v>
      </c>
      <c r="G38" s="218">
        <v>703.34400000000005</v>
      </c>
      <c r="H38" s="221">
        <v>1.5706090921408844</v>
      </c>
    </row>
    <row r="39" spans="1:8" x14ac:dyDescent="0.2">
      <c r="A39" s="217">
        <v>1958</v>
      </c>
      <c r="B39" s="218">
        <v>1707.9679999999998</v>
      </c>
      <c r="C39" s="218">
        <v>1698.3689999999999</v>
      </c>
      <c r="D39" s="218">
        <v>9.5990000000000002</v>
      </c>
      <c r="E39" s="218">
        <v>1063.6099999999999</v>
      </c>
      <c r="F39" s="218">
        <v>375.31</v>
      </c>
      <c r="G39" s="218">
        <v>688.3</v>
      </c>
      <c r="H39" s="221">
        <v>1.6058216827596581</v>
      </c>
    </row>
    <row r="40" spans="1:8" x14ac:dyDescent="0.2">
      <c r="A40" s="217">
        <v>1959</v>
      </c>
      <c r="B40" s="218">
        <v>1924.2139999999999</v>
      </c>
      <c r="C40" s="218">
        <v>1897.047</v>
      </c>
      <c r="D40" s="218">
        <v>27.167000000000002</v>
      </c>
      <c r="E40" s="218">
        <v>1190.6680000000001</v>
      </c>
      <c r="F40" s="218">
        <v>460.27100000000007</v>
      </c>
      <c r="G40" s="218">
        <v>730.39700000000005</v>
      </c>
      <c r="H40" s="221">
        <v>1.6160793772907307</v>
      </c>
    </row>
    <row r="41" spans="1:8" x14ac:dyDescent="0.2">
      <c r="A41" s="217">
        <v>1960</v>
      </c>
      <c r="B41" s="218">
        <v>2129.335</v>
      </c>
      <c r="C41" s="218">
        <v>2084.4210000000003</v>
      </c>
      <c r="D41" s="218">
        <v>44.914000000000001</v>
      </c>
      <c r="E41" s="218">
        <v>1267.259</v>
      </c>
      <c r="F41" s="218">
        <v>440.43799999999999</v>
      </c>
      <c r="G41" s="218">
        <v>826.82100000000003</v>
      </c>
      <c r="H41" s="221">
        <v>1.680268200896581</v>
      </c>
    </row>
    <row r="42" spans="1:8" x14ac:dyDescent="0.2">
      <c r="A42" s="217">
        <v>1961</v>
      </c>
      <c r="B42" s="218">
        <v>2217.02</v>
      </c>
      <c r="C42" s="218">
        <v>2179.386</v>
      </c>
      <c r="D42" s="218">
        <v>37.634</v>
      </c>
      <c r="E42" s="218">
        <v>1289.576</v>
      </c>
      <c r="F42" s="218">
        <v>429.50599999999997</v>
      </c>
      <c r="G42" s="218">
        <v>860.07</v>
      </c>
      <c r="H42" s="221">
        <v>1.7191852205686209</v>
      </c>
    </row>
    <row r="43" spans="1:8" x14ac:dyDescent="0.2">
      <c r="A43" s="217">
        <v>1962</v>
      </c>
      <c r="B43" s="218">
        <v>2474.0839999999998</v>
      </c>
      <c r="C43" s="218">
        <v>2425.9929999999999</v>
      </c>
      <c r="D43" s="218">
        <v>48.091000000000001</v>
      </c>
      <c r="E43" s="218">
        <v>1470.7729999999999</v>
      </c>
      <c r="F43" s="218">
        <v>541.67199999999991</v>
      </c>
      <c r="G43" s="218">
        <v>929.101</v>
      </c>
      <c r="H43" s="221">
        <v>1.6821657726923189</v>
      </c>
    </row>
    <row r="44" spans="1:8" x14ac:dyDescent="0.2">
      <c r="A44" s="217">
        <v>1963</v>
      </c>
      <c r="B44" s="218">
        <v>2802.1490000000003</v>
      </c>
      <c r="C44" s="218">
        <v>2746.2440000000001</v>
      </c>
      <c r="D44" s="218">
        <v>55.905000000000001</v>
      </c>
      <c r="E44" s="218">
        <v>1630.7109999999998</v>
      </c>
      <c r="F44" s="218">
        <v>616.21099999999979</v>
      </c>
      <c r="G44" s="218">
        <v>1014.5</v>
      </c>
      <c r="H44" s="221">
        <v>1.7183602735248618</v>
      </c>
    </row>
    <row r="45" spans="1:8" x14ac:dyDescent="0.2">
      <c r="A45" s="217">
        <v>1964</v>
      </c>
      <c r="B45" s="218">
        <v>3150.6390000000001</v>
      </c>
      <c r="C45" s="218">
        <v>3090.6030000000001</v>
      </c>
      <c r="D45" s="218">
        <v>60.036000000000001</v>
      </c>
      <c r="E45" s="218">
        <v>1789.2539999999999</v>
      </c>
      <c r="F45" s="218">
        <v>675.25399999999991</v>
      </c>
      <c r="G45" s="218">
        <v>1114</v>
      </c>
      <c r="H45" s="221">
        <v>1.7608673782481417</v>
      </c>
    </row>
    <row r="46" spans="1:8" x14ac:dyDescent="0.2">
      <c r="A46" s="217">
        <v>1965</v>
      </c>
      <c r="B46" s="218">
        <v>3294.4760000000001</v>
      </c>
      <c r="C46" s="218">
        <v>3211.902</v>
      </c>
      <c r="D46" s="218">
        <v>82.573999999999998</v>
      </c>
      <c r="E46" s="218">
        <v>1888.2159999999999</v>
      </c>
      <c r="F46" s="218">
        <v>673.27199999999993</v>
      </c>
      <c r="G46" s="218">
        <v>1214.944</v>
      </c>
      <c r="H46" s="221">
        <v>1.7447558965711552</v>
      </c>
    </row>
    <row r="47" spans="1:8" x14ac:dyDescent="0.2">
      <c r="A47" s="217">
        <v>1966</v>
      </c>
      <c r="B47" s="218">
        <v>3773.2710000000002</v>
      </c>
      <c r="C47" s="218">
        <v>3661.6550000000002</v>
      </c>
      <c r="D47" s="218">
        <v>111.616</v>
      </c>
      <c r="E47" s="218">
        <v>2133.4610000000002</v>
      </c>
      <c r="F47" s="218">
        <v>813.25900000000024</v>
      </c>
      <c r="G47" s="218">
        <v>1320.202</v>
      </c>
      <c r="H47" s="221">
        <v>1.7686149406996423</v>
      </c>
    </row>
    <row r="48" spans="1:8" x14ac:dyDescent="0.2">
      <c r="A48" s="217">
        <v>1967</v>
      </c>
      <c r="B48" s="218">
        <v>4334.25</v>
      </c>
      <c r="C48" s="218">
        <v>4214.9960000000001</v>
      </c>
      <c r="D48" s="218">
        <v>119.254</v>
      </c>
      <c r="E48" s="218">
        <v>2210.6619999999998</v>
      </c>
      <c r="F48" s="218">
        <v>839.94699999999989</v>
      </c>
      <c r="G48" s="218">
        <v>1370.7149999999999</v>
      </c>
      <c r="H48" s="221">
        <v>1.9606117986376934</v>
      </c>
    </row>
    <row r="49" spans="1:8" x14ac:dyDescent="0.2">
      <c r="A49" s="217">
        <v>1968</v>
      </c>
      <c r="B49" s="218">
        <v>5117.4089999999997</v>
      </c>
      <c r="C49" s="218">
        <v>4931.7950000000001</v>
      </c>
      <c r="D49" s="218">
        <v>185.614</v>
      </c>
      <c r="E49" s="218">
        <v>2542.634</v>
      </c>
      <c r="F49" s="218">
        <v>978.577</v>
      </c>
      <c r="G49" s="218">
        <v>1564.057</v>
      </c>
      <c r="H49" s="221">
        <v>2.0126408283693209</v>
      </c>
    </row>
    <row r="50" spans="1:8" x14ac:dyDescent="0.2">
      <c r="A50" s="217">
        <v>1969</v>
      </c>
      <c r="B50" s="218">
        <v>5963.0479999999998</v>
      </c>
      <c r="C50" s="218">
        <v>5741.866</v>
      </c>
      <c r="D50" s="218">
        <v>221.18199999999999</v>
      </c>
      <c r="E50" s="218">
        <v>3003.8670000000002</v>
      </c>
      <c r="F50" s="218">
        <v>1301.3870000000002</v>
      </c>
      <c r="G50" s="218">
        <v>1702.48</v>
      </c>
      <c r="H50" s="221">
        <v>1.9851238420342843</v>
      </c>
    </row>
    <row r="51" spans="1:8" x14ac:dyDescent="0.2">
      <c r="A51" s="217">
        <v>1970</v>
      </c>
      <c r="B51" s="218">
        <v>7260.963999999999</v>
      </c>
      <c r="C51" s="218">
        <v>7260.963999999999</v>
      </c>
      <c r="D51" s="218">
        <v>0</v>
      </c>
      <c r="E51" s="218">
        <v>4021.402</v>
      </c>
      <c r="F51" s="218">
        <v>1749.4990000000003</v>
      </c>
      <c r="G51" s="218">
        <v>2271.9029999999998</v>
      </c>
      <c r="H51" s="221">
        <v>1.8055802429103081</v>
      </c>
    </row>
    <row r="52" spans="1:8" x14ac:dyDescent="0.2">
      <c r="A52" s="217">
        <v>1971</v>
      </c>
      <c r="B52" s="218">
        <v>8379.152</v>
      </c>
      <c r="C52" s="218">
        <v>8331.4510000000009</v>
      </c>
      <c r="D52" s="218">
        <v>47.701000000000001</v>
      </c>
      <c r="E52" s="218">
        <v>4356.4080000000004</v>
      </c>
      <c r="F52" s="218">
        <v>2014.8170000000005</v>
      </c>
      <c r="G52" s="218">
        <v>2341.5909999999999</v>
      </c>
      <c r="H52" s="221">
        <v>1.9234084594464063</v>
      </c>
    </row>
    <row r="53" spans="1:8" x14ac:dyDescent="0.2">
      <c r="A53" s="217">
        <v>1972</v>
      </c>
      <c r="B53" s="218">
        <v>10197.171999999999</v>
      </c>
      <c r="C53" s="218">
        <v>10086.388999999999</v>
      </c>
      <c r="D53" s="218">
        <v>110.783</v>
      </c>
      <c r="E53" s="218">
        <v>5473.192</v>
      </c>
      <c r="F53" s="218">
        <v>2655.64</v>
      </c>
      <c r="G53" s="218">
        <v>2817.5520000000001</v>
      </c>
      <c r="H53" s="221">
        <v>1.8631124214169719</v>
      </c>
    </row>
    <row r="54" spans="1:8" x14ac:dyDescent="0.2">
      <c r="A54" s="217">
        <v>1973</v>
      </c>
      <c r="B54" s="218">
        <v>12726.95</v>
      </c>
      <c r="C54" s="218">
        <v>12565.897000000001</v>
      </c>
      <c r="D54" s="218">
        <v>161.053</v>
      </c>
      <c r="E54" s="218">
        <v>7520.8040000000001</v>
      </c>
      <c r="F54" s="218">
        <v>3982.721</v>
      </c>
      <c r="G54" s="218">
        <v>3538.0830000000001</v>
      </c>
      <c r="H54" s="221">
        <v>1.692232638957218</v>
      </c>
    </row>
    <row r="55" spans="1:8" x14ac:dyDescent="0.2">
      <c r="A55" s="217">
        <v>1974</v>
      </c>
      <c r="B55" s="218">
        <v>17697.55</v>
      </c>
      <c r="C55" s="218">
        <v>17429.852999999999</v>
      </c>
      <c r="D55" s="218">
        <v>267.697</v>
      </c>
      <c r="E55" s="218">
        <v>9332.2849999999999</v>
      </c>
      <c r="F55" s="218">
        <v>4692.1409999999996</v>
      </c>
      <c r="G55" s="218">
        <v>4640.1440000000002</v>
      </c>
      <c r="H55" s="221">
        <v>1.8963790754354373</v>
      </c>
    </row>
    <row r="56" spans="1:8" x14ac:dyDescent="0.2">
      <c r="A56" s="217">
        <v>1975</v>
      </c>
      <c r="B56" s="218">
        <v>20170.593000000001</v>
      </c>
      <c r="C56" s="218">
        <v>19816.308000000001</v>
      </c>
      <c r="D56" s="218">
        <v>354.28500000000003</v>
      </c>
      <c r="E56" s="218">
        <v>9973.3180000000011</v>
      </c>
      <c r="F56" s="218">
        <v>4732.161000000001</v>
      </c>
      <c r="G56" s="218">
        <v>5241.1570000000002</v>
      </c>
      <c r="H56" s="221">
        <v>2.0224556160748106</v>
      </c>
    </row>
    <row r="57" spans="1:8" x14ac:dyDescent="0.2">
      <c r="A57" s="217">
        <v>1976</v>
      </c>
      <c r="B57" s="218">
        <v>27369.35444897959</v>
      </c>
      <c r="C57" s="218">
        <v>26813.631999999998</v>
      </c>
      <c r="D57" s="218">
        <v>555.72244897959172</v>
      </c>
      <c r="E57" s="218">
        <v>14702.628000000001</v>
      </c>
      <c r="F57" s="218">
        <v>7314.9340000000011</v>
      </c>
      <c r="G57" s="218">
        <v>7387.6939999999995</v>
      </c>
      <c r="H57" s="221">
        <v>1.8615280512422396</v>
      </c>
    </row>
    <row r="58" spans="1:8" x14ac:dyDescent="0.2">
      <c r="A58" s="217">
        <v>1977</v>
      </c>
      <c r="B58" s="218">
        <v>33012.442311341736</v>
      </c>
      <c r="C58" s="218">
        <v>32222.496999999999</v>
      </c>
      <c r="D58" s="218">
        <v>789.94531134173462</v>
      </c>
      <c r="E58" s="218">
        <v>16090.955494</v>
      </c>
      <c r="F58" s="218">
        <v>7168.0754940000006</v>
      </c>
      <c r="G58" s="218">
        <v>8922.8799999999992</v>
      </c>
      <c r="H58" s="221">
        <v>2.0516147921514931</v>
      </c>
    </row>
    <row r="59" spans="1:8" x14ac:dyDescent="0.2">
      <c r="A59" s="217">
        <v>1978</v>
      </c>
      <c r="B59" s="218">
        <v>37013.57525237192</v>
      </c>
      <c r="C59" s="218">
        <v>36167.733</v>
      </c>
      <c r="D59" s="218">
        <v>845.84225237191652</v>
      </c>
      <c r="E59" s="218">
        <v>19995.292000000001</v>
      </c>
      <c r="F59" s="218">
        <v>9974.36</v>
      </c>
      <c r="G59" s="218">
        <v>10020.932000000001</v>
      </c>
      <c r="H59" s="221">
        <v>1.8511145149754211</v>
      </c>
    </row>
    <row r="60" spans="1:8" x14ac:dyDescent="0.2">
      <c r="A60" s="217">
        <v>1979</v>
      </c>
      <c r="B60" s="218">
        <v>43403.188799110452</v>
      </c>
      <c r="C60" s="218">
        <v>42323.525000000001</v>
      </c>
      <c r="D60" s="218">
        <v>1079.6637991104521</v>
      </c>
      <c r="E60" s="218">
        <v>23565.732</v>
      </c>
      <c r="F60" s="218">
        <v>11470.268</v>
      </c>
      <c r="G60" s="218">
        <v>12095.464</v>
      </c>
      <c r="H60" s="221">
        <v>1.8417925146187037</v>
      </c>
    </row>
    <row r="61" spans="1:8" x14ac:dyDescent="0.2">
      <c r="A61" s="217">
        <v>1980</v>
      </c>
      <c r="B61" s="218">
        <v>54422.933170365068</v>
      </c>
      <c r="C61" s="218">
        <v>53443.476999999999</v>
      </c>
      <c r="D61" s="218">
        <v>979.45617036506792</v>
      </c>
      <c r="E61" s="218">
        <v>27776.183000000001</v>
      </c>
      <c r="F61" s="218">
        <v>12891.536</v>
      </c>
      <c r="G61" s="218">
        <v>14884.647000000001</v>
      </c>
      <c r="H61" s="221">
        <v>1.9593380836512009</v>
      </c>
    </row>
    <row r="62" spans="1:8" x14ac:dyDescent="0.2">
      <c r="A62" s="217">
        <v>1981</v>
      </c>
      <c r="B62" s="218">
        <v>60909.567629449353</v>
      </c>
      <c r="C62" s="218">
        <v>59550.759000000005</v>
      </c>
      <c r="D62" s="218">
        <v>1358.8086294493462</v>
      </c>
      <c r="E62" s="218">
        <v>30047</v>
      </c>
      <c r="F62" s="218">
        <v>13140.238000000001</v>
      </c>
      <c r="G62" s="218">
        <v>16906.761999999999</v>
      </c>
      <c r="H62" s="221">
        <v>2.0271430635154708</v>
      </c>
    </row>
    <row r="63" spans="1:8" x14ac:dyDescent="0.2">
      <c r="A63" s="217">
        <v>1982</v>
      </c>
      <c r="B63" s="218">
        <v>72729.711596779191</v>
      </c>
      <c r="C63" s="218">
        <v>71995.188999999998</v>
      </c>
      <c r="D63" s="218">
        <v>734.52259677918858</v>
      </c>
      <c r="E63" s="218">
        <v>33902</v>
      </c>
      <c r="F63" s="218">
        <v>13877.668000000001</v>
      </c>
      <c r="G63" s="218">
        <v>20024.331999999999</v>
      </c>
      <c r="H63" s="221">
        <v>2.1452926552055689</v>
      </c>
    </row>
    <row r="64" spans="1:8" x14ac:dyDescent="0.2">
      <c r="A64" s="217">
        <v>1983</v>
      </c>
      <c r="B64" s="218">
        <v>98078.729466160221</v>
      </c>
      <c r="C64" s="218">
        <v>95739.429000000004</v>
      </c>
      <c r="D64" s="218">
        <v>2339.3004661602217</v>
      </c>
      <c r="E64" s="218">
        <v>38828</v>
      </c>
      <c r="F64" s="218">
        <v>13909.528999999999</v>
      </c>
      <c r="G64" s="218">
        <v>24918.471000000001</v>
      </c>
      <c r="H64" s="221">
        <v>2.5259794340723247</v>
      </c>
    </row>
    <row r="65" spans="1:8" x14ac:dyDescent="0.2">
      <c r="A65" s="217">
        <v>1984</v>
      </c>
      <c r="B65" s="218">
        <v>146478.49123595314</v>
      </c>
      <c r="C65" s="218">
        <v>142916.50400000002</v>
      </c>
      <c r="D65" s="218">
        <v>3561.9872359531341</v>
      </c>
      <c r="E65" s="218">
        <v>56204</v>
      </c>
      <c r="F65" s="218">
        <v>21582</v>
      </c>
      <c r="G65" s="218">
        <v>34622</v>
      </c>
      <c r="H65" s="221">
        <v>2.6061933534259687</v>
      </c>
    </row>
    <row r="66" spans="1:8" x14ac:dyDescent="0.2">
      <c r="A66" s="217">
        <v>1985</v>
      </c>
      <c r="B66" s="218">
        <v>230552.87906234857</v>
      </c>
      <c r="C66" s="218">
        <v>226094</v>
      </c>
      <c r="D66" s="218">
        <v>4458.8790623485711</v>
      </c>
      <c r="E66" s="218">
        <v>71573</v>
      </c>
      <c r="F66" s="218">
        <v>29876</v>
      </c>
      <c r="G66" s="218">
        <v>41697</v>
      </c>
      <c r="H66" s="221">
        <v>3.2212269859073754</v>
      </c>
    </row>
    <row r="67" spans="1:8" x14ac:dyDescent="0.2">
      <c r="A67" s="217">
        <v>1986</v>
      </c>
      <c r="B67" s="218">
        <v>301565.56443079049</v>
      </c>
      <c r="C67" s="218">
        <v>291954.12800000003</v>
      </c>
      <c r="D67" s="218">
        <v>9611.4364307904743</v>
      </c>
      <c r="E67" s="218">
        <v>98885</v>
      </c>
      <c r="F67" s="218">
        <v>45539</v>
      </c>
      <c r="G67" s="218">
        <v>53346</v>
      </c>
      <c r="H67" s="221">
        <v>3.0496593460159831</v>
      </c>
    </row>
    <row r="68" spans="1:8" x14ac:dyDescent="0.2">
      <c r="A68" s="217">
        <v>1987</v>
      </c>
      <c r="B68" s="218">
        <v>422343.37334689725</v>
      </c>
      <c r="C68" s="218">
        <v>408896</v>
      </c>
      <c r="D68" s="218">
        <v>13447.373346897253</v>
      </c>
      <c r="E68" s="218">
        <v>135339</v>
      </c>
      <c r="F68" s="218">
        <v>61845</v>
      </c>
      <c r="G68" s="218">
        <v>73494</v>
      </c>
      <c r="H68" s="221">
        <v>3.120633175558392</v>
      </c>
    </row>
    <row r="69" spans="1:8" x14ac:dyDescent="0.2">
      <c r="A69" s="217">
        <v>1988</v>
      </c>
      <c r="B69" s="218">
        <v>624236.45701999997</v>
      </c>
      <c r="C69" s="218">
        <v>600688</v>
      </c>
      <c r="D69" s="218">
        <v>23548.457019999998</v>
      </c>
      <c r="E69" s="218">
        <v>219126</v>
      </c>
      <c r="F69" s="218">
        <v>96656</v>
      </c>
      <c r="G69" s="218">
        <v>122470</v>
      </c>
      <c r="H69" s="221">
        <v>2.848755770743773</v>
      </c>
    </row>
    <row r="70" spans="1:8" x14ac:dyDescent="0.2">
      <c r="A70" s="217">
        <v>1989</v>
      </c>
      <c r="B70" s="218">
        <v>910092.15353658539</v>
      </c>
      <c r="C70" s="218">
        <v>866711</v>
      </c>
      <c r="D70" s="218">
        <v>43381.153536585363</v>
      </c>
      <c r="E70" s="218">
        <v>313675</v>
      </c>
      <c r="F70" s="218">
        <v>139368</v>
      </c>
      <c r="G70" s="218">
        <v>174307</v>
      </c>
      <c r="H70" s="221">
        <v>2.9013856811559271</v>
      </c>
    </row>
    <row r="71" spans="1:8" x14ac:dyDescent="0.2">
      <c r="A71" s="217">
        <v>1990</v>
      </c>
      <c r="B71" s="218">
        <v>1491555.4651952463</v>
      </c>
      <c r="C71" s="218">
        <v>1432831</v>
      </c>
      <c r="D71" s="218">
        <v>58724.465195246179</v>
      </c>
      <c r="E71" s="218">
        <v>508493</v>
      </c>
      <c r="F71" s="218">
        <v>238521</v>
      </c>
      <c r="G71" s="218">
        <v>269972</v>
      </c>
      <c r="H71" s="221">
        <v>2.9332861321497963</v>
      </c>
    </row>
    <row r="72" spans="1:8" x14ac:dyDescent="0.2">
      <c r="A72" s="217">
        <v>1991</v>
      </c>
      <c r="B72" s="218">
        <v>2358285.4351112847</v>
      </c>
      <c r="C72" s="218">
        <v>2258703</v>
      </c>
      <c r="D72" s="218">
        <v>99582.435111284649</v>
      </c>
      <c r="E72" s="218">
        <v>742329</v>
      </c>
      <c r="F72" s="218">
        <v>362596</v>
      </c>
      <c r="G72" s="218">
        <v>379733</v>
      </c>
      <c r="H72" s="221">
        <v>3.17687364377693</v>
      </c>
    </row>
    <row r="73" spans="1:8" x14ac:dyDescent="0.2">
      <c r="A73" s="217">
        <v>1992</v>
      </c>
      <c r="B73" s="218">
        <v>3700065.2997016544</v>
      </c>
      <c r="C73" s="218">
        <v>3461480</v>
      </c>
      <c r="D73" s="218">
        <v>238585.29970165447</v>
      </c>
      <c r="E73" s="218">
        <v>1172162</v>
      </c>
      <c r="F73" s="218">
        <v>581008</v>
      </c>
      <c r="G73" s="218">
        <v>591154</v>
      </c>
      <c r="H73" s="221">
        <v>3.1566159794479383</v>
      </c>
    </row>
    <row r="74" spans="1:8" x14ac:dyDescent="0.2">
      <c r="A74" s="217">
        <v>1993</v>
      </c>
      <c r="B74" s="218">
        <v>5654703.0737539446</v>
      </c>
      <c r="C74" s="218">
        <v>5225781</v>
      </c>
      <c r="D74" s="218">
        <v>428922.07375394454</v>
      </c>
      <c r="E74" s="218">
        <v>1616583</v>
      </c>
      <c r="F74" s="218">
        <v>769766</v>
      </c>
      <c r="G74" s="218">
        <v>846817</v>
      </c>
      <c r="H74" s="221">
        <v>3.4979355057884098</v>
      </c>
    </row>
    <row r="75" spans="1:8" x14ac:dyDescent="0.2">
      <c r="A75" s="217">
        <v>1994</v>
      </c>
      <c r="B75" s="218">
        <v>8864626.4128238112</v>
      </c>
      <c r="C75" s="218">
        <v>7952497</v>
      </c>
      <c r="D75" s="218">
        <v>912129.41282381187</v>
      </c>
      <c r="E75" s="218">
        <v>1858129</v>
      </c>
      <c r="F75" s="218">
        <v>746518</v>
      </c>
      <c r="G75" s="218">
        <v>1111611</v>
      </c>
      <c r="H75" s="221">
        <v>4.7707271200351595</v>
      </c>
    </row>
    <row r="76" spans="1:8" x14ac:dyDescent="0.2">
      <c r="A76" s="217">
        <v>1995</v>
      </c>
      <c r="B76" s="218">
        <v>12574425.673293725</v>
      </c>
      <c r="C76" s="218">
        <v>10357040.603</v>
      </c>
      <c r="D76" s="218">
        <v>2217385.0702937255</v>
      </c>
      <c r="E76" s="218">
        <v>2411848</v>
      </c>
      <c r="F76" s="218">
        <v>1047532</v>
      </c>
      <c r="G76" s="218">
        <v>1364316</v>
      </c>
      <c r="H76" s="221">
        <v>5.2136061946249201</v>
      </c>
    </row>
    <row r="77" spans="1:8" x14ac:dyDescent="0.2">
      <c r="A77" s="217">
        <v>1996</v>
      </c>
      <c r="B77" s="218">
        <v>18083008.431205284</v>
      </c>
      <c r="C77" s="218">
        <v>14318924</v>
      </c>
      <c r="D77" s="218">
        <v>3764084.4312052834</v>
      </c>
      <c r="E77" s="218">
        <v>3062398</v>
      </c>
      <c r="F77" s="218">
        <v>1203386</v>
      </c>
      <c r="G77" s="218">
        <v>1859012</v>
      </c>
      <c r="H77" s="221">
        <v>5.9048524820109218</v>
      </c>
    </row>
    <row r="78" spans="1:8" x14ac:dyDescent="0.2">
      <c r="A78" s="217">
        <v>1997</v>
      </c>
      <c r="B78" s="218">
        <v>24424454</v>
      </c>
      <c r="C78" s="218">
        <v>17635041</v>
      </c>
      <c r="D78" s="218">
        <v>6789413</v>
      </c>
      <c r="E78" s="218">
        <v>4029362</v>
      </c>
      <c r="F78" s="218">
        <v>1672037</v>
      </c>
      <c r="G78" s="218">
        <v>2357325</v>
      </c>
      <c r="H78" s="221">
        <v>6.0616181916640901</v>
      </c>
    </row>
    <row r="79" spans="1:8" x14ac:dyDescent="0.2">
      <c r="A79" s="217">
        <v>1998</v>
      </c>
      <c r="B79" s="218">
        <v>34862060</v>
      </c>
      <c r="C79" s="218">
        <v>23167205</v>
      </c>
      <c r="D79" s="218">
        <v>11694855</v>
      </c>
      <c r="E79" s="218">
        <v>5689445</v>
      </c>
      <c r="F79" s="218">
        <v>2222522</v>
      </c>
      <c r="G79" s="218">
        <v>3466923</v>
      </c>
      <c r="H79" s="221">
        <v>6.1274974975590766</v>
      </c>
    </row>
    <row r="80" spans="1:8" x14ac:dyDescent="0.2">
      <c r="A80" s="217">
        <v>1999</v>
      </c>
      <c r="B80" s="218">
        <v>63040835</v>
      </c>
      <c r="C80" s="218">
        <v>34746973</v>
      </c>
      <c r="D80" s="218">
        <v>28293862</v>
      </c>
      <c r="E80" s="218">
        <v>13410226</v>
      </c>
      <c r="F80" s="218">
        <v>4370767</v>
      </c>
      <c r="G80" s="218">
        <v>9039459</v>
      </c>
      <c r="H80" s="221">
        <v>4.7009524671694569</v>
      </c>
    </row>
    <row r="81" spans="1:8" x14ac:dyDescent="0.2">
      <c r="A81" s="216"/>
      <c r="B81" s="216"/>
      <c r="C81" s="216"/>
      <c r="D81" s="216"/>
      <c r="E81" s="216"/>
      <c r="F81" s="216"/>
      <c r="G81" s="216"/>
      <c r="H81" s="216"/>
    </row>
    <row r="82" spans="1:8" x14ac:dyDescent="0.2">
      <c r="A82" s="192"/>
      <c r="B82" s="192"/>
      <c r="C82" s="192"/>
      <c r="D82" s="192"/>
      <c r="E82" s="192"/>
      <c r="F82" s="192"/>
      <c r="G82" s="192"/>
      <c r="H82" s="192"/>
    </row>
    <row r="83" spans="1:8" x14ac:dyDescent="0.2">
      <c r="B83" s="192"/>
      <c r="C83" s="192"/>
      <c r="D83" s="192"/>
      <c r="E83" s="192"/>
      <c r="F83" s="192"/>
      <c r="G83" s="192"/>
      <c r="H83" s="192"/>
    </row>
    <row r="84" spans="1:8" x14ac:dyDescent="0.2">
      <c r="A84" s="410"/>
    </row>
    <row r="85" spans="1:8" x14ac:dyDescent="0.2">
      <c r="A85" s="124" t="s">
        <v>598</v>
      </c>
    </row>
  </sheetData>
  <mergeCells count="6">
    <mergeCell ref="E4:G4"/>
    <mergeCell ref="B4:D4"/>
    <mergeCell ref="A4:A5"/>
    <mergeCell ref="H4:H5"/>
    <mergeCell ref="A1:H1"/>
    <mergeCell ref="A2:H2"/>
  </mergeCells>
  <hyperlinks>
    <hyperlink ref="A85" location="'indice cap.1'!A1" display="regresar al índice" xr:uid="{00000000-0004-0000-0D00-000000000000}"/>
  </hyperlinks>
  <pageMargins left="0.59055118110236227" right="0" top="0.74803149606299213" bottom="0.74803149606299213" header="0.31496062992125984" footer="0.31496062992125984"/>
  <pageSetup paperSize="9" scale="90" orientation="portrait" verticalDpi="599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5"/>
  <sheetViews>
    <sheetView showGridLines="0" workbookViewId="0">
      <selection activeCell="C8" sqref="C8"/>
    </sheetView>
  </sheetViews>
  <sheetFormatPr defaultColWidth="11.42578125" defaultRowHeight="12.75" x14ac:dyDescent="0.2"/>
  <cols>
    <col min="1" max="1" width="11.42578125" style="108"/>
    <col min="2" max="9" width="15.7109375" style="108" customWidth="1"/>
    <col min="10" max="16384" width="11.42578125" style="108"/>
  </cols>
  <sheetData>
    <row r="1" spans="1:9" x14ac:dyDescent="0.2">
      <c r="A1" s="493" t="s">
        <v>686</v>
      </c>
      <c r="B1" s="494"/>
      <c r="C1" s="494"/>
      <c r="D1" s="494"/>
      <c r="E1" s="494"/>
      <c r="F1" s="494"/>
      <c r="G1" s="494"/>
      <c r="H1" s="494"/>
      <c r="I1" s="494"/>
    </row>
    <row r="2" spans="1:9" x14ac:dyDescent="0.2">
      <c r="A2" s="493" t="s">
        <v>848</v>
      </c>
      <c r="B2" s="494"/>
      <c r="C2" s="494"/>
      <c r="D2" s="494"/>
      <c r="E2" s="494"/>
      <c r="F2" s="494"/>
      <c r="G2" s="494"/>
      <c r="H2" s="494"/>
      <c r="I2" s="494"/>
    </row>
    <row r="3" spans="1:9" x14ac:dyDescent="0.2">
      <c r="A3" s="493" t="s">
        <v>86</v>
      </c>
      <c r="B3" s="494"/>
      <c r="C3" s="494"/>
      <c r="D3" s="494"/>
      <c r="E3" s="494"/>
      <c r="F3" s="494"/>
      <c r="G3" s="494"/>
      <c r="H3" s="494"/>
      <c r="I3" s="494"/>
    </row>
    <row r="4" spans="1:9" x14ac:dyDescent="0.2">
      <c r="C4" s="110"/>
    </row>
    <row r="5" spans="1:9" ht="51" x14ac:dyDescent="0.2">
      <c r="A5" s="234" t="s">
        <v>87</v>
      </c>
      <c r="B5" s="245" t="s">
        <v>122</v>
      </c>
      <c r="C5" s="245" t="s">
        <v>757</v>
      </c>
      <c r="D5" s="245" t="s">
        <v>758</v>
      </c>
      <c r="E5" s="245" t="s">
        <v>759</v>
      </c>
      <c r="F5" s="245" t="s">
        <v>760</v>
      </c>
      <c r="G5" s="245" t="s">
        <v>761</v>
      </c>
      <c r="H5" s="245" t="s">
        <v>762</v>
      </c>
      <c r="I5" s="224" t="s">
        <v>763</v>
      </c>
    </row>
    <row r="6" spans="1:9" x14ac:dyDescent="0.2">
      <c r="B6" s="225" t="s">
        <v>123</v>
      </c>
      <c r="C6" s="200" t="s">
        <v>112</v>
      </c>
      <c r="D6" s="200" t="s">
        <v>124</v>
      </c>
      <c r="E6" s="200" t="s">
        <v>125</v>
      </c>
      <c r="F6" s="200" t="s">
        <v>126</v>
      </c>
      <c r="G6" s="200" t="s">
        <v>127</v>
      </c>
      <c r="H6" s="200" t="s">
        <v>128</v>
      </c>
      <c r="I6" s="201" t="s">
        <v>129</v>
      </c>
    </row>
    <row r="7" spans="1:9" x14ac:dyDescent="0.2">
      <c r="B7" s="115"/>
      <c r="C7" s="115"/>
      <c r="D7" s="115"/>
      <c r="E7" s="115"/>
      <c r="F7" s="115"/>
      <c r="G7" s="115"/>
      <c r="H7" s="115"/>
      <c r="I7" s="115"/>
    </row>
    <row r="8" spans="1:9" x14ac:dyDescent="0.2">
      <c r="A8" s="202" t="s">
        <v>130</v>
      </c>
      <c r="B8" s="226">
        <v>44.085000000000001</v>
      </c>
      <c r="C8" s="226">
        <v>-5.4239999999999995</v>
      </c>
      <c r="D8" s="226">
        <v>-1.5359999999999996</v>
      </c>
      <c r="E8" s="226">
        <v>-3.0339999999999998</v>
      </c>
      <c r="F8" s="226">
        <v>0.496</v>
      </c>
      <c r="G8" s="227">
        <v>0</v>
      </c>
      <c r="H8" s="226">
        <v>-1.35</v>
      </c>
      <c r="I8" s="226">
        <v>38.661000000000001</v>
      </c>
    </row>
    <row r="9" spans="1:9" x14ac:dyDescent="0.2">
      <c r="A9" s="202">
        <v>1928</v>
      </c>
      <c r="B9" s="226">
        <v>38.029000000000003</v>
      </c>
      <c r="C9" s="226">
        <v>0.82099999999999818</v>
      </c>
      <c r="D9" s="226">
        <v>2.1739999999999995</v>
      </c>
      <c r="E9" s="226">
        <v>-1.74</v>
      </c>
      <c r="F9" s="226">
        <v>0.41400000000000003</v>
      </c>
      <c r="G9" s="227">
        <v>0</v>
      </c>
      <c r="H9" s="226">
        <v>-2.7000000000001356E-2</v>
      </c>
      <c r="I9" s="226">
        <v>38.85</v>
      </c>
    </row>
    <row r="10" spans="1:9" x14ac:dyDescent="0.2">
      <c r="A10" s="202">
        <v>1929</v>
      </c>
      <c r="B10" s="226">
        <v>35.064</v>
      </c>
      <c r="C10" s="226">
        <v>-0.38499999999999812</v>
      </c>
      <c r="D10" s="226">
        <v>-0.71499999999999997</v>
      </c>
      <c r="E10" s="226">
        <v>-2.4999999999999467E-2</v>
      </c>
      <c r="F10" s="226">
        <v>0.26400000000000001</v>
      </c>
      <c r="G10" s="227">
        <v>0</v>
      </c>
      <c r="H10" s="226">
        <v>9.1000000000001302E-2</v>
      </c>
      <c r="I10" s="226">
        <v>34.679000000000002</v>
      </c>
    </row>
    <row r="11" spans="1:9" x14ac:dyDescent="0.2">
      <c r="A11" s="202">
        <v>1930</v>
      </c>
      <c r="B11" s="226">
        <v>28.914999999999999</v>
      </c>
      <c r="C11" s="226">
        <v>-0.15500000000000069</v>
      </c>
      <c r="D11" s="226">
        <v>-0.89900000000000091</v>
      </c>
      <c r="E11" s="226">
        <v>-1.18</v>
      </c>
      <c r="F11" s="226">
        <v>1.427</v>
      </c>
      <c r="G11" s="227">
        <v>0</v>
      </c>
      <c r="H11" s="226">
        <v>0.49699999999999989</v>
      </c>
      <c r="I11" s="226">
        <v>28.76</v>
      </c>
    </row>
    <row r="12" spans="1:9" x14ac:dyDescent="0.2">
      <c r="A12" s="202">
        <v>1931</v>
      </c>
      <c r="B12" s="226">
        <v>15.567</v>
      </c>
      <c r="C12" s="226">
        <v>9.3279999999999994</v>
      </c>
      <c r="D12" s="226">
        <v>1.55</v>
      </c>
      <c r="E12" s="226">
        <v>0.94299999999999984</v>
      </c>
      <c r="F12" s="226">
        <v>2.8879999999999999</v>
      </c>
      <c r="G12" s="227">
        <v>0</v>
      </c>
      <c r="H12" s="226">
        <v>3.9470000000000001</v>
      </c>
      <c r="I12" s="226">
        <v>24.895</v>
      </c>
    </row>
    <row r="13" spans="1:9" x14ac:dyDescent="0.2">
      <c r="A13" s="202">
        <v>1932</v>
      </c>
      <c r="B13" s="226">
        <v>17.408000000000001</v>
      </c>
      <c r="C13" s="226">
        <v>12.204000000000001</v>
      </c>
      <c r="D13" s="226">
        <v>17.279</v>
      </c>
      <c r="E13" s="226">
        <v>-7.6159999999999997</v>
      </c>
      <c r="F13" s="226">
        <v>5.2329999999999997</v>
      </c>
      <c r="G13" s="227">
        <v>0</v>
      </c>
      <c r="H13" s="226">
        <v>-2.6919999999999993</v>
      </c>
      <c r="I13" s="226">
        <v>29.612000000000002</v>
      </c>
    </row>
    <row r="14" spans="1:9" x14ac:dyDescent="0.2">
      <c r="A14" s="202">
        <v>1933</v>
      </c>
      <c r="B14" s="226">
        <v>18.34</v>
      </c>
      <c r="C14" s="226">
        <v>23.529</v>
      </c>
      <c r="D14" s="226">
        <v>30.634</v>
      </c>
      <c r="E14" s="226">
        <v>-13.625</v>
      </c>
      <c r="F14" s="226">
        <v>12.881</v>
      </c>
      <c r="G14" s="227">
        <v>0</v>
      </c>
      <c r="H14" s="226">
        <v>-6.3610000000000007</v>
      </c>
      <c r="I14" s="226">
        <v>41.869</v>
      </c>
    </row>
    <row r="15" spans="1:9" x14ac:dyDescent="0.2">
      <c r="A15" s="202">
        <v>1934</v>
      </c>
      <c r="B15" s="226">
        <v>26.213000000000001</v>
      </c>
      <c r="C15" s="226">
        <v>30.478999999999999</v>
      </c>
      <c r="D15" s="226">
        <v>24.752999999999997</v>
      </c>
      <c r="E15" s="226">
        <v>-10.255000000000001</v>
      </c>
      <c r="F15" s="226">
        <v>11.827</v>
      </c>
      <c r="G15" s="227">
        <v>0</v>
      </c>
      <c r="H15" s="226">
        <v>4.1540000000000035</v>
      </c>
      <c r="I15" s="226">
        <v>56.692</v>
      </c>
    </row>
    <row r="16" spans="1:9" x14ac:dyDescent="0.2">
      <c r="A16" s="202">
        <v>1935</v>
      </c>
      <c r="B16" s="226">
        <v>39.701000000000001</v>
      </c>
      <c r="C16" s="226">
        <v>20.210999999999999</v>
      </c>
      <c r="D16" s="226">
        <v>0.77699999999999747</v>
      </c>
      <c r="E16" s="226">
        <v>-6.2050000000000001</v>
      </c>
      <c r="F16" s="226">
        <v>19.013999999999999</v>
      </c>
      <c r="G16" s="227">
        <v>0</v>
      </c>
      <c r="H16" s="226">
        <v>6.625</v>
      </c>
      <c r="I16" s="226">
        <v>59.911999999999999</v>
      </c>
    </row>
    <row r="17" spans="1:9" x14ac:dyDescent="0.2">
      <c r="A17" s="202">
        <v>1936</v>
      </c>
      <c r="B17" s="226">
        <v>48.287000000000006</v>
      </c>
      <c r="C17" s="226">
        <v>18.819000000000003</v>
      </c>
      <c r="D17" s="226">
        <v>10.405999999999999</v>
      </c>
      <c r="E17" s="226">
        <v>-22.29</v>
      </c>
      <c r="F17" s="226">
        <v>18.448</v>
      </c>
      <c r="G17" s="227">
        <v>0</v>
      </c>
      <c r="H17" s="226">
        <v>12.255000000000001</v>
      </c>
      <c r="I17" s="226">
        <v>67.105999999999995</v>
      </c>
    </row>
    <row r="18" spans="1:9" x14ac:dyDescent="0.2">
      <c r="A18" s="202">
        <v>1937</v>
      </c>
      <c r="B18" s="226">
        <v>43.840999999999987</v>
      </c>
      <c r="C18" s="226">
        <v>35.923000000000002</v>
      </c>
      <c r="D18" s="226">
        <v>14.747</v>
      </c>
      <c r="E18" s="226">
        <v>-19.391000000000002</v>
      </c>
      <c r="F18" s="226">
        <v>14.817</v>
      </c>
      <c r="G18" s="227">
        <v>0</v>
      </c>
      <c r="H18" s="226">
        <v>25.75</v>
      </c>
      <c r="I18" s="226">
        <v>79.763999999999982</v>
      </c>
    </row>
    <row r="19" spans="1:9" x14ac:dyDescent="0.2">
      <c r="A19" s="202">
        <v>1938</v>
      </c>
      <c r="B19" s="226">
        <v>40.784999999999997</v>
      </c>
      <c r="C19" s="226">
        <v>38.494999999999997</v>
      </c>
      <c r="D19" s="226">
        <v>23.231999999999999</v>
      </c>
      <c r="E19" s="226">
        <v>-16.417999999999999</v>
      </c>
      <c r="F19" s="226">
        <v>13.344000000000001</v>
      </c>
      <c r="G19" s="227">
        <v>0</v>
      </c>
      <c r="H19" s="226">
        <v>18.337000000000003</v>
      </c>
      <c r="I19" s="226">
        <v>79.28</v>
      </c>
    </row>
    <row r="20" spans="1:9" x14ac:dyDescent="0.2">
      <c r="A20" s="202">
        <v>1939</v>
      </c>
      <c r="B20" s="226">
        <v>40.856999999999999</v>
      </c>
      <c r="C20" s="226">
        <v>42.666000000000004</v>
      </c>
      <c r="D20" s="226">
        <v>20.774999999999999</v>
      </c>
      <c r="E20" s="226">
        <v>-17.074999999999999</v>
      </c>
      <c r="F20" s="226">
        <v>12.151000000000002</v>
      </c>
      <c r="G20" s="227">
        <v>0</v>
      </c>
      <c r="H20" s="226">
        <v>26.815000000000001</v>
      </c>
      <c r="I20" s="226">
        <v>83.522999999999996</v>
      </c>
    </row>
    <row r="21" spans="1:9" x14ac:dyDescent="0.2">
      <c r="A21" s="202">
        <v>1940</v>
      </c>
      <c r="B21" s="226">
        <v>79.078999999999994</v>
      </c>
      <c r="C21" s="226">
        <v>10.604000000000013</v>
      </c>
      <c r="D21" s="226">
        <v>18.132999999999999</v>
      </c>
      <c r="E21" s="226">
        <v>-25.779</v>
      </c>
      <c r="F21" s="226">
        <v>5.7669999999999995</v>
      </c>
      <c r="G21" s="227">
        <v>0</v>
      </c>
      <c r="H21" s="226">
        <v>12.483000000000015</v>
      </c>
      <c r="I21" s="226">
        <v>89.683000000000007</v>
      </c>
    </row>
    <row r="22" spans="1:9" x14ac:dyDescent="0.2">
      <c r="A22" s="202">
        <v>1941</v>
      </c>
      <c r="B22" s="226">
        <v>115.14399999999999</v>
      </c>
      <c r="C22" s="226">
        <v>13.201000000000009</v>
      </c>
      <c r="D22" s="226">
        <v>24.945999999999998</v>
      </c>
      <c r="E22" s="226">
        <v>-34.356999999999999</v>
      </c>
      <c r="F22" s="226">
        <v>5.51</v>
      </c>
      <c r="G22" s="227">
        <v>0</v>
      </c>
      <c r="H22" s="226">
        <v>17.102000000000011</v>
      </c>
      <c r="I22" s="226">
        <v>128.345</v>
      </c>
    </row>
    <row r="23" spans="1:9" x14ac:dyDescent="0.2">
      <c r="A23" s="202">
        <v>1942</v>
      </c>
      <c r="B23" s="226">
        <v>206.85599999999999</v>
      </c>
      <c r="C23" s="226">
        <v>-22.553000000000011</v>
      </c>
      <c r="D23" s="226">
        <v>9.98</v>
      </c>
      <c r="E23" s="226">
        <v>-62.365000000000002</v>
      </c>
      <c r="F23" s="226">
        <v>-8.5439999999999969</v>
      </c>
      <c r="G23" s="227">
        <v>0</v>
      </c>
      <c r="H23" s="226">
        <v>38.375999999999991</v>
      </c>
      <c r="I23" s="226">
        <v>184.303</v>
      </c>
    </row>
    <row r="24" spans="1:9" x14ac:dyDescent="0.2">
      <c r="A24" s="202">
        <v>1943</v>
      </c>
      <c r="B24" s="226">
        <v>359.529</v>
      </c>
      <c r="C24" s="226">
        <v>-112.794</v>
      </c>
      <c r="D24" s="226">
        <v>-5.9439999999999955</v>
      </c>
      <c r="E24" s="226">
        <v>-76.447999999999993</v>
      </c>
      <c r="F24" s="226">
        <v>-35.158999999999992</v>
      </c>
      <c r="G24" s="227">
        <v>0</v>
      </c>
      <c r="H24" s="226">
        <v>4.7569999999999908</v>
      </c>
      <c r="I24" s="226">
        <v>246.73500000000001</v>
      </c>
    </row>
    <row r="25" spans="1:9" x14ac:dyDescent="0.2">
      <c r="A25" s="202">
        <v>1944</v>
      </c>
      <c r="B25" s="226">
        <v>467.37299999999993</v>
      </c>
      <c r="C25" s="226">
        <v>-127.48799999999994</v>
      </c>
      <c r="D25" s="226">
        <v>7.6870000000000047</v>
      </c>
      <c r="E25" s="226">
        <v>-184.375</v>
      </c>
      <c r="F25" s="226">
        <v>-32.673999999999999</v>
      </c>
      <c r="G25" s="227">
        <v>0</v>
      </c>
      <c r="H25" s="226">
        <v>81.874000000000052</v>
      </c>
      <c r="I25" s="226">
        <v>339.88499999999999</v>
      </c>
    </row>
    <row r="26" spans="1:9" x14ac:dyDescent="0.2">
      <c r="A26" s="202">
        <v>1945</v>
      </c>
      <c r="B26" s="226">
        <v>371.04899999999998</v>
      </c>
      <c r="C26" s="226">
        <v>-5.8239999999999981</v>
      </c>
      <c r="D26" s="226">
        <v>63.902000000000001</v>
      </c>
      <c r="E26" s="226">
        <v>-148.67699999999999</v>
      </c>
      <c r="F26" s="226">
        <v>-28.814</v>
      </c>
      <c r="G26" s="227">
        <v>0</v>
      </c>
      <c r="H26" s="226">
        <v>107.765</v>
      </c>
      <c r="I26" s="226">
        <v>365.22500000000002</v>
      </c>
    </row>
    <row r="27" spans="1:9" x14ac:dyDescent="0.2">
      <c r="A27" s="202">
        <v>1946</v>
      </c>
      <c r="B27" s="226">
        <v>396.22</v>
      </c>
      <c r="C27" s="226">
        <v>-3.4049999999999727</v>
      </c>
      <c r="D27" s="226">
        <v>114.56</v>
      </c>
      <c r="E27" s="226">
        <v>-189.113</v>
      </c>
      <c r="F27" s="226">
        <v>-33.786000000000001</v>
      </c>
      <c r="G27" s="227">
        <v>0</v>
      </c>
      <c r="H27" s="226">
        <v>104.93400000000003</v>
      </c>
      <c r="I27" s="226">
        <v>392.815</v>
      </c>
    </row>
    <row r="28" spans="1:9" x14ac:dyDescent="0.2">
      <c r="A28" s="202">
        <v>1947</v>
      </c>
      <c r="B28" s="226">
        <v>343.01499999999999</v>
      </c>
      <c r="C28" s="226">
        <v>29.213000000000022</v>
      </c>
      <c r="D28" s="226">
        <v>47.628999999999998</v>
      </c>
      <c r="E28" s="226">
        <v>-140.04899999999998</v>
      </c>
      <c r="F28" s="226">
        <v>44.417000000000002</v>
      </c>
      <c r="G28" s="227">
        <v>0</v>
      </c>
      <c r="H28" s="226">
        <v>77.216000000000008</v>
      </c>
      <c r="I28" s="226">
        <v>372.22800000000001</v>
      </c>
    </row>
    <row r="29" spans="1:9" x14ac:dyDescent="0.2">
      <c r="A29" s="202">
        <v>1948</v>
      </c>
      <c r="B29" s="226">
        <v>363.166</v>
      </c>
      <c r="C29" s="226">
        <v>12.477999999999987</v>
      </c>
      <c r="D29" s="226">
        <v>92.148999999999987</v>
      </c>
      <c r="E29" s="226">
        <v>-98.022999999999996</v>
      </c>
      <c r="F29" s="226">
        <v>55.561999999999998</v>
      </c>
      <c r="G29" s="227">
        <v>0</v>
      </c>
      <c r="H29" s="226">
        <v>-37.21</v>
      </c>
      <c r="I29" s="226">
        <v>375.64400000000001</v>
      </c>
    </row>
    <row r="30" spans="1:9" x14ac:dyDescent="0.2">
      <c r="A30" s="202">
        <v>1949</v>
      </c>
      <c r="B30" s="226">
        <v>201.00199999999998</v>
      </c>
      <c r="C30" s="226">
        <v>191.78800000000004</v>
      </c>
      <c r="D30" s="226">
        <v>93.907999999999987</v>
      </c>
      <c r="E30" s="226">
        <v>77.50800000000001</v>
      </c>
      <c r="F30" s="226">
        <v>18.462999999999994</v>
      </c>
      <c r="G30" s="227">
        <v>0</v>
      </c>
      <c r="H30" s="226">
        <v>1.9090000000000487</v>
      </c>
      <c r="I30" s="226">
        <v>392.79</v>
      </c>
    </row>
    <row r="31" spans="1:9" x14ac:dyDescent="0.2">
      <c r="A31" s="202">
        <v>1950</v>
      </c>
      <c r="B31" s="226">
        <v>532.40599999999995</v>
      </c>
      <c r="C31" s="226">
        <v>-22.954999999999927</v>
      </c>
      <c r="D31" s="226">
        <v>83.966000000000008</v>
      </c>
      <c r="E31" s="226">
        <v>-104.67399999999999</v>
      </c>
      <c r="F31" s="226">
        <v>22.567000000000007</v>
      </c>
      <c r="G31" s="227">
        <v>0</v>
      </c>
      <c r="H31" s="226">
        <v>-24.81399999999995</v>
      </c>
      <c r="I31" s="226">
        <v>509.45100000000002</v>
      </c>
    </row>
    <row r="32" spans="1:9" x14ac:dyDescent="0.2">
      <c r="A32" s="202">
        <v>1951</v>
      </c>
      <c r="B32" s="226">
        <v>405.63599999999997</v>
      </c>
      <c r="C32" s="226">
        <v>83.94500000000005</v>
      </c>
      <c r="D32" s="226">
        <v>80.812999999999988</v>
      </c>
      <c r="E32" s="226">
        <v>-82.783000000000001</v>
      </c>
      <c r="F32" s="226">
        <v>107.274</v>
      </c>
      <c r="G32" s="227">
        <v>0</v>
      </c>
      <c r="H32" s="226">
        <v>-21.358999999999938</v>
      </c>
      <c r="I32" s="226">
        <v>489.58100000000002</v>
      </c>
    </row>
    <row r="33" spans="1:9" x14ac:dyDescent="0.2">
      <c r="A33" s="202">
        <v>1952</v>
      </c>
      <c r="B33" s="226">
        <v>591.56799999999998</v>
      </c>
      <c r="C33" s="226">
        <v>-21.703999999999951</v>
      </c>
      <c r="D33" s="226">
        <v>37.006999999999984</v>
      </c>
      <c r="E33" s="226">
        <v>-143.24200000000002</v>
      </c>
      <c r="F33" s="226">
        <v>84.207999999999998</v>
      </c>
      <c r="G33" s="227">
        <v>0</v>
      </c>
      <c r="H33" s="226">
        <v>0.32300000000009277</v>
      </c>
      <c r="I33" s="226">
        <v>569.86400000000003</v>
      </c>
    </row>
    <row r="34" spans="1:9" x14ac:dyDescent="0.2">
      <c r="A34" s="202">
        <v>1953</v>
      </c>
      <c r="B34" s="226">
        <v>485.7</v>
      </c>
      <c r="C34" s="226">
        <v>115.34100000000001</v>
      </c>
      <c r="D34" s="226">
        <v>90.52300000000001</v>
      </c>
      <c r="E34" s="226">
        <v>-97.027000000000015</v>
      </c>
      <c r="F34" s="226">
        <v>122.27300000000001</v>
      </c>
      <c r="G34" s="227">
        <v>0</v>
      </c>
      <c r="H34" s="226">
        <v>-0.42799999999999727</v>
      </c>
      <c r="I34" s="226">
        <v>601.04100000000005</v>
      </c>
    </row>
    <row r="35" spans="1:9" x14ac:dyDescent="0.2">
      <c r="A35" s="202">
        <v>1954</v>
      </c>
      <c r="B35" s="226">
        <v>511.70499999999998</v>
      </c>
      <c r="C35" s="226">
        <v>187.14099999999999</v>
      </c>
      <c r="D35" s="226">
        <v>139.41999999999999</v>
      </c>
      <c r="E35" s="226">
        <v>-90.456999999999994</v>
      </c>
      <c r="F35" s="226">
        <v>119.602</v>
      </c>
      <c r="G35" s="227">
        <v>0</v>
      </c>
      <c r="H35" s="226">
        <v>18.575999999999993</v>
      </c>
      <c r="I35" s="226">
        <v>698.846</v>
      </c>
    </row>
    <row r="36" spans="1:9" x14ac:dyDescent="0.2">
      <c r="A36" s="202">
        <v>1955</v>
      </c>
      <c r="B36" s="226">
        <v>351.09199999999998</v>
      </c>
      <c r="C36" s="226">
        <v>313.06600000000003</v>
      </c>
      <c r="D36" s="226">
        <v>162.59899999999996</v>
      </c>
      <c r="E36" s="226">
        <v>-9.4570000000000221</v>
      </c>
      <c r="F36" s="226">
        <v>60.692999999999984</v>
      </c>
      <c r="G36" s="227">
        <v>0</v>
      </c>
      <c r="H36" s="226">
        <v>99.231000000000108</v>
      </c>
      <c r="I36" s="226">
        <v>664.15800000000002</v>
      </c>
    </row>
    <row r="37" spans="1:9" x14ac:dyDescent="0.2">
      <c r="A37" s="202">
        <v>1956</v>
      </c>
      <c r="B37" s="226">
        <v>392.72400000000005</v>
      </c>
      <c r="C37" s="226">
        <v>359.19099999999992</v>
      </c>
      <c r="D37" s="226">
        <v>235.5</v>
      </c>
      <c r="E37" s="226">
        <v>-53.232999999999976</v>
      </c>
      <c r="F37" s="226">
        <v>123.93</v>
      </c>
      <c r="G37" s="227">
        <v>0</v>
      </c>
      <c r="H37" s="226">
        <v>52.993999999999886</v>
      </c>
      <c r="I37" s="226">
        <v>751.91499999999996</v>
      </c>
    </row>
    <row r="38" spans="1:9" x14ac:dyDescent="0.2">
      <c r="A38" s="202">
        <v>1957</v>
      </c>
      <c r="B38" s="226">
        <v>419.38799999999998</v>
      </c>
      <c r="C38" s="226">
        <v>349.16300000000001</v>
      </c>
      <c r="D38" s="226">
        <v>179.745</v>
      </c>
      <c r="E38" s="226">
        <v>-74.435000000000002</v>
      </c>
      <c r="F38" s="226">
        <v>218.26499999999999</v>
      </c>
      <c r="G38" s="227">
        <v>0</v>
      </c>
      <c r="H38" s="226">
        <v>25.588000000000051</v>
      </c>
      <c r="I38" s="226">
        <v>768.55100000000016</v>
      </c>
    </row>
    <row r="39" spans="1:9" x14ac:dyDescent="0.2">
      <c r="A39" s="202">
        <v>1958</v>
      </c>
      <c r="B39" s="226">
        <v>456.63200000000006</v>
      </c>
      <c r="C39" s="226">
        <v>295.85099999999989</v>
      </c>
      <c r="D39" s="226">
        <v>52.601000000000028</v>
      </c>
      <c r="E39" s="226">
        <v>-26.67</v>
      </c>
      <c r="F39" s="226">
        <v>216.655</v>
      </c>
      <c r="G39" s="227">
        <v>0</v>
      </c>
      <c r="H39" s="226">
        <v>53.264999999999873</v>
      </c>
      <c r="I39" s="226">
        <v>752.48299999999995</v>
      </c>
    </row>
    <row r="40" spans="1:9" x14ac:dyDescent="0.2">
      <c r="A40" s="202">
        <v>1959</v>
      </c>
      <c r="B40" s="226">
        <v>568.75</v>
      </c>
      <c r="C40" s="226">
        <v>234.553</v>
      </c>
      <c r="D40" s="226">
        <v>68.805999999999997</v>
      </c>
      <c r="E40" s="226">
        <v>-115.36200000000002</v>
      </c>
      <c r="F40" s="226">
        <v>225.28200000000004</v>
      </c>
      <c r="G40" s="227">
        <v>0</v>
      </c>
      <c r="H40" s="226">
        <v>55.826999999999998</v>
      </c>
      <c r="I40" s="226">
        <v>803.303</v>
      </c>
    </row>
    <row r="41" spans="1:9" x14ac:dyDescent="0.2">
      <c r="A41" s="202">
        <v>1960</v>
      </c>
      <c r="B41" s="226">
        <v>487.10500000000002</v>
      </c>
      <c r="C41" s="226">
        <v>411.38199999999989</v>
      </c>
      <c r="D41" s="226">
        <v>169.244</v>
      </c>
      <c r="E41" s="226">
        <v>-150.32600000000002</v>
      </c>
      <c r="F41" s="226">
        <v>323.03199999999998</v>
      </c>
      <c r="G41" s="227">
        <v>0</v>
      </c>
      <c r="H41" s="226">
        <v>69.43199999999996</v>
      </c>
      <c r="I41" s="226">
        <v>898.48699999999985</v>
      </c>
    </row>
    <row r="42" spans="1:9" x14ac:dyDescent="0.2">
      <c r="A42" s="202">
        <v>1961</v>
      </c>
      <c r="B42" s="226">
        <v>373.96100000000001</v>
      </c>
      <c r="C42" s="226">
        <v>547.51099999999997</v>
      </c>
      <c r="D42" s="226">
        <v>345.71599999999995</v>
      </c>
      <c r="E42" s="226">
        <v>-81.84099999999998</v>
      </c>
      <c r="F42" s="226">
        <v>175.75800000000001</v>
      </c>
      <c r="G42" s="227">
        <v>0</v>
      </c>
      <c r="H42" s="226">
        <v>107.87799999999996</v>
      </c>
      <c r="I42" s="226">
        <v>921.47199999999998</v>
      </c>
    </row>
    <row r="43" spans="1:9" x14ac:dyDescent="0.2">
      <c r="A43" s="202">
        <v>1962</v>
      </c>
      <c r="B43" s="226">
        <v>580.56500000000005</v>
      </c>
      <c r="C43" s="226">
        <v>425.94699999999989</v>
      </c>
      <c r="D43" s="226">
        <v>354.77699999999993</v>
      </c>
      <c r="E43" s="226">
        <v>-162.34199999999998</v>
      </c>
      <c r="F43" s="226">
        <v>121.97300000000001</v>
      </c>
      <c r="G43" s="227">
        <v>0</v>
      </c>
      <c r="H43" s="226">
        <v>111.53899999999993</v>
      </c>
      <c r="I43" s="226">
        <v>1006.5119999999999</v>
      </c>
    </row>
    <row r="44" spans="1:9" x14ac:dyDescent="0.2">
      <c r="A44" s="202">
        <v>1963</v>
      </c>
      <c r="B44" s="226">
        <v>731.70600000000002</v>
      </c>
      <c r="C44" s="226">
        <v>375.24099999999999</v>
      </c>
      <c r="D44" s="226">
        <v>302.15499999999997</v>
      </c>
      <c r="E44" s="226">
        <v>-245.54</v>
      </c>
      <c r="F44" s="226">
        <v>140.27199999999999</v>
      </c>
      <c r="G44" s="227">
        <v>0</v>
      </c>
      <c r="H44" s="226">
        <v>178.35399999999998</v>
      </c>
      <c r="I44" s="226">
        <v>1106.9469999999999</v>
      </c>
    </row>
    <row r="45" spans="1:9" x14ac:dyDescent="0.2">
      <c r="A45" s="202">
        <v>1964</v>
      </c>
      <c r="B45" s="226">
        <v>810.89400000000001</v>
      </c>
      <c r="C45" s="226">
        <v>393.58100000000002</v>
      </c>
      <c r="D45" s="226">
        <v>185.46600000000001</v>
      </c>
      <c r="E45" s="226">
        <v>-233.89699999999996</v>
      </c>
      <c r="F45" s="226">
        <v>268.68700000000001</v>
      </c>
      <c r="G45" s="227">
        <v>0</v>
      </c>
      <c r="H45" s="226">
        <v>173.32499999999999</v>
      </c>
      <c r="I45" s="226">
        <v>1204.4749999999999</v>
      </c>
    </row>
    <row r="46" spans="1:9" x14ac:dyDescent="0.2">
      <c r="A46" s="202">
        <v>1965</v>
      </c>
      <c r="B46" s="226">
        <v>605.82100000000003</v>
      </c>
      <c r="C46" s="226">
        <v>704.23</v>
      </c>
      <c r="D46" s="226">
        <v>586.44000000000005</v>
      </c>
      <c r="E46" s="226">
        <v>-187.61299999999994</v>
      </c>
      <c r="F46" s="226">
        <v>212.93600000000004</v>
      </c>
      <c r="G46" s="227">
        <v>0</v>
      </c>
      <c r="H46" s="226">
        <v>92.466999999999757</v>
      </c>
      <c r="I46" s="226">
        <v>1310.0509999999999</v>
      </c>
    </row>
    <row r="47" spans="1:9" x14ac:dyDescent="0.2">
      <c r="A47" s="202">
        <v>1966</v>
      </c>
      <c r="B47" s="226">
        <v>804.17100000000016</v>
      </c>
      <c r="C47" s="226">
        <v>620.36599999999999</v>
      </c>
      <c r="D47" s="226">
        <v>714.91300000000001</v>
      </c>
      <c r="E47" s="226">
        <v>-361.20699999999999</v>
      </c>
      <c r="F47" s="226">
        <v>134.875</v>
      </c>
      <c r="G47" s="227">
        <v>0</v>
      </c>
      <c r="H47" s="226">
        <v>131.785</v>
      </c>
      <c r="I47" s="226">
        <v>1424.537</v>
      </c>
    </row>
    <row r="48" spans="1:9" x14ac:dyDescent="0.2">
      <c r="A48" s="202">
        <v>1967</v>
      </c>
      <c r="B48" s="226">
        <v>970.10400000000004</v>
      </c>
      <c r="C48" s="226">
        <v>522.45399999999995</v>
      </c>
      <c r="D48" s="226">
        <v>488.18100000000004</v>
      </c>
      <c r="E48" s="226">
        <v>-334.61500000000001</v>
      </c>
      <c r="F48" s="226">
        <v>70.102999999999952</v>
      </c>
      <c r="G48" s="227">
        <v>0</v>
      </c>
      <c r="H48" s="226">
        <v>298.78500000000003</v>
      </c>
      <c r="I48" s="226">
        <v>1492.558</v>
      </c>
    </row>
    <row r="49" spans="1:9" x14ac:dyDescent="0.2">
      <c r="A49" s="202">
        <v>1968</v>
      </c>
      <c r="B49" s="226">
        <v>745.0089999999999</v>
      </c>
      <c r="C49" s="226">
        <v>981.97399999999993</v>
      </c>
      <c r="D49" s="226">
        <v>907.44500000000005</v>
      </c>
      <c r="E49" s="226">
        <v>-393.99300000000005</v>
      </c>
      <c r="F49" s="226">
        <v>129.785</v>
      </c>
      <c r="G49" s="227">
        <v>0</v>
      </c>
      <c r="H49" s="226">
        <v>338.73699999999997</v>
      </c>
      <c r="I49" s="226">
        <v>1726.9829999999999</v>
      </c>
    </row>
    <row r="50" spans="1:9" x14ac:dyDescent="0.2">
      <c r="A50" s="202">
        <v>1969</v>
      </c>
      <c r="B50" s="226">
        <v>702.20600000000013</v>
      </c>
      <c r="C50" s="226">
        <v>1170.99</v>
      </c>
      <c r="D50" s="226">
        <v>1496.6569999999995</v>
      </c>
      <c r="E50" s="226">
        <v>-462.97400000000005</v>
      </c>
      <c r="F50" s="226">
        <v>-306.77099999999984</v>
      </c>
      <c r="G50" s="227">
        <v>0</v>
      </c>
      <c r="H50" s="226">
        <v>444.0780000000002</v>
      </c>
      <c r="I50" s="226">
        <v>1873.1959999999999</v>
      </c>
    </row>
    <row r="51" spans="1:9" x14ac:dyDescent="0.2">
      <c r="A51" s="202">
        <v>1970</v>
      </c>
      <c r="B51" s="226">
        <v>1378.578</v>
      </c>
      <c r="C51" s="226">
        <v>1090.9580000000001</v>
      </c>
      <c r="D51" s="226">
        <v>1870.078</v>
      </c>
      <c r="E51" s="226">
        <v>-857.57100000000014</v>
      </c>
      <c r="F51" s="226">
        <v>-432.52499999999998</v>
      </c>
      <c r="G51" s="227">
        <v>0</v>
      </c>
      <c r="H51" s="226">
        <v>510.97600000000011</v>
      </c>
      <c r="I51" s="226">
        <v>2469.5360000000001</v>
      </c>
    </row>
    <row r="52" spans="1:9" x14ac:dyDescent="0.2">
      <c r="A52" s="202">
        <v>1971</v>
      </c>
      <c r="B52" s="226">
        <v>620.82000000000005</v>
      </c>
      <c r="C52" s="226">
        <v>1937.3930000000003</v>
      </c>
      <c r="D52" s="226">
        <v>2168.6039999999994</v>
      </c>
      <c r="E52" s="226">
        <v>-1152.9040000000002</v>
      </c>
      <c r="F52" s="226">
        <v>-3.3479999999999563</v>
      </c>
      <c r="G52" s="227">
        <v>0</v>
      </c>
      <c r="H52" s="226">
        <v>925.04100000000108</v>
      </c>
      <c r="I52" s="226">
        <v>2558.2130000000002</v>
      </c>
    </row>
    <row r="53" spans="1:9" x14ac:dyDescent="0.2">
      <c r="A53" s="202">
        <v>1972</v>
      </c>
      <c r="B53" s="226">
        <v>3198.4969999999998</v>
      </c>
      <c r="C53" s="226">
        <v>-133.221</v>
      </c>
      <c r="D53" s="226">
        <v>1788.1839999999995</v>
      </c>
      <c r="E53" s="226">
        <v>-1595.5539999999996</v>
      </c>
      <c r="F53" s="226">
        <v>-705.13799999999992</v>
      </c>
      <c r="G53" s="227">
        <v>0</v>
      </c>
      <c r="H53" s="226">
        <v>379.28700000000003</v>
      </c>
      <c r="I53" s="226">
        <v>3065.2759999999998</v>
      </c>
    </row>
    <row r="54" spans="1:9" x14ac:dyDescent="0.2">
      <c r="A54" s="202">
        <v>1973</v>
      </c>
      <c r="B54" s="226">
        <v>5648.8720000000003</v>
      </c>
      <c r="C54" s="226">
        <v>-1765.7160000000006</v>
      </c>
      <c r="D54" s="226">
        <v>137.11900000000026</v>
      </c>
      <c r="E54" s="226">
        <v>-2438.8830000000003</v>
      </c>
      <c r="F54" s="226">
        <v>-149.57300000000009</v>
      </c>
      <c r="G54" s="227">
        <v>0</v>
      </c>
      <c r="H54" s="226">
        <v>685.62099999999987</v>
      </c>
      <c r="I54" s="226">
        <v>3883.1559999999999</v>
      </c>
    </row>
    <row r="55" spans="1:9" x14ac:dyDescent="0.2">
      <c r="A55" s="202">
        <v>1974</v>
      </c>
      <c r="B55" s="226">
        <v>8486.0579999999991</v>
      </c>
      <c r="C55" s="226">
        <v>-3407.0729999999999</v>
      </c>
      <c r="D55" s="226">
        <v>-605.08299999999986</v>
      </c>
      <c r="E55" s="226">
        <v>-2060.1080000000002</v>
      </c>
      <c r="F55" s="226">
        <v>616.34299999999996</v>
      </c>
      <c r="G55" s="227">
        <v>0</v>
      </c>
      <c r="H55" s="226">
        <v>-1358.2249999999999</v>
      </c>
      <c r="I55" s="226">
        <v>5078.9849999999997</v>
      </c>
    </row>
    <row r="56" spans="1:9" x14ac:dyDescent="0.2">
      <c r="A56" s="202">
        <v>1975</v>
      </c>
      <c r="B56" s="226">
        <v>6139.262999999999</v>
      </c>
      <c r="C56" s="226">
        <v>-373.57799999999997</v>
      </c>
      <c r="D56" s="226">
        <v>-2597.9560000000001</v>
      </c>
      <c r="E56" s="226">
        <v>-212.00199999999961</v>
      </c>
      <c r="F56" s="226">
        <v>257.27999999999997</v>
      </c>
      <c r="G56" s="227">
        <v>0</v>
      </c>
      <c r="H56" s="226">
        <v>2179.1</v>
      </c>
      <c r="I56" s="226">
        <v>5765.6850000000004</v>
      </c>
    </row>
    <row r="57" spans="1:9" x14ac:dyDescent="0.2">
      <c r="A57" s="202">
        <v>1976</v>
      </c>
      <c r="B57" s="226">
        <v>11729.0646</v>
      </c>
      <c r="C57" s="226">
        <v>-3680.5825999999997</v>
      </c>
      <c r="D57" s="226">
        <v>-1139.5363200000006</v>
      </c>
      <c r="E57" s="226">
        <v>-1287.0875999999996</v>
      </c>
      <c r="F57" s="226">
        <v>-1159.1433999999999</v>
      </c>
      <c r="G57" s="227">
        <v>0</v>
      </c>
      <c r="H57" s="226">
        <v>-94.815279999999575</v>
      </c>
      <c r="I57" s="226">
        <v>8048.482</v>
      </c>
    </row>
    <row r="58" spans="1:9" x14ac:dyDescent="0.2">
      <c r="A58" s="202">
        <v>1977</v>
      </c>
      <c r="B58" s="226">
        <v>15312.865386000001</v>
      </c>
      <c r="C58" s="226">
        <v>-5693.6653860000006</v>
      </c>
      <c r="D58" s="226">
        <v>-3753.7657600000011</v>
      </c>
      <c r="E58" s="226">
        <v>-349.97207599999979</v>
      </c>
      <c r="F58" s="226">
        <v>236.2356020000002</v>
      </c>
      <c r="G58" s="227">
        <v>0</v>
      </c>
      <c r="H58" s="226">
        <v>-1826.1631519999999</v>
      </c>
      <c r="I58" s="226">
        <v>9619.2000000000007</v>
      </c>
    </row>
    <row r="59" spans="1:9" x14ac:dyDescent="0.2">
      <c r="A59" s="202">
        <v>1978</v>
      </c>
      <c r="B59" s="226">
        <v>16267.946207661293</v>
      </c>
      <c r="C59" s="226">
        <v>-5354.5182076612928</v>
      </c>
      <c r="D59" s="226">
        <v>-5393.4656975806456</v>
      </c>
      <c r="E59" s="226">
        <v>-942.84315927419379</v>
      </c>
      <c r="F59" s="226">
        <v>748.69228225806455</v>
      </c>
      <c r="G59" s="227">
        <v>0</v>
      </c>
      <c r="H59" s="226">
        <v>233.09836693548209</v>
      </c>
      <c r="I59" s="226">
        <v>10913.428</v>
      </c>
    </row>
    <row r="60" spans="1:9" x14ac:dyDescent="0.2">
      <c r="A60" s="202">
        <v>1979</v>
      </c>
      <c r="B60" s="226">
        <v>17235.887391129032</v>
      </c>
      <c r="C60" s="226">
        <v>-4227.0783911290328</v>
      </c>
      <c r="D60" s="226">
        <v>-5679.0810524193557</v>
      </c>
      <c r="E60" s="226">
        <v>-3468.2677661290318</v>
      </c>
      <c r="F60" s="226">
        <v>2572.2018951612899</v>
      </c>
      <c r="G60" s="227">
        <v>0</v>
      </c>
      <c r="H60" s="226">
        <v>2348.0685322580648</v>
      </c>
      <c r="I60" s="226">
        <v>13008.808999999999</v>
      </c>
    </row>
    <row r="61" spans="1:9" x14ac:dyDescent="0.2">
      <c r="A61" s="202">
        <v>1980</v>
      </c>
      <c r="B61" s="226">
        <v>23442.312798387098</v>
      </c>
      <c r="C61" s="226">
        <v>-7279.6837983870973</v>
      </c>
      <c r="D61" s="226">
        <v>-8499.5158366935466</v>
      </c>
      <c r="E61" s="226">
        <v>1436.2048588709677</v>
      </c>
      <c r="F61" s="226">
        <v>2503.280169354839</v>
      </c>
      <c r="G61" s="227">
        <v>0</v>
      </c>
      <c r="H61" s="226">
        <v>-2719.6529899193574</v>
      </c>
      <c r="I61" s="226">
        <v>16162.629000000001</v>
      </c>
    </row>
    <row r="62" spans="1:9" x14ac:dyDescent="0.2">
      <c r="A62" s="202">
        <v>1981</v>
      </c>
      <c r="B62" s="226">
        <v>17459.054331451614</v>
      </c>
      <c r="C62" s="226">
        <v>874.94566854838558</v>
      </c>
      <c r="D62" s="226">
        <v>-13784.941662096773</v>
      </c>
      <c r="E62" s="226">
        <v>10193.644867741936</v>
      </c>
      <c r="F62" s="226">
        <v>9075.2764899193535</v>
      </c>
      <c r="G62" s="227">
        <v>0</v>
      </c>
      <c r="H62" s="226">
        <v>-4609.0340270161305</v>
      </c>
      <c r="I62" s="226">
        <v>18334</v>
      </c>
    </row>
    <row r="63" spans="1:9" x14ac:dyDescent="0.2">
      <c r="A63" s="202">
        <v>1982</v>
      </c>
      <c r="B63" s="226">
        <v>7412.7090424242433</v>
      </c>
      <c r="C63" s="226">
        <v>14170.443957575755</v>
      </c>
      <c r="D63" s="226">
        <v>-6457.4356939393938</v>
      </c>
      <c r="E63" s="226">
        <v>14311.08508787879</v>
      </c>
      <c r="F63" s="226">
        <v>1896.9831242424243</v>
      </c>
      <c r="G63" s="227">
        <v>0</v>
      </c>
      <c r="H63" s="226">
        <v>4419.8114393939341</v>
      </c>
      <c r="I63" s="226">
        <v>21583.152999999998</v>
      </c>
    </row>
    <row r="64" spans="1:9" x14ac:dyDescent="0.2">
      <c r="A64" s="202">
        <v>1983</v>
      </c>
      <c r="B64" s="226">
        <v>13312.521615526799</v>
      </c>
      <c r="C64" s="226">
        <v>13503.664384473203</v>
      </c>
      <c r="D64" s="226">
        <v>-118770.48763955638</v>
      </c>
      <c r="E64" s="226">
        <v>57175.813495378934</v>
      </c>
      <c r="F64" s="226">
        <v>-2551.0707763401078</v>
      </c>
      <c r="G64" s="226">
        <v>-75744.130275415897</v>
      </c>
      <c r="H64" s="226">
        <v>153393.53958040665</v>
      </c>
      <c r="I64" s="226">
        <v>26816.186000000002</v>
      </c>
    </row>
    <row r="65" spans="1:9" x14ac:dyDescent="0.2">
      <c r="A65" s="202">
        <v>1984</v>
      </c>
      <c r="B65" s="226">
        <v>16469.158714285706</v>
      </c>
      <c r="C65" s="226">
        <v>21375.495285714278</v>
      </c>
      <c r="D65" s="226">
        <v>-163229.5502857143</v>
      </c>
      <c r="E65" s="226">
        <v>109884.50222556391</v>
      </c>
      <c r="F65" s="226">
        <v>-7573.8201278195484</v>
      </c>
      <c r="G65" s="226">
        <v>-166139.29175187967</v>
      </c>
      <c r="H65" s="226">
        <v>248433.65522556391</v>
      </c>
      <c r="I65" s="226">
        <v>37844.65399999998</v>
      </c>
    </row>
    <row r="66" spans="1:9" x14ac:dyDescent="0.2">
      <c r="A66" s="202">
        <v>1985</v>
      </c>
      <c r="B66" s="226">
        <v>18900.418894736835</v>
      </c>
      <c r="C66" s="226">
        <v>27625.248105263163</v>
      </c>
      <c r="D66" s="226">
        <v>-94181.042578947352</v>
      </c>
      <c r="E66" s="226">
        <v>116710.84369473685</v>
      </c>
      <c r="F66" s="226">
        <v>-912.51292631579054</v>
      </c>
      <c r="G66" s="226">
        <v>-310512.03189473681</v>
      </c>
      <c r="H66" s="226">
        <v>316519.99181052629</v>
      </c>
      <c r="I66" s="226">
        <v>46525.667000000001</v>
      </c>
    </row>
    <row r="67" spans="1:9" x14ac:dyDescent="0.2">
      <c r="A67" s="228">
        <v>1986</v>
      </c>
      <c r="B67" s="226">
        <v>-11095.714736842101</v>
      </c>
      <c r="C67" s="226">
        <v>70663.214736842085</v>
      </c>
      <c r="D67" s="226">
        <v>-101417.39894736841</v>
      </c>
      <c r="E67" s="226">
        <v>116832.3315789474</v>
      </c>
      <c r="F67" s="226">
        <v>-6227.4568421052609</v>
      </c>
      <c r="G67" s="226">
        <v>-511414.39263157896</v>
      </c>
      <c r="H67" s="226">
        <v>572890.1315789473</v>
      </c>
      <c r="I67" s="226">
        <v>59567.5</v>
      </c>
    </row>
    <row r="68" spans="1:9" x14ac:dyDescent="0.2">
      <c r="A68" s="228">
        <v>1987</v>
      </c>
      <c r="B68" s="226">
        <v>-33482.37884210526</v>
      </c>
      <c r="C68" s="226">
        <v>113734.43184210523</v>
      </c>
      <c r="D68" s="226">
        <v>-77741.852526315794</v>
      </c>
      <c r="E68" s="226">
        <v>91010.65613684211</v>
      </c>
      <c r="F68" s="226">
        <v>-54688.13083157895</v>
      </c>
      <c r="G68" s="226">
        <v>-770253.3171789475</v>
      </c>
      <c r="H68" s="226">
        <v>925407.07624210534</v>
      </c>
      <c r="I68" s="226">
        <v>80252.052999999971</v>
      </c>
    </row>
    <row r="69" spans="1:9" x14ac:dyDescent="0.2">
      <c r="A69" s="228">
        <v>1988</v>
      </c>
      <c r="B69" s="226">
        <v>-79810.082421743587</v>
      </c>
      <c r="C69" s="226">
        <v>212275.19305371796</v>
      </c>
      <c r="D69" s="226">
        <v>-97014</v>
      </c>
      <c r="E69" s="226">
        <v>35511.524582025624</v>
      </c>
      <c r="F69" s="226">
        <v>-92986.871597384597</v>
      </c>
      <c r="G69" s="226">
        <v>-1501688.3655174617</v>
      </c>
      <c r="H69" s="226">
        <v>1868452.9055865386</v>
      </c>
      <c r="I69" s="226">
        <v>132465.11063197436</v>
      </c>
    </row>
    <row r="70" spans="1:9" x14ac:dyDescent="0.2">
      <c r="A70" s="228">
        <v>1989</v>
      </c>
      <c r="B70" s="226">
        <v>133208.88766615381</v>
      </c>
      <c r="C70" s="226">
        <v>57192.900845538359</v>
      </c>
      <c r="D70" s="226">
        <v>-279052</v>
      </c>
      <c r="E70" s="226">
        <v>47</v>
      </c>
      <c r="F70" s="226">
        <v>-47121.832055384599</v>
      </c>
      <c r="G70" s="226">
        <v>-2261781.5704753851</v>
      </c>
      <c r="H70" s="226">
        <v>2645101.3033763082</v>
      </c>
      <c r="I70" s="226">
        <v>190401.78851169217</v>
      </c>
    </row>
    <row r="71" spans="1:9" x14ac:dyDescent="0.2">
      <c r="A71" s="228">
        <v>1990</v>
      </c>
      <c r="B71" s="226">
        <v>535038.35780899995</v>
      </c>
      <c r="C71" s="226">
        <v>-240319.62080899952</v>
      </c>
      <c r="D71" s="226">
        <v>-659789.5987478462</v>
      </c>
      <c r="E71" s="226">
        <v>-135876.01088392307</v>
      </c>
      <c r="F71" s="226">
        <v>-49084.086411000011</v>
      </c>
      <c r="G71" s="226">
        <v>-2976158.4699679231</v>
      </c>
      <c r="H71" s="226">
        <v>3580588.5452016927</v>
      </c>
      <c r="I71" s="226">
        <v>294718.73700000043</v>
      </c>
    </row>
    <row r="72" spans="1:9" x14ac:dyDescent="0.2">
      <c r="A72" s="228">
        <v>1991</v>
      </c>
      <c r="B72" s="226">
        <v>975775.74829692324</v>
      </c>
      <c r="C72" s="226">
        <v>-550271.96829692367</v>
      </c>
      <c r="D72" s="226">
        <v>-976961.3601544617</v>
      </c>
      <c r="E72" s="226">
        <v>-218489.6438132308</v>
      </c>
      <c r="F72" s="226">
        <v>-95826.102081230769</v>
      </c>
      <c r="G72" s="226">
        <v>-5597104.9678686159</v>
      </c>
      <c r="H72" s="226">
        <v>6338110.1056206161</v>
      </c>
      <c r="I72" s="226">
        <v>425503.78</v>
      </c>
    </row>
    <row r="73" spans="1:9" x14ac:dyDescent="0.2">
      <c r="A73" s="228">
        <v>1992</v>
      </c>
      <c r="B73" s="226">
        <v>1563632.7897435899</v>
      </c>
      <c r="C73" s="226">
        <v>-902619.62074358948</v>
      </c>
      <c r="D73" s="226">
        <v>-1319555.0518717947</v>
      </c>
      <c r="E73" s="226">
        <v>-571076.51079487172</v>
      </c>
      <c r="F73" s="226">
        <v>-338368.89612820512</v>
      </c>
      <c r="G73" s="226">
        <v>-8005868.5692307688</v>
      </c>
      <c r="H73" s="226">
        <v>9332249.4072820507</v>
      </c>
      <c r="I73" s="226">
        <v>661013.16900000046</v>
      </c>
    </row>
    <row r="74" spans="1:9" x14ac:dyDescent="0.2">
      <c r="A74" s="228">
        <v>1993</v>
      </c>
      <c r="B74" s="226">
        <v>2543882.4</v>
      </c>
      <c r="C74" s="226">
        <v>-1610724.7</v>
      </c>
      <c r="D74" s="226">
        <v>-1852955.8</v>
      </c>
      <c r="E74" s="226">
        <v>-926588.7</v>
      </c>
      <c r="F74" s="226">
        <v>-243315.20000000001</v>
      </c>
      <c r="G74" s="226">
        <v>-7982127.9000000004</v>
      </c>
      <c r="H74" s="226">
        <v>9394262.9000000004</v>
      </c>
      <c r="I74" s="226">
        <v>933157.69999999925</v>
      </c>
    </row>
    <row r="75" spans="1:9" x14ac:dyDescent="0.2">
      <c r="A75" s="228">
        <v>1994</v>
      </c>
      <c r="B75" s="226">
        <v>3931845.9009999996</v>
      </c>
      <c r="C75" s="226">
        <v>-2663179.0789999999</v>
      </c>
      <c r="D75" s="226">
        <v>-2564648.7384750005</v>
      </c>
      <c r="E75" s="226">
        <v>-1071016.929553</v>
      </c>
      <c r="F75" s="226">
        <v>-143974.835189</v>
      </c>
      <c r="G75" s="226">
        <v>-9061485.0580000002</v>
      </c>
      <c r="H75" s="226">
        <v>10177946.482217001</v>
      </c>
      <c r="I75" s="226">
        <v>1268666.8219999997</v>
      </c>
    </row>
    <row r="76" spans="1:9" x14ac:dyDescent="0.2">
      <c r="A76" s="228">
        <v>1995</v>
      </c>
      <c r="B76" s="226">
        <v>4548411.6290000007</v>
      </c>
      <c r="C76" s="226">
        <v>-2939809.645</v>
      </c>
      <c r="D76" s="226">
        <v>-2470781</v>
      </c>
      <c r="E76" s="226">
        <v>-595768</v>
      </c>
      <c r="F76" s="226">
        <v>-119729</v>
      </c>
      <c r="G76" s="226">
        <v>-522671.64500000002</v>
      </c>
      <c r="H76" s="226">
        <v>769140</v>
      </c>
      <c r="I76" s="226">
        <v>1608601.9840000006</v>
      </c>
    </row>
    <row r="77" spans="1:9" x14ac:dyDescent="0.2">
      <c r="A77" s="228">
        <v>1996</v>
      </c>
      <c r="B77" s="226">
        <v>6642697.1920000007</v>
      </c>
      <c r="C77" s="226">
        <v>-4321004.5580000002</v>
      </c>
      <c r="D77" s="226">
        <v>-3207975</v>
      </c>
      <c r="E77" s="226">
        <v>-610408</v>
      </c>
      <c r="F77" s="226">
        <v>-163489</v>
      </c>
      <c r="G77" s="226">
        <v>-574886.55799999996</v>
      </c>
      <c r="H77" s="226">
        <v>235754</v>
      </c>
      <c r="I77" s="226">
        <v>2321692</v>
      </c>
    </row>
    <row r="78" spans="1:9" x14ac:dyDescent="0.2">
      <c r="A78" s="228">
        <v>1997</v>
      </c>
      <c r="B78" s="226">
        <v>9290361</v>
      </c>
      <c r="C78" s="226">
        <v>-6383866</v>
      </c>
      <c r="D78" s="226">
        <v>-3529119</v>
      </c>
      <c r="E78" s="226">
        <v>-1991446</v>
      </c>
      <c r="F78" s="226">
        <v>-89628</v>
      </c>
      <c r="G78" s="226">
        <v>-553212</v>
      </c>
      <c r="H78" s="226">
        <v>-220461</v>
      </c>
      <c r="I78" s="226">
        <v>2906495</v>
      </c>
    </row>
    <row r="79" spans="1:9" x14ac:dyDescent="0.2">
      <c r="A79" s="228">
        <v>1998</v>
      </c>
      <c r="B79" s="226">
        <v>11074696</v>
      </c>
      <c r="C79" s="226">
        <v>-6882570</v>
      </c>
      <c r="D79" s="226">
        <v>-3452873</v>
      </c>
      <c r="E79" s="226">
        <v>1499873</v>
      </c>
      <c r="F79" s="226">
        <v>-50239</v>
      </c>
      <c r="G79" s="226">
        <v>-2824520</v>
      </c>
      <c r="H79" s="226">
        <v>-2054811</v>
      </c>
      <c r="I79" s="226">
        <v>4192128</v>
      </c>
    </row>
    <row r="80" spans="1:9" x14ac:dyDescent="0.2">
      <c r="A80" s="228">
        <v>1999</v>
      </c>
      <c r="B80" s="226">
        <v>23330986</v>
      </c>
      <c r="C80" s="226">
        <v>-12762858</v>
      </c>
      <c r="D80" s="226">
        <v>-9130392</v>
      </c>
      <c r="E80" s="226">
        <v>-5369008</v>
      </c>
      <c r="F80" s="226">
        <v>-319526</v>
      </c>
      <c r="G80" s="226">
        <v>-9055647</v>
      </c>
      <c r="H80" s="226">
        <v>11111715</v>
      </c>
      <c r="I80" s="226">
        <v>10568129</v>
      </c>
    </row>
    <row r="81" spans="1:9" ht="14.25" customHeight="1" x14ac:dyDescent="0.2">
      <c r="A81" s="416"/>
      <c r="B81" s="416"/>
      <c r="C81" s="416"/>
      <c r="D81" s="416"/>
      <c r="E81" s="416"/>
      <c r="F81" s="416"/>
      <c r="G81" s="416"/>
      <c r="H81" s="416"/>
      <c r="I81" s="416"/>
    </row>
    <row r="82" spans="1:9" ht="14.25" customHeight="1" x14ac:dyDescent="0.2">
      <c r="A82" s="126"/>
      <c r="B82" s="126"/>
      <c r="C82" s="126"/>
      <c r="D82" s="126"/>
      <c r="E82" s="126"/>
      <c r="F82" s="126"/>
      <c r="G82" s="126"/>
      <c r="H82" s="126"/>
      <c r="I82" s="126"/>
    </row>
    <row r="84" spans="1:9" x14ac:dyDescent="0.2">
      <c r="A84" s="410"/>
    </row>
    <row r="85" spans="1:9" x14ac:dyDescent="0.2">
      <c r="A85" s="124" t="s">
        <v>598</v>
      </c>
    </row>
  </sheetData>
  <mergeCells count="3">
    <mergeCell ref="A1:I1"/>
    <mergeCell ref="A2:I2"/>
    <mergeCell ref="A3:I3"/>
  </mergeCells>
  <hyperlinks>
    <hyperlink ref="A85" location="'indice cap.1'!A1" display="regresar al índice" xr:uid="{00000000-0004-0000-0E00-000000000000}"/>
  </hyperlinks>
  <pageMargins left="0.51181102362204722" right="0" top="0.74803149606299213" bottom="0.74803149606299213" header="0.31496062992125984" footer="0.31496062992125984"/>
  <pageSetup paperSize="9" scale="80" orientation="portrait" verticalDpi="599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209"/>
  <sheetViews>
    <sheetView showGridLines="0" tabSelected="1" topLeftCell="A45" workbookViewId="0">
      <selection activeCell="K66" sqref="K66"/>
    </sheetView>
  </sheetViews>
  <sheetFormatPr defaultColWidth="11.42578125" defaultRowHeight="12.75" x14ac:dyDescent="0.2"/>
  <cols>
    <col min="1" max="1" width="11.42578125" style="108"/>
    <col min="2" max="6" width="12.7109375" style="108" customWidth="1"/>
    <col min="7" max="7" width="1.7109375" style="108" customWidth="1"/>
    <col min="8" max="11" width="12.7109375" style="108" customWidth="1"/>
    <col min="12" max="12" width="1.7109375" style="108" customWidth="1"/>
    <col min="13" max="16" width="12.7109375" style="108" customWidth="1"/>
    <col min="17" max="16384" width="11.42578125" style="108"/>
  </cols>
  <sheetData>
    <row r="1" spans="1:21" x14ac:dyDescent="0.2">
      <c r="A1" s="493" t="s">
        <v>675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110"/>
      <c r="R1" s="110"/>
      <c r="S1" s="110"/>
      <c r="T1" s="110"/>
      <c r="U1" s="110"/>
    </row>
    <row r="2" spans="1:21" x14ac:dyDescent="0.2">
      <c r="A2" s="493" t="s">
        <v>776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110"/>
      <c r="R2" s="110"/>
      <c r="S2" s="110"/>
      <c r="T2" s="110"/>
      <c r="U2" s="110"/>
    </row>
    <row r="3" spans="1:21" x14ac:dyDescent="0.2">
      <c r="A3" s="493" t="s">
        <v>86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110"/>
      <c r="R3" s="110"/>
      <c r="S3" s="110"/>
      <c r="T3" s="110"/>
      <c r="U3" s="110"/>
    </row>
    <row r="4" spans="1:21" x14ac:dyDescent="0.2"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</row>
    <row r="5" spans="1:21" x14ac:dyDescent="0.2">
      <c r="A5" s="541" t="s">
        <v>87</v>
      </c>
      <c r="B5" s="562" t="s">
        <v>770</v>
      </c>
      <c r="C5" s="562"/>
      <c r="D5" s="562"/>
      <c r="E5" s="562"/>
      <c r="F5" s="562"/>
      <c r="G5" s="230"/>
      <c r="H5" s="562" t="s">
        <v>131</v>
      </c>
      <c r="I5" s="562"/>
      <c r="J5" s="562"/>
      <c r="K5" s="562"/>
      <c r="L5" s="230"/>
      <c r="M5" s="549" t="s">
        <v>132</v>
      </c>
      <c r="N5" s="549"/>
      <c r="O5" s="549"/>
      <c r="P5" s="561"/>
      <c r="Q5" s="110"/>
      <c r="R5" s="110"/>
      <c r="S5" s="110"/>
      <c r="T5" s="110"/>
      <c r="U5" s="110"/>
    </row>
    <row r="6" spans="1:21" x14ac:dyDescent="0.2">
      <c r="A6" s="559"/>
      <c r="B6" s="551" t="s">
        <v>769</v>
      </c>
      <c r="C6" s="536" t="s">
        <v>772</v>
      </c>
      <c r="D6" s="536"/>
      <c r="E6" s="536" t="s">
        <v>773</v>
      </c>
      <c r="F6" s="536"/>
      <c r="G6" s="231"/>
      <c r="H6" s="536" t="s">
        <v>769</v>
      </c>
      <c r="I6" s="187" t="s">
        <v>771</v>
      </c>
      <c r="J6" s="536" t="s">
        <v>774</v>
      </c>
      <c r="K6" s="536"/>
      <c r="L6" s="231"/>
      <c r="M6" s="536" t="s">
        <v>769</v>
      </c>
      <c r="N6" s="187" t="s">
        <v>775</v>
      </c>
      <c r="O6" s="536" t="s">
        <v>774</v>
      </c>
      <c r="P6" s="560"/>
      <c r="Q6" s="110"/>
      <c r="R6" s="110"/>
      <c r="S6" s="110"/>
      <c r="T6" s="110"/>
      <c r="U6" s="110"/>
    </row>
    <row r="7" spans="1:21" ht="25.5" x14ac:dyDescent="0.2">
      <c r="A7" s="559"/>
      <c r="B7" s="564"/>
      <c r="C7" s="198" t="s">
        <v>764</v>
      </c>
      <c r="D7" s="198" t="s">
        <v>751</v>
      </c>
      <c r="E7" s="198" t="s">
        <v>750</v>
      </c>
      <c r="F7" s="198" t="s">
        <v>751</v>
      </c>
      <c r="G7" s="232"/>
      <c r="H7" s="563"/>
      <c r="I7" s="198" t="s">
        <v>765</v>
      </c>
      <c r="J7" s="198" t="s">
        <v>766</v>
      </c>
      <c r="K7" s="198" t="s">
        <v>751</v>
      </c>
      <c r="L7" s="232"/>
      <c r="M7" s="563"/>
      <c r="N7" s="198" t="s">
        <v>767</v>
      </c>
      <c r="O7" s="198" t="s">
        <v>767</v>
      </c>
      <c r="P7" s="131" t="s">
        <v>768</v>
      </c>
      <c r="Q7" s="110"/>
      <c r="R7" s="110"/>
      <c r="S7" s="110"/>
      <c r="T7" s="110"/>
      <c r="U7" s="110"/>
    </row>
    <row r="8" spans="1:21" s="130" customFormat="1" x14ac:dyDescent="0.25">
      <c r="B8" s="238" t="s">
        <v>135</v>
      </c>
      <c r="C8" s="236" t="s">
        <v>98</v>
      </c>
      <c r="D8" s="236" t="s">
        <v>113</v>
      </c>
      <c r="E8" s="236" t="s">
        <v>100</v>
      </c>
      <c r="F8" s="237" t="s">
        <v>101</v>
      </c>
      <c r="G8" s="239"/>
      <c r="H8" s="238" t="s">
        <v>137</v>
      </c>
      <c r="I8" s="236" t="s">
        <v>114</v>
      </c>
      <c r="J8" s="236" t="s">
        <v>441</v>
      </c>
      <c r="K8" s="237" t="s">
        <v>116</v>
      </c>
      <c r="L8" s="239"/>
      <c r="M8" s="238" t="s">
        <v>138</v>
      </c>
      <c r="N8" s="236" t="s">
        <v>118</v>
      </c>
      <c r="O8" s="236" t="s">
        <v>119</v>
      </c>
      <c r="P8" s="237" t="s">
        <v>442</v>
      </c>
      <c r="Q8" s="239"/>
      <c r="R8" s="239"/>
      <c r="S8" s="239"/>
      <c r="T8" s="239"/>
      <c r="U8" s="239"/>
    </row>
    <row r="9" spans="1:21" x14ac:dyDescent="0.2"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</row>
    <row r="10" spans="1:21" x14ac:dyDescent="0.2">
      <c r="A10" s="228" t="s">
        <v>139</v>
      </c>
      <c r="B10" s="226">
        <v>-1.5359999999999996</v>
      </c>
      <c r="C10" s="226">
        <v>12.487</v>
      </c>
      <c r="D10" s="227">
        <v>0</v>
      </c>
      <c r="E10" s="226">
        <v>14.023</v>
      </c>
      <c r="F10" s="227">
        <v>0</v>
      </c>
      <c r="G10" s="191"/>
      <c r="H10" s="226">
        <v>-3.0339999999999998</v>
      </c>
      <c r="I10" s="226">
        <v>2.4820000000000002</v>
      </c>
      <c r="J10" s="226">
        <v>5.516</v>
      </c>
      <c r="K10" s="227">
        <v>0</v>
      </c>
      <c r="L10" s="191"/>
      <c r="M10" s="226">
        <v>0.496</v>
      </c>
      <c r="N10" s="226">
        <v>0.84799999999999998</v>
      </c>
      <c r="O10" s="226">
        <v>0.35199999999999998</v>
      </c>
      <c r="P10" s="227">
        <v>0</v>
      </c>
      <c r="Q10" s="110"/>
      <c r="R10" s="110"/>
      <c r="S10" s="110"/>
      <c r="T10" s="110"/>
      <c r="U10" s="110"/>
    </row>
    <row r="11" spans="1:21" x14ac:dyDescent="0.2">
      <c r="A11" s="228">
        <v>1928</v>
      </c>
      <c r="B11" s="226">
        <v>2.1739999999999995</v>
      </c>
      <c r="C11" s="226">
        <v>10.276999999999999</v>
      </c>
      <c r="D11" s="227">
        <v>0</v>
      </c>
      <c r="E11" s="226">
        <v>8.1029999999999998</v>
      </c>
      <c r="F11" s="227">
        <v>0</v>
      </c>
      <c r="G11" s="191"/>
      <c r="H11" s="226">
        <v>-1.74</v>
      </c>
      <c r="I11" s="226">
        <v>3.484</v>
      </c>
      <c r="J11" s="226">
        <v>5.2240000000000002</v>
      </c>
      <c r="K11" s="227">
        <v>0</v>
      </c>
      <c r="L11" s="191"/>
      <c r="M11" s="226">
        <v>0.41400000000000003</v>
      </c>
      <c r="N11" s="226">
        <v>1.0660000000000001</v>
      </c>
      <c r="O11" s="226">
        <v>0.65200000000000002</v>
      </c>
      <c r="P11" s="227">
        <v>0</v>
      </c>
      <c r="Q11" s="110"/>
      <c r="R11" s="110"/>
      <c r="S11" s="110"/>
      <c r="T11" s="110"/>
      <c r="U11" s="110"/>
    </row>
    <row r="12" spans="1:21" x14ac:dyDescent="0.2">
      <c r="A12" s="228">
        <v>1929</v>
      </c>
      <c r="B12" s="226">
        <v>-0.71499999999999997</v>
      </c>
      <c r="C12" s="226">
        <v>9.6430000000000007</v>
      </c>
      <c r="D12" s="227">
        <v>0</v>
      </c>
      <c r="E12" s="226">
        <v>10.358000000000001</v>
      </c>
      <c r="F12" s="227">
        <v>0</v>
      </c>
      <c r="G12" s="191"/>
      <c r="H12" s="226">
        <v>-2.4999999999999467E-2</v>
      </c>
      <c r="I12" s="226">
        <v>4.0540000000000003</v>
      </c>
      <c r="J12" s="226">
        <v>4.0789999999999997</v>
      </c>
      <c r="K12" s="227">
        <v>0</v>
      </c>
      <c r="L12" s="191"/>
      <c r="M12" s="226">
        <v>0.26400000000000001</v>
      </c>
      <c r="N12" s="226">
        <v>0.76100000000000001</v>
      </c>
      <c r="O12" s="226">
        <v>0.497</v>
      </c>
      <c r="P12" s="227">
        <v>0</v>
      </c>
      <c r="Q12" s="110"/>
      <c r="R12" s="110"/>
      <c r="S12" s="110"/>
      <c r="T12" s="110"/>
      <c r="U12" s="110"/>
    </row>
    <row r="13" spans="1:21" x14ac:dyDescent="0.2">
      <c r="A13" s="228">
        <v>1930</v>
      </c>
      <c r="B13" s="226">
        <v>-0.89900000000000091</v>
      </c>
      <c r="C13" s="226">
        <v>8.5169999999999995</v>
      </c>
      <c r="D13" s="227">
        <v>0</v>
      </c>
      <c r="E13" s="226">
        <v>9.4160000000000004</v>
      </c>
      <c r="F13" s="227">
        <v>0</v>
      </c>
      <c r="G13" s="191"/>
      <c r="H13" s="226">
        <v>-1.18</v>
      </c>
      <c r="I13" s="226">
        <v>2.8919999999999999</v>
      </c>
      <c r="J13" s="226">
        <v>4.0720000000000001</v>
      </c>
      <c r="K13" s="227">
        <v>0</v>
      </c>
      <c r="L13" s="191"/>
      <c r="M13" s="226">
        <v>1.427</v>
      </c>
      <c r="N13" s="226">
        <v>1.9059999999999999</v>
      </c>
      <c r="O13" s="226">
        <v>0.47899999999999998</v>
      </c>
      <c r="P13" s="227">
        <v>0</v>
      </c>
      <c r="Q13" s="110"/>
      <c r="R13" s="110"/>
      <c r="S13" s="110"/>
      <c r="T13" s="110"/>
      <c r="U13" s="110"/>
    </row>
    <row r="14" spans="1:21" x14ac:dyDescent="0.2">
      <c r="A14" s="228">
        <v>1931</v>
      </c>
      <c r="B14" s="226">
        <v>1.55</v>
      </c>
      <c r="C14" s="226">
        <v>8.2149999999999999</v>
      </c>
      <c r="D14" s="227">
        <v>0</v>
      </c>
      <c r="E14" s="226">
        <v>6.665</v>
      </c>
      <c r="F14" s="227">
        <v>0</v>
      </c>
      <c r="G14" s="191"/>
      <c r="H14" s="226">
        <v>0.94299999999999984</v>
      </c>
      <c r="I14" s="226">
        <v>2.3149999999999999</v>
      </c>
      <c r="J14" s="226">
        <v>1.3720000000000001</v>
      </c>
      <c r="K14" s="227">
        <v>0</v>
      </c>
      <c r="L14" s="191"/>
      <c r="M14" s="226">
        <v>2.8879999999999999</v>
      </c>
      <c r="N14" s="226">
        <v>3.6970000000000001</v>
      </c>
      <c r="O14" s="226">
        <v>0.80900000000000005</v>
      </c>
      <c r="P14" s="227">
        <v>0</v>
      </c>
      <c r="Q14" s="110"/>
      <c r="R14" s="110"/>
      <c r="S14" s="110"/>
      <c r="T14" s="110"/>
      <c r="U14" s="110"/>
    </row>
    <row r="15" spans="1:21" x14ac:dyDescent="0.2">
      <c r="A15" s="228">
        <v>1932</v>
      </c>
      <c r="B15" s="226">
        <v>17.279</v>
      </c>
      <c r="C15" s="226">
        <v>19.529</v>
      </c>
      <c r="D15" s="227">
        <v>0</v>
      </c>
      <c r="E15" s="226">
        <v>2.25</v>
      </c>
      <c r="F15" s="227">
        <v>0</v>
      </c>
      <c r="G15" s="191"/>
      <c r="H15" s="226">
        <v>-7.6159999999999997</v>
      </c>
      <c r="I15" s="226">
        <v>1.8109999999999999</v>
      </c>
      <c r="J15" s="226">
        <v>9.4269999999999996</v>
      </c>
      <c r="K15" s="227">
        <v>0</v>
      </c>
      <c r="L15" s="191"/>
      <c r="M15" s="226">
        <v>5.2329999999999997</v>
      </c>
      <c r="N15" s="226">
        <v>7.3239999999999998</v>
      </c>
      <c r="O15" s="226">
        <v>2.0910000000000002</v>
      </c>
      <c r="P15" s="227">
        <v>0</v>
      </c>
      <c r="Q15" s="110"/>
      <c r="R15" s="110"/>
      <c r="S15" s="110"/>
      <c r="T15" s="110"/>
      <c r="U15" s="110"/>
    </row>
    <row r="16" spans="1:21" x14ac:dyDescent="0.2">
      <c r="A16" s="228">
        <v>1933</v>
      </c>
      <c r="B16" s="226">
        <v>30.634</v>
      </c>
      <c r="C16" s="226">
        <v>33.369</v>
      </c>
      <c r="D16" s="227">
        <v>0</v>
      </c>
      <c r="E16" s="226">
        <v>2.7349999999999999</v>
      </c>
      <c r="F16" s="227">
        <v>0</v>
      </c>
      <c r="G16" s="191"/>
      <c r="H16" s="226">
        <v>-13.625</v>
      </c>
      <c r="I16" s="226">
        <v>1.4970000000000001</v>
      </c>
      <c r="J16" s="226">
        <v>15.122</v>
      </c>
      <c r="K16" s="227">
        <v>0</v>
      </c>
      <c r="L16" s="191"/>
      <c r="M16" s="226">
        <v>12.881</v>
      </c>
      <c r="N16" s="226">
        <v>15.420999999999999</v>
      </c>
      <c r="O16" s="226">
        <v>2.54</v>
      </c>
      <c r="P16" s="227">
        <v>0</v>
      </c>
      <c r="Q16" s="110"/>
      <c r="R16" s="110"/>
      <c r="S16" s="110"/>
      <c r="T16" s="110"/>
      <c r="U16" s="110"/>
    </row>
    <row r="17" spans="1:21" x14ac:dyDescent="0.2">
      <c r="A17" s="228">
        <v>1934</v>
      </c>
      <c r="B17" s="226">
        <v>24.752999999999997</v>
      </c>
      <c r="C17" s="226">
        <v>35.723999999999997</v>
      </c>
      <c r="D17" s="227">
        <v>0</v>
      </c>
      <c r="E17" s="226">
        <v>10.971</v>
      </c>
      <c r="F17" s="227">
        <v>0</v>
      </c>
      <c r="G17" s="191"/>
      <c r="H17" s="226">
        <v>-10.255000000000001</v>
      </c>
      <c r="I17" s="226">
        <v>0.82699999999999996</v>
      </c>
      <c r="J17" s="226">
        <v>11.082000000000001</v>
      </c>
      <c r="K17" s="227">
        <v>0</v>
      </c>
      <c r="L17" s="191"/>
      <c r="M17" s="226">
        <v>11.827</v>
      </c>
      <c r="N17" s="226">
        <v>14.590999999999999</v>
      </c>
      <c r="O17" s="226">
        <v>2.7639999999999998</v>
      </c>
      <c r="P17" s="227">
        <v>0</v>
      </c>
      <c r="Q17" s="110"/>
      <c r="R17" s="110"/>
      <c r="S17" s="110"/>
      <c r="T17" s="110"/>
      <c r="U17" s="110"/>
    </row>
    <row r="18" spans="1:21" x14ac:dyDescent="0.2">
      <c r="A18" s="228">
        <v>1935</v>
      </c>
      <c r="B18" s="226">
        <v>0.77699999999999747</v>
      </c>
      <c r="C18" s="226">
        <v>18.478999999999999</v>
      </c>
      <c r="D18" s="227">
        <v>0</v>
      </c>
      <c r="E18" s="226">
        <v>17.702000000000002</v>
      </c>
      <c r="F18" s="227">
        <v>0</v>
      </c>
      <c r="G18" s="191"/>
      <c r="H18" s="226">
        <v>-6.2050000000000001</v>
      </c>
      <c r="I18" s="226">
        <v>3.1709999999999998</v>
      </c>
      <c r="J18" s="226">
        <v>9.3759999999999994</v>
      </c>
      <c r="K18" s="227">
        <v>0</v>
      </c>
      <c r="L18" s="191"/>
      <c r="M18" s="226">
        <v>19.013999999999999</v>
      </c>
      <c r="N18" s="226">
        <v>21.52</v>
      </c>
      <c r="O18" s="226">
        <v>2.5059999999999998</v>
      </c>
      <c r="P18" s="227">
        <v>0</v>
      </c>
      <c r="Q18" s="110"/>
      <c r="R18" s="110"/>
      <c r="S18" s="110"/>
      <c r="T18" s="110"/>
      <c r="U18" s="110"/>
    </row>
    <row r="19" spans="1:21" x14ac:dyDescent="0.2">
      <c r="A19" s="228">
        <v>1936</v>
      </c>
      <c r="B19" s="226">
        <v>10.405999999999999</v>
      </c>
      <c r="C19" s="226">
        <v>15.914</v>
      </c>
      <c r="D19" s="227">
        <v>0</v>
      </c>
      <c r="E19" s="226">
        <v>5.508</v>
      </c>
      <c r="F19" s="227">
        <v>0</v>
      </c>
      <c r="G19" s="191"/>
      <c r="H19" s="226">
        <v>-22.29</v>
      </c>
      <c r="I19" s="226">
        <v>1.135</v>
      </c>
      <c r="J19" s="226">
        <v>23.425000000000001</v>
      </c>
      <c r="K19" s="227">
        <v>0</v>
      </c>
      <c r="L19" s="191"/>
      <c r="M19" s="226">
        <v>18.448</v>
      </c>
      <c r="N19" s="226">
        <v>22.088999999999999</v>
      </c>
      <c r="O19" s="226">
        <v>3.641</v>
      </c>
      <c r="P19" s="227">
        <v>0</v>
      </c>
      <c r="Q19" s="110"/>
      <c r="R19" s="110"/>
      <c r="S19" s="110"/>
      <c r="T19" s="110"/>
      <c r="U19" s="110"/>
    </row>
    <row r="20" spans="1:21" x14ac:dyDescent="0.2">
      <c r="A20" s="228">
        <v>1937</v>
      </c>
      <c r="B20" s="226">
        <v>14.747</v>
      </c>
      <c r="C20" s="226">
        <v>26</v>
      </c>
      <c r="D20" s="227">
        <v>0</v>
      </c>
      <c r="E20" s="226">
        <v>11.253</v>
      </c>
      <c r="F20" s="227">
        <v>0</v>
      </c>
      <c r="G20" s="191"/>
      <c r="H20" s="226">
        <v>-19.391000000000002</v>
      </c>
      <c r="I20" s="226">
        <v>3.5259999999999998</v>
      </c>
      <c r="J20" s="226">
        <v>22.917000000000002</v>
      </c>
      <c r="K20" s="227">
        <v>0</v>
      </c>
      <c r="L20" s="191"/>
      <c r="M20" s="226">
        <v>14.817</v>
      </c>
      <c r="N20" s="226">
        <v>22.666</v>
      </c>
      <c r="O20" s="226">
        <v>7.8490000000000002</v>
      </c>
      <c r="P20" s="227">
        <v>0</v>
      </c>
      <c r="Q20" s="110"/>
      <c r="R20" s="110"/>
      <c r="S20" s="110"/>
      <c r="T20" s="110"/>
      <c r="U20" s="110"/>
    </row>
    <row r="21" spans="1:21" x14ac:dyDescent="0.2">
      <c r="A21" s="228">
        <v>1938</v>
      </c>
      <c r="B21" s="226">
        <v>23.231999999999999</v>
      </c>
      <c r="C21" s="226">
        <v>29.725000000000001</v>
      </c>
      <c r="D21" s="227">
        <v>0</v>
      </c>
      <c r="E21" s="226">
        <v>6.4930000000000003</v>
      </c>
      <c r="F21" s="227">
        <v>0</v>
      </c>
      <c r="G21" s="191"/>
      <c r="H21" s="226">
        <v>-16.417999999999999</v>
      </c>
      <c r="I21" s="226">
        <v>3.8919999999999999</v>
      </c>
      <c r="J21" s="226">
        <v>20.309999999999999</v>
      </c>
      <c r="K21" s="227">
        <v>0</v>
      </c>
      <c r="L21" s="191"/>
      <c r="M21" s="226">
        <v>13.344000000000001</v>
      </c>
      <c r="N21" s="226">
        <v>19.751000000000001</v>
      </c>
      <c r="O21" s="226">
        <v>6.407</v>
      </c>
      <c r="P21" s="227">
        <v>0</v>
      </c>
      <c r="Q21" s="110"/>
      <c r="R21" s="110"/>
      <c r="S21" s="110"/>
      <c r="T21" s="110"/>
      <c r="U21" s="110"/>
    </row>
    <row r="22" spans="1:21" x14ac:dyDescent="0.2">
      <c r="A22" s="228">
        <v>1939</v>
      </c>
      <c r="B22" s="226">
        <v>20.302</v>
      </c>
      <c r="C22" s="226">
        <v>29.234999999999999</v>
      </c>
      <c r="D22" s="227">
        <v>0</v>
      </c>
      <c r="E22" s="226">
        <v>8.9330000000000016</v>
      </c>
      <c r="F22" s="227">
        <v>0</v>
      </c>
      <c r="G22" s="191"/>
      <c r="H22" s="226">
        <v>-17.074999999999999</v>
      </c>
      <c r="I22" s="226">
        <v>3.8050000000000002</v>
      </c>
      <c r="J22" s="226">
        <v>20.88</v>
      </c>
      <c r="K22" s="227">
        <v>0</v>
      </c>
      <c r="L22" s="191"/>
      <c r="M22" s="226">
        <v>12.151000000000002</v>
      </c>
      <c r="N22" s="226">
        <v>21.667000000000002</v>
      </c>
      <c r="O22" s="226">
        <v>9.516</v>
      </c>
      <c r="P22" s="227">
        <v>0</v>
      </c>
      <c r="Q22" s="110"/>
      <c r="R22" s="110"/>
      <c r="S22" s="110"/>
      <c r="T22" s="110"/>
      <c r="U22" s="110"/>
    </row>
    <row r="23" spans="1:21" x14ac:dyDescent="0.2">
      <c r="A23" s="228">
        <v>1940</v>
      </c>
      <c r="B23" s="226">
        <v>18.132999999999999</v>
      </c>
      <c r="C23" s="226">
        <v>25.975999999999999</v>
      </c>
      <c r="D23" s="227">
        <v>0</v>
      </c>
      <c r="E23" s="226">
        <v>7.843</v>
      </c>
      <c r="F23" s="227">
        <v>0</v>
      </c>
      <c r="G23" s="191"/>
      <c r="H23" s="226">
        <v>-25.779</v>
      </c>
      <c r="I23" s="226">
        <v>5.4729999999999999</v>
      </c>
      <c r="J23" s="226">
        <v>31.251999999999999</v>
      </c>
      <c r="K23" s="227">
        <v>0</v>
      </c>
      <c r="L23" s="191"/>
      <c r="M23" s="226">
        <v>5.7669999999999995</v>
      </c>
      <c r="N23" s="226">
        <v>19.751999999999999</v>
      </c>
      <c r="O23" s="226">
        <v>13.984999999999999</v>
      </c>
      <c r="P23" s="227">
        <v>0</v>
      </c>
      <c r="Q23" s="110"/>
      <c r="R23" s="110"/>
      <c r="S23" s="110"/>
      <c r="T23" s="110"/>
      <c r="U23" s="110"/>
    </row>
    <row r="24" spans="1:21" x14ac:dyDescent="0.2">
      <c r="A24" s="228">
        <v>1941</v>
      </c>
      <c r="B24" s="226">
        <v>24.945999999999998</v>
      </c>
      <c r="C24" s="226">
        <v>37.298999999999999</v>
      </c>
      <c r="D24" s="227">
        <v>0</v>
      </c>
      <c r="E24" s="226">
        <v>12.353</v>
      </c>
      <c r="F24" s="227">
        <v>0</v>
      </c>
      <c r="G24" s="191"/>
      <c r="H24" s="226">
        <v>-34.356999999999999</v>
      </c>
      <c r="I24" s="226">
        <v>8.0589999999999993</v>
      </c>
      <c r="J24" s="226">
        <v>42.415999999999997</v>
      </c>
      <c r="K24" s="227">
        <v>0</v>
      </c>
      <c r="L24" s="191"/>
      <c r="M24" s="226">
        <v>5.51</v>
      </c>
      <c r="N24" s="226">
        <v>24.815999999999999</v>
      </c>
      <c r="O24" s="226">
        <v>19.306000000000001</v>
      </c>
      <c r="P24" s="227">
        <v>0</v>
      </c>
      <c r="Q24" s="110"/>
      <c r="R24" s="110"/>
      <c r="S24" s="110"/>
      <c r="T24" s="110"/>
      <c r="U24" s="110"/>
    </row>
    <row r="25" spans="1:21" x14ac:dyDescent="0.2">
      <c r="A25" s="228">
        <v>1942</v>
      </c>
      <c r="B25" s="226">
        <v>9.98</v>
      </c>
      <c r="C25" s="226">
        <v>36.673000000000002</v>
      </c>
      <c r="D25" s="227">
        <v>0</v>
      </c>
      <c r="E25" s="226">
        <v>26.693000000000001</v>
      </c>
      <c r="F25" s="227">
        <v>0</v>
      </c>
      <c r="G25" s="191"/>
      <c r="H25" s="226">
        <v>-62.365000000000002</v>
      </c>
      <c r="I25" s="226">
        <v>8.9260000000000002</v>
      </c>
      <c r="J25" s="226">
        <v>71.290999999999997</v>
      </c>
      <c r="K25" s="227">
        <v>0</v>
      </c>
      <c r="L25" s="191"/>
      <c r="M25" s="226">
        <v>-8.5439999999999969</v>
      </c>
      <c r="N25" s="226">
        <v>19.027000000000001</v>
      </c>
      <c r="O25" s="226">
        <v>27.570999999999998</v>
      </c>
      <c r="P25" s="227">
        <v>0</v>
      </c>
      <c r="Q25" s="110"/>
      <c r="R25" s="110"/>
      <c r="S25" s="110"/>
      <c r="T25" s="110"/>
      <c r="U25" s="110"/>
    </row>
    <row r="26" spans="1:21" x14ac:dyDescent="0.2">
      <c r="A26" s="228">
        <v>1943</v>
      </c>
      <c r="B26" s="226">
        <v>-5.9439999999999955</v>
      </c>
      <c r="C26" s="226">
        <v>33.548000000000002</v>
      </c>
      <c r="D26" s="227">
        <v>0</v>
      </c>
      <c r="E26" s="226">
        <v>39.491999999999997</v>
      </c>
      <c r="F26" s="227">
        <v>0</v>
      </c>
      <c r="G26" s="191"/>
      <c r="H26" s="226">
        <v>-76.447999999999993</v>
      </c>
      <c r="I26" s="226">
        <v>12.773999999999999</v>
      </c>
      <c r="J26" s="226">
        <v>89.221999999999994</v>
      </c>
      <c r="K26" s="227">
        <v>0</v>
      </c>
      <c r="L26" s="191"/>
      <c r="M26" s="226">
        <v>-35.158999999999992</v>
      </c>
      <c r="N26" s="226">
        <v>15.34</v>
      </c>
      <c r="O26" s="226">
        <v>50.498999999999995</v>
      </c>
      <c r="P26" s="227">
        <v>0</v>
      </c>
      <c r="Q26" s="110"/>
      <c r="R26" s="110"/>
      <c r="S26" s="110"/>
      <c r="T26" s="110"/>
      <c r="U26" s="110"/>
    </row>
    <row r="27" spans="1:21" x14ac:dyDescent="0.2">
      <c r="A27" s="228">
        <v>1944</v>
      </c>
      <c r="B27" s="226">
        <v>7.6870000000000047</v>
      </c>
      <c r="C27" s="226">
        <v>60.194000000000003</v>
      </c>
      <c r="D27" s="227">
        <v>0</v>
      </c>
      <c r="E27" s="226">
        <v>52.506999999999998</v>
      </c>
      <c r="F27" s="227">
        <v>0</v>
      </c>
      <c r="G27" s="191"/>
      <c r="H27" s="226">
        <v>-184.375</v>
      </c>
      <c r="I27" s="226">
        <v>8.6199999999999992</v>
      </c>
      <c r="J27" s="226">
        <v>192.995</v>
      </c>
      <c r="K27" s="227">
        <v>0</v>
      </c>
      <c r="L27" s="191"/>
      <c r="M27" s="226">
        <v>-32.673999999999999</v>
      </c>
      <c r="N27" s="226">
        <v>6.891</v>
      </c>
      <c r="O27" s="226">
        <v>39.564999999999998</v>
      </c>
      <c r="P27" s="227">
        <v>0</v>
      </c>
      <c r="Q27" s="110"/>
      <c r="R27" s="110"/>
      <c r="S27" s="110"/>
      <c r="T27" s="110"/>
      <c r="U27" s="110"/>
    </row>
    <row r="28" spans="1:21" x14ac:dyDescent="0.2">
      <c r="A28" s="228">
        <v>1945</v>
      </c>
      <c r="B28" s="226">
        <v>63.902000000000001</v>
      </c>
      <c r="C28" s="226">
        <v>104.709</v>
      </c>
      <c r="D28" s="227">
        <v>0</v>
      </c>
      <c r="E28" s="226">
        <v>40.807000000000002</v>
      </c>
      <c r="F28" s="227">
        <v>0</v>
      </c>
      <c r="G28" s="191"/>
      <c r="H28" s="226">
        <v>-148.67699999999999</v>
      </c>
      <c r="I28" s="226">
        <v>26.466000000000001</v>
      </c>
      <c r="J28" s="226">
        <v>175.143</v>
      </c>
      <c r="K28" s="227">
        <v>0</v>
      </c>
      <c r="L28" s="191"/>
      <c r="M28" s="226">
        <v>-28.814</v>
      </c>
      <c r="N28" s="226">
        <v>9.1240000000000006</v>
      </c>
      <c r="O28" s="226">
        <v>37.938000000000002</v>
      </c>
      <c r="P28" s="227">
        <v>0</v>
      </c>
      <c r="Q28" s="110"/>
      <c r="R28" s="110"/>
      <c r="S28" s="110"/>
      <c r="T28" s="110"/>
      <c r="U28" s="110"/>
    </row>
    <row r="29" spans="1:21" x14ac:dyDescent="0.2">
      <c r="A29" s="228">
        <v>1946</v>
      </c>
      <c r="B29" s="226">
        <v>114.56</v>
      </c>
      <c r="C29" s="226">
        <v>153.078</v>
      </c>
      <c r="D29" s="227">
        <v>0</v>
      </c>
      <c r="E29" s="226">
        <v>38.518000000000001</v>
      </c>
      <c r="F29" s="227">
        <v>0</v>
      </c>
      <c r="G29" s="191"/>
      <c r="H29" s="226">
        <v>-189.113</v>
      </c>
      <c r="I29" s="226">
        <v>24.315000000000001</v>
      </c>
      <c r="J29" s="226">
        <v>213.428</v>
      </c>
      <c r="K29" s="227">
        <v>0</v>
      </c>
      <c r="L29" s="191"/>
      <c r="M29" s="226">
        <v>-33.786000000000001</v>
      </c>
      <c r="N29" s="226">
        <v>9.1630000000000003</v>
      </c>
      <c r="O29" s="226">
        <v>42.948999999999998</v>
      </c>
      <c r="P29" s="227">
        <v>0</v>
      </c>
      <c r="Q29" s="110"/>
      <c r="R29" s="110"/>
      <c r="S29" s="110"/>
      <c r="T29" s="110"/>
      <c r="U29" s="110"/>
    </row>
    <row r="30" spans="1:21" x14ac:dyDescent="0.2">
      <c r="A30" s="228">
        <v>1947</v>
      </c>
      <c r="B30" s="226">
        <v>47.628999999999998</v>
      </c>
      <c r="C30" s="226">
        <v>104.152</v>
      </c>
      <c r="D30" s="227">
        <v>0</v>
      </c>
      <c r="E30" s="226">
        <v>56.523000000000003</v>
      </c>
      <c r="F30" s="227">
        <v>0</v>
      </c>
      <c r="G30" s="191"/>
      <c r="H30" s="226">
        <v>-140.04899999999998</v>
      </c>
      <c r="I30" s="226">
        <v>2.0249999999999999</v>
      </c>
      <c r="J30" s="226">
        <v>142.07399999999998</v>
      </c>
      <c r="K30" s="227">
        <v>0</v>
      </c>
      <c r="L30" s="191"/>
      <c r="M30" s="226">
        <v>44.417000000000002</v>
      </c>
      <c r="N30" s="226">
        <v>90.161000000000001</v>
      </c>
      <c r="O30" s="226">
        <v>45.744</v>
      </c>
      <c r="P30" s="227">
        <v>0</v>
      </c>
      <c r="Q30" s="110"/>
      <c r="R30" s="110"/>
      <c r="S30" s="110"/>
      <c r="T30" s="110"/>
      <c r="U30" s="110"/>
    </row>
    <row r="31" spans="1:21" x14ac:dyDescent="0.2">
      <c r="A31" s="228">
        <v>1948</v>
      </c>
      <c r="B31" s="226">
        <v>92.148999999999987</v>
      </c>
      <c r="C31" s="226">
        <v>166.70599999999999</v>
      </c>
      <c r="D31" s="227">
        <v>0</v>
      </c>
      <c r="E31" s="226">
        <v>74.557000000000002</v>
      </c>
      <c r="F31" s="227">
        <v>0</v>
      </c>
      <c r="G31" s="191"/>
      <c r="H31" s="226">
        <v>-98.022999999999996</v>
      </c>
      <c r="I31" s="226">
        <v>63.104999999999997</v>
      </c>
      <c r="J31" s="226">
        <v>161.12799999999999</v>
      </c>
      <c r="K31" s="227">
        <v>0</v>
      </c>
      <c r="L31" s="191"/>
      <c r="M31" s="226">
        <v>55.561999999999998</v>
      </c>
      <c r="N31" s="226">
        <v>85.97</v>
      </c>
      <c r="O31" s="226">
        <v>30.408000000000001</v>
      </c>
      <c r="P31" s="227">
        <v>0</v>
      </c>
      <c r="Q31" s="110"/>
      <c r="R31" s="110"/>
      <c r="S31" s="110"/>
      <c r="T31" s="110"/>
      <c r="U31" s="110"/>
    </row>
    <row r="32" spans="1:21" x14ac:dyDescent="0.2">
      <c r="A32" s="228">
        <v>1949</v>
      </c>
      <c r="B32" s="226">
        <v>93.907999999999987</v>
      </c>
      <c r="C32" s="226">
        <v>167.178</v>
      </c>
      <c r="D32" s="227">
        <v>0</v>
      </c>
      <c r="E32" s="226">
        <v>73.27</v>
      </c>
      <c r="F32" s="227">
        <v>0</v>
      </c>
      <c r="G32" s="191"/>
      <c r="H32" s="226">
        <v>77.50800000000001</v>
      </c>
      <c r="I32" s="226">
        <v>216.08500000000001</v>
      </c>
      <c r="J32" s="226">
        <v>138.577</v>
      </c>
      <c r="K32" s="227">
        <v>0</v>
      </c>
      <c r="L32" s="191"/>
      <c r="M32" s="226">
        <v>18.462999999999994</v>
      </c>
      <c r="N32" s="226">
        <v>103.33799999999999</v>
      </c>
      <c r="O32" s="226">
        <v>84.875</v>
      </c>
      <c r="P32" s="227">
        <v>0</v>
      </c>
      <c r="Q32" s="110"/>
      <c r="R32" s="110"/>
      <c r="S32" s="110"/>
      <c r="T32" s="110"/>
      <c r="U32" s="110"/>
    </row>
    <row r="33" spans="1:21" x14ac:dyDescent="0.2">
      <c r="A33" s="228">
        <v>1950</v>
      </c>
      <c r="B33" s="226">
        <v>83.966000000000008</v>
      </c>
      <c r="C33" s="226">
        <v>174.15800000000002</v>
      </c>
      <c r="D33" s="227">
        <v>0</v>
      </c>
      <c r="E33" s="226">
        <v>90.192000000000007</v>
      </c>
      <c r="F33" s="227">
        <v>0</v>
      </c>
      <c r="G33" s="191"/>
      <c r="H33" s="226">
        <v>-104.67399999999999</v>
      </c>
      <c r="I33" s="226">
        <v>102.479</v>
      </c>
      <c r="J33" s="226">
        <v>207.15299999999999</v>
      </c>
      <c r="K33" s="227">
        <v>0</v>
      </c>
      <c r="L33" s="191"/>
      <c r="M33" s="226">
        <v>22.567000000000007</v>
      </c>
      <c r="N33" s="226">
        <v>94.62</v>
      </c>
      <c r="O33" s="226">
        <v>72.052999999999997</v>
      </c>
      <c r="P33" s="227">
        <v>0</v>
      </c>
      <c r="Q33" s="110"/>
      <c r="R33" s="110"/>
      <c r="S33" s="110"/>
      <c r="T33" s="110"/>
      <c r="U33" s="110"/>
    </row>
    <row r="34" spans="1:21" x14ac:dyDescent="0.2">
      <c r="A34" s="228">
        <v>1951</v>
      </c>
      <c r="B34" s="226">
        <v>80.812999999999974</v>
      </c>
      <c r="C34" s="226">
        <v>193.12599999999998</v>
      </c>
      <c r="D34" s="227">
        <v>0</v>
      </c>
      <c r="E34" s="226">
        <v>112.313</v>
      </c>
      <c r="F34" s="227">
        <v>0</v>
      </c>
      <c r="G34" s="191"/>
      <c r="H34" s="226">
        <v>-82.783000000000001</v>
      </c>
      <c r="I34" s="226">
        <v>86.352999999999994</v>
      </c>
      <c r="J34" s="226">
        <v>169.136</v>
      </c>
      <c r="K34" s="227">
        <v>0</v>
      </c>
      <c r="L34" s="191"/>
      <c r="M34" s="226">
        <v>107.274</v>
      </c>
      <c r="N34" s="226">
        <v>164.04300000000001</v>
      </c>
      <c r="O34" s="226">
        <v>56.769000000000005</v>
      </c>
      <c r="P34" s="227">
        <v>0</v>
      </c>
      <c r="Q34" s="110"/>
      <c r="R34" s="110"/>
      <c r="S34" s="110"/>
      <c r="T34" s="110"/>
      <c r="U34" s="110"/>
    </row>
    <row r="35" spans="1:21" x14ac:dyDescent="0.2">
      <c r="A35" s="228">
        <v>1952</v>
      </c>
      <c r="B35" s="226">
        <v>37.007000000000005</v>
      </c>
      <c r="C35" s="226">
        <v>188.822</v>
      </c>
      <c r="D35" s="227">
        <v>0</v>
      </c>
      <c r="E35" s="226">
        <v>151.815</v>
      </c>
      <c r="F35" s="227">
        <v>0</v>
      </c>
      <c r="G35" s="191"/>
      <c r="H35" s="226">
        <v>-143.24199999999999</v>
      </c>
      <c r="I35" s="226">
        <v>94.281000000000006</v>
      </c>
      <c r="J35" s="226">
        <v>237.523</v>
      </c>
      <c r="K35" s="227">
        <v>0</v>
      </c>
      <c r="L35" s="191"/>
      <c r="M35" s="226">
        <v>84.207999999999998</v>
      </c>
      <c r="N35" s="226">
        <v>161.083</v>
      </c>
      <c r="O35" s="226">
        <v>76.875</v>
      </c>
      <c r="P35" s="227">
        <v>0</v>
      </c>
      <c r="Q35" s="110"/>
      <c r="R35" s="110"/>
      <c r="S35" s="110"/>
      <c r="T35" s="110"/>
      <c r="U35" s="110"/>
    </row>
    <row r="36" spans="1:21" x14ac:dyDescent="0.2">
      <c r="A36" s="228">
        <v>1953</v>
      </c>
      <c r="B36" s="226">
        <v>90.522999999999996</v>
      </c>
      <c r="C36" s="226">
        <v>245.70500000000001</v>
      </c>
      <c r="D36" s="227">
        <v>0</v>
      </c>
      <c r="E36" s="226">
        <v>155.18200000000002</v>
      </c>
      <c r="F36" s="227">
        <v>0</v>
      </c>
      <c r="G36" s="191"/>
      <c r="H36" s="226">
        <v>-97.027000000000015</v>
      </c>
      <c r="I36" s="226">
        <v>132.61199999999999</v>
      </c>
      <c r="J36" s="226">
        <v>229.63900000000001</v>
      </c>
      <c r="K36" s="227">
        <v>0</v>
      </c>
      <c r="L36" s="191"/>
      <c r="M36" s="226">
        <v>122.27300000000001</v>
      </c>
      <c r="N36" s="226">
        <v>217.52500000000001</v>
      </c>
      <c r="O36" s="226">
        <v>95.251999999999995</v>
      </c>
      <c r="P36" s="227">
        <v>0</v>
      </c>
      <c r="Q36" s="110"/>
      <c r="R36" s="110"/>
      <c r="S36" s="110"/>
      <c r="T36" s="110"/>
      <c r="U36" s="110"/>
    </row>
    <row r="37" spans="1:21" x14ac:dyDescent="0.2">
      <c r="A37" s="228">
        <v>1954</v>
      </c>
      <c r="B37" s="226">
        <v>139.41999999999999</v>
      </c>
      <c r="C37" s="226">
        <v>285.97300000000001</v>
      </c>
      <c r="D37" s="227">
        <v>0</v>
      </c>
      <c r="E37" s="226">
        <v>146.553</v>
      </c>
      <c r="F37" s="227">
        <v>0</v>
      </c>
      <c r="G37" s="191"/>
      <c r="H37" s="226">
        <v>-90.456999999999994</v>
      </c>
      <c r="I37" s="226">
        <v>144.97800000000001</v>
      </c>
      <c r="J37" s="226">
        <v>235.435</v>
      </c>
      <c r="K37" s="227">
        <v>0</v>
      </c>
      <c r="L37" s="191"/>
      <c r="M37" s="226">
        <v>119.602</v>
      </c>
      <c r="N37" s="226">
        <v>198.22800000000001</v>
      </c>
      <c r="O37" s="226">
        <v>78.626000000000005</v>
      </c>
      <c r="P37" s="227">
        <v>0</v>
      </c>
      <c r="Q37" s="110"/>
      <c r="R37" s="110"/>
      <c r="S37" s="110"/>
      <c r="T37" s="110"/>
      <c r="U37" s="110"/>
    </row>
    <row r="38" spans="1:21" x14ac:dyDescent="0.2">
      <c r="A38" s="228">
        <v>1955</v>
      </c>
      <c r="B38" s="226">
        <v>162.59899999999993</v>
      </c>
      <c r="C38" s="226">
        <v>326.05599999999993</v>
      </c>
      <c r="D38" s="227">
        <v>0</v>
      </c>
      <c r="E38" s="226">
        <v>163.45699999999999</v>
      </c>
      <c r="F38" s="227">
        <v>0</v>
      </c>
      <c r="G38" s="191"/>
      <c r="H38" s="226">
        <v>-9.4570000000000221</v>
      </c>
      <c r="I38" s="226">
        <v>223.65299999999996</v>
      </c>
      <c r="J38" s="226">
        <v>233.11</v>
      </c>
      <c r="K38" s="227">
        <v>0</v>
      </c>
      <c r="L38" s="191"/>
      <c r="M38" s="226">
        <v>60.692999999999984</v>
      </c>
      <c r="N38" s="226">
        <v>215.18299999999999</v>
      </c>
      <c r="O38" s="226">
        <v>154.49</v>
      </c>
      <c r="P38" s="227">
        <v>0</v>
      </c>
      <c r="Q38" s="110"/>
      <c r="R38" s="110"/>
      <c r="S38" s="110"/>
      <c r="T38" s="110"/>
      <c r="U38" s="110"/>
    </row>
    <row r="39" spans="1:21" x14ac:dyDescent="0.2">
      <c r="A39" s="228">
        <v>1956</v>
      </c>
      <c r="B39" s="226">
        <v>235.5</v>
      </c>
      <c r="C39" s="226">
        <v>406.702</v>
      </c>
      <c r="D39" s="227">
        <v>0</v>
      </c>
      <c r="E39" s="226">
        <v>171.202</v>
      </c>
      <c r="F39" s="227">
        <v>0</v>
      </c>
      <c r="G39" s="191"/>
      <c r="H39" s="226">
        <v>-53.233000000000004</v>
      </c>
      <c r="I39" s="226">
        <v>205.57400000000001</v>
      </c>
      <c r="J39" s="226">
        <v>258.80700000000002</v>
      </c>
      <c r="K39" s="227">
        <v>0</v>
      </c>
      <c r="L39" s="191"/>
      <c r="M39" s="226">
        <v>123.93</v>
      </c>
      <c r="N39" s="226">
        <v>273.00900000000001</v>
      </c>
      <c r="O39" s="226">
        <v>149.07900000000001</v>
      </c>
      <c r="P39" s="227">
        <v>0</v>
      </c>
      <c r="Q39" s="110"/>
      <c r="R39" s="110"/>
      <c r="S39" s="110"/>
      <c r="T39" s="110"/>
      <c r="U39" s="110"/>
    </row>
    <row r="40" spans="1:21" x14ac:dyDescent="0.2">
      <c r="A40" s="228">
        <v>1957</v>
      </c>
      <c r="B40" s="226">
        <v>179.745</v>
      </c>
      <c r="C40" s="226">
        <v>361.95100000000002</v>
      </c>
      <c r="D40" s="227">
        <v>0</v>
      </c>
      <c r="E40" s="226">
        <v>182.20599999999999</v>
      </c>
      <c r="F40" s="227">
        <v>0</v>
      </c>
      <c r="G40" s="191"/>
      <c r="H40" s="226">
        <v>-74.435000000000002</v>
      </c>
      <c r="I40" s="226">
        <v>198.7</v>
      </c>
      <c r="J40" s="226">
        <v>273.13499999999999</v>
      </c>
      <c r="K40" s="227">
        <v>0</v>
      </c>
      <c r="L40" s="191"/>
      <c r="M40" s="226">
        <v>218.26499999999999</v>
      </c>
      <c r="N40" s="226">
        <v>360.70299999999997</v>
      </c>
      <c r="O40" s="226">
        <v>142.43799999999999</v>
      </c>
      <c r="P40" s="227">
        <v>0</v>
      </c>
      <c r="Q40" s="110"/>
      <c r="R40" s="110"/>
      <c r="S40" s="110"/>
      <c r="T40" s="110"/>
      <c r="U40" s="110"/>
    </row>
    <row r="41" spans="1:21" x14ac:dyDescent="0.2">
      <c r="A41" s="228">
        <v>1958</v>
      </c>
      <c r="B41" s="226">
        <v>52.601000000000056</v>
      </c>
      <c r="C41" s="226">
        <v>296.26600000000002</v>
      </c>
      <c r="D41" s="227">
        <v>0</v>
      </c>
      <c r="E41" s="226">
        <v>243.66499999999999</v>
      </c>
      <c r="F41" s="227">
        <v>0</v>
      </c>
      <c r="G41" s="191"/>
      <c r="H41" s="226">
        <v>-26.67</v>
      </c>
      <c r="I41" s="226">
        <v>220.13299999999998</v>
      </c>
      <c r="J41" s="226">
        <v>246.803</v>
      </c>
      <c r="K41" s="227">
        <v>0</v>
      </c>
      <c r="L41" s="191"/>
      <c r="M41" s="226">
        <v>216.655</v>
      </c>
      <c r="N41" s="226">
        <v>330.02</v>
      </c>
      <c r="O41" s="226">
        <v>113.36499999999999</v>
      </c>
      <c r="P41" s="227">
        <v>0</v>
      </c>
      <c r="Q41" s="110"/>
      <c r="R41" s="110"/>
      <c r="S41" s="110"/>
      <c r="T41" s="110"/>
      <c r="U41" s="110"/>
    </row>
    <row r="42" spans="1:21" x14ac:dyDescent="0.2">
      <c r="A42" s="228">
        <v>1959</v>
      </c>
      <c r="B42" s="226">
        <v>68.805999999999983</v>
      </c>
      <c r="C42" s="226">
        <v>328.05899999999997</v>
      </c>
      <c r="D42" s="227">
        <v>0</v>
      </c>
      <c r="E42" s="226">
        <v>259.25299999999999</v>
      </c>
      <c r="F42" s="227">
        <v>0</v>
      </c>
      <c r="G42" s="191"/>
      <c r="H42" s="226">
        <v>-115.36199999999999</v>
      </c>
      <c r="I42" s="226">
        <v>204.56199999999998</v>
      </c>
      <c r="J42" s="226">
        <v>319.92399999999998</v>
      </c>
      <c r="K42" s="227">
        <v>0</v>
      </c>
      <c r="L42" s="191"/>
      <c r="M42" s="226">
        <v>225.28200000000004</v>
      </c>
      <c r="N42" s="226">
        <v>323.89100000000002</v>
      </c>
      <c r="O42" s="226">
        <v>98.608999999999995</v>
      </c>
      <c r="P42" s="227">
        <v>0</v>
      </c>
      <c r="Q42" s="110"/>
      <c r="R42" s="110"/>
      <c r="S42" s="110"/>
      <c r="T42" s="110"/>
      <c r="U42" s="110"/>
    </row>
    <row r="43" spans="1:21" x14ac:dyDescent="0.2">
      <c r="A43" s="228">
        <v>1960</v>
      </c>
      <c r="B43" s="226">
        <v>169.24400000000003</v>
      </c>
      <c r="C43" s="226">
        <v>703.54399999999998</v>
      </c>
      <c r="D43" s="227">
        <v>0</v>
      </c>
      <c r="E43" s="226">
        <v>534.29999999999995</v>
      </c>
      <c r="F43" s="227">
        <v>0</v>
      </c>
      <c r="G43" s="191"/>
      <c r="H43" s="226">
        <v>-150.32600000000005</v>
      </c>
      <c r="I43" s="226">
        <v>162.33000000000001</v>
      </c>
      <c r="J43" s="226">
        <v>312.65600000000006</v>
      </c>
      <c r="K43" s="227">
        <v>0</v>
      </c>
      <c r="L43" s="191"/>
      <c r="M43" s="226">
        <v>323.03199999999998</v>
      </c>
      <c r="N43" s="226">
        <v>417.964</v>
      </c>
      <c r="O43" s="226">
        <v>94.932000000000002</v>
      </c>
      <c r="P43" s="227">
        <v>0</v>
      </c>
      <c r="Q43" s="110"/>
      <c r="R43" s="110"/>
      <c r="S43" s="110"/>
      <c r="T43" s="110"/>
      <c r="U43" s="110"/>
    </row>
    <row r="44" spans="1:21" x14ac:dyDescent="0.2">
      <c r="A44" s="228">
        <v>1961</v>
      </c>
      <c r="B44" s="226">
        <v>345.71599999999989</v>
      </c>
      <c r="C44" s="226">
        <v>683.99299999999994</v>
      </c>
      <c r="D44" s="227">
        <v>0</v>
      </c>
      <c r="E44" s="226">
        <v>338.27700000000004</v>
      </c>
      <c r="F44" s="227">
        <v>0</v>
      </c>
      <c r="G44" s="191"/>
      <c r="H44" s="226">
        <v>-81.84099999999998</v>
      </c>
      <c r="I44" s="226">
        <v>232.77099999999999</v>
      </c>
      <c r="J44" s="226">
        <v>314.61199999999997</v>
      </c>
      <c r="K44" s="227">
        <v>0</v>
      </c>
      <c r="L44" s="191"/>
      <c r="M44" s="226">
        <v>175.75800000000001</v>
      </c>
      <c r="N44" s="226">
        <v>426.09800000000001</v>
      </c>
      <c r="O44" s="226">
        <v>250.34</v>
      </c>
      <c r="P44" s="227">
        <v>0</v>
      </c>
      <c r="Q44" s="110"/>
      <c r="R44" s="110"/>
      <c r="S44" s="110"/>
      <c r="T44" s="110"/>
      <c r="U44" s="110"/>
    </row>
    <row r="45" spans="1:21" x14ac:dyDescent="0.2">
      <c r="A45" s="228">
        <v>1962</v>
      </c>
      <c r="B45" s="226">
        <v>354.77699999999993</v>
      </c>
      <c r="C45" s="226">
        <v>696.69899999999996</v>
      </c>
      <c r="D45" s="227">
        <v>0</v>
      </c>
      <c r="E45" s="226">
        <v>341.92200000000003</v>
      </c>
      <c r="F45" s="227">
        <v>0</v>
      </c>
      <c r="G45" s="191"/>
      <c r="H45" s="226">
        <v>-162.34199999999998</v>
      </c>
      <c r="I45" s="226">
        <v>232.41800000000001</v>
      </c>
      <c r="J45" s="226">
        <v>394.76</v>
      </c>
      <c r="K45" s="227">
        <v>0</v>
      </c>
      <c r="L45" s="191"/>
      <c r="M45" s="226">
        <v>121.97300000000001</v>
      </c>
      <c r="N45" s="226">
        <v>421.07100000000003</v>
      </c>
      <c r="O45" s="226">
        <v>299.09800000000001</v>
      </c>
      <c r="P45" s="227">
        <v>0</v>
      </c>
      <c r="Q45" s="110"/>
      <c r="R45" s="110"/>
      <c r="S45" s="110"/>
      <c r="T45" s="110"/>
      <c r="U45" s="110"/>
    </row>
    <row r="46" spans="1:21" x14ac:dyDescent="0.2">
      <c r="A46" s="228">
        <v>1963</v>
      </c>
      <c r="B46" s="226">
        <v>302.15499999999997</v>
      </c>
      <c r="C46" s="226">
        <v>781.98299999999995</v>
      </c>
      <c r="D46" s="227">
        <v>0</v>
      </c>
      <c r="E46" s="226">
        <v>479.82800000000003</v>
      </c>
      <c r="F46" s="227">
        <v>0</v>
      </c>
      <c r="G46" s="191"/>
      <c r="H46" s="226">
        <v>-245.54</v>
      </c>
      <c r="I46" s="226">
        <v>208.583</v>
      </c>
      <c r="J46" s="226">
        <v>454.12299999999999</v>
      </c>
      <c r="K46" s="227">
        <v>0</v>
      </c>
      <c r="L46" s="191"/>
      <c r="M46" s="226">
        <v>140.27199999999999</v>
      </c>
      <c r="N46" s="226">
        <v>433.54399999999998</v>
      </c>
      <c r="O46" s="226">
        <v>293.27199999999999</v>
      </c>
      <c r="P46" s="227">
        <v>0</v>
      </c>
      <c r="Q46" s="110"/>
      <c r="R46" s="110"/>
      <c r="S46" s="110"/>
      <c r="T46" s="110"/>
      <c r="U46" s="110"/>
    </row>
    <row r="47" spans="1:21" x14ac:dyDescent="0.2">
      <c r="A47" s="228">
        <v>1964</v>
      </c>
      <c r="B47" s="226">
        <v>185.46599999999989</v>
      </c>
      <c r="C47" s="226">
        <v>749.51299999999992</v>
      </c>
      <c r="D47" s="227">
        <v>0</v>
      </c>
      <c r="E47" s="226">
        <v>564.04700000000003</v>
      </c>
      <c r="F47" s="227">
        <v>0</v>
      </c>
      <c r="G47" s="191"/>
      <c r="H47" s="226">
        <v>-233.89699999999999</v>
      </c>
      <c r="I47" s="226">
        <v>242.53399999999999</v>
      </c>
      <c r="J47" s="226">
        <v>476.43099999999998</v>
      </c>
      <c r="K47" s="227">
        <v>0</v>
      </c>
      <c r="L47" s="191"/>
      <c r="M47" s="226">
        <v>268.68700000000001</v>
      </c>
      <c r="N47" s="226">
        <v>564.87900000000002</v>
      </c>
      <c r="O47" s="226">
        <v>296.19200000000001</v>
      </c>
      <c r="P47" s="227">
        <v>0</v>
      </c>
      <c r="Q47" s="110"/>
      <c r="R47" s="110"/>
      <c r="S47" s="110"/>
      <c r="T47" s="110"/>
      <c r="U47" s="110"/>
    </row>
    <row r="48" spans="1:21" x14ac:dyDescent="0.2">
      <c r="A48" s="228">
        <v>1965</v>
      </c>
      <c r="B48" s="226">
        <v>586.44000000000005</v>
      </c>
      <c r="C48" s="226">
        <v>860.149</v>
      </c>
      <c r="D48" s="227">
        <v>0</v>
      </c>
      <c r="E48" s="226">
        <v>273.70899999999995</v>
      </c>
      <c r="F48" s="227">
        <v>0</v>
      </c>
      <c r="G48" s="191"/>
      <c r="H48" s="226">
        <v>-187.61299999999994</v>
      </c>
      <c r="I48" s="226">
        <v>295.81100000000004</v>
      </c>
      <c r="J48" s="226">
        <v>483.42399999999998</v>
      </c>
      <c r="K48" s="227">
        <v>0</v>
      </c>
      <c r="L48" s="191"/>
      <c r="M48" s="226">
        <v>212.93600000000004</v>
      </c>
      <c r="N48" s="226">
        <v>562.23</v>
      </c>
      <c r="O48" s="226">
        <v>349.29399999999998</v>
      </c>
      <c r="P48" s="227">
        <v>0</v>
      </c>
      <c r="Q48" s="110"/>
      <c r="R48" s="110"/>
      <c r="S48" s="110"/>
      <c r="T48" s="110"/>
      <c r="U48" s="110"/>
    </row>
    <row r="49" spans="1:21" x14ac:dyDescent="0.2">
      <c r="A49" s="228">
        <v>1966</v>
      </c>
      <c r="B49" s="226">
        <v>714.91300000000012</v>
      </c>
      <c r="C49" s="226">
        <v>1120.7460000000001</v>
      </c>
      <c r="D49" s="227">
        <v>0</v>
      </c>
      <c r="E49" s="226">
        <v>405.83299999999997</v>
      </c>
      <c r="F49" s="227">
        <v>0</v>
      </c>
      <c r="G49" s="191"/>
      <c r="H49" s="226">
        <v>-361.20699999999994</v>
      </c>
      <c r="I49" s="226">
        <v>263.88200000000001</v>
      </c>
      <c r="J49" s="226">
        <v>625.08899999999994</v>
      </c>
      <c r="K49" s="227">
        <v>0</v>
      </c>
      <c r="L49" s="191"/>
      <c r="M49" s="226">
        <v>134.875</v>
      </c>
      <c r="N49" s="226">
        <v>584.57000000000005</v>
      </c>
      <c r="O49" s="226">
        <v>449.69499999999999</v>
      </c>
      <c r="P49" s="227">
        <v>0</v>
      </c>
      <c r="Q49" s="110"/>
      <c r="R49" s="110"/>
      <c r="S49" s="110"/>
      <c r="T49" s="110"/>
      <c r="U49" s="110"/>
    </row>
    <row r="50" spans="1:21" x14ac:dyDescent="0.2">
      <c r="A50" s="228">
        <v>1967</v>
      </c>
      <c r="B50" s="226">
        <v>488.18100000000015</v>
      </c>
      <c r="C50" s="226">
        <v>1006.1830000000001</v>
      </c>
      <c r="D50" s="227">
        <v>0</v>
      </c>
      <c r="E50" s="226">
        <v>518.00199999999995</v>
      </c>
      <c r="F50" s="227">
        <v>0</v>
      </c>
      <c r="G50" s="191"/>
      <c r="H50" s="226">
        <v>-334.61500000000001</v>
      </c>
      <c r="I50" s="226">
        <v>320.27600000000001</v>
      </c>
      <c r="J50" s="226">
        <v>654.89099999999996</v>
      </c>
      <c r="K50" s="227">
        <v>0</v>
      </c>
      <c r="L50" s="191"/>
      <c r="M50" s="226">
        <v>70.102999999999952</v>
      </c>
      <c r="N50" s="226">
        <v>549.05499999999995</v>
      </c>
      <c r="O50" s="226">
        <v>478.952</v>
      </c>
      <c r="P50" s="227">
        <v>0</v>
      </c>
      <c r="Q50" s="110"/>
      <c r="R50" s="110"/>
      <c r="S50" s="110"/>
      <c r="T50" s="110"/>
      <c r="U50" s="110"/>
    </row>
    <row r="51" spans="1:21" x14ac:dyDescent="0.2">
      <c r="A51" s="228">
        <v>1968</v>
      </c>
      <c r="B51" s="226">
        <v>907.44500000000005</v>
      </c>
      <c r="C51" s="226">
        <v>1426.0440000000001</v>
      </c>
      <c r="D51" s="227">
        <v>0</v>
      </c>
      <c r="E51" s="226">
        <v>518.59899999999993</v>
      </c>
      <c r="F51" s="227">
        <v>0</v>
      </c>
      <c r="G51" s="191"/>
      <c r="H51" s="226">
        <v>-393.99300000000005</v>
      </c>
      <c r="I51" s="226">
        <v>367.31399999999996</v>
      </c>
      <c r="J51" s="226">
        <v>761.30700000000002</v>
      </c>
      <c r="K51" s="227">
        <v>0</v>
      </c>
      <c r="L51" s="191"/>
      <c r="M51" s="226">
        <v>129.785</v>
      </c>
      <c r="N51" s="226">
        <v>711.73199999999997</v>
      </c>
      <c r="O51" s="226">
        <v>581.947</v>
      </c>
      <c r="P51" s="227">
        <v>0</v>
      </c>
      <c r="Q51" s="110"/>
      <c r="R51" s="110"/>
      <c r="S51" s="110"/>
      <c r="T51" s="110"/>
      <c r="U51" s="110"/>
    </row>
    <row r="52" spans="1:21" x14ac:dyDescent="0.2">
      <c r="A52" s="228">
        <v>1969</v>
      </c>
      <c r="B52" s="226">
        <v>1496.6569999999997</v>
      </c>
      <c r="C52" s="226">
        <v>2488.3239999999996</v>
      </c>
      <c r="D52" s="227">
        <v>0</v>
      </c>
      <c r="E52" s="226">
        <v>991.66700000000003</v>
      </c>
      <c r="F52" s="227">
        <v>0</v>
      </c>
      <c r="G52" s="191"/>
      <c r="H52" s="226">
        <v>-462.97400000000016</v>
      </c>
      <c r="I52" s="226">
        <v>585.37699999999995</v>
      </c>
      <c r="J52" s="226">
        <v>1048.3510000000001</v>
      </c>
      <c r="K52" s="227">
        <v>0</v>
      </c>
      <c r="L52" s="191"/>
      <c r="M52" s="226">
        <v>-306.77099999999984</v>
      </c>
      <c r="N52" s="226">
        <v>824.81200000000001</v>
      </c>
      <c r="O52" s="226">
        <v>1131.5829999999999</v>
      </c>
      <c r="P52" s="227">
        <v>0</v>
      </c>
      <c r="Q52" s="110"/>
      <c r="R52" s="110"/>
      <c r="S52" s="110"/>
      <c r="T52" s="110"/>
      <c r="U52" s="110"/>
    </row>
    <row r="53" spans="1:21" x14ac:dyDescent="0.2">
      <c r="A53" s="228">
        <v>1970</v>
      </c>
      <c r="B53" s="226">
        <v>1870.078</v>
      </c>
      <c r="C53" s="226">
        <v>3268.98</v>
      </c>
      <c r="D53" s="227">
        <v>0</v>
      </c>
      <c r="E53" s="226">
        <v>1398.902</v>
      </c>
      <c r="F53" s="227">
        <v>0</v>
      </c>
      <c r="G53" s="191"/>
      <c r="H53" s="226">
        <v>-857.57100000000014</v>
      </c>
      <c r="I53" s="226">
        <v>601.36500000000001</v>
      </c>
      <c r="J53" s="226">
        <v>1458.9360000000001</v>
      </c>
      <c r="K53" s="227">
        <v>0</v>
      </c>
      <c r="L53" s="191"/>
      <c r="M53" s="226">
        <v>-432.52499999999998</v>
      </c>
      <c r="N53" s="226">
        <v>1094.1690000000001</v>
      </c>
      <c r="O53" s="226">
        <v>1526.694</v>
      </c>
      <c r="P53" s="227">
        <v>0</v>
      </c>
      <c r="Q53" s="110"/>
      <c r="R53" s="110"/>
      <c r="S53" s="110"/>
      <c r="T53" s="110"/>
      <c r="U53" s="110"/>
    </row>
    <row r="54" spans="1:21" x14ac:dyDescent="0.2">
      <c r="A54" s="228">
        <v>1971</v>
      </c>
      <c r="B54" s="226">
        <v>2168.6039999999998</v>
      </c>
      <c r="C54" s="226">
        <v>3430.7489999999998</v>
      </c>
      <c r="D54" s="227">
        <v>0</v>
      </c>
      <c r="E54" s="226">
        <v>1262.145</v>
      </c>
      <c r="F54" s="227">
        <v>0</v>
      </c>
      <c r="G54" s="191"/>
      <c r="H54" s="226">
        <v>-1152.904</v>
      </c>
      <c r="I54" s="226">
        <v>565.779</v>
      </c>
      <c r="J54" s="226">
        <v>1718.683</v>
      </c>
      <c r="K54" s="227">
        <v>0</v>
      </c>
      <c r="L54" s="191"/>
      <c r="M54" s="226">
        <v>-3.3479999999999563</v>
      </c>
      <c r="N54" s="226">
        <v>1154.048</v>
      </c>
      <c r="O54" s="226">
        <v>1157.396</v>
      </c>
      <c r="P54" s="227">
        <v>0</v>
      </c>
      <c r="Q54" s="110"/>
      <c r="R54" s="110"/>
      <c r="S54" s="110"/>
      <c r="T54" s="110"/>
      <c r="U54" s="110"/>
    </row>
    <row r="55" spans="1:21" x14ac:dyDescent="0.2">
      <c r="A55" s="228">
        <v>1972</v>
      </c>
      <c r="B55" s="226">
        <v>1788.1839999999993</v>
      </c>
      <c r="C55" s="226">
        <v>4236.9329999999991</v>
      </c>
      <c r="D55" s="227">
        <v>0</v>
      </c>
      <c r="E55" s="226">
        <v>2448.7489999999998</v>
      </c>
      <c r="F55" s="227">
        <v>0</v>
      </c>
      <c r="G55" s="191"/>
      <c r="H55" s="226">
        <v>-1595.5539999999996</v>
      </c>
      <c r="I55" s="226">
        <v>567.58500000000004</v>
      </c>
      <c r="J55" s="226">
        <v>2163.1389999999997</v>
      </c>
      <c r="K55" s="227">
        <v>0</v>
      </c>
      <c r="L55" s="191"/>
      <c r="M55" s="226">
        <v>-705.13799999999992</v>
      </c>
      <c r="N55" s="226">
        <v>1055.866</v>
      </c>
      <c r="O55" s="226">
        <v>1761.0039999999999</v>
      </c>
      <c r="P55" s="227">
        <v>0</v>
      </c>
      <c r="Q55" s="110"/>
      <c r="R55" s="110"/>
      <c r="S55" s="110"/>
      <c r="T55" s="110"/>
      <c r="U55" s="110"/>
    </row>
    <row r="56" spans="1:21" x14ac:dyDescent="0.2">
      <c r="A56" s="228">
        <v>1973</v>
      </c>
      <c r="B56" s="226">
        <v>137.11900000000088</v>
      </c>
      <c r="C56" s="226">
        <v>4277.5680000000002</v>
      </c>
      <c r="D56" s="227">
        <v>0</v>
      </c>
      <c r="E56" s="226">
        <v>4121.0769999999993</v>
      </c>
      <c r="F56" s="226">
        <v>19.372</v>
      </c>
      <c r="G56" s="191"/>
      <c r="H56" s="226">
        <v>-2438.8829999999998</v>
      </c>
      <c r="I56" s="226">
        <v>856.66699999999992</v>
      </c>
      <c r="J56" s="226">
        <v>3211.9919999999997</v>
      </c>
      <c r="K56" s="226">
        <v>83.557999999999993</v>
      </c>
      <c r="L56" s="191"/>
      <c r="M56" s="226">
        <v>-149.57300000000004</v>
      </c>
      <c r="N56" s="226">
        <v>1056.971</v>
      </c>
      <c r="O56" s="226">
        <v>1182.018</v>
      </c>
      <c r="P56" s="226">
        <v>24.526</v>
      </c>
      <c r="Q56" s="110"/>
      <c r="R56" s="110"/>
      <c r="S56" s="110"/>
      <c r="T56" s="110"/>
      <c r="U56" s="110"/>
    </row>
    <row r="57" spans="1:21" x14ac:dyDescent="0.2">
      <c r="A57" s="228">
        <v>1974</v>
      </c>
      <c r="B57" s="226">
        <v>-605.08299999999963</v>
      </c>
      <c r="C57" s="226">
        <v>5207.4679999999998</v>
      </c>
      <c r="D57" s="227">
        <v>0</v>
      </c>
      <c r="E57" s="226">
        <v>5642.5239999999994</v>
      </c>
      <c r="F57" s="226">
        <v>170.02699999999999</v>
      </c>
      <c r="G57" s="191"/>
      <c r="H57" s="226">
        <v>-2060.1079999999997</v>
      </c>
      <c r="I57" s="226">
        <v>2254.453</v>
      </c>
      <c r="J57" s="226">
        <v>4139.5069999999996</v>
      </c>
      <c r="K57" s="226">
        <v>175.054</v>
      </c>
      <c r="L57" s="191"/>
      <c r="M57" s="226">
        <v>616.34299999999996</v>
      </c>
      <c r="N57" s="226">
        <v>1406.182</v>
      </c>
      <c r="O57" s="226">
        <v>737.65800000000002</v>
      </c>
      <c r="P57" s="226">
        <v>52.180999999999997</v>
      </c>
      <c r="Q57" s="110"/>
      <c r="R57" s="110"/>
      <c r="S57" s="110"/>
      <c r="T57" s="110"/>
      <c r="U57" s="110"/>
    </row>
    <row r="58" spans="1:21" x14ac:dyDescent="0.2">
      <c r="A58" s="228">
        <v>1975</v>
      </c>
      <c r="B58" s="226">
        <v>-2597.9560000000001</v>
      </c>
      <c r="C58" s="226">
        <v>4680.8620000000001</v>
      </c>
      <c r="D58" s="227">
        <v>0</v>
      </c>
      <c r="E58" s="226">
        <v>5570.165</v>
      </c>
      <c r="F58" s="226">
        <v>1708.653</v>
      </c>
      <c r="G58" s="191"/>
      <c r="H58" s="226">
        <v>-212.00200000000044</v>
      </c>
      <c r="I58" s="226">
        <v>4269.982</v>
      </c>
      <c r="J58" s="226">
        <v>4306.4440000000004</v>
      </c>
      <c r="K58" s="226">
        <v>175.54</v>
      </c>
      <c r="L58" s="191"/>
      <c r="M58" s="226">
        <v>257.27999999999997</v>
      </c>
      <c r="N58" s="226">
        <v>2178.462</v>
      </c>
      <c r="O58" s="226">
        <v>1867.88</v>
      </c>
      <c r="P58" s="226">
        <v>53.302000000000007</v>
      </c>
      <c r="Q58" s="110"/>
      <c r="R58" s="110"/>
      <c r="S58" s="110"/>
      <c r="T58" s="110"/>
      <c r="U58" s="110"/>
    </row>
    <row r="59" spans="1:21" x14ac:dyDescent="0.2">
      <c r="A59" s="228">
        <v>1976</v>
      </c>
      <c r="B59" s="226">
        <v>-1139.5363200000002</v>
      </c>
      <c r="C59" s="226">
        <v>3888.3489999999997</v>
      </c>
      <c r="D59" s="226">
        <v>1127.1366</v>
      </c>
      <c r="E59" s="226">
        <v>5026.018</v>
      </c>
      <c r="F59" s="226">
        <v>1129.0039200000001</v>
      </c>
      <c r="G59" s="191"/>
      <c r="H59" s="226">
        <v>-1287.0875999999989</v>
      </c>
      <c r="I59" s="226">
        <v>5642.1130000000012</v>
      </c>
      <c r="J59" s="226">
        <v>6566.866</v>
      </c>
      <c r="K59" s="226">
        <v>362.33460000000002</v>
      </c>
      <c r="L59" s="191"/>
      <c r="M59" s="226">
        <v>-1159.1433999999997</v>
      </c>
      <c r="N59" s="226">
        <v>3264.5169999999998</v>
      </c>
      <c r="O59" s="226">
        <v>4210.3549999999996</v>
      </c>
      <c r="P59" s="226">
        <v>213.30539999999999</v>
      </c>
      <c r="Q59" s="110"/>
      <c r="R59" s="110"/>
      <c r="S59" s="110"/>
      <c r="T59" s="110"/>
      <c r="U59" s="110"/>
    </row>
    <row r="60" spans="1:21" x14ac:dyDescent="0.2">
      <c r="A60" s="228">
        <v>1977</v>
      </c>
      <c r="B60" s="226">
        <v>-3753.7657600000011</v>
      </c>
      <c r="C60" s="226">
        <v>3879.24</v>
      </c>
      <c r="D60" s="226">
        <v>717.42770399999995</v>
      </c>
      <c r="E60" s="226">
        <v>6629.6320000000005</v>
      </c>
      <c r="F60" s="226">
        <v>1720.8014640000001</v>
      </c>
      <c r="G60" s="191"/>
      <c r="H60" s="226">
        <v>-349.97207599999979</v>
      </c>
      <c r="I60" s="226">
        <v>6491.2709999999997</v>
      </c>
      <c r="J60" s="226">
        <v>6299.9749999999995</v>
      </c>
      <c r="K60" s="226">
        <v>541.26807600000006</v>
      </c>
      <c r="L60" s="191"/>
      <c r="M60" s="226">
        <v>236.23560200000023</v>
      </c>
      <c r="N60" s="226">
        <v>3962.5210000000002</v>
      </c>
      <c r="O60" s="226">
        <v>3709.502</v>
      </c>
      <c r="P60" s="226">
        <v>16.783398000000002</v>
      </c>
      <c r="Q60" s="110"/>
      <c r="R60" s="110"/>
      <c r="S60" s="110"/>
      <c r="T60" s="110"/>
      <c r="U60" s="110"/>
    </row>
    <row r="61" spans="1:21" x14ac:dyDescent="0.2">
      <c r="A61" s="228">
        <v>1978</v>
      </c>
      <c r="B61" s="226">
        <v>-5393.4656975806456</v>
      </c>
      <c r="C61" s="226">
        <v>3590.4210000000003</v>
      </c>
      <c r="D61" s="226">
        <v>315.37273790322581</v>
      </c>
      <c r="E61" s="226">
        <v>8385.4500000000007</v>
      </c>
      <c r="F61" s="226">
        <v>913.8094354838712</v>
      </c>
      <c r="G61" s="191"/>
      <c r="H61" s="226">
        <v>-942.84315927419232</v>
      </c>
      <c r="I61" s="226">
        <v>9029.2430000000004</v>
      </c>
      <c r="J61" s="226">
        <v>9424.7369999999992</v>
      </c>
      <c r="K61" s="226">
        <v>547.34915927419354</v>
      </c>
      <c r="L61" s="191"/>
      <c r="M61" s="226">
        <v>748.69228225806455</v>
      </c>
      <c r="N61" s="226">
        <v>5744.0169999999998</v>
      </c>
      <c r="O61" s="226">
        <v>4961.0389999999998</v>
      </c>
      <c r="P61" s="226">
        <v>34.285717741935485</v>
      </c>
      <c r="Q61" s="110"/>
      <c r="R61" s="110"/>
      <c r="S61" s="110"/>
      <c r="T61" s="110"/>
      <c r="U61" s="110"/>
    </row>
    <row r="62" spans="1:21" x14ac:dyDescent="0.2">
      <c r="A62" s="228">
        <v>1979</v>
      </c>
      <c r="B62" s="226">
        <v>-5679.0810524193566</v>
      </c>
      <c r="C62" s="226">
        <v>3813.3089999999997</v>
      </c>
      <c r="D62" s="226">
        <v>163.91129032258064</v>
      </c>
      <c r="E62" s="226">
        <v>6881.0570000000007</v>
      </c>
      <c r="F62" s="226">
        <v>2775.2443427419357</v>
      </c>
      <c r="G62" s="191"/>
      <c r="H62" s="226">
        <v>-3468.2677661290327</v>
      </c>
      <c r="I62" s="226">
        <v>12001.054</v>
      </c>
      <c r="J62" s="226">
        <v>11854.267</v>
      </c>
      <c r="K62" s="226">
        <v>3615.0547661290329</v>
      </c>
      <c r="L62" s="191"/>
      <c r="M62" s="226">
        <v>2572.2018951612904</v>
      </c>
      <c r="N62" s="226">
        <v>8415.2389999999996</v>
      </c>
      <c r="O62" s="226">
        <v>5815.7119999999995</v>
      </c>
      <c r="P62" s="226">
        <v>27.325104838709677</v>
      </c>
      <c r="Q62" s="110"/>
      <c r="R62" s="110"/>
      <c r="S62" s="110"/>
      <c r="T62" s="110"/>
      <c r="U62" s="110"/>
    </row>
    <row r="63" spans="1:21" x14ac:dyDescent="0.2">
      <c r="A63" s="228">
        <v>1980</v>
      </c>
      <c r="B63" s="226">
        <v>-8499.5158366935484</v>
      </c>
      <c r="C63" s="226">
        <v>3679.989</v>
      </c>
      <c r="D63" s="226">
        <v>53.369455645161281</v>
      </c>
      <c r="E63" s="226">
        <v>8706.2129999999997</v>
      </c>
      <c r="F63" s="226">
        <v>3526.6612923387097</v>
      </c>
      <c r="G63" s="191"/>
      <c r="H63" s="226">
        <v>1436.2048588709677</v>
      </c>
      <c r="I63" s="226">
        <v>16666.804</v>
      </c>
      <c r="J63" s="226">
        <v>12595.742</v>
      </c>
      <c r="K63" s="226">
        <v>2634.8571411290322</v>
      </c>
      <c r="L63" s="191"/>
      <c r="M63" s="226">
        <v>2503.2801693548395</v>
      </c>
      <c r="N63" s="226">
        <v>11167.414000000001</v>
      </c>
      <c r="O63" s="226">
        <v>8535.491</v>
      </c>
      <c r="P63" s="226">
        <v>128.6428306451613</v>
      </c>
      <c r="Q63" s="110"/>
      <c r="R63" s="110"/>
      <c r="S63" s="110"/>
      <c r="T63" s="110"/>
      <c r="U63" s="110"/>
    </row>
    <row r="64" spans="1:21" x14ac:dyDescent="0.2">
      <c r="A64" s="228">
        <v>1981</v>
      </c>
      <c r="B64" s="226">
        <v>-13784.941662096775</v>
      </c>
      <c r="C64" s="226">
        <v>3650.422</v>
      </c>
      <c r="D64" s="226">
        <v>29.467237903225804</v>
      </c>
      <c r="E64" s="226">
        <v>11930.231</v>
      </c>
      <c r="F64" s="226">
        <v>5534.5999000000011</v>
      </c>
      <c r="G64" s="191"/>
      <c r="H64" s="226">
        <v>10193.644867741936</v>
      </c>
      <c r="I64" s="226">
        <v>25675.428</v>
      </c>
      <c r="J64" s="226">
        <v>11889.603999999999</v>
      </c>
      <c r="K64" s="226">
        <v>3592.1791322580648</v>
      </c>
      <c r="L64" s="191"/>
      <c r="M64" s="226">
        <v>9075.2764899193535</v>
      </c>
      <c r="N64" s="226">
        <v>17033.705999999998</v>
      </c>
      <c r="O64" s="226">
        <v>7842.3409999999994</v>
      </c>
      <c r="P64" s="226">
        <v>116.08851008064515</v>
      </c>
      <c r="Q64" s="110"/>
      <c r="R64" s="110"/>
      <c r="S64" s="110"/>
      <c r="T64" s="110"/>
      <c r="U64" s="110"/>
    </row>
    <row r="65" spans="1:21" x14ac:dyDescent="0.2">
      <c r="A65" s="228">
        <v>1982</v>
      </c>
      <c r="B65" s="226">
        <v>-6457.4356939393929</v>
      </c>
      <c r="C65" s="226">
        <v>3845.6120000000001</v>
      </c>
      <c r="D65" s="226">
        <v>0</v>
      </c>
      <c r="E65" s="226">
        <v>8423.6189999999988</v>
      </c>
      <c r="F65" s="226">
        <v>1879.4286939393937</v>
      </c>
      <c r="G65" s="191"/>
      <c r="H65" s="226">
        <v>14311.085087878781</v>
      </c>
      <c r="I65" s="226">
        <v>35540.918999999994</v>
      </c>
      <c r="J65" s="226">
        <v>12889.228000000001</v>
      </c>
      <c r="K65" s="226">
        <v>8340.6059121212111</v>
      </c>
      <c r="L65" s="191"/>
      <c r="M65" s="226">
        <v>1896.9831242424243</v>
      </c>
      <c r="N65" s="226">
        <v>15914.066999999999</v>
      </c>
      <c r="O65" s="226">
        <v>13855.994999999999</v>
      </c>
      <c r="P65" s="226">
        <v>161.08887575757575</v>
      </c>
      <c r="Q65" s="110"/>
      <c r="R65" s="110"/>
      <c r="S65" s="110"/>
      <c r="T65" s="110"/>
      <c r="U65" s="110"/>
    </row>
    <row r="66" spans="1:21" x14ac:dyDescent="0.2">
      <c r="A66" s="228">
        <v>1983</v>
      </c>
      <c r="B66" s="226">
        <v>-118770.48763955638</v>
      </c>
      <c r="C66" s="226">
        <v>7044.2</v>
      </c>
      <c r="D66" s="226">
        <v>8790</v>
      </c>
      <c r="E66" s="226">
        <v>19352.947</v>
      </c>
      <c r="F66" s="226">
        <v>115251.74063955637</v>
      </c>
      <c r="G66" s="191"/>
      <c r="H66" s="226">
        <v>57175.813495378941</v>
      </c>
      <c r="I66" s="226">
        <v>76219.519000000015</v>
      </c>
      <c r="J66" s="226">
        <v>12876.673999999999</v>
      </c>
      <c r="K66" s="226">
        <v>6167.0315046210726</v>
      </c>
      <c r="L66" s="191"/>
      <c r="M66" s="226">
        <v>-2551.0707763401069</v>
      </c>
      <c r="N66" s="226">
        <v>18350.163</v>
      </c>
      <c r="O66" s="226">
        <v>20338.858999999997</v>
      </c>
      <c r="P66" s="226">
        <v>562.37477634011088</v>
      </c>
      <c r="Q66" s="110"/>
      <c r="R66" s="110"/>
      <c r="S66" s="110"/>
      <c r="T66" s="110"/>
      <c r="U66" s="110"/>
    </row>
    <row r="67" spans="1:21" x14ac:dyDescent="0.2">
      <c r="A67" s="228">
        <v>1984</v>
      </c>
      <c r="B67" s="226">
        <v>-163229.5502857143</v>
      </c>
      <c r="C67" s="226">
        <v>6714.6010000000006</v>
      </c>
      <c r="D67" s="226">
        <v>9650</v>
      </c>
      <c r="E67" s="226">
        <v>28088.269</v>
      </c>
      <c r="F67" s="226">
        <v>151505.88228571429</v>
      </c>
      <c r="G67" s="191"/>
      <c r="H67" s="226">
        <v>109884.50222556388</v>
      </c>
      <c r="I67" s="226">
        <v>132503.28499999997</v>
      </c>
      <c r="J67" s="226">
        <v>19651.505000000001</v>
      </c>
      <c r="K67" s="226">
        <v>2967.2777744360901</v>
      </c>
      <c r="L67" s="191"/>
      <c r="M67" s="226">
        <v>-7573.8201278195493</v>
      </c>
      <c r="N67" s="226">
        <v>22930.507000000001</v>
      </c>
      <c r="O67" s="226">
        <v>29683.205000000002</v>
      </c>
      <c r="P67" s="226">
        <v>821.12212781954884</v>
      </c>
      <c r="Q67" s="110"/>
      <c r="R67" s="110"/>
      <c r="S67" s="110"/>
      <c r="T67" s="110"/>
      <c r="U67" s="110"/>
    </row>
    <row r="68" spans="1:21" x14ac:dyDescent="0.2">
      <c r="A68" s="228">
        <v>1985</v>
      </c>
      <c r="B68" s="226">
        <v>-94181.042578947367</v>
      </c>
      <c r="C68" s="226">
        <v>5928.3649999999998</v>
      </c>
      <c r="D68" s="226">
        <v>9650</v>
      </c>
      <c r="E68" s="226">
        <v>56517.554000000004</v>
      </c>
      <c r="F68" s="226">
        <v>53241.853578947361</v>
      </c>
      <c r="G68" s="191"/>
      <c r="H68" s="226">
        <v>116710.84369473685</v>
      </c>
      <c r="I68" s="226">
        <v>145590.196</v>
      </c>
      <c r="J68" s="226">
        <v>25086.946999999993</v>
      </c>
      <c r="K68" s="226">
        <v>3792.405305263158</v>
      </c>
      <c r="L68" s="191"/>
      <c r="M68" s="226">
        <v>-912.5129263157902</v>
      </c>
      <c r="N68" s="226">
        <v>23255.9</v>
      </c>
      <c r="O68" s="226">
        <v>23237.064000000002</v>
      </c>
      <c r="P68" s="226">
        <v>931.34892631578953</v>
      </c>
      <c r="Q68" s="110"/>
      <c r="R68" s="110"/>
      <c r="S68" s="110"/>
      <c r="T68" s="110"/>
      <c r="U68" s="110"/>
    </row>
    <row r="69" spans="1:21" x14ac:dyDescent="0.2">
      <c r="A69" s="228">
        <v>1986</v>
      </c>
      <c r="B69" s="226">
        <v>-101417.39894736841</v>
      </c>
      <c r="C69" s="226">
        <v>9034.5</v>
      </c>
      <c r="D69" s="226">
        <v>12250.98</v>
      </c>
      <c r="E69" s="226">
        <v>65610.399999999994</v>
      </c>
      <c r="F69" s="226">
        <v>57092.478947368421</v>
      </c>
      <c r="G69" s="191"/>
      <c r="H69" s="226">
        <v>116832.33157894737</v>
      </c>
      <c r="I69" s="226">
        <v>166090.79999999999</v>
      </c>
      <c r="J69" s="226">
        <v>42610.2</v>
      </c>
      <c r="K69" s="226">
        <v>6648.2684210526313</v>
      </c>
      <c r="L69" s="191"/>
      <c r="M69" s="226">
        <v>-6227.4568421052609</v>
      </c>
      <c r="N69" s="226">
        <v>16848.599999999999</v>
      </c>
      <c r="O69" s="226">
        <v>20913.3</v>
      </c>
      <c r="P69" s="226">
        <v>2162.7568421052633</v>
      </c>
    </row>
    <row r="70" spans="1:21" x14ac:dyDescent="0.2">
      <c r="A70" s="228">
        <v>1987</v>
      </c>
      <c r="B70" s="226">
        <v>-77741.852526315779</v>
      </c>
      <c r="C70" s="226">
        <v>52173.233999999997</v>
      </c>
      <c r="D70" s="226">
        <v>14802.96</v>
      </c>
      <c r="E70" s="226">
        <v>98307.263999999996</v>
      </c>
      <c r="F70" s="226">
        <v>46410.782526315787</v>
      </c>
      <c r="G70" s="191"/>
      <c r="H70" s="226">
        <v>91010.656136842124</v>
      </c>
      <c r="I70" s="226">
        <v>167558.27700000003</v>
      </c>
      <c r="J70" s="226">
        <v>55973.196000000011</v>
      </c>
      <c r="K70" s="226">
        <v>20574.424863157899</v>
      </c>
      <c r="L70" s="191"/>
      <c r="M70" s="226">
        <v>-54688.13083157895</v>
      </c>
      <c r="N70" s="226">
        <v>12720.31</v>
      </c>
      <c r="O70" s="226">
        <v>46258.391000000003</v>
      </c>
      <c r="P70" s="226">
        <v>21150.049831578948</v>
      </c>
    </row>
    <row r="71" spans="1:21" x14ac:dyDescent="0.2">
      <c r="A71" s="228">
        <v>1988</v>
      </c>
      <c r="B71" s="226">
        <v>-97014.165631974349</v>
      </c>
      <c r="C71" s="226">
        <v>109695.698</v>
      </c>
      <c r="D71" s="226">
        <v>22715.582599999998</v>
      </c>
      <c r="E71" s="226">
        <v>102647</v>
      </c>
      <c r="F71" s="226">
        <v>126778.44623197435</v>
      </c>
      <c r="G71" s="191"/>
      <c r="H71" s="226">
        <v>35512</v>
      </c>
      <c r="I71" s="226">
        <v>150384.46400000001</v>
      </c>
      <c r="J71" s="226">
        <v>91012</v>
      </c>
      <c r="K71" s="226">
        <v>23859.963417974359</v>
      </c>
      <c r="L71" s="191"/>
      <c r="M71" s="226">
        <v>-92986.871597384612</v>
      </c>
      <c r="N71" s="226">
        <v>16231.1</v>
      </c>
      <c r="O71" s="226">
        <v>67911.766999999993</v>
      </c>
      <c r="P71" s="226">
        <v>41306.204597384618</v>
      </c>
    </row>
    <row r="72" spans="1:21" x14ac:dyDescent="0.2">
      <c r="A72" s="228">
        <v>1989</v>
      </c>
      <c r="B72" s="226">
        <v>-279051.42213323078</v>
      </c>
      <c r="C72" s="226">
        <v>102629.85200000001</v>
      </c>
      <c r="D72" s="226">
        <v>21845.4624</v>
      </c>
      <c r="E72" s="226">
        <v>220340</v>
      </c>
      <c r="F72" s="226">
        <v>183186.73653323078</v>
      </c>
      <c r="G72" s="191"/>
      <c r="H72" s="226">
        <v>47</v>
      </c>
      <c r="I72" s="226">
        <v>165859.48000000001</v>
      </c>
      <c r="J72" s="226">
        <v>131988</v>
      </c>
      <c r="K72" s="226">
        <v>33823.980378461543</v>
      </c>
      <c r="L72" s="191"/>
      <c r="M72" s="226">
        <v>-47121.832055384606</v>
      </c>
      <c r="N72" s="226">
        <v>37476.368000000002</v>
      </c>
      <c r="O72" s="226">
        <v>66031.403999999995</v>
      </c>
      <c r="P72" s="226">
        <v>18566.796055384613</v>
      </c>
    </row>
    <row r="73" spans="1:21" x14ac:dyDescent="0.2">
      <c r="A73" s="228">
        <v>1990</v>
      </c>
      <c r="B73" s="226">
        <v>-659789.5987478462</v>
      </c>
      <c r="C73" s="226">
        <v>97580.763000000006</v>
      </c>
      <c r="D73" s="226">
        <v>14811.062999999998</v>
      </c>
      <c r="E73" s="226">
        <v>542695.92200000002</v>
      </c>
      <c r="F73" s="226">
        <v>229485.50274784619</v>
      </c>
      <c r="G73" s="191"/>
      <c r="H73" s="226">
        <v>-135876.01088392307</v>
      </c>
      <c r="I73" s="226">
        <v>162033.277</v>
      </c>
      <c r="J73" s="226">
        <v>252291.63</v>
      </c>
      <c r="K73" s="226">
        <v>45617.657883923071</v>
      </c>
      <c r="L73" s="191"/>
      <c r="M73" s="226">
        <v>-49084.086411000011</v>
      </c>
      <c r="N73" s="226">
        <v>37511.991999999998</v>
      </c>
      <c r="O73" s="226">
        <v>71734.847000000009</v>
      </c>
      <c r="P73" s="226">
        <v>14861.231410999997</v>
      </c>
    </row>
    <row r="74" spans="1:21" x14ac:dyDescent="0.2">
      <c r="A74" s="228">
        <v>1991</v>
      </c>
      <c r="B74" s="226">
        <v>-976961.36015446158</v>
      </c>
      <c r="C74" s="226">
        <v>88903.938000000009</v>
      </c>
      <c r="D74" s="227" t="s">
        <v>10</v>
      </c>
      <c r="E74" s="226">
        <v>654172.08499999996</v>
      </c>
      <c r="F74" s="226">
        <v>411693.21315446158</v>
      </c>
      <c r="G74" s="191"/>
      <c r="H74" s="226">
        <v>-218489.6438132308</v>
      </c>
      <c r="I74" s="226">
        <v>178298.44200000001</v>
      </c>
      <c r="J74" s="226">
        <v>329539.31200000003</v>
      </c>
      <c r="K74" s="226">
        <v>67248.773813230786</v>
      </c>
      <c r="L74" s="191"/>
      <c r="M74" s="226">
        <v>-95826.102081230769</v>
      </c>
      <c r="N74" s="226">
        <v>15461.883</v>
      </c>
      <c r="O74" s="226">
        <v>102976.076</v>
      </c>
      <c r="P74" s="226">
        <v>8311.9090812307695</v>
      </c>
    </row>
    <row r="75" spans="1:21" x14ac:dyDescent="0.2">
      <c r="A75" s="228">
        <v>1992</v>
      </c>
      <c r="B75" s="226">
        <v>-1319555.051871795</v>
      </c>
      <c r="C75" s="226">
        <v>78525.84199999999</v>
      </c>
      <c r="D75" s="227" t="s">
        <v>10</v>
      </c>
      <c r="E75" s="226">
        <v>909069.89899999998</v>
      </c>
      <c r="F75" s="226">
        <v>489010.99487179494</v>
      </c>
      <c r="G75" s="191"/>
      <c r="H75" s="226">
        <v>-571076.51079487184</v>
      </c>
      <c r="I75" s="226">
        <v>191624.13800000001</v>
      </c>
      <c r="J75" s="226">
        <v>632984.37700000009</v>
      </c>
      <c r="K75" s="226">
        <v>129716.27179487179</v>
      </c>
      <c r="L75" s="191"/>
      <c r="M75" s="226">
        <v>-338368.89612820512</v>
      </c>
      <c r="N75" s="226">
        <v>4752.2730000000001</v>
      </c>
      <c r="O75" s="226">
        <v>120614.364</v>
      </c>
      <c r="P75" s="226">
        <v>222506.8051282051</v>
      </c>
    </row>
    <row r="76" spans="1:21" x14ac:dyDescent="0.2">
      <c r="A76" s="228">
        <v>1993</v>
      </c>
      <c r="B76" s="226">
        <v>-1852955.8</v>
      </c>
      <c r="C76" s="226">
        <v>70196</v>
      </c>
      <c r="D76" s="227" t="s">
        <v>10</v>
      </c>
      <c r="E76" s="226">
        <v>1394082.7</v>
      </c>
      <c r="F76" s="226">
        <v>529069.1</v>
      </c>
      <c r="G76" s="191"/>
      <c r="H76" s="226">
        <v>-926588.7</v>
      </c>
      <c r="I76" s="226">
        <v>159229.9</v>
      </c>
      <c r="J76" s="226">
        <v>956382.7</v>
      </c>
      <c r="K76" s="226">
        <v>129435.9</v>
      </c>
      <c r="L76" s="191"/>
      <c r="M76" s="226">
        <v>-243315.20000000001</v>
      </c>
      <c r="N76" s="226">
        <v>3496.6</v>
      </c>
      <c r="O76" s="226">
        <v>145319.29999999999</v>
      </c>
      <c r="P76" s="226">
        <v>101492.5</v>
      </c>
    </row>
    <row r="77" spans="1:21" x14ac:dyDescent="0.2">
      <c r="A77" s="228">
        <v>1994</v>
      </c>
      <c r="B77" s="226">
        <v>-2564648.7384750005</v>
      </c>
      <c r="C77" s="226">
        <v>59056.349000000002</v>
      </c>
      <c r="D77" s="227" t="s">
        <v>10</v>
      </c>
      <c r="E77" s="226">
        <v>1873907.5322770001</v>
      </c>
      <c r="F77" s="226">
        <v>749797.55519800005</v>
      </c>
      <c r="G77" s="191"/>
      <c r="H77" s="226">
        <v>-1071016.929553</v>
      </c>
      <c r="I77" s="226">
        <v>35625.123</v>
      </c>
      <c r="J77" s="226">
        <v>977938.91736399999</v>
      </c>
      <c r="K77" s="226">
        <v>128703.13518900001</v>
      </c>
      <c r="L77" s="191"/>
      <c r="M77" s="226">
        <v>-143974.835189</v>
      </c>
      <c r="N77" s="226">
        <v>3909.5329999999999</v>
      </c>
      <c r="O77" s="226">
        <v>37688.207163999999</v>
      </c>
      <c r="P77" s="226">
        <v>110196.16102500001</v>
      </c>
    </row>
    <row r="78" spans="1:21" x14ac:dyDescent="0.2">
      <c r="A78" s="228">
        <v>1995</v>
      </c>
      <c r="B78" s="226">
        <v>-2470782</v>
      </c>
      <c r="C78" s="226">
        <v>43773</v>
      </c>
      <c r="D78" s="227" t="s">
        <v>10</v>
      </c>
      <c r="E78" s="226">
        <v>1583871.5279999999</v>
      </c>
      <c r="F78" s="226">
        <v>930682.95400000003</v>
      </c>
      <c r="G78" s="191"/>
      <c r="H78" s="226">
        <v>-595768.21287100017</v>
      </c>
      <c r="I78" s="226">
        <v>731053</v>
      </c>
      <c r="J78" s="226">
        <v>1105766.0718710001</v>
      </c>
      <c r="K78" s="226">
        <v>221055.141</v>
      </c>
      <c r="L78" s="191"/>
      <c r="M78" s="226">
        <v>-119729.32</v>
      </c>
      <c r="N78" s="226">
        <v>2984.317</v>
      </c>
      <c r="O78" s="226">
        <v>23401</v>
      </c>
      <c r="P78" s="226">
        <v>99312.637000000002</v>
      </c>
    </row>
    <row r="79" spans="1:21" x14ac:dyDescent="0.2">
      <c r="A79" s="228">
        <v>1996</v>
      </c>
      <c r="B79" s="226">
        <v>-3207975</v>
      </c>
      <c r="C79" s="226">
        <v>25408</v>
      </c>
      <c r="D79" s="227" t="s">
        <v>10</v>
      </c>
      <c r="E79" s="226">
        <v>1762872.7140000002</v>
      </c>
      <c r="F79" s="226">
        <v>1470510.6460000002</v>
      </c>
      <c r="G79" s="191"/>
      <c r="H79" s="226">
        <v>-610408.58799999987</v>
      </c>
      <c r="I79" s="226">
        <v>1048331</v>
      </c>
      <c r="J79" s="226">
        <v>1348630.2589999998</v>
      </c>
      <c r="K79" s="226">
        <v>310109.32900000003</v>
      </c>
      <c r="L79" s="191"/>
      <c r="M79" s="226">
        <v>-163489.658</v>
      </c>
      <c r="N79" s="226">
        <v>1776.8140000000001</v>
      </c>
      <c r="O79" s="226">
        <v>17046.046000000002</v>
      </c>
      <c r="P79" s="226">
        <v>148220.42600000001</v>
      </c>
    </row>
    <row r="80" spans="1:21" x14ac:dyDescent="0.2">
      <c r="A80" s="228">
        <v>1997</v>
      </c>
      <c r="B80" s="226">
        <v>-3529119</v>
      </c>
      <c r="C80" s="226">
        <v>12843</v>
      </c>
      <c r="D80" s="227" t="s">
        <v>10</v>
      </c>
      <c r="E80" s="226">
        <v>1631158</v>
      </c>
      <c r="F80" s="226">
        <v>1910804</v>
      </c>
      <c r="G80" s="191"/>
      <c r="H80" s="226">
        <v>-1991446</v>
      </c>
      <c r="I80" s="226">
        <v>323419</v>
      </c>
      <c r="J80" s="226">
        <v>1628501</v>
      </c>
      <c r="K80" s="226">
        <v>686364</v>
      </c>
      <c r="L80" s="191"/>
      <c r="M80" s="226">
        <v>-89628</v>
      </c>
      <c r="N80" s="226">
        <v>157</v>
      </c>
      <c r="O80" s="226">
        <v>9123</v>
      </c>
      <c r="P80" s="226">
        <v>80662</v>
      </c>
    </row>
    <row r="81" spans="1:16" x14ac:dyDescent="0.2">
      <c r="A81" s="228">
        <v>1998</v>
      </c>
      <c r="B81" s="226">
        <v>-3452873</v>
      </c>
      <c r="C81" s="226">
        <v>3350</v>
      </c>
      <c r="D81" s="227" t="s">
        <v>10</v>
      </c>
      <c r="E81" s="226">
        <v>1444613</v>
      </c>
      <c r="F81" s="226">
        <v>2011610</v>
      </c>
      <c r="G81" s="191"/>
      <c r="H81" s="226">
        <v>1499873</v>
      </c>
      <c r="I81" s="226">
        <v>5206644</v>
      </c>
      <c r="J81" s="226">
        <v>3423219</v>
      </c>
      <c r="K81" s="226">
        <v>283552</v>
      </c>
      <c r="L81" s="191"/>
      <c r="M81" s="226">
        <v>-50239</v>
      </c>
      <c r="N81" s="233" t="s">
        <v>10</v>
      </c>
      <c r="O81" s="226">
        <v>5778</v>
      </c>
      <c r="P81" s="226">
        <v>44461</v>
      </c>
    </row>
    <row r="82" spans="1:16" x14ac:dyDescent="0.2">
      <c r="A82" s="228">
        <v>1999</v>
      </c>
      <c r="B82" s="226">
        <v>-9130392</v>
      </c>
      <c r="C82" s="226">
        <v>1412</v>
      </c>
      <c r="D82" s="227" t="s">
        <v>10</v>
      </c>
      <c r="E82" s="226">
        <v>2578347</v>
      </c>
      <c r="F82" s="226">
        <v>6553457</v>
      </c>
      <c r="G82" s="191"/>
      <c r="H82" s="226">
        <v>-5369008</v>
      </c>
      <c r="I82" s="226">
        <v>4659262</v>
      </c>
      <c r="J82" s="226">
        <v>9306747</v>
      </c>
      <c r="K82" s="226">
        <v>721523</v>
      </c>
      <c r="L82" s="191"/>
      <c r="M82" s="226">
        <v>-319526</v>
      </c>
      <c r="N82" s="233" t="s">
        <v>10</v>
      </c>
      <c r="O82" s="226">
        <v>8356</v>
      </c>
      <c r="P82" s="226">
        <v>311170</v>
      </c>
    </row>
    <row r="83" spans="1:16" x14ac:dyDescent="0.2">
      <c r="A83" s="190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190"/>
      <c r="O83" s="190"/>
      <c r="P83" s="190"/>
    </row>
    <row r="84" spans="1:16" x14ac:dyDescent="0.2"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</row>
    <row r="85" spans="1:16" x14ac:dyDescent="0.2"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</row>
    <row r="86" spans="1:16" x14ac:dyDescent="0.2">
      <c r="A86" s="410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</row>
    <row r="87" spans="1:16" x14ac:dyDescent="0.2">
      <c r="A87" s="124" t="s">
        <v>598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</row>
    <row r="88" spans="1:16" x14ac:dyDescent="0.2"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</row>
    <row r="89" spans="1:16" x14ac:dyDescent="0.2"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</row>
    <row r="90" spans="1:16" x14ac:dyDescent="0.2"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</row>
    <row r="91" spans="1:16" x14ac:dyDescent="0.2"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</row>
    <row r="92" spans="1:16" x14ac:dyDescent="0.2"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</row>
    <row r="93" spans="1:16" x14ac:dyDescent="0.2"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</row>
    <row r="94" spans="1:16" x14ac:dyDescent="0.2"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</row>
    <row r="95" spans="1:16" x14ac:dyDescent="0.2"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</row>
    <row r="96" spans="1:16" x14ac:dyDescent="0.2"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</row>
    <row r="97" spans="2:13" x14ac:dyDescent="0.2"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</row>
    <row r="98" spans="2:13" x14ac:dyDescent="0.2"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</row>
    <row r="99" spans="2:13" x14ac:dyDescent="0.2"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</row>
    <row r="100" spans="2:13" x14ac:dyDescent="0.2"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</row>
    <row r="101" spans="2:13" x14ac:dyDescent="0.2"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</row>
    <row r="102" spans="2:13" x14ac:dyDescent="0.2"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</row>
    <row r="103" spans="2:13" x14ac:dyDescent="0.2"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</row>
    <row r="104" spans="2:13" x14ac:dyDescent="0.2"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</row>
    <row r="105" spans="2:13" x14ac:dyDescent="0.2"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</row>
    <row r="106" spans="2:13" x14ac:dyDescent="0.2"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</row>
    <row r="107" spans="2:13" x14ac:dyDescent="0.2"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</row>
    <row r="108" spans="2:13" x14ac:dyDescent="0.2"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</row>
    <row r="109" spans="2:13" x14ac:dyDescent="0.2"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</row>
    <row r="110" spans="2:13" x14ac:dyDescent="0.2"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</row>
    <row r="111" spans="2:13" x14ac:dyDescent="0.2"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</row>
    <row r="112" spans="2:13" x14ac:dyDescent="0.2"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</row>
    <row r="113" spans="2:13" x14ac:dyDescent="0.2"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</row>
    <row r="114" spans="2:13" x14ac:dyDescent="0.2"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</row>
    <row r="115" spans="2:13" x14ac:dyDescent="0.2"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</row>
    <row r="116" spans="2:13" x14ac:dyDescent="0.2"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</row>
    <row r="117" spans="2:13" x14ac:dyDescent="0.2"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</row>
    <row r="118" spans="2:13" x14ac:dyDescent="0.2"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</row>
    <row r="119" spans="2:13" x14ac:dyDescent="0.2"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</row>
    <row r="120" spans="2:13" x14ac:dyDescent="0.2"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</row>
    <row r="121" spans="2:13" x14ac:dyDescent="0.2"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</row>
    <row r="122" spans="2:13" x14ac:dyDescent="0.2"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</row>
    <row r="123" spans="2:13" x14ac:dyDescent="0.2"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</row>
    <row r="124" spans="2:13" x14ac:dyDescent="0.2"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</row>
    <row r="125" spans="2:13" x14ac:dyDescent="0.2"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</row>
    <row r="126" spans="2:13" x14ac:dyDescent="0.2"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</row>
    <row r="127" spans="2:13" x14ac:dyDescent="0.2"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</row>
    <row r="128" spans="2:13" x14ac:dyDescent="0.2"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</row>
    <row r="129" spans="2:13" x14ac:dyDescent="0.2"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</row>
    <row r="130" spans="2:13" x14ac:dyDescent="0.2"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</row>
    <row r="131" spans="2:13" x14ac:dyDescent="0.2"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</row>
    <row r="132" spans="2:13" x14ac:dyDescent="0.2"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</row>
    <row r="133" spans="2:13" x14ac:dyDescent="0.2"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</row>
    <row r="134" spans="2:13" x14ac:dyDescent="0.2"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</row>
    <row r="135" spans="2:13" x14ac:dyDescent="0.2"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</row>
    <row r="136" spans="2:13" x14ac:dyDescent="0.2"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</row>
    <row r="137" spans="2:13" x14ac:dyDescent="0.2"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</row>
    <row r="138" spans="2:13" x14ac:dyDescent="0.2"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</row>
    <row r="139" spans="2:13" x14ac:dyDescent="0.2"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</row>
    <row r="140" spans="2:13" x14ac:dyDescent="0.2"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</row>
    <row r="141" spans="2:13" x14ac:dyDescent="0.2"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</row>
    <row r="142" spans="2:13" x14ac:dyDescent="0.2"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</row>
    <row r="143" spans="2:13" x14ac:dyDescent="0.2"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</row>
    <row r="144" spans="2:13" x14ac:dyDescent="0.2"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</row>
    <row r="145" spans="2:13" x14ac:dyDescent="0.2"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</row>
    <row r="146" spans="2:13" x14ac:dyDescent="0.2"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</row>
    <row r="147" spans="2:13" x14ac:dyDescent="0.2"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</row>
    <row r="148" spans="2:13" x14ac:dyDescent="0.2"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</row>
    <row r="149" spans="2:13" x14ac:dyDescent="0.2"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</row>
    <row r="150" spans="2:13" x14ac:dyDescent="0.2"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</row>
    <row r="151" spans="2:13" x14ac:dyDescent="0.2"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</row>
    <row r="152" spans="2:13" x14ac:dyDescent="0.2"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</row>
    <row r="153" spans="2:13" x14ac:dyDescent="0.2"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</row>
    <row r="154" spans="2:13" x14ac:dyDescent="0.2"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</row>
    <row r="155" spans="2:13" x14ac:dyDescent="0.2"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</row>
    <row r="156" spans="2:13" x14ac:dyDescent="0.2"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</row>
    <row r="157" spans="2:13" x14ac:dyDescent="0.2"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</row>
    <row r="158" spans="2:13" x14ac:dyDescent="0.2"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</row>
    <row r="159" spans="2:13" x14ac:dyDescent="0.2"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</row>
    <row r="160" spans="2:13" x14ac:dyDescent="0.2"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</row>
    <row r="161" spans="2:13" x14ac:dyDescent="0.2"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</row>
    <row r="162" spans="2:13" x14ac:dyDescent="0.2"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</row>
    <row r="163" spans="2:13" x14ac:dyDescent="0.2"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</row>
    <row r="164" spans="2:13" x14ac:dyDescent="0.2"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</row>
    <row r="165" spans="2:13" x14ac:dyDescent="0.2"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</row>
    <row r="166" spans="2:13" x14ac:dyDescent="0.2"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</row>
    <row r="167" spans="2:13" x14ac:dyDescent="0.2"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</row>
    <row r="168" spans="2:13" x14ac:dyDescent="0.2"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</row>
    <row r="169" spans="2:13" x14ac:dyDescent="0.2"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</row>
    <row r="170" spans="2:13" x14ac:dyDescent="0.2"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</row>
    <row r="171" spans="2:13" x14ac:dyDescent="0.2"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</row>
    <row r="172" spans="2:13" x14ac:dyDescent="0.2"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</row>
    <row r="173" spans="2:13" x14ac:dyDescent="0.2"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</row>
    <row r="174" spans="2:13" x14ac:dyDescent="0.2"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</row>
    <row r="175" spans="2:13" x14ac:dyDescent="0.2"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</row>
    <row r="176" spans="2:13" x14ac:dyDescent="0.2"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</row>
    <row r="177" spans="2:13" x14ac:dyDescent="0.2"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</row>
    <row r="178" spans="2:13" x14ac:dyDescent="0.2"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</row>
    <row r="179" spans="2:13" x14ac:dyDescent="0.2"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</row>
    <row r="180" spans="2:13" x14ac:dyDescent="0.2"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</row>
    <row r="181" spans="2:13" x14ac:dyDescent="0.2"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</row>
    <row r="182" spans="2:13" x14ac:dyDescent="0.2"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</row>
    <row r="183" spans="2:13" x14ac:dyDescent="0.2"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</row>
    <row r="184" spans="2:13" x14ac:dyDescent="0.2"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</row>
    <row r="185" spans="2:13" x14ac:dyDescent="0.2"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</row>
    <row r="186" spans="2:13" x14ac:dyDescent="0.2"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</row>
    <row r="187" spans="2:13" x14ac:dyDescent="0.2"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</row>
    <row r="188" spans="2:13" x14ac:dyDescent="0.2"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</row>
    <row r="189" spans="2:13" x14ac:dyDescent="0.2"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</row>
    <row r="190" spans="2:13" x14ac:dyDescent="0.2"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</row>
    <row r="191" spans="2:13" x14ac:dyDescent="0.2"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</row>
    <row r="192" spans="2:13" x14ac:dyDescent="0.2"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</row>
    <row r="193" spans="2:13" x14ac:dyDescent="0.2"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</row>
    <row r="194" spans="2:13" x14ac:dyDescent="0.2"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</row>
    <row r="195" spans="2:13" x14ac:dyDescent="0.2"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</row>
    <row r="196" spans="2:13" x14ac:dyDescent="0.2"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</row>
    <row r="197" spans="2:13" x14ac:dyDescent="0.2"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</row>
    <row r="198" spans="2:13" x14ac:dyDescent="0.2"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</row>
    <row r="199" spans="2:13" x14ac:dyDescent="0.2"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</row>
    <row r="200" spans="2:13" x14ac:dyDescent="0.2"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</row>
    <row r="201" spans="2:13" x14ac:dyDescent="0.2"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</row>
    <row r="202" spans="2:13" x14ac:dyDescent="0.2"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</row>
    <row r="203" spans="2:13" x14ac:dyDescent="0.2"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</row>
    <row r="204" spans="2:13" x14ac:dyDescent="0.2"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</row>
    <row r="205" spans="2:13" x14ac:dyDescent="0.2"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</row>
    <row r="206" spans="2:13" x14ac:dyDescent="0.2"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</row>
    <row r="207" spans="2:13" x14ac:dyDescent="0.2"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</row>
    <row r="208" spans="2:13" x14ac:dyDescent="0.2"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</row>
    <row r="209" spans="2:13" x14ac:dyDescent="0.2"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</row>
  </sheetData>
  <mergeCells count="14">
    <mergeCell ref="A1:P1"/>
    <mergeCell ref="A2:P2"/>
    <mergeCell ref="A3:P3"/>
    <mergeCell ref="A5:A7"/>
    <mergeCell ref="O6:P6"/>
    <mergeCell ref="J6:K6"/>
    <mergeCell ref="M5:P5"/>
    <mergeCell ref="H5:K5"/>
    <mergeCell ref="E6:F6"/>
    <mergeCell ref="B5:F5"/>
    <mergeCell ref="C6:D6"/>
    <mergeCell ref="H6:H7"/>
    <mergeCell ref="B6:B7"/>
    <mergeCell ref="M6:M7"/>
  </mergeCells>
  <hyperlinks>
    <hyperlink ref="A87" location="'indice cap.1'!A1" display="regresar al índice" xr:uid="{00000000-0004-0000-0F00-000000000000}"/>
  </hyperlinks>
  <pageMargins left="0.51181102362204722" right="0" top="0.74803149606299213" bottom="0.74803149606299213" header="0.31496062992125984" footer="0.31496062992125984"/>
  <pageSetup paperSize="9" scale="65" orientation="landscape" verticalDpi="599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87"/>
  <sheetViews>
    <sheetView showGridLines="0" workbookViewId="0">
      <selection activeCell="A5" sqref="A5:A7"/>
    </sheetView>
  </sheetViews>
  <sheetFormatPr defaultColWidth="11.42578125" defaultRowHeight="12.75" x14ac:dyDescent="0.2"/>
  <cols>
    <col min="1" max="5" width="12.7109375" style="108" customWidth="1"/>
    <col min="6" max="6" width="13.5703125" style="108" customWidth="1"/>
    <col min="7" max="8" width="12.7109375" style="108" customWidth="1"/>
    <col min="9" max="9" width="14.140625" style="108" customWidth="1"/>
    <col min="10" max="14" width="12.7109375" style="108" customWidth="1"/>
    <col min="15" max="16384" width="11.42578125" style="108"/>
  </cols>
  <sheetData>
    <row r="1" spans="1:15" ht="15" x14ac:dyDescent="0.25">
      <c r="A1" s="493" t="s">
        <v>685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110"/>
    </row>
    <row r="2" spans="1:15" ht="15" x14ac:dyDescent="0.25">
      <c r="A2" s="493" t="s">
        <v>140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110"/>
    </row>
    <row r="3" spans="1:15" ht="15" x14ac:dyDescent="0.25">
      <c r="A3" s="493" t="s">
        <v>86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110"/>
    </row>
    <row r="4" spans="1:15" x14ac:dyDescent="0.2">
      <c r="D4" s="110"/>
      <c r="E4" s="110"/>
      <c r="I4" s="115"/>
      <c r="L4" s="110"/>
    </row>
    <row r="5" spans="1:15" ht="15" x14ac:dyDescent="0.25">
      <c r="A5" s="541" t="s">
        <v>87</v>
      </c>
      <c r="B5" s="549" t="s">
        <v>142</v>
      </c>
      <c r="C5" s="549" t="s">
        <v>781</v>
      </c>
      <c r="D5" s="569"/>
      <c r="E5" s="569"/>
      <c r="F5" s="569"/>
      <c r="G5" s="569"/>
      <c r="H5" s="569"/>
      <c r="I5" s="549" t="s">
        <v>782</v>
      </c>
      <c r="J5" s="549" t="s">
        <v>783</v>
      </c>
      <c r="K5" s="569"/>
      <c r="L5" s="569"/>
      <c r="M5" s="569"/>
      <c r="N5" s="570"/>
    </row>
    <row r="6" spans="1:15" ht="15" x14ac:dyDescent="0.25">
      <c r="A6" s="566"/>
      <c r="B6" s="567"/>
      <c r="C6" s="536" t="s">
        <v>141</v>
      </c>
      <c r="D6" s="567"/>
      <c r="E6" s="567"/>
      <c r="F6" s="536" t="s">
        <v>779</v>
      </c>
      <c r="G6" s="536" t="s">
        <v>761</v>
      </c>
      <c r="H6" s="536" t="s">
        <v>780</v>
      </c>
      <c r="I6" s="567"/>
      <c r="J6" s="536" t="s">
        <v>784</v>
      </c>
      <c r="K6" s="536" t="s">
        <v>787</v>
      </c>
      <c r="L6" s="571"/>
      <c r="M6" s="571"/>
      <c r="N6" s="560" t="s">
        <v>785</v>
      </c>
    </row>
    <row r="7" spans="1:15" ht="38.25" x14ac:dyDescent="0.2">
      <c r="A7" s="566"/>
      <c r="B7" s="568"/>
      <c r="C7" s="198" t="s">
        <v>777</v>
      </c>
      <c r="D7" s="198" t="s">
        <v>789</v>
      </c>
      <c r="E7" s="198" t="s">
        <v>778</v>
      </c>
      <c r="F7" s="551"/>
      <c r="G7" s="551"/>
      <c r="H7" s="551"/>
      <c r="I7" s="568"/>
      <c r="J7" s="565"/>
      <c r="K7" s="198" t="s">
        <v>143</v>
      </c>
      <c r="L7" s="198" t="s">
        <v>521</v>
      </c>
      <c r="M7" s="198" t="s">
        <v>786</v>
      </c>
      <c r="N7" s="572"/>
    </row>
    <row r="8" spans="1:15" s="222" customFormat="1" x14ac:dyDescent="0.25">
      <c r="B8" s="238" t="s">
        <v>97</v>
      </c>
      <c r="C8" s="236" t="s">
        <v>98</v>
      </c>
      <c r="D8" s="236" t="s">
        <v>113</v>
      </c>
      <c r="E8" s="236" t="s">
        <v>100</v>
      </c>
      <c r="F8" s="236" t="s">
        <v>101</v>
      </c>
      <c r="G8" s="236" t="s">
        <v>102</v>
      </c>
      <c r="H8" s="236" t="s">
        <v>114</v>
      </c>
      <c r="I8" s="236" t="s">
        <v>788</v>
      </c>
      <c r="J8" s="236" t="s">
        <v>116</v>
      </c>
      <c r="K8" s="236" t="s">
        <v>117</v>
      </c>
      <c r="L8" s="236" t="s">
        <v>118</v>
      </c>
      <c r="M8" s="236" t="s">
        <v>119</v>
      </c>
      <c r="N8" s="237" t="s">
        <v>442</v>
      </c>
    </row>
    <row r="9" spans="1:15" x14ac:dyDescent="0.2">
      <c r="B9" s="110"/>
      <c r="C9" s="110"/>
      <c r="D9" s="110"/>
      <c r="E9" s="110"/>
      <c r="G9" s="110"/>
      <c r="H9" s="110"/>
      <c r="I9" s="110"/>
      <c r="J9" s="110"/>
      <c r="K9" s="110"/>
      <c r="L9" s="110"/>
      <c r="M9" s="110"/>
      <c r="N9" s="110"/>
    </row>
    <row r="10" spans="1:15" x14ac:dyDescent="0.2">
      <c r="A10" s="228" t="s">
        <v>145</v>
      </c>
      <c r="B10" s="226">
        <v>44.085000000000001</v>
      </c>
      <c r="C10" s="226">
        <v>-1.5359999999999996</v>
      </c>
      <c r="D10" s="226">
        <v>2.4820000000000002</v>
      </c>
      <c r="E10" s="226">
        <v>0.84799999999999998</v>
      </c>
      <c r="F10" s="227">
        <v>0</v>
      </c>
      <c r="G10" s="227">
        <v>0</v>
      </c>
      <c r="H10" s="226">
        <v>-1.35</v>
      </c>
      <c r="I10" s="235">
        <v>44.528999999999996</v>
      </c>
      <c r="J10" s="226">
        <v>38.661000000000001</v>
      </c>
      <c r="K10" s="227">
        <v>0</v>
      </c>
      <c r="L10" s="226">
        <v>5.516</v>
      </c>
      <c r="M10" s="227">
        <v>0</v>
      </c>
      <c r="N10" s="226">
        <v>0.35199999999999998</v>
      </c>
    </row>
    <row r="11" spans="1:15" x14ac:dyDescent="0.2">
      <c r="A11" s="228">
        <v>1928</v>
      </c>
      <c r="B11" s="226">
        <v>38.029000000000003</v>
      </c>
      <c r="C11" s="226">
        <v>2.1739999999999995</v>
      </c>
      <c r="D11" s="226">
        <v>3.484</v>
      </c>
      <c r="E11" s="226">
        <v>1.0660000000000001</v>
      </c>
      <c r="F11" s="227">
        <v>0</v>
      </c>
      <c r="G11" s="227">
        <v>0</v>
      </c>
      <c r="H11" s="226">
        <v>-2.7000000000001356E-2</v>
      </c>
      <c r="I11" s="235">
        <v>44.726000000000006</v>
      </c>
      <c r="J11" s="226">
        <v>38.85</v>
      </c>
      <c r="K11" s="227">
        <v>0</v>
      </c>
      <c r="L11" s="226">
        <v>5.2240000000000002</v>
      </c>
      <c r="M11" s="227">
        <v>0</v>
      </c>
      <c r="N11" s="226">
        <v>0.65200000000000002</v>
      </c>
    </row>
    <row r="12" spans="1:15" x14ac:dyDescent="0.2">
      <c r="A12" s="228">
        <v>1929</v>
      </c>
      <c r="B12" s="226">
        <v>35.064</v>
      </c>
      <c r="C12" s="226">
        <v>-0.71499999999999997</v>
      </c>
      <c r="D12" s="226">
        <v>4.0540000000000003</v>
      </c>
      <c r="E12" s="226">
        <v>0.76100000000000001</v>
      </c>
      <c r="F12" s="227">
        <v>0</v>
      </c>
      <c r="G12" s="227">
        <v>0</v>
      </c>
      <c r="H12" s="226">
        <v>9.1000000000001302E-2</v>
      </c>
      <c r="I12" s="235">
        <v>39.255000000000003</v>
      </c>
      <c r="J12" s="226">
        <v>34.679000000000002</v>
      </c>
      <c r="K12" s="227">
        <v>0</v>
      </c>
      <c r="L12" s="226">
        <v>4.0789999999999997</v>
      </c>
      <c r="M12" s="227">
        <v>0</v>
      </c>
      <c r="N12" s="226">
        <v>0.497</v>
      </c>
    </row>
    <row r="13" spans="1:15" x14ac:dyDescent="0.2">
      <c r="A13" s="228">
        <v>1930</v>
      </c>
      <c r="B13" s="226">
        <v>28.914999999999999</v>
      </c>
      <c r="C13" s="226">
        <v>-0.89900000000000091</v>
      </c>
      <c r="D13" s="226">
        <v>2.8919999999999999</v>
      </c>
      <c r="E13" s="226">
        <v>1.9060000000000001</v>
      </c>
      <c r="F13" s="227">
        <v>0</v>
      </c>
      <c r="G13" s="227">
        <v>0</v>
      </c>
      <c r="H13" s="226">
        <v>0.49699999999999989</v>
      </c>
      <c r="I13" s="235">
        <v>33.311</v>
      </c>
      <c r="J13" s="226">
        <v>28.76</v>
      </c>
      <c r="K13" s="227">
        <v>0</v>
      </c>
      <c r="L13" s="226">
        <v>4.0720000000000001</v>
      </c>
      <c r="M13" s="227">
        <v>0</v>
      </c>
      <c r="N13" s="226">
        <v>0.47899999999999998</v>
      </c>
    </row>
    <row r="14" spans="1:15" x14ac:dyDescent="0.2">
      <c r="A14" s="228">
        <v>1931</v>
      </c>
      <c r="B14" s="226">
        <v>15.567</v>
      </c>
      <c r="C14" s="226">
        <v>1.55</v>
      </c>
      <c r="D14" s="226">
        <v>2.3149999999999999</v>
      </c>
      <c r="E14" s="226">
        <v>3.6970000000000001</v>
      </c>
      <c r="F14" s="227">
        <v>0</v>
      </c>
      <c r="G14" s="227">
        <v>0</v>
      </c>
      <c r="H14" s="226">
        <v>3.9470000000000001</v>
      </c>
      <c r="I14" s="235">
        <v>27.076000000000001</v>
      </c>
      <c r="J14" s="226">
        <v>24.895</v>
      </c>
      <c r="K14" s="227">
        <v>0</v>
      </c>
      <c r="L14" s="226">
        <v>1.3720000000000001</v>
      </c>
      <c r="M14" s="227">
        <v>0</v>
      </c>
      <c r="N14" s="226">
        <v>0.80900000000000005</v>
      </c>
    </row>
    <row r="15" spans="1:15" x14ac:dyDescent="0.2">
      <c r="A15" s="228">
        <v>1932</v>
      </c>
      <c r="B15" s="226">
        <v>17.408000000000001</v>
      </c>
      <c r="C15" s="226">
        <v>17.279</v>
      </c>
      <c r="D15" s="226">
        <v>1.8109999999999999</v>
      </c>
      <c r="E15" s="226">
        <v>7.3239999999999998</v>
      </c>
      <c r="F15" s="227">
        <v>0</v>
      </c>
      <c r="G15" s="227">
        <v>0</v>
      </c>
      <c r="H15" s="226">
        <v>-2.6919999999999993</v>
      </c>
      <c r="I15" s="235">
        <v>41.13</v>
      </c>
      <c r="J15" s="226">
        <v>29.612000000000002</v>
      </c>
      <c r="K15" s="227">
        <v>0</v>
      </c>
      <c r="L15" s="226">
        <v>9.4269999999999996</v>
      </c>
      <c r="M15" s="227">
        <v>0</v>
      </c>
      <c r="N15" s="226">
        <v>2.0910000000000002</v>
      </c>
    </row>
    <row r="16" spans="1:15" x14ac:dyDescent="0.2">
      <c r="A16" s="228">
        <v>1933</v>
      </c>
      <c r="B16" s="226">
        <v>18.34</v>
      </c>
      <c r="C16" s="226">
        <v>30.634</v>
      </c>
      <c r="D16" s="226">
        <v>1.4970000000000001</v>
      </c>
      <c r="E16" s="226">
        <v>15.420999999999999</v>
      </c>
      <c r="F16" s="227">
        <v>0</v>
      </c>
      <c r="G16" s="227">
        <v>0</v>
      </c>
      <c r="H16" s="226">
        <v>-6.3610000000000007</v>
      </c>
      <c r="I16" s="235">
        <v>59.530999999999992</v>
      </c>
      <c r="J16" s="226">
        <v>41.869</v>
      </c>
      <c r="K16" s="227">
        <v>0</v>
      </c>
      <c r="L16" s="226">
        <v>15.122</v>
      </c>
      <c r="M16" s="227">
        <v>0</v>
      </c>
      <c r="N16" s="226">
        <v>2.54</v>
      </c>
    </row>
    <row r="17" spans="1:14" x14ac:dyDescent="0.2">
      <c r="A17" s="228">
        <v>1934</v>
      </c>
      <c r="B17" s="226">
        <v>26.213000000000001</v>
      </c>
      <c r="C17" s="226">
        <v>24.752999999999997</v>
      </c>
      <c r="D17" s="226">
        <v>0.82699999999999996</v>
      </c>
      <c r="E17" s="226">
        <v>14.590999999999999</v>
      </c>
      <c r="F17" s="227">
        <v>0</v>
      </c>
      <c r="G17" s="227">
        <v>0</v>
      </c>
      <c r="H17" s="226">
        <v>4.1540000000000035</v>
      </c>
      <c r="I17" s="235">
        <v>70.537999999999982</v>
      </c>
      <c r="J17" s="226">
        <v>56.692</v>
      </c>
      <c r="K17" s="227">
        <v>0</v>
      </c>
      <c r="L17" s="226">
        <v>11.082000000000001</v>
      </c>
      <c r="M17" s="227">
        <v>0</v>
      </c>
      <c r="N17" s="226">
        <v>2.7639999999999998</v>
      </c>
    </row>
    <row r="18" spans="1:14" x14ac:dyDescent="0.2">
      <c r="A18" s="228">
        <v>1935</v>
      </c>
      <c r="B18" s="226">
        <v>39.701000000000001</v>
      </c>
      <c r="C18" s="226">
        <v>0.77699999999999747</v>
      </c>
      <c r="D18" s="226">
        <v>3.1709999999999998</v>
      </c>
      <c r="E18" s="226">
        <v>21.52</v>
      </c>
      <c r="F18" s="227">
        <v>0</v>
      </c>
      <c r="G18" s="227">
        <v>0</v>
      </c>
      <c r="H18" s="226">
        <v>6.625</v>
      </c>
      <c r="I18" s="235">
        <v>71.793999999999997</v>
      </c>
      <c r="J18" s="226">
        <v>59.911999999999999</v>
      </c>
      <c r="K18" s="227">
        <v>0</v>
      </c>
      <c r="L18" s="226">
        <v>9.3759999999999994</v>
      </c>
      <c r="M18" s="227">
        <v>0</v>
      </c>
      <c r="N18" s="226">
        <v>2.5059999999999998</v>
      </c>
    </row>
    <row r="19" spans="1:14" x14ac:dyDescent="0.2">
      <c r="A19" s="228">
        <v>1936</v>
      </c>
      <c r="B19" s="226">
        <v>48.287000000000006</v>
      </c>
      <c r="C19" s="226">
        <v>10.405999999999999</v>
      </c>
      <c r="D19" s="226">
        <v>1.135</v>
      </c>
      <c r="E19" s="226">
        <v>22.088999999999999</v>
      </c>
      <c r="F19" s="227">
        <v>0</v>
      </c>
      <c r="G19" s="227">
        <v>0</v>
      </c>
      <c r="H19" s="226">
        <v>12.255000000000001</v>
      </c>
      <c r="I19" s="235">
        <v>94.171999999999997</v>
      </c>
      <c r="J19" s="226">
        <v>67.105999999999995</v>
      </c>
      <c r="K19" s="227">
        <v>0</v>
      </c>
      <c r="L19" s="226">
        <v>23.425000000000001</v>
      </c>
      <c r="M19" s="227">
        <v>0</v>
      </c>
      <c r="N19" s="226">
        <v>3.641</v>
      </c>
    </row>
    <row r="20" spans="1:14" x14ac:dyDescent="0.2">
      <c r="A20" s="228">
        <v>1937</v>
      </c>
      <c r="B20" s="226">
        <v>43.840999999999987</v>
      </c>
      <c r="C20" s="226">
        <v>14.747</v>
      </c>
      <c r="D20" s="226">
        <v>3.5259999999999998</v>
      </c>
      <c r="E20" s="226">
        <v>22.666</v>
      </c>
      <c r="F20" s="227">
        <v>0</v>
      </c>
      <c r="G20" s="227">
        <v>0</v>
      </c>
      <c r="H20" s="226">
        <v>25.75</v>
      </c>
      <c r="I20" s="235">
        <v>110.53</v>
      </c>
      <c r="J20" s="226">
        <v>79.763999999999996</v>
      </c>
      <c r="K20" s="227">
        <v>0</v>
      </c>
      <c r="L20" s="226">
        <v>22.917000000000002</v>
      </c>
      <c r="M20" s="227">
        <v>0</v>
      </c>
      <c r="N20" s="226">
        <v>7.8490000000000002</v>
      </c>
    </row>
    <row r="21" spans="1:14" x14ac:dyDescent="0.2">
      <c r="A21" s="228">
        <v>1938</v>
      </c>
      <c r="B21" s="226">
        <v>40.784999999999997</v>
      </c>
      <c r="C21" s="226">
        <v>23.231999999999999</v>
      </c>
      <c r="D21" s="226">
        <v>3.8919999999999999</v>
      </c>
      <c r="E21" s="226">
        <v>19.751000000000001</v>
      </c>
      <c r="F21" s="227">
        <v>0</v>
      </c>
      <c r="G21" s="227">
        <v>0</v>
      </c>
      <c r="H21" s="226">
        <v>18.337000000000003</v>
      </c>
      <c r="I21" s="235">
        <v>105.997</v>
      </c>
      <c r="J21" s="226">
        <v>79.28</v>
      </c>
      <c r="K21" s="227">
        <v>0</v>
      </c>
      <c r="L21" s="226">
        <v>20.309999999999999</v>
      </c>
      <c r="M21" s="227">
        <v>0</v>
      </c>
      <c r="N21" s="226">
        <v>6.407</v>
      </c>
    </row>
    <row r="22" spans="1:14" x14ac:dyDescent="0.2">
      <c r="A22" s="228">
        <v>1939</v>
      </c>
      <c r="B22" s="226">
        <v>40.856999999999999</v>
      </c>
      <c r="C22" s="226">
        <v>20.774999999999999</v>
      </c>
      <c r="D22" s="226">
        <v>3.8050000000000002</v>
      </c>
      <c r="E22" s="226">
        <v>21.667000000000002</v>
      </c>
      <c r="F22" s="227">
        <v>0</v>
      </c>
      <c r="G22" s="227">
        <v>0</v>
      </c>
      <c r="H22" s="226">
        <v>26.815000000000001</v>
      </c>
      <c r="I22" s="235">
        <v>113.919</v>
      </c>
      <c r="J22" s="226">
        <v>83.522999999999996</v>
      </c>
      <c r="K22" s="227">
        <v>0</v>
      </c>
      <c r="L22" s="226">
        <v>20.88</v>
      </c>
      <c r="M22" s="227">
        <v>0</v>
      </c>
      <c r="N22" s="226">
        <v>9.516</v>
      </c>
    </row>
    <row r="23" spans="1:14" x14ac:dyDescent="0.2">
      <c r="A23" s="228">
        <v>1940</v>
      </c>
      <c r="B23" s="226">
        <v>79.078999999999994</v>
      </c>
      <c r="C23" s="226">
        <v>18.132999999999999</v>
      </c>
      <c r="D23" s="226">
        <v>5.4729999999999999</v>
      </c>
      <c r="E23" s="226">
        <v>19.751999999999999</v>
      </c>
      <c r="F23" s="227">
        <v>0</v>
      </c>
      <c r="G23" s="227">
        <v>0</v>
      </c>
      <c r="H23" s="226">
        <v>12.483000000000015</v>
      </c>
      <c r="I23" s="235">
        <v>134.91999999999999</v>
      </c>
      <c r="J23" s="226">
        <v>89.683000000000007</v>
      </c>
      <c r="K23" s="227">
        <v>0</v>
      </c>
      <c r="L23" s="226">
        <v>31.251999999999999</v>
      </c>
      <c r="M23" s="227">
        <v>0</v>
      </c>
      <c r="N23" s="226">
        <v>13.984999999999999</v>
      </c>
    </row>
    <row r="24" spans="1:14" x14ac:dyDescent="0.2">
      <c r="A24" s="228">
        <v>1941</v>
      </c>
      <c r="B24" s="226">
        <v>115.14399999999999</v>
      </c>
      <c r="C24" s="226">
        <v>24.945999999999998</v>
      </c>
      <c r="D24" s="226">
        <v>8.0589999999999993</v>
      </c>
      <c r="E24" s="226">
        <v>24.815999999999999</v>
      </c>
      <c r="F24" s="227">
        <v>0</v>
      </c>
      <c r="G24" s="227">
        <v>0</v>
      </c>
      <c r="H24" s="226">
        <v>17.102000000000011</v>
      </c>
      <c r="I24" s="235">
        <v>190.06699999999998</v>
      </c>
      <c r="J24" s="226">
        <v>128.345</v>
      </c>
      <c r="K24" s="227">
        <v>5.2999999999999999E-2</v>
      </c>
      <c r="L24" s="226">
        <v>42.363</v>
      </c>
      <c r="M24" s="227">
        <v>0</v>
      </c>
      <c r="N24" s="226">
        <v>19.306000000000001</v>
      </c>
    </row>
    <row r="25" spans="1:14" x14ac:dyDescent="0.2">
      <c r="A25" s="228">
        <v>1942</v>
      </c>
      <c r="B25" s="226">
        <v>206.85599999999999</v>
      </c>
      <c r="C25" s="226">
        <v>9.98</v>
      </c>
      <c r="D25" s="226">
        <v>8.9260000000000002</v>
      </c>
      <c r="E25" s="226">
        <v>3.2450000000000001</v>
      </c>
      <c r="F25" s="227">
        <v>0</v>
      </c>
      <c r="G25" s="227">
        <v>0</v>
      </c>
      <c r="H25" s="226">
        <v>38.375999999999991</v>
      </c>
      <c r="I25" s="235">
        <v>267.38299999999998</v>
      </c>
      <c r="J25" s="226">
        <v>184.303</v>
      </c>
      <c r="K25" s="227">
        <v>8.8999999999999996E-2</v>
      </c>
      <c r="L25" s="226">
        <v>71.201999999999998</v>
      </c>
      <c r="M25" s="227">
        <v>0</v>
      </c>
      <c r="N25" s="226">
        <v>11.789</v>
      </c>
    </row>
    <row r="26" spans="1:14" x14ac:dyDescent="0.2">
      <c r="A26" s="228">
        <v>1943</v>
      </c>
      <c r="B26" s="226">
        <v>359.529</v>
      </c>
      <c r="C26" s="226">
        <v>-5.9439999999999955</v>
      </c>
      <c r="D26" s="226">
        <v>12.773999999999999</v>
      </c>
      <c r="E26" s="226">
        <v>-13.955999999999992</v>
      </c>
      <c r="F26" s="227">
        <v>0</v>
      </c>
      <c r="G26" s="227">
        <v>0</v>
      </c>
      <c r="H26" s="226">
        <v>4.7569999999999908</v>
      </c>
      <c r="I26" s="235">
        <v>357.16</v>
      </c>
      <c r="J26" s="226">
        <v>246.73500000000001</v>
      </c>
      <c r="K26" s="227">
        <v>7.5999999999999998E-2</v>
      </c>
      <c r="L26" s="226">
        <v>89.146000000000001</v>
      </c>
      <c r="M26" s="227">
        <v>0</v>
      </c>
      <c r="N26" s="226">
        <v>21.202999999999999</v>
      </c>
    </row>
    <row r="27" spans="1:14" x14ac:dyDescent="0.2">
      <c r="A27" s="228">
        <v>1944</v>
      </c>
      <c r="B27" s="226">
        <v>467.37299999999993</v>
      </c>
      <c r="C27" s="226">
        <v>7.6870000000000047</v>
      </c>
      <c r="D27" s="226">
        <v>8.6199999999999992</v>
      </c>
      <c r="E27" s="226">
        <v>-18.696999999999999</v>
      </c>
      <c r="F27" s="227">
        <v>0</v>
      </c>
      <c r="G27" s="227">
        <v>0</v>
      </c>
      <c r="H27" s="226">
        <v>81.874000000000052</v>
      </c>
      <c r="I27" s="235">
        <v>546.85699999999997</v>
      </c>
      <c r="J27" s="226">
        <v>339.88499999999999</v>
      </c>
      <c r="K27" s="227">
        <v>7.1999999999999995E-2</v>
      </c>
      <c r="L27" s="226">
        <v>192.923</v>
      </c>
      <c r="M27" s="227">
        <v>0</v>
      </c>
      <c r="N27" s="226">
        <v>13.977</v>
      </c>
    </row>
    <row r="28" spans="1:14" x14ac:dyDescent="0.2">
      <c r="A28" s="228">
        <v>1945</v>
      </c>
      <c r="B28" s="226">
        <v>371.04899999999998</v>
      </c>
      <c r="C28" s="226">
        <v>63.902000000000001</v>
      </c>
      <c r="D28" s="226">
        <v>26.466000000000001</v>
      </c>
      <c r="E28" s="226">
        <v>-17.164000000000001</v>
      </c>
      <c r="F28" s="227">
        <v>0</v>
      </c>
      <c r="G28" s="227">
        <v>0</v>
      </c>
      <c r="H28" s="226">
        <v>107.765</v>
      </c>
      <c r="I28" s="235">
        <v>552.01800000000003</v>
      </c>
      <c r="J28" s="226">
        <v>365.22500000000002</v>
      </c>
      <c r="K28" s="227">
        <v>0</v>
      </c>
      <c r="L28" s="226">
        <v>175.143</v>
      </c>
      <c r="M28" s="227">
        <v>0</v>
      </c>
      <c r="N28" s="226">
        <v>11.65</v>
      </c>
    </row>
    <row r="29" spans="1:14" x14ac:dyDescent="0.2">
      <c r="A29" s="228">
        <v>1946</v>
      </c>
      <c r="B29" s="226">
        <v>396.22</v>
      </c>
      <c r="C29" s="226">
        <v>114.56</v>
      </c>
      <c r="D29" s="226">
        <v>24.315000000000001</v>
      </c>
      <c r="E29" s="226">
        <v>-23.631</v>
      </c>
      <c r="F29" s="227">
        <v>0</v>
      </c>
      <c r="G29" s="227">
        <v>0</v>
      </c>
      <c r="H29" s="226">
        <v>104.93400000000003</v>
      </c>
      <c r="I29" s="235">
        <v>616.39800000000014</v>
      </c>
      <c r="J29" s="226">
        <v>392.815</v>
      </c>
      <c r="K29" s="227">
        <v>0</v>
      </c>
      <c r="L29" s="226">
        <v>213.428</v>
      </c>
      <c r="M29" s="227">
        <v>0</v>
      </c>
      <c r="N29" s="226">
        <v>10.154999999999999</v>
      </c>
    </row>
    <row r="30" spans="1:14" x14ac:dyDescent="0.2">
      <c r="A30" s="228">
        <v>1947</v>
      </c>
      <c r="B30" s="226">
        <v>343.01499999999999</v>
      </c>
      <c r="C30" s="226">
        <v>47.628999999999998</v>
      </c>
      <c r="D30" s="226">
        <v>2.0249999999999999</v>
      </c>
      <c r="E30" s="226">
        <v>59.573</v>
      </c>
      <c r="F30" s="227">
        <v>0</v>
      </c>
      <c r="G30" s="227">
        <v>0</v>
      </c>
      <c r="H30" s="226">
        <v>77.216000000000008</v>
      </c>
      <c r="I30" s="235">
        <v>529.45799999999997</v>
      </c>
      <c r="J30" s="226">
        <v>372.22800000000001</v>
      </c>
      <c r="K30" s="227">
        <v>0</v>
      </c>
      <c r="L30" s="226">
        <v>142.07399999999998</v>
      </c>
      <c r="M30" s="227">
        <v>0</v>
      </c>
      <c r="N30" s="226">
        <v>15.156000000000001</v>
      </c>
    </row>
    <row r="31" spans="1:14" x14ac:dyDescent="0.2">
      <c r="A31" s="228">
        <v>1948</v>
      </c>
      <c r="B31" s="226">
        <v>363.166</v>
      </c>
      <c r="C31" s="226">
        <v>92.148999999999987</v>
      </c>
      <c r="D31" s="226">
        <v>63.104999999999997</v>
      </c>
      <c r="E31" s="226">
        <v>66.423000000000002</v>
      </c>
      <c r="F31" s="227">
        <v>0</v>
      </c>
      <c r="G31" s="227">
        <v>0</v>
      </c>
      <c r="H31" s="226">
        <v>-37.21</v>
      </c>
      <c r="I31" s="235">
        <v>547.63299999999992</v>
      </c>
      <c r="J31" s="226">
        <v>375.64400000000001</v>
      </c>
      <c r="K31" s="226">
        <v>16.228000000000002</v>
      </c>
      <c r="L31" s="226">
        <v>144.9</v>
      </c>
      <c r="M31" s="227">
        <v>0</v>
      </c>
      <c r="N31" s="226">
        <v>10.861000000000001</v>
      </c>
    </row>
    <row r="32" spans="1:14" x14ac:dyDescent="0.2">
      <c r="A32" s="228">
        <v>1949</v>
      </c>
      <c r="B32" s="226">
        <v>201.00199999999998</v>
      </c>
      <c r="C32" s="226">
        <v>93.907999999999987</v>
      </c>
      <c r="D32" s="226">
        <v>216.08500000000001</v>
      </c>
      <c r="E32" s="226">
        <v>64.335999999999984</v>
      </c>
      <c r="F32" s="227">
        <v>0</v>
      </c>
      <c r="G32" s="227">
        <v>0</v>
      </c>
      <c r="H32" s="226">
        <v>1.9090000000000487</v>
      </c>
      <c r="I32" s="235">
        <v>577.24</v>
      </c>
      <c r="J32" s="226">
        <v>392.79</v>
      </c>
      <c r="K32" s="226">
        <v>24.344000000000001</v>
      </c>
      <c r="L32" s="226">
        <v>114.233</v>
      </c>
      <c r="M32" s="227">
        <v>0</v>
      </c>
      <c r="N32" s="226">
        <v>45.872999999999998</v>
      </c>
    </row>
    <row r="33" spans="1:14" x14ac:dyDescent="0.2">
      <c r="A33" s="228">
        <v>1950</v>
      </c>
      <c r="B33" s="226">
        <v>532.40599999999995</v>
      </c>
      <c r="C33" s="226">
        <v>83.966000000000008</v>
      </c>
      <c r="D33" s="226">
        <v>102.479</v>
      </c>
      <c r="E33" s="226">
        <v>50.321000000000012</v>
      </c>
      <c r="F33" s="227">
        <v>0</v>
      </c>
      <c r="G33" s="227">
        <v>0</v>
      </c>
      <c r="H33" s="226">
        <v>-24.81399999999995</v>
      </c>
      <c r="I33" s="235">
        <v>744.35800000000006</v>
      </c>
      <c r="J33" s="226">
        <v>509.45100000000002</v>
      </c>
      <c r="K33" s="226">
        <v>26.25</v>
      </c>
      <c r="L33" s="226">
        <v>180.90299999999999</v>
      </c>
      <c r="M33" s="227">
        <v>0</v>
      </c>
      <c r="N33" s="226">
        <v>27.754000000000001</v>
      </c>
    </row>
    <row r="34" spans="1:14" x14ac:dyDescent="0.2">
      <c r="A34" s="228">
        <v>1951</v>
      </c>
      <c r="B34" s="226">
        <v>405.63599999999997</v>
      </c>
      <c r="C34" s="226">
        <v>80.812999999999988</v>
      </c>
      <c r="D34" s="226">
        <v>86.352999999999994</v>
      </c>
      <c r="E34" s="226">
        <v>134.99600000000001</v>
      </c>
      <c r="F34" s="227">
        <v>0</v>
      </c>
      <c r="G34" s="227">
        <v>0</v>
      </c>
      <c r="H34" s="226">
        <v>-21.358999999999938</v>
      </c>
      <c r="I34" s="235">
        <v>686.43899999999996</v>
      </c>
      <c r="J34" s="226">
        <v>489.58100000000002</v>
      </c>
      <c r="K34" s="226">
        <v>19.846</v>
      </c>
      <c r="L34" s="226">
        <v>149.29</v>
      </c>
      <c r="M34" s="227">
        <v>0</v>
      </c>
      <c r="N34" s="226">
        <v>27.722000000000001</v>
      </c>
    </row>
    <row r="35" spans="1:14" x14ac:dyDescent="0.2">
      <c r="A35" s="228">
        <v>1952</v>
      </c>
      <c r="B35" s="226">
        <v>591.56799999999998</v>
      </c>
      <c r="C35" s="226">
        <v>37.006999999999984</v>
      </c>
      <c r="D35" s="226">
        <v>94.281000000000006</v>
      </c>
      <c r="E35" s="226">
        <v>129.47800000000001</v>
      </c>
      <c r="F35" s="227">
        <v>0</v>
      </c>
      <c r="G35" s="227">
        <v>0</v>
      </c>
      <c r="H35" s="226">
        <v>0.32300000000009277</v>
      </c>
      <c r="I35" s="235">
        <v>852.65700000000015</v>
      </c>
      <c r="J35" s="226">
        <v>569.86400000000003</v>
      </c>
      <c r="K35" s="226">
        <v>33.878999999999998</v>
      </c>
      <c r="L35" s="226">
        <v>203.64400000000001</v>
      </c>
      <c r="M35" s="227">
        <v>0</v>
      </c>
      <c r="N35" s="226">
        <v>45.27</v>
      </c>
    </row>
    <row r="36" spans="1:14" x14ac:dyDescent="0.2">
      <c r="A36" s="228">
        <v>1953</v>
      </c>
      <c r="B36" s="226">
        <v>485.7</v>
      </c>
      <c r="C36" s="226">
        <v>90.52300000000001</v>
      </c>
      <c r="D36" s="226">
        <v>132.61199999999999</v>
      </c>
      <c r="E36" s="226">
        <v>166.911</v>
      </c>
      <c r="F36" s="227">
        <v>0</v>
      </c>
      <c r="G36" s="227">
        <v>0</v>
      </c>
      <c r="H36" s="226">
        <v>-0.42799999999999727</v>
      </c>
      <c r="I36" s="235">
        <v>875.31799999999987</v>
      </c>
      <c r="J36" s="226">
        <v>601.04100000000005</v>
      </c>
      <c r="K36" s="226">
        <v>16.382000000000001</v>
      </c>
      <c r="L36" s="226">
        <v>213.25700000000001</v>
      </c>
      <c r="M36" s="227">
        <v>0</v>
      </c>
      <c r="N36" s="226">
        <v>44.637999999999998</v>
      </c>
    </row>
    <row r="37" spans="1:14" x14ac:dyDescent="0.2">
      <c r="A37" s="228">
        <v>1954</v>
      </c>
      <c r="B37" s="226">
        <v>511.70499999999998</v>
      </c>
      <c r="C37" s="226">
        <v>139.41999999999999</v>
      </c>
      <c r="D37" s="226">
        <v>144.97800000000001</v>
      </c>
      <c r="E37" s="226">
        <v>152.02699999999999</v>
      </c>
      <c r="F37" s="227">
        <v>0</v>
      </c>
      <c r="G37" s="227">
        <v>0</v>
      </c>
      <c r="H37" s="226">
        <v>18.575999999999993</v>
      </c>
      <c r="I37" s="235">
        <v>966.70600000000013</v>
      </c>
      <c r="J37" s="226">
        <v>698.846</v>
      </c>
      <c r="K37" s="226">
        <v>16.965</v>
      </c>
      <c r="L37" s="226">
        <v>218.47</v>
      </c>
      <c r="M37" s="227">
        <v>0</v>
      </c>
      <c r="N37" s="226">
        <v>32.424999999999997</v>
      </c>
    </row>
    <row r="38" spans="1:14" x14ac:dyDescent="0.2">
      <c r="A38" s="228">
        <v>1955</v>
      </c>
      <c r="B38" s="226">
        <v>351.09199999999998</v>
      </c>
      <c r="C38" s="226">
        <v>162.59899999999996</v>
      </c>
      <c r="D38" s="226">
        <v>223.65299999999996</v>
      </c>
      <c r="E38" s="226">
        <v>96.933999999999983</v>
      </c>
      <c r="F38" s="227">
        <v>0</v>
      </c>
      <c r="G38" s="227">
        <v>0</v>
      </c>
      <c r="H38" s="226">
        <v>99.231000000000108</v>
      </c>
      <c r="I38" s="235">
        <v>933.5089999999999</v>
      </c>
      <c r="J38" s="226">
        <v>664.15800000000002</v>
      </c>
      <c r="K38" s="226">
        <v>15.32</v>
      </c>
      <c r="L38" s="226">
        <v>217.79</v>
      </c>
      <c r="M38" s="227">
        <v>0</v>
      </c>
      <c r="N38" s="226">
        <v>36.241</v>
      </c>
    </row>
    <row r="39" spans="1:14" x14ac:dyDescent="0.2">
      <c r="A39" s="228">
        <v>1956</v>
      </c>
      <c r="B39" s="226">
        <v>392.72400000000005</v>
      </c>
      <c r="C39" s="226">
        <v>235.5</v>
      </c>
      <c r="D39" s="226">
        <v>205.57400000000001</v>
      </c>
      <c r="E39" s="226">
        <v>156.81800000000001</v>
      </c>
      <c r="F39" s="227">
        <v>0</v>
      </c>
      <c r="G39" s="227">
        <v>0</v>
      </c>
      <c r="H39" s="226">
        <v>52.993999999999886</v>
      </c>
      <c r="I39" s="235">
        <v>1043.6099999999999</v>
      </c>
      <c r="J39" s="226">
        <v>751.91499999999996</v>
      </c>
      <c r="K39" s="226">
        <v>28.318999999999999</v>
      </c>
      <c r="L39" s="226">
        <v>230.488</v>
      </c>
      <c r="M39" s="227">
        <v>0</v>
      </c>
      <c r="N39" s="226">
        <v>32.887999999999998</v>
      </c>
    </row>
    <row r="40" spans="1:14" x14ac:dyDescent="0.2">
      <c r="A40" s="228">
        <v>1957</v>
      </c>
      <c r="B40" s="226">
        <v>419.38799999999998</v>
      </c>
      <c r="C40" s="226">
        <v>179.745</v>
      </c>
      <c r="D40" s="226">
        <v>198.7</v>
      </c>
      <c r="E40" s="226">
        <v>276.23199999999997</v>
      </c>
      <c r="F40" s="227">
        <v>0</v>
      </c>
      <c r="G40" s="227">
        <v>0</v>
      </c>
      <c r="H40" s="226">
        <v>25.588000000000051</v>
      </c>
      <c r="I40" s="235">
        <v>1099.653</v>
      </c>
      <c r="J40" s="226">
        <v>768.55100000000004</v>
      </c>
      <c r="K40" s="226">
        <v>24.928999999999998</v>
      </c>
      <c r="L40" s="226">
        <v>248.20599999999999</v>
      </c>
      <c r="M40" s="227">
        <v>0</v>
      </c>
      <c r="N40" s="226">
        <v>57.966999999999999</v>
      </c>
    </row>
    <row r="41" spans="1:14" x14ac:dyDescent="0.2">
      <c r="A41" s="228">
        <v>1958</v>
      </c>
      <c r="B41" s="226">
        <v>456.63200000000006</v>
      </c>
      <c r="C41" s="226">
        <v>52.601000000000028</v>
      </c>
      <c r="D41" s="226">
        <v>220.13299999999998</v>
      </c>
      <c r="E41" s="226">
        <v>280.97899999999998</v>
      </c>
      <c r="F41" s="227">
        <v>0</v>
      </c>
      <c r="G41" s="227">
        <v>0</v>
      </c>
      <c r="H41" s="226">
        <v>53.264999999999873</v>
      </c>
      <c r="I41" s="235">
        <v>1063.6099999999999</v>
      </c>
      <c r="J41" s="226">
        <v>752.48299999999995</v>
      </c>
      <c r="K41" s="226">
        <v>27.563000000000002</v>
      </c>
      <c r="L41" s="226">
        <v>219.24</v>
      </c>
      <c r="M41" s="227">
        <v>0</v>
      </c>
      <c r="N41" s="226">
        <v>64.323999999999998</v>
      </c>
    </row>
    <row r="42" spans="1:14" x14ac:dyDescent="0.2">
      <c r="A42" s="228">
        <v>1959</v>
      </c>
      <c r="B42" s="226">
        <v>568.75</v>
      </c>
      <c r="C42" s="226">
        <v>68.805999999999997</v>
      </c>
      <c r="D42" s="226">
        <v>204.56199999999998</v>
      </c>
      <c r="E42" s="226">
        <v>292.72400000000005</v>
      </c>
      <c r="F42" s="227">
        <v>0</v>
      </c>
      <c r="G42" s="227">
        <v>0</v>
      </c>
      <c r="H42" s="226">
        <v>55.826999999999998</v>
      </c>
      <c r="I42" s="235">
        <v>1190.6690000000001</v>
      </c>
      <c r="J42" s="226">
        <v>803.303</v>
      </c>
      <c r="K42" s="226">
        <v>27.370999999999999</v>
      </c>
      <c r="L42" s="226">
        <v>292.553</v>
      </c>
      <c r="M42" s="227">
        <v>0</v>
      </c>
      <c r="N42" s="226">
        <v>67.441999999999993</v>
      </c>
    </row>
    <row r="43" spans="1:14" x14ac:dyDescent="0.2">
      <c r="A43" s="228">
        <v>1960</v>
      </c>
      <c r="B43" s="226">
        <v>487.10500000000002</v>
      </c>
      <c r="C43" s="226">
        <v>169.244</v>
      </c>
      <c r="D43" s="226">
        <v>162.33000000000001</v>
      </c>
      <c r="E43" s="226">
        <v>379.09500000000003</v>
      </c>
      <c r="F43" s="227">
        <v>0</v>
      </c>
      <c r="G43" s="227">
        <v>0</v>
      </c>
      <c r="H43" s="226">
        <v>69.43199999999996</v>
      </c>
      <c r="I43" s="235">
        <v>1267.2060000000001</v>
      </c>
      <c r="J43" s="226">
        <v>898.48699999999997</v>
      </c>
      <c r="K43" s="226">
        <v>25.929000000000002</v>
      </c>
      <c r="L43" s="226">
        <v>286.72700000000003</v>
      </c>
      <c r="M43" s="227">
        <v>0</v>
      </c>
      <c r="N43" s="226">
        <v>56.063000000000002</v>
      </c>
    </row>
    <row r="44" spans="1:14" x14ac:dyDescent="0.2">
      <c r="A44" s="228">
        <v>1961</v>
      </c>
      <c r="B44" s="226">
        <v>373.96100000000001</v>
      </c>
      <c r="C44" s="226">
        <v>345.71599999999995</v>
      </c>
      <c r="D44" s="226">
        <v>232.77099999999999</v>
      </c>
      <c r="E44" s="226">
        <v>229.25</v>
      </c>
      <c r="F44" s="227">
        <v>0</v>
      </c>
      <c r="G44" s="227">
        <v>0</v>
      </c>
      <c r="H44" s="226">
        <v>107.87799999999996</v>
      </c>
      <c r="I44" s="235">
        <v>1289.5759999999998</v>
      </c>
      <c r="J44" s="226">
        <v>921.47199999999998</v>
      </c>
      <c r="K44" s="226">
        <v>18.190000000000001</v>
      </c>
      <c r="L44" s="226">
        <v>296.42199999999997</v>
      </c>
      <c r="M44" s="227">
        <v>0</v>
      </c>
      <c r="N44" s="226">
        <v>53.491999999999997</v>
      </c>
    </row>
    <row r="45" spans="1:14" x14ac:dyDescent="0.2">
      <c r="A45" s="228">
        <v>1962</v>
      </c>
      <c r="B45" s="226">
        <v>580.56500000000005</v>
      </c>
      <c r="C45" s="226">
        <v>354.77699999999993</v>
      </c>
      <c r="D45" s="226">
        <v>232.41800000000001</v>
      </c>
      <c r="E45" s="226">
        <v>191.47400000000002</v>
      </c>
      <c r="F45" s="227">
        <v>0</v>
      </c>
      <c r="G45" s="227">
        <v>0</v>
      </c>
      <c r="H45" s="226">
        <v>111.53899999999993</v>
      </c>
      <c r="I45" s="235">
        <v>1470.7729999999999</v>
      </c>
      <c r="J45" s="226">
        <v>1006.5119999999999</v>
      </c>
      <c r="K45" s="226">
        <v>39.974000000000004</v>
      </c>
      <c r="L45" s="226">
        <v>354.786</v>
      </c>
      <c r="M45" s="227">
        <v>0</v>
      </c>
      <c r="N45" s="226">
        <v>69.501000000000005</v>
      </c>
    </row>
    <row r="46" spans="1:14" x14ac:dyDescent="0.2">
      <c r="A46" s="228">
        <v>1963</v>
      </c>
      <c r="B46" s="226">
        <v>731.70600000000002</v>
      </c>
      <c r="C46" s="226">
        <v>302.15499999999997</v>
      </c>
      <c r="D46" s="226">
        <v>208.583</v>
      </c>
      <c r="E46" s="226">
        <v>209.91300000000001</v>
      </c>
      <c r="F46" s="227">
        <v>0</v>
      </c>
      <c r="G46" s="227">
        <v>0</v>
      </c>
      <c r="H46" s="226">
        <v>178.35399999999998</v>
      </c>
      <c r="I46" s="235">
        <v>1630.711</v>
      </c>
      <c r="J46" s="226">
        <v>1106.9469999999999</v>
      </c>
      <c r="K46" s="226">
        <v>42.09</v>
      </c>
      <c r="L46" s="226">
        <v>412.03300000000002</v>
      </c>
      <c r="M46" s="227">
        <v>0</v>
      </c>
      <c r="N46" s="226">
        <v>69.641000000000005</v>
      </c>
    </row>
    <row r="47" spans="1:14" x14ac:dyDescent="0.2">
      <c r="A47" s="228">
        <v>1964</v>
      </c>
      <c r="B47" s="226">
        <v>810.89400000000001</v>
      </c>
      <c r="C47" s="226">
        <v>185.46600000000001</v>
      </c>
      <c r="D47" s="226">
        <v>242.53399999999999</v>
      </c>
      <c r="E47" s="226">
        <v>377.03500000000003</v>
      </c>
      <c r="F47" s="227">
        <v>0</v>
      </c>
      <c r="G47" s="227">
        <v>0</v>
      </c>
      <c r="H47" s="226">
        <v>173.32499999999999</v>
      </c>
      <c r="I47" s="235">
        <v>1789.2540000000001</v>
      </c>
      <c r="J47" s="226">
        <v>1204.4749999999999</v>
      </c>
      <c r="K47" s="226">
        <v>44.358000000000004</v>
      </c>
      <c r="L47" s="226">
        <v>432.07299999999998</v>
      </c>
      <c r="M47" s="227">
        <v>0</v>
      </c>
      <c r="N47" s="226">
        <v>108.348</v>
      </c>
    </row>
    <row r="48" spans="1:14" x14ac:dyDescent="0.2">
      <c r="A48" s="228">
        <v>1965</v>
      </c>
      <c r="B48" s="226">
        <v>605.82100000000003</v>
      </c>
      <c r="C48" s="226">
        <v>586.44000000000005</v>
      </c>
      <c r="D48" s="226">
        <v>295.81100000000004</v>
      </c>
      <c r="E48" s="226">
        <v>307.67700000000002</v>
      </c>
      <c r="F48" s="227">
        <v>0</v>
      </c>
      <c r="G48" s="227">
        <v>0</v>
      </c>
      <c r="H48" s="226">
        <v>92.466999999999757</v>
      </c>
      <c r="I48" s="235">
        <v>1888.2159999999999</v>
      </c>
      <c r="J48" s="226">
        <v>1310.0509999999999</v>
      </c>
      <c r="K48" s="226">
        <v>43.411000000000001</v>
      </c>
      <c r="L48" s="226">
        <v>440.01299999999998</v>
      </c>
      <c r="M48" s="227">
        <v>0</v>
      </c>
      <c r="N48" s="226">
        <v>94.741</v>
      </c>
    </row>
    <row r="49" spans="1:14" x14ac:dyDescent="0.2">
      <c r="A49" s="228">
        <v>1966</v>
      </c>
      <c r="B49" s="226">
        <v>804.17100000000016</v>
      </c>
      <c r="C49" s="226">
        <v>714.91300000000001</v>
      </c>
      <c r="D49" s="226">
        <v>263.88200000000001</v>
      </c>
      <c r="E49" s="226">
        <v>218.71</v>
      </c>
      <c r="F49" s="227">
        <v>0</v>
      </c>
      <c r="G49" s="227">
        <v>0</v>
      </c>
      <c r="H49" s="226">
        <v>131.785</v>
      </c>
      <c r="I49" s="235">
        <v>2133.4610000000002</v>
      </c>
      <c r="J49" s="226">
        <v>1424.537</v>
      </c>
      <c r="K49" s="226">
        <v>68.183999999999997</v>
      </c>
      <c r="L49" s="226">
        <v>556.90499999999997</v>
      </c>
      <c r="M49" s="227">
        <v>0</v>
      </c>
      <c r="N49" s="226">
        <v>83.834999999999994</v>
      </c>
    </row>
    <row r="50" spans="1:14" x14ac:dyDescent="0.2">
      <c r="A50" s="228">
        <v>1967</v>
      </c>
      <c r="B50" s="226">
        <v>970.10400000000004</v>
      </c>
      <c r="C50" s="226">
        <v>488.18100000000004</v>
      </c>
      <c r="D50" s="226">
        <v>320.27600000000001</v>
      </c>
      <c r="E50" s="226">
        <v>133.31699999999995</v>
      </c>
      <c r="F50" s="227">
        <v>0</v>
      </c>
      <c r="G50" s="227">
        <v>0</v>
      </c>
      <c r="H50" s="226">
        <v>298.78500000000003</v>
      </c>
      <c r="I50" s="235">
        <v>2210.663</v>
      </c>
      <c r="J50" s="226">
        <v>1492.558</v>
      </c>
      <c r="K50" s="226">
        <v>56.317999999999998</v>
      </c>
      <c r="L50" s="226">
        <v>598.57299999999998</v>
      </c>
      <c r="M50" s="227">
        <v>0</v>
      </c>
      <c r="N50" s="226">
        <v>63.213999999999999</v>
      </c>
    </row>
    <row r="51" spans="1:14" x14ac:dyDescent="0.2">
      <c r="A51" s="228">
        <v>1968</v>
      </c>
      <c r="B51" s="226">
        <v>745.0089999999999</v>
      </c>
      <c r="C51" s="226">
        <v>907.44500000000005</v>
      </c>
      <c r="D51" s="226">
        <v>367.31399999999996</v>
      </c>
      <c r="E51" s="226">
        <v>184.12899999999996</v>
      </c>
      <c r="F51" s="227">
        <v>0</v>
      </c>
      <c r="G51" s="227">
        <v>0</v>
      </c>
      <c r="H51" s="226">
        <v>338.73699999999997</v>
      </c>
      <c r="I51" s="235">
        <v>2542.634</v>
      </c>
      <c r="J51" s="226">
        <v>1726.9829999999999</v>
      </c>
      <c r="K51" s="226">
        <v>79.694999999999993</v>
      </c>
      <c r="L51" s="226">
        <v>681.61200000000008</v>
      </c>
      <c r="M51" s="227">
        <v>0</v>
      </c>
      <c r="N51" s="226">
        <v>54.344000000000001</v>
      </c>
    </row>
    <row r="52" spans="1:14" x14ac:dyDescent="0.2">
      <c r="A52" s="228">
        <v>1969</v>
      </c>
      <c r="B52" s="226">
        <v>702.20600000000013</v>
      </c>
      <c r="C52" s="226">
        <v>1496.6569999999995</v>
      </c>
      <c r="D52" s="226">
        <v>585.37699999999995</v>
      </c>
      <c r="E52" s="226">
        <v>-224.45</v>
      </c>
      <c r="F52" s="227">
        <v>0</v>
      </c>
      <c r="G52" s="227">
        <v>0</v>
      </c>
      <c r="H52" s="226">
        <v>444.0780000000002</v>
      </c>
      <c r="I52" s="235">
        <v>3003.8679999999995</v>
      </c>
      <c r="J52" s="226">
        <v>1873.1959999999999</v>
      </c>
      <c r="K52" s="226">
        <v>79.268000000000001</v>
      </c>
      <c r="L52" s="226">
        <v>969.08300000000008</v>
      </c>
      <c r="M52" s="227">
        <v>0</v>
      </c>
      <c r="N52" s="226">
        <v>82.320999999999998</v>
      </c>
    </row>
    <row r="53" spans="1:14" x14ac:dyDescent="0.2">
      <c r="A53" s="228">
        <v>1970</v>
      </c>
      <c r="B53" s="226">
        <v>1378.578</v>
      </c>
      <c r="C53" s="226">
        <v>1870.078</v>
      </c>
      <c r="D53" s="226">
        <v>601.36500000000001</v>
      </c>
      <c r="E53" s="226">
        <v>-339.59500000000003</v>
      </c>
      <c r="F53" s="227">
        <v>0</v>
      </c>
      <c r="G53" s="227">
        <v>0</v>
      </c>
      <c r="H53" s="226">
        <v>510.97600000000011</v>
      </c>
      <c r="I53" s="235">
        <v>4021.4019999999996</v>
      </c>
      <c r="J53" s="226">
        <v>2469.5360000000001</v>
      </c>
      <c r="K53" s="226">
        <v>128.01599999999999</v>
      </c>
      <c r="L53" s="226">
        <v>1330.92</v>
      </c>
      <c r="M53" s="227">
        <v>0</v>
      </c>
      <c r="N53" s="226">
        <v>92.93</v>
      </c>
    </row>
    <row r="54" spans="1:14" x14ac:dyDescent="0.2">
      <c r="A54" s="228">
        <v>1971</v>
      </c>
      <c r="B54" s="226">
        <v>620.82000000000005</v>
      </c>
      <c r="C54" s="226">
        <v>2168.6039999999994</v>
      </c>
      <c r="D54" s="226">
        <v>565.779</v>
      </c>
      <c r="E54" s="226">
        <v>76.165000000000006</v>
      </c>
      <c r="F54" s="227">
        <v>0</v>
      </c>
      <c r="G54" s="227">
        <v>0</v>
      </c>
      <c r="H54" s="226">
        <v>925.04100000000108</v>
      </c>
      <c r="I54" s="235">
        <v>4356.4090000000006</v>
      </c>
      <c r="J54" s="226">
        <v>2558.2130000000002</v>
      </c>
      <c r="K54" s="226">
        <v>124.09099999999999</v>
      </c>
      <c r="L54" s="226">
        <v>1594.5920000000001</v>
      </c>
      <c r="M54" s="227">
        <v>0</v>
      </c>
      <c r="N54" s="226">
        <v>79.513000000000005</v>
      </c>
    </row>
    <row r="55" spans="1:14" x14ac:dyDescent="0.2">
      <c r="A55" s="228">
        <v>1972</v>
      </c>
      <c r="B55" s="226">
        <v>3198.4969999999998</v>
      </c>
      <c r="C55" s="226">
        <v>1788.1839999999995</v>
      </c>
      <c r="D55" s="226">
        <v>567.58500000000004</v>
      </c>
      <c r="E55" s="226">
        <v>-457.31099999999998</v>
      </c>
      <c r="F55" s="226">
        <v>-3.05</v>
      </c>
      <c r="G55" s="227">
        <v>0</v>
      </c>
      <c r="H55" s="226">
        <v>379.28700000000003</v>
      </c>
      <c r="I55" s="235">
        <v>5473.192</v>
      </c>
      <c r="J55" s="226">
        <v>3065.2759999999998</v>
      </c>
      <c r="K55" s="226">
        <v>187.506</v>
      </c>
      <c r="L55" s="226">
        <v>1975.6329999999998</v>
      </c>
      <c r="M55" s="227">
        <v>0</v>
      </c>
      <c r="N55" s="226">
        <v>244.77699999999999</v>
      </c>
    </row>
    <row r="56" spans="1:14" x14ac:dyDescent="0.2">
      <c r="A56" s="228">
        <v>1973</v>
      </c>
      <c r="B56" s="226">
        <v>5648.8720000000003</v>
      </c>
      <c r="C56" s="226">
        <v>137.11900000000026</v>
      </c>
      <c r="D56" s="226">
        <v>773.10899999999992</v>
      </c>
      <c r="E56" s="226">
        <v>636.06399999999985</v>
      </c>
      <c r="F56" s="226">
        <v>-359.98</v>
      </c>
      <c r="G56" s="227">
        <v>0</v>
      </c>
      <c r="H56" s="226">
        <v>685.62099999999987</v>
      </c>
      <c r="I56" s="235">
        <v>7520.8050000000012</v>
      </c>
      <c r="J56" s="226">
        <v>3883.1559999999999</v>
      </c>
      <c r="K56" s="226">
        <v>244.46099999999998</v>
      </c>
      <c r="L56" s="226">
        <v>2967.5309999999999</v>
      </c>
      <c r="M56" s="227">
        <v>0</v>
      </c>
      <c r="N56" s="226">
        <v>425.65699999999998</v>
      </c>
    </row>
    <row r="57" spans="1:14" x14ac:dyDescent="0.2">
      <c r="A57" s="228">
        <v>1974</v>
      </c>
      <c r="B57" s="226">
        <v>8486.0579999999991</v>
      </c>
      <c r="C57" s="226">
        <v>-605.08299999999986</v>
      </c>
      <c r="D57" s="226">
        <v>2079.3989999999999</v>
      </c>
      <c r="E57" s="226">
        <v>913.53699999999992</v>
      </c>
      <c r="F57" s="226">
        <v>-183.4</v>
      </c>
      <c r="G57" s="227">
        <v>0</v>
      </c>
      <c r="H57" s="226">
        <v>-1358.2249999999999</v>
      </c>
      <c r="I57" s="235">
        <v>9332.2860000000001</v>
      </c>
      <c r="J57" s="226">
        <v>5078.9849999999997</v>
      </c>
      <c r="K57" s="226">
        <v>395.11</v>
      </c>
      <c r="L57" s="226">
        <v>3744.3969999999999</v>
      </c>
      <c r="M57" s="227">
        <v>0</v>
      </c>
      <c r="N57" s="226">
        <v>113.794</v>
      </c>
    </row>
    <row r="58" spans="1:14" x14ac:dyDescent="0.2">
      <c r="A58" s="228">
        <v>1975</v>
      </c>
      <c r="B58" s="226">
        <v>6139.262999999999</v>
      </c>
      <c r="C58" s="226">
        <v>-2597.9560000000001</v>
      </c>
      <c r="D58" s="226">
        <v>3809.36</v>
      </c>
      <c r="E58" s="226">
        <v>771.06099999999992</v>
      </c>
      <c r="F58" s="226">
        <v>-327.51</v>
      </c>
      <c r="G58" s="227">
        <v>0</v>
      </c>
      <c r="H58" s="226">
        <v>2179.1</v>
      </c>
      <c r="I58" s="235">
        <v>9973.3179999999993</v>
      </c>
      <c r="J58" s="226">
        <v>5765.6850000000004</v>
      </c>
      <c r="K58" s="226">
        <v>195.11500000000001</v>
      </c>
      <c r="L58" s="226">
        <v>3826.2469999999998</v>
      </c>
      <c r="M58" s="227">
        <v>0</v>
      </c>
      <c r="N58" s="226">
        <v>186.27099999999999</v>
      </c>
    </row>
    <row r="59" spans="1:14" x14ac:dyDescent="0.2">
      <c r="A59" s="228">
        <v>1976</v>
      </c>
      <c r="B59" s="226">
        <v>11729.0646</v>
      </c>
      <c r="C59" s="226">
        <v>-1139.5363200000006</v>
      </c>
      <c r="D59" s="226">
        <v>5131.3694000000005</v>
      </c>
      <c r="E59" s="226">
        <v>-487.63339999999999</v>
      </c>
      <c r="F59" s="226">
        <v>-435.82</v>
      </c>
      <c r="G59" s="227">
        <v>0</v>
      </c>
      <c r="H59" s="226">
        <v>-94.815279999999575</v>
      </c>
      <c r="I59" s="235">
        <v>14702.628999999999</v>
      </c>
      <c r="J59" s="226">
        <v>8048.482</v>
      </c>
      <c r="K59" s="226">
        <v>594.48599999999999</v>
      </c>
      <c r="L59" s="226">
        <v>5667.62</v>
      </c>
      <c r="M59" s="226">
        <v>156.351</v>
      </c>
      <c r="N59" s="226">
        <v>235.69</v>
      </c>
    </row>
    <row r="60" spans="1:14" x14ac:dyDescent="0.2">
      <c r="A60" s="228">
        <v>1977</v>
      </c>
      <c r="B60" s="226">
        <v>15312.865386000001</v>
      </c>
      <c r="C60" s="226">
        <v>-3753.7657600000011</v>
      </c>
      <c r="D60" s="226">
        <v>5647.5069239999993</v>
      </c>
      <c r="E60" s="226">
        <v>710.51160200000027</v>
      </c>
      <c r="F60" s="226">
        <v>0</v>
      </c>
      <c r="G60" s="227">
        <v>0</v>
      </c>
      <c r="H60" s="226">
        <v>-1826.1631519999999</v>
      </c>
      <c r="I60" s="235">
        <v>16090.954999999996</v>
      </c>
      <c r="J60" s="226">
        <v>9619.2000000000007</v>
      </c>
      <c r="K60" s="226">
        <v>540.84199999999998</v>
      </c>
      <c r="L60" s="226">
        <v>5146.4629999999997</v>
      </c>
      <c r="M60" s="226">
        <v>310.17399999999998</v>
      </c>
      <c r="N60" s="226">
        <v>474.27600000000001</v>
      </c>
    </row>
    <row r="61" spans="1:14" x14ac:dyDescent="0.2">
      <c r="A61" s="228">
        <v>1978</v>
      </c>
      <c r="B61" s="226">
        <v>16267.946207661293</v>
      </c>
      <c r="C61" s="226">
        <v>-5393.4656975806456</v>
      </c>
      <c r="D61" s="226">
        <v>7679.3968407258062</v>
      </c>
      <c r="E61" s="226">
        <v>2628.6552822580647</v>
      </c>
      <c r="F61" s="226">
        <v>-1420.296</v>
      </c>
      <c r="G61" s="227">
        <v>0</v>
      </c>
      <c r="H61" s="226">
        <v>233.09836693548209</v>
      </c>
      <c r="I61" s="235">
        <v>19995.335000000003</v>
      </c>
      <c r="J61" s="226">
        <v>10913.428</v>
      </c>
      <c r="K61" s="226">
        <v>596.399</v>
      </c>
      <c r="L61" s="226">
        <v>7729.9250000000002</v>
      </c>
      <c r="M61" s="226">
        <v>295.916</v>
      </c>
      <c r="N61" s="226">
        <v>459.66699999999997</v>
      </c>
    </row>
    <row r="62" spans="1:14" x14ac:dyDescent="0.2">
      <c r="A62" s="228">
        <v>1979</v>
      </c>
      <c r="B62" s="226">
        <v>17235.887391129032</v>
      </c>
      <c r="C62" s="226">
        <v>-5679.0810524193557</v>
      </c>
      <c r="D62" s="226">
        <v>6714.1882338709675</v>
      </c>
      <c r="E62" s="226">
        <v>4402.0128951612896</v>
      </c>
      <c r="F62" s="226">
        <v>-1455.3440000000001</v>
      </c>
      <c r="G62" s="227">
        <v>0</v>
      </c>
      <c r="H62" s="226">
        <v>2348.0685322580648</v>
      </c>
      <c r="I62" s="235">
        <v>23565.732</v>
      </c>
      <c r="J62" s="226">
        <v>13008.808999999999</v>
      </c>
      <c r="K62" s="226">
        <v>937.00199999999995</v>
      </c>
      <c r="L62" s="226">
        <v>8661.7049999999999</v>
      </c>
      <c r="M62" s="226">
        <v>583.74900000000002</v>
      </c>
      <c r="N62" s="226">
        <v>374.46699999999998</v>
      </c>
    </row>
    <row r="63" spans="1:14" x14ac:dyDescent="0.2">
      <c r="A63" s="228">
        <v>1980</v>
      </c>
      <c r="B63" s="226">
        <v>23442.312798387098</v>
      </c>
      <c r="C63" s="226">
        <v>-8499.5158366935466</v>
      </c>
      <c r="D63" s="226">
        <v>12600.072858870968</v>
      </c>
      <c r="E63" s="226">
        <v>4643.5311693548392</v>
      </c>
      <c r="F63" s="226">
        <v>-1690.5650000000001</v>
      </c>
      <c r="G63" s="227">
        <v>0</v>
      </c>
      <c r="H63" s="226">
        <v>-2719.6529899193574</v>
      </c>
      <c r="I63" s="235">
        <v>27776.183000000005</v>
      </c>
      <c r="J63" s="226">
        <v>16162.629000000001</v>
      </c>
      <c r="K63" s="226">
        <v>1137.5340000000001</v>
      </c>
      <c r="L63" s="226">
        <v>9534.393</v>
      </c>
      <c r="M63" s="226">
        <v>491.94099999999997</v>
      </c>
      <c r="N63" s="226">
        <v>449.68599999999998</v>
      </c>
    </row>
    <row r="64" spans="1:14" x14ac:dyDescent="0.2">
      <c r="A64" s="228">
        <v>1981</v>
      </c>
      <c r="B64" s="226">
        <v>17459.054331451614</v>
      </c>
      <c r="C64" s="226">
        <v>-13784.941662096773</v>
      </c>
      <c r="D64" s="226">
        <v>21383.323867741936</v>
      </c>
      <c r="E64" s="226">
        <v>10572.173489919354</v>
      </c>
      <c r="F64" s="226">
        <v>-973.995</v>
      </c>
      <c r="G64" s="227">
        <v>0</v>
      </c>
      <c r="H64" s="226">
        <v>-4609.0340270161305</v>
      </c>
      <c r="I64" s="235">
        <v>30046.580999999998</v>
      </c>
      <c r="J64" s="226">
        <v>18334</v>
      </c>
      <c r="K64" s="226">
        <v>1808.865</v>
      </c>
      <c r="L64" s="226">
        <v>8846.91</v>
      </c>
      <c r="M64" s="226">
        <v>533.904</v>
      </c>
      <c r="N64" s="226">
        <v>522.90200000000004</v>
      </c>
    </row>
    <row r="65" spans="1:19" x14ac:dyDescent="0.2">
      <c r="A65" s="228">
        <v>1982</v>
      </c>
      <c r="B65" s="226">
        <v>7412.7090424242433</v>
      </c>
      <c r="C65" s="226">
        <v>-6457.4356939393938</v>
      </c>
      <c r="D65" s="226">
        <v>26005.725087878789</v>
      </c>
      <c r="E65" s="226">
        <v>4416.0161242424247</v>
      </c>
      <c r="F65" s="226">
        <v>-1893.74</v>
      </c>
      <c r="G65" s="227">
        <v>0</v>
      </c>
      <c r="H65" s="226">
        <v>4419.8114393939341</v>
      </c>
      <c r="I65" s="235">
        <v>33903.085999999996</v>
      </c>
      <c r="J65" s="226">
        <v>21583.152999999998</v>
      </c>
      <c r="K65" s="226">
        <v>684.56600000000003</v>
      </c>
      <c r="L65" s="226">
        <v>10357.686</v>
      </c>
      <c r="M65" s="226">
        <v>652.38800000000003</v>
      </c>
      <c r="N65" s="226">
        <v>625.29300000000001</v>
      </c>
    </row>
    <row r="66" spans="1:19" x14ac:dyDescent="0.2">
      <c r="A66" s="228">
        <v>1983</v>
      </c>
      <c r="B66" s="226">
        <v>13312.521615526799</v>
      </c>
      <c r="C66" s="226">
        <v>-118770.48763955638</v>
      </c>
      <c r="D66" s="226">
        <v>68502.947495378918</v>
      </c>
      <c r="E66" s="226">
        <v>-477.31277634010792</v>
      </c>
      <c r="F66" s="226">
        <v>-1388.069</v>
      </c>
      <c r="G66" s="226">
        <v>-75744.130275415897</v>
      </c>
      <c r="H66" s="226">
        <v>153393.53958040665</v>
      </c>
      <c r="I66" s="235">
        <v>38829.008999999991</v>
      </c>
      <c r="J66" s="226">
        <v>26816.186000000002</v>
      </c>
      <c r="K66" s="226">
        <v>1809.355</v>
      </c>
      <c r="L66" s="226">
        <v>8818.3009999999995</v>
      </c>
      <c r="M66" s="226">
        <v>699.47800000000007</v>
      </c>
      <c r="N66" s="226">
        <v>685.68899999999996</v>
      </c>
    </row>
    <row r="67" spans="1:19" x14ac:dyDescent="0.2">
      <c r="A67" s="228">
        <v>1984</v>
      </c>
      <c r="B67" s="226">
        <v>16469.158714285706</v>
      </c>
      <c r="C67" s="226">
        <v>-163229.5502857143</v>
      </c>
      <c r="D67" s="226">
        <v>127509.39522556389</v>
      </c>
      <c r="E67" s="226">
        <v>-6048.0651278195483</v>
      </c>
      <c r="F67" s="226">
        <v>-792.2</v>
      </c>
      <c r="G67" s="226">
        <v>-166139.29175187967</v>
      </c>
      <c r="H67" s="226">
        <v>248433.65522556391</v>
      </c>
      <c r="I67" s="235">
        <v>56203.101999999984</v>
      </c>
      <c r="J67" s="226">
        <v>37844.654000000002</v>
      </c>
      <c r="K67" s="226">
        <v>1842.3210000000001</v>
      </c>
      <c r="L67" s="226">
        <v>15633.87</v>
      </c>
      <c r="M67" s="226">
        <v>148.702</v>
      </c>
      <c r="N67" s="226">
        <v>733.55499999999995</v>
      </c>
    </row>
    <row r="68" spans="1:19" x14ac:dyDescent="0.2">
      <c r="A68" s="228">
        <v>1985</v>
      </c>
      <c r="B68" s="226">
        <v>18900.418894736835</v>
      </c>
      <c r="C68" s="226">
        <v>-94181.042578947352</v>
      </c>
      <c r="D68" s="226">
        <v>140594.0746947368</v>
      </c>
      <c r="E68" s="226">
        <v>5571.28007368421</v>
      </c>
      <c r="F68" s="226">
        <v>-5320.3050000000003</v>
      </c>
      <c r="G68" s="226">
        <v>-310512.03189473681</v>
      </c>
      <c r="H68" s="226">
        <v>316519.99181052629</v>
      </c>
      <c r="I68" s="235">
        <v>71572.385999999969</v>
      </c>
      <c r="J68" s="226">
        <v>46525.667000000001</v>
      </c>
      <c r="K68" s="226">
        <v>2200.2759999999998</v>
      </c>
      <c r="L68" s="226">
        <v>21859.281999999999</v>
      </c>
      <c r="M68" s="226">
        <v>-176.327</v>
      </c>
      <c r="N68" s="226">
        <v>1163.4880000000001</v>
      </c>
      <c r="O68" s="223"/>
      <c r="P68" s="223"/>
      <c r="Q68" s="223"/>
      <c r="R68" s="223"/>
      <c r="S68" s="223"/>
    </row>
    <row r="69" spans="1:19" x14ac:dyDescent="0.2">
      <c r="A69" s="228">
        <v>1986</v>
      </c>
      <c r="B69" s="226">
        <v>-11095.714736842101</v>
      </c>
      <c r="C69" s="226">
        <v>-101417.39894736841</v>
      </c>
      <c r="D69" s="226">
        <v>157590.43157894741</v>
      </c>
      <c r="E69" s="226">
        <v>-2447.0568421052608</v>
      </c>
      <c r="F69" s="226">
        <v>-5221.2</v>
      </c>
      <c r="G69" s="226">
        <v>-511414.39263157896</v>
      </c>
      <c r="H69" s="226">
        <v>572890.1315789473</v>
      </c>
      <c r="I69" s="235">
        <v>98884.800000000003</v>
      </c>
      <c r="J69" s="226">
        <v>59567.5</v>
      </c>
      <c r="K69" s="226">
        <v>4607.3999999999996</v>
      </c>
      <c r="L69" s="226">
        <v>31827.1</v>
      </c>
      <c r="M69" s="226">
        <v>313.2</v>
      </c>
      <c r="N69" s="226">
        <v>2569.6</v>
      </c>
      <c r="O69" s="223"/>
      <c r="P69" s="223"/>
      <c r="Q69" s="223"/>
      <c r="R69" s="223"/>
      <c r="S69" s="223"/>
    </row>
    <row r="70" spans="1:19" x14ac:dyDescent="0.2">
      <c r="A70" s="228">
        <v>1987</v>
      </c>
      <c r="B70" s="226">
        <v>-33482.37884210526</v>
      </c>
      <c r="C70" s="226">
        <v>-77741.852526315794</v>
      </c>
      <c r="D70" s="226">
        <v>144061.56513684211</v>
      </c>
      <c r="E70" s="226">
        <v>-48481.027831578947</v>
      </c>
      <c r="F70" s="226">
        <v>-4172.2</v>
      </c>
      <c r="G70" s="226">
        <v>-770253.3171789475</v>
      </c>
      <c r="H70" s="226">
        <v>925407.07624210534</v>
      </c>
      <c r="I70" s="235">
        <v>135337.86499999999</v>
      </c>
      <c r="J70" s="226">
        <v>80252.053</v>
      </c>
      <c r="K70" s="226">
        <v>11715.85</v>
      </c>
      <c r="L70" s="226">
        <v>41752.476000000002</v>
      </c>
      <c r="M70" s="226">
        <v>-453.21699999999998</v>
      </c>
      <c r="N70" s="226">
        <v>2070.703</v>
      </c>
      <c r="O70" s="223"/>
      <c r="P70" s="223"/>
      <c r="Q70" s="223"/>
      <c r="R70" s="223"/>
      <c r="S70" s="223"/>
    </row>
    <row r="71" spans="1:19" x14ac:dyDescent="0.2">
      <c r="A71" s="228">
        <v>1988</v>
      </c>
      <c r="B71" s="226">
        <v>-79810.082421743587</v>
      </c>
      <c r="C71" s="226">
        <v>-97014.411631974363</v>
      </c>
      <c r="D71" s="226">
        <v>122325.58258202563</v>
      </c>
      <c r="E71" s="226">
        <v>-79186.846597384618</v>
      </c>
      <c r="F71" s="226">
        <v>-13953.6</v>
      </c>
      <c r="G71" s="226">
        <v>-1501688.3655174617</v>
      </c>
      <c r="H71" s="226">
        <v>1868452.9055865386</v>
      </c>
      <c r="I71" s="235">
        <v>219125.18200000003</v>
      </c>
      <c r="J71" s="226">
        <v>132464.69899999999</v>
      </c>
      <c r="K71" s="226">
        <v>6320.7340000000004</v>
      </c>
      <c r="L71" s="226">
        <v>74505.665000000008</v>
      </c>
      <c r="M71" s="226">
        <v>817</v>
      </c>
      <c r="N71" s="226">
        <v>5017.125</v>
      </c>
      <c r="O71" s="223"/>
      <c r="P71" s="223"/>
      <c r="Q71" s="223"/>
      <c r="R71" s="223"/>
      <c r="S71" s="223"/>
    </row>
    <row r="72" spans="1:19" x14ac:dyDescent="0.2">
      <c r="A72" s="228">
        <v>1989</v>
      </c>
      <c r="B72" s="226">
        <v>133208.88766615381</v>
      </c>
      <c r="C72" s="226">
        <v>-279052</v>
      </c>
      <c r="D72" s="226">
        <v>125957.73562153844</v>
      </c>
      <c r="E72" s="226">
        <v>-1351.3080553846089</v>
      </c>
      <c r="F72" s="226">
        <v>-48408.7</v>
      </c>
      <c r="G72" s="226">
        <v>-2261781.5704753851</v>
      </c>
      <c r="H72" s="226">
        <v>2645101.3033763082</v>
      </c>
      <c r="I72" s="235">
        <v>313674.34813323058</v>
      </c>
      <c r="J72" s="226">
        <v>190402.215</v>
      </c>
      <c r="K72" s="226">
        <v>9689.487000000001</v>
      </c>
      <c r="L72" s="226">
        <v>109391.94</v>
      </c>
      <c r="M72" s="226">
        <v>1649</v>
      </c>
      <c r="N72" s="226">
        <v>2541.8240000000001</v>
      </c>
      <c r="O72" s="223"/>
      <c r="P72" s="223"/>
      <c r="Q72" s="223"/>
      <c r="R72" s="223"/>
      <c r="S72" s="223"/>
    </row>
    <row r="73" spans="1:19" x14ac:dyDescent="0.2">
      <c r="A73" s="228">
        <v>1990</v>
      </c>
      <c r="B73" s="226">
        <v>535038.35780899995</v>
      </c>
      <c r="C73" s="226">
        <v>-659789.5987478462</v>
      </c>
      <c r="D73" s="226">
        <v>108058.46611607693</v>
      </c>
      <c r="E73" s="226">
        <v>11143.522588999993</v>
      </c>
      <c r="F73" s="226">
        <v>-90387.199999999997</v>
      </c>
      <c r="G73" s="226">
        <v>-2976158.4699679231</v>
      </c>
      <c r="H73" s="226">
        <v>3580588.5452016927</v>
      </c>
      <c r="I73" s="235">
        <v>508493.62300000014</v>
      </c>
      <c r="J73" s="226">
        <v>294718.73700000002</v>
      </c>
      <c r="K73" s="226">
        <v>10107.833000000001</v>
      </c>
      <c r="L73" s="226">
        <v>195051.39500000002</v>
      </c>
      <c r="M73" s="226">
        <v>3720.3490000000002</v>
      </c>
      <c r="N73" s="226">
        <v>4895.3090000000002</v>
      </c>
      <c r="P73" s="223"/>
      <c r="Q73" s="223"/>
    </row>
    <row r="74" spans="1:19" x14ac:dyDescent="0.2">
      <c r="A74" s="228">
        <v>1991</v>
      </c>
      <c r="B74" s="226">
        <v>975775.74829692324</v>
      </c>
      <c r="C74" s="226">
        <v>-976961.3601544617</v>
      </c>
      <c r="D74" s="226">
        <v>95211.513186769225</v>
      </c>
      <c r="E74" s="226">
        <v>-1872.8310812307627</v>
      </c>
      <c r="F74" s="226">
        <v>-90829.4</v>
      </c>
      <c r="G74" s="226">
        <v>-5597104.9678686159</v>
      </c>
      <c r="H74" s="226">
        <v>6338110.1056206161</v>
      </c>
      <c r="I74" s="235">
        <v>742328.80800000019</v>
      </c>
      <c r="J74" s="226">
        <v>425503.78</v>
      </c>
      <c r="K74" s="226">
        <v>9066.268</v>
      </c>
      <c r="L74" s="226">
        <v>289990.04700000002</v>
      </c>
      <c r="M74" s="226">
        <v>12014.041999999999</v>
      </c>
      <c r="N74" s="226">
        <v>5754.6710000000003</v>
      </c>
    </row>
    <row r="75" spans="1:19" x14ac:dyDescent="0.2">
      <c r="A75" s="228">
        <v>1992</v>
      </c>
      <c r="B75" s="226">
        <v>1563632.7897435899</v>
      </c>
      <c r="C75" s="226">
        <v>-1319555.0518717947</v>
      </c>
      <c r="D75" s="226">
        <v>42559.539205128203</v>
      </c>
      <c r="E75" s="226">
        <v>-225869.70012820512</v>
      </c>
      <c r="F75" s="226">
        <v>-214986</v>
      </c>
      <c r="G75" s="226">
        <v>-8005868.5692307688</v>
      </c>
      <c r="H75" s="226">
        <v>9332249.4072820507</v>
      </c>
      <c r="I75" s="235">
        <v>1172162.415</v>
      </c>
      <c r="J75" s="226">
        <v>661013.16899999999</v>
      </c>
      <c r="K75" s="226">
        <v>36806.841</v>
      </c>
      <c r="L75" s="226">
        <v>433410.97200000007</v>
      </c>
      <c r="M75" s="226">
        <v>27199.237000000001</v>
      </c>
      <c r="N75" s="226">
        <v>13732.196</v>
      </c>
      <c r="O75" s="223"/>
      <c r="P75" s="223"/>
      <c r="Q75" s="223"/>
      <c r="R75" s="223"/>
      <c r="S75" s="223"/>
    </row>
    <row r="76" spans="1:19" x14ac:dyDescent="0.2">
      <c r="A76" s="228">
        <v>1993</v>
      </c>
      <c r="B76" s="226">
        <v>2543882.4</v>
      </c>
      <c r="C76" s="226">
        <v>-1852955.8</v>
      </c>
      <c r="D76" s="226">
        <v>-25350.7</v>
      </c>
      <c r="E76" s="226">
        <v>-105705.60000000001</v>
      </c>
      <c r="F76" s="226">
        <v>-355422</v>
      </c>
      <c r="G76" s="226">
        <v>-7982127.9000000004</v>
      </c>
      <c r="H76" s="226">
        <v>9394262.9000000004</v>
      </c>
      <c r="I76" s="235">
        <v>1616583.3</v>
      </c>
      <c r="J76" s="226">
        <v>933157.7</v>
      </c>
      <c r="K76" s="226">
        <v>42858.2</v>
      </c>
      <c r="L76" s="226">
        <v>573716.5</v>
      </c>
      <c r="M76" s="226">
        <v>55943.3</v>
      </c>
      <c r="N76" s="226">
        <v>10907.6</v>
      </c>
      <c r="O76" s="223"/>
      <c r="P76" s="223"/>
      <c r="Q76" s="223"/>
      <c r="R76" s="223"/>
      <c r="S76" s="223"/>
    </row>
    <row r="77" spans="1:19" x14ac:dyDescent="0.2">
      <c r="A77" s="228">
        <v>1994</v>
      </c>
      <c r="B77" s="226">
        <v>3931845.9009999996</v>
      </c>
      <c r="C77" s="226">
        <v>-2564648.7384750005</v>
      </c>
      <c r="D77" s="226">
        <v>-176293.901189</v>
      </c>
      <c r="E77" s="226">
        <v>-116646.24218900001</v>
      </c>
      <c r="F77" s="226">
        <v>-332589</v>
      </c>
      <c r="G77" s="226">
        <v>-9061485.0580000002</v>
      </c>
      <c r="H77" s="226">
        <v>10177946.482217001</v>
      </c>
      <c r="I77" s="235">
        <v>1858129.4433639999</v>
      </c>
      <c r="J77" s="226">
        <v>1268666.8219999999</v>
      </c>
      <c r="K77" s="226">
        <v>31629.68</v>
      </c>
      <c r="L77" s="226">
        <v>468943.70749299997</v>
      </c>
      <c r="M77" s="226">
        <v>81053.640871000011</v>
      </c>
      <c r="N77" s="226">
        <v>7835.5929999999998</v>
      </c>
      <c r="O77" s="223"/>
      <c r="P77" s="223"/>
      <c r="Q77" s="223"/>
      <c r="R77" s="223"/>
      <c r="S77" s="223"/>
    </row>
    <row r="78" spans="1:19" x14ac:dyDescent="0.2">
      <c r="A78" s="228">
        <v>1995</v>
      </c>
      <c r="B78" s="226">
        <v>4548411.6290000007</v>
      </c>
      <c r="C78" s="226">
        <v>-2470781</v>
      </c>
      <c r="D78" s="226">
        <v>476632</v>
      </c>
      <c r="E78" s="226">
        <v>-102320</v>
      </c>
      <c r="F78" s="226">
        <v>-286563</v>
      </c>
      <c r="G78" s="226">
        <v>-522671.64500000002</v>
      </c>
      <c r="H78" s="226">
        <v>769140</v>
      </c>
      <c r="I78" s="235">
        <v>2411847.9840000006</v>
      </c>
      <c r="J78" s="226">
        <v>1608601.294</v>
      </c>
      <c r="K78" s="226">
        <v>28227.988000000001</v>
      </c>
      <c r="L78" s="226">
        <v>679544</v>
      </c>
      <c r="M78" s="226">
        <v>91452</v>
      </c>
      <c r="N78" s="226">
        <v>4023.0569999999998</v>
      </c>
      <c r="O78" s="223"/>
      <c r="P78" s="223"/>
      <c r="Q78" s="223"/>
      <c r="R78" s="223"/>
      <c r="S78" s="223"/>
    </row>
    <row r="79" spans="1:19" x14ac:dyDescent="0.2">
      <c r="A79" s="228">
        <v>1996</v>
      </c>
      <c r="B79" s="226">
        <v>6642697.1920000007</v>
      </c>
      <c r="C79" s="226">
        <v>-3207975</v>
      </c>
      <c r="D79" s="226">
        <v>693373</v>
      </c>
      <c r="E79" s="226">
        <v>-151994.38099999999</v>
      </c>
      <c r="F79" s="226">
        <v>-574571</v>
      </c>
      <c r="G79" s="226">
        <v>-574886.55799999996</v>
      </c>
      <c r="H79" s="226">
        <v>235754</v>
      </c>
      <c r="I79" s="235">
        <v>3062397.2530000005</v>
      </c>
      <c r="J79" s="226">
        <v>2321692.838</v>
      </c>
      <c r="K79" s="226">
        <v>47020</v>
      </c>
      <c r="L79" s="226">
        <v>636794</v>
      </c>
      <c r="M79" s="226">
        <v>54721</v>
      </c>
      <c r="N79" s="226">
        <v>2169.277</v>
      </c>
      <c r="O79" s="223"/>
      <c r="P79" s="223"/>
      <c r="Q79" s="223"/>
      <c r="R79" s="223"/>
      <c r="S79" s="223"/>
    </row>
    <row r="80" spans="1:19" x14ac:dyDescent="0.2">
      <c r="A80" s="228">
        <v>1997</v>
      </c>
      <c r="B80" s="226">
        <v>9290361</v>
      </c>
      <c r="C80" s="226">
        <v>-3529119</v>
      </c>
      <c r="D80" s="226">
        <v>-413830</v>
      </c>
      <c r="E80" s="226">
        <v>-87123</v>
      </c>
      <c r="F80" s="226">
        <v>-457254</v>
      </c>
      <c r="G80" s="226">
        <v>-553212</v>
      </c>
      <c r="H80" s="226">
        <v>-220461</v>
      </c>
      <c r="I80" s="235">
        <v>4029362</v>
      </c>
      <c r="J80" s="226">
        <v>2906495</v>
      </c>
      <c r="K80" s="226">
        <v>121067</v>
      </c>
      <c r="L80" s="226">
        <v>938258</v>
      </c>
      <c r="M80" s="226">
        <v>61087</v>
      </c>
      <c r="N80" s="226">
        <v>2455</v>
      </c>
      <c r="O80" s="223"/>
      <c r="P80" s="223"/>
      <c r="Q80" s="223"/>
      <c r="R80" s="223"/>
      <c r="S80" s="223"/>
    </row>
    <row r="81" spans="1:19" x14ac:dyDescent="0.2">
      <c r="A81" s="228">
        <v>1998</v>
      </c>
      <c r="B81" s="226">
        <v>11074696</v>
      </c>
      <c r="C81" s="226">
        <v>-3452873</v>
      </c>
      <c r="D81" s="226">
        <v>4900357</v>
      </c>
      <c r="E81" s="226">
        <v>-48271</v>
      </c>
      <c r="F81" s="226">
        <v>-1905133</v>
      </c>
      <c r="G81" s="226">
        <v>-2824520</v>
      </c>
      <c r="H81" s="226">
        <v>-2054811</v>
      </c>
      <c r="I81" s="235">
        <v>5689445</v>
      </c>
      <c r="J81" s="226">
        <v>4192128</v>
      </c>
      <c r="K81" s="226">
        <v>26736</v>
      </c>
      <c r="L81" s="226">
        <v>1393453</v>
      </c>
      <c r="M81" s="226">
        <v>75162</v>
      </c>
      <c r="N81" s="226">
        <v>1968</v>
      </c>
      <c r="O81" s="223"/>
      <c r="P81" s="223"/>
      <c r="Q81" s="223"/>
      <c r="R81" s="223"/>
      <c r="S81" s="223"/>
    </row>
    <row r="82" spans="1:19" x14ac:dyDescent="0.2">
      <c r="A82" s="228">
        <v>1999</v>
      </c>
      <c r="B82" s="226">
        <v>23330986</v>
      </c>
      <c r="C82" s="226">
        <v>-9130392</v>
      </c>
      <c r="D82" s="226">
        <v>3872003</v>
      </c>
      <c r="E82" s="226">
        <v>-315633</v>
      </c>
      <c r="F82" s="226">
        <v>-6402810</v>
      </c>
      <c r="G82" s="226">
        <v>-9055647</v>
      </c>
      <c r="H82" s="226">
        <v>11111715</v>
      </c>
      <c r="I82" s="235">
        <v>13410222</v>
      </c>
      <c r="J82" s="226">
        <v>10568129</v>
      </c>
      <c r="K82" s="226">
        <v>140542</v>
      </c>
      <c r="L82" s="226">
        <v>2504037</v>
      </c>
      <c r="M82" s="226">
        <v>193622</v>
      </c>
      <c r="N82" s="226">
        <v>3893</v>
      </c>
      <c r="O82" s="223"/>
      <c r="P82" s="223"/>
      <c r="Q82" s="223"/>
      <c r="R82" s="223"/>
      <c r="S82" s="223"/>
    </row>
    <row r="83" spans="1:19" x14ac:dyDescent="0.2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</row>
    <row r="86" spans="1:19" x14ac:dyDescent="0.2">
      <c r="A86" s="410"/>
    </row>
    <row r="87" spans="1:19" ht="15" x14ac:dyDescent="0.25">
      <c r="A87" s="128" t="s">
        <v>598</v>
      </c>
    </row>
  </sheetData>
  <mergeCells count="15">
    <mergeCell ref="A1:N1"/>
    <mergeCell ref="A2:N2"/>
    <mergeCell ref="A3:N3"/>
    <mergeCell ref="G6:G7"/>
    <mergeCell ref="H6:H7"/>
    <mergeCell ref="J6:J7"/>
    <mergeCell ref="A5:A7"/>
    <mergeCell ref="B5:B7"/>
    <mergeCell ref="C6:E6"/>
    <mergeCell ref="C5:H5"/>
    <mergeCell ref="I5:I7"/>
    <mergeCell ref="J5:N5"/>
    <mergeCell ref="K6:M6"/>
    <mergeCell ref="N6:N7"/>
    <mergeCell ref="F6:F7"/>
  </mergeCells>
  <hyperlinks>
    <hyperlink ref="A87" location="'indice cap.1'!A1" display="regresar al índice" xr:uid="{00000000-0004-0000-1000-000000000000}"/>
  </hyperlinks>
  <pageMargins left="0.51181102362204722" right="0" top="0.74803149606299213" bottom="0.74803149606299213" header="0.31496062992125984" footer="0.31496062992125984"/>
  <pageSetup paperSize="9" scale="64" orientation="landscape" verticalDpi="599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U618"/>
  <sheetViews>
    <sheetView showGridLines="0" topLeftCell="A46" workbookViewId="0">
      <selection activeCell="E47" sqref="E47"/>
    </sheetView>
  </sheetViews>
  <sheetFormatPr defaultColWidth="11.42578125" defaultRowHeight="12.75" x14ac:dyDescent="0.2"/>
  <cols>
    <col min="1" max="1" width="49.7109375" style="303" customWidth="1"/>
    <col min="2" max="19" width="11.42578125" style="303"/>
    <col min="20" max="20" width="14.42578125" style="303" customWidth="1"/>
    <col min="21" max="21" width="13.42578125" style="303" customWidth="1"/>
    <col min="22" max="22" width="11.42578125" style="303"/>
    <col min="23" max="24" width="13" style="303" customWidth="1"/>
    <col min="25" max="27" width="12.85546875" style="303" customWidth="1"/>
    <col min="28" max="16384" width="11.42578125" style="303"/>
  </cols>
  <sheetData>
    <row r="1" spans="1:10" ht="15" x14ac:dyDescent="0.25">
      <c r="A1" s="573" t="s">
        <v>684</v>
      </c>
      <c r="B1" s="574"/>
      <c r="C1" s="574"/>
      <c r="D1" s="574"/>
      <c r="E1" s="574"/>
      <c r="F1" s="574"/>
      <c r="G1" s="574"/>
      <c r="H1" s="574"/>
      <c r="I1" s="574"/>
      <c r="J1" s="574"/>
    </row>
    <row r="2" spans="1:10" ht="15" x14ac:dyDescent="0.25">
      <c r="A2" s="575" t="s">
        <v>868</v>
      </c>
      <c r="B2" s="574"/>
      <c r="C2" s="574"/>
      <c r="D2" s="574"/>
      <c r="E2" s="574"/>
      <c r="F2" s="574"/>
      <c r="G2" s="574"/>
      <c r="H2" s="574"/>
      <c r="I2" s="574"/>
      <c r="J2" s="574"/>
    </row>
    <row r="3" spans="1:10" ht="15" x14ac:dyDescent="0.25">
      <c r="A3" s="575" t="s">
        <v>86</v>
      </c>
      <c r="B3" s="574"/>
      <c r="C3" s="574"/>
      <c r="D3" s="574"/>
      <c r="E3" s="574"/>
      <c r="F3" s="574"/>
      <c r="G3" s="574"/>
      <c r="H3" s="574"/>
      <c r="I3" s="574"/>
      <c r="J3" s="574"/>
    </row>
    <row r="4" spans="1:10" x14ac:dyDescent="0.2">
      <c r="A4" s="431"/>
      <c r="B4" s="433"/>
      <c r="C4" s="433"/>
      <c r="D4" s="433"/>
      <c r="E4" s="433"/>
      <c r="F4" s="433"/>
      <c r="G4" s="433"/>
      <c r="H4" s="433"/>
      <c r="I4" s="433"/>
      <c r="J4" s="433"/>
    </row>
    <row r="5" spans="1:10" s="458" customFormat="1" ht="19.5" customHeight="1" x14ac:dyDescent="0.25">
      <c r="A5" s="455" t="s">
        <v>148</v>
      </c>
      <c r="B5" s="456" t="s">
        <v>392</v>
      </c>
      <c r="C5" s="456" t="s">
        <v>393</v>
      </c>
      <c r="D5" s="456" t="s">
        <v>394</v>
      </c>
      <c r="E5" s="456" t="s">
        <v>395</v>
      </c>
      <c r="F5" s="456" t="s">
        <v>396</v>
      </c>
      <c r="G5" s="456" t="s">
        <v>397</v>
      </c>
      <c r="H5" s="456" t="s">
        <v>398</v>
      </c>
      <c r="I5" s="456" t="s">
        <v>399</v>
      </c>
      <c r="J5" s="457" t="s">
        <v>400</v>
      </c>
    </row>
    <row r="6" spans="1:10" x14ac:dyDescent="0.2">
      <c r="A6" s="433"/>
      <c r="B6" s="433"/>
      <c r="C6" s="433"/>
      <c r="D6" s="433"/>
      <c r="E6" s="433"/>
      <c r="F6" s="433"/>
      <c r="G6" s="433"/>
      <c r="H6" s="433"/>
      <c r="I6" s="433"/>
      <c r="J6" s="433"/>
    </row>
    <row r="7" spans="1:10" x14ac:dyDescent="0.2">
      <c r="A7" s="459" t="s">
        <v>165</v>
      </c>
      <c r="B7" s="460">
        <v>5</v>
      </c>
      <c r="C7" s="460">
        <v>5</v>
      </c>
      <c r="D7" s="460">
        <v>5</v>
      </c>
      <c r="E7" s="460">
        <v>5</v>
      </c>
      <c r="F7" s="461">
        <v>5.03</v>
      </c>
      <c r="G7" s="461">
        <v>5.48</v>
      </c>
      <c r="H7" s="461">
        <v>5.18</v>
      </c>
      <c r="I7" s="461">
        <v>9.15</v>
      </c>
      <c r="J7" s="461">
        <v>9.9499999999999993</v>
      </c>
    </row>
    <row r="8" spans="1:10" x14ac:dyDescent="0.2">
      <c r="A8" s="433"/>
      <c r="B8" s="433"/>
      <c r="C8" s="433"/>
      <c r="D8" s="433"/>
      <c r="E8" s="433"/>
      <c r="F8" s="433"/>
      <c r="G8" s="433"/>
      <c r="H8" s="433"/>
      <c r="I8" s="433"/>
      <c r="J8" s="433"/>
    </row>
    <row r="9" spans="1:10" x14ac:dyDescent="0.2">
      <c r="A9" s="459" t="s">
        <v>166</v>
      </c>
      <c r="B9" s="462"/>
      <c r="C9" s="462"/>
      <c r="D9" s="462"/>
      <c r="E9" s="462"/>
      <c r="F9" s="462"/>
      <c r="G9" s="462"/>
      <c r="H9" s="462"/>
      <c r="I9" s="462"/>
      <c r="J9" s="462"/>
    </row>
    <row r="10" spans="1:10" x14ac:dyDescent="0.2">
      <c r="A10" s="463" t="s">
        <v>401</v>
      </c>
      <c r="B10" s="464">
        <v>10.228</v>
      </c>
      <c r="C10" s="464">
        <v>5.6180000000000003</v>
      </c>
      <c r="D10" s="464">
        <v>5.5709999999999997</v>
      </c>
      <c r="E10" s="464">
        <v>5.6539999999999999</v>
      </c>
      <c r="F10" s="464">
        <v>5.6630000000000003</v>
      </c>
      <c r="G10" s="464">
        <v>14.272</v>
      </c>
      <c r="H10" s="464">
        <v>14.348000000000001</v>
      </c>
      <c r="I10" s="464">
        <v>10.227</v>
      </c>
      <c r="J10" s="464">
        <v>28.062000000000001</v>
      </c>
    </row>
    <row r="11" spans="1:10" x14ac:dyDescent="0.2">
      <c r="A11" s="463" t="s">
        <v>402</v>
      </c>
      <c r="B11" s="464">
        <v>32.662999999999997</v>
      </c>
      <c r="C11" s="464">
        <v>23.998999999999999</v>
      </c>
      <c r="D11" s="464">
        <v>28.504999999999999</v>
      </c>
      <c r="E11" s="464">
        <v>22.881</v>
      </c>
      <c r="F11" s="464">
        <v>9.6660000000000004</v>
      </c>
      <c r="G11" s="464">
        <v>1.0329999999999999</v>
      </c>
      <c r="H11" s="464">
        <v>2.1709999999999998</v>
      </c>
      <c r="I11" s="464">
        <v>8.4309999999999992</v>
      </c>
      <c r="J11" s="464">
        <v>4.7770000000000001</v>
      </c>
    </row>
    <row r="12" spans="1:10" x14ac:dyDescent="0.2">
      <c r="A12" s="463" t="s">
        <v>403</v>
      </c>
      <c r="B12" s="464">
        <v>0</v>
      </c>
      <c r="C12" s="464">
        <v>0</v>
      </c>
      <c r="D12" s="464">
        <v>0</v>
      </c>
      <c r="E12" s="464">
        <v>0</v>
      </c>
      <c r="F12" s="464">
        <v>0</v>
      </c>
      <c r="G12" s="464">
        <v>0</v>
      </c>
      <c r="H12" s="464">
        <v>0</v>
      </c>
      <c r="I12" s="464">
        <v>5.5970000000000004</v>
      </c>
      <c r="J12" s="464">
        <v>8.5030000000000001</v>
      </c>
    </row>
    <row r="13" spans="1:10" x14ac:dyDescent="0.2">
      <c r="A13" s="459" t="s">
        <v>404</v>
      </c>
      <c r="B13" s="465">
        <v>42.890999999999998</v>
      </c>
      <c r="C13" s="465">
        <v>29.616999999999997</v>
      </c>
      <c r="D13" s="465">
        <v>34.076000000000001</v>
      </c>
      <c r="E13" s="465">
        <v>28.535</v>
      </c>
      <c r="F13" s="465">
        <v>15.329000000000001</v>
      </c>
      <c r="G13" s="465">
        <v>15.305</v>
      </c>
      <c r="H13" s="465">
        <v>16.519000000000002</v>
      </c>
      <c r="I13" s="465">
        <v>24.254999999999999</v>
      </c>
      <c r="J13" s="465">
        <v>41.341999999999999</v>
      </c>
    </row>
    <row r="14" spans="1:10" x14ac:dyDescent="0.2">
      <c r="A14" s="459"/>
      <c r="B14" s="464"/>
      <c r="C14" s="464"/>
      <c r="D14" s="464"/>
      <c r="E14" s="464"/>
      <c r="F14" s="464"/>
      <c r="G14" s="464"/>
      <c r="H14" s="464"/>
      <c r="I14" s="464"/>
      <c r="J14" s="464"/>
    </row>
    <row r="15" spans="1:10" x14ac:dyDescent="0.2">
      <c r="A15" s="463" t="s">
        <v>405</v>
      </c>
      <c r="B15" s="464">
        <v>0.106</v>
      </c>
      <c r="C15" s="464">
        <v>6.9089999999999998</v>
      </c>
      <c r="D15" s="464">
        <v>0.2</v>
      </c>
      <c r="E15" s="464">
        <v>0.10100000000000001</v>
      </c>
      <c r="F15" s="464">
        <v>6.0999999999999999E-2</v>
      </c>
      <c r="G15" s="464">
        <v>0.14399999999999999</v>
      </c>
      <c r="H15" s="464">
        <v>3.2000000000000001E-2</v>
      </c>
      <c r="I15" s="464">
        <v>2.2069999999999999</v>
      </c>
      <c r="J15" s="464">
        <v>7.72</v>
      </c>
    </row>
    <row r="16" spans="1:10" x14ac:dyDescent="0.2">
      <c r="A16" s="463" t="s">
        <v>406</v>
      </c>
      <c r="B16" s="464">
        <v>1.087</v>
      </c>
      <c r="C16" s="464">
        <v>1.502</v>
      </c>
      <c r="D16" s="464">
        <v>0.78700000000000003</v>
      </c>
      <c r="E16" s="464">
        <v>0.27900000000000003</v>
      </c>
      <c r="F16" s="464">
        <v>0.17699999999999999</v>
      </c>
      <c r="G16" s="464">
        <v>1.9590000000000001</v>
      </c>
      <c r="H16" s="464">
        <v>2.5449999999999999</v>
      </c>
      <c r="I16" s="464">
        <v>3.2000000000000001E-2</v>
      </c>
      <c r="J16" s="464">
        <v>4.3999999999999997E-2</v>
      </c>
    </row>
    <row r="17" spans="1:10" x14ac:dyDescent="0.2">
      <c r="A17" s="463" t="s">
        <v>407</v>
      </c>
      <c r="B17" s="464">
        <v>0</v>
      </c>
      <c r="C17" s="464">
        <v>0</v>
      </c>
      <c r="D17" s="464">
        <v>0</v>
      </c>
      <c r="E17" s="464">
        <v>0</v>
      </c>
      <c r="F17" s="464">
        <v>0</v>
      </c>
      <c r="G17" s="464">
        <v>0</v>
      </c>
      <c r="H17" s="464">
        <v>0</v>
      </c>
      <c r="I17" s="464">
        <v>1.1919999999999999</v>
      </c>
      <c r="J17" s="464">
        <v>0.57899999999999996</v>
      </c>
    </row>
    <row r="18" spans="1:10" x14ac:dyDescent="0.2">
      <c r="A18" s="459" t="s">
        <v>408</v>
      </c>
      <c r="B18" s="465">
        <v>44.084000000000003</v>
      </c>
      <c r="C18" s="465">
        <v>38.027999999999999</v>
      </c>
      <c r="D18" s="465">
        <v>35.063000000000002</v>
      </c>
      <c r="E18" s="465">
        <v>28.914999999999999</v>
      </c>
      <c r="F18" s="465">
        <v>15.567</v>
      </c>
      <c r="G18" s="465">
        <v>17.408000000000001</v>
      </c>
      <c r="H18" s="465">
        <v>19.096000000000004</v>
      </c>
      <c r="I18" s="465">
        <v>27.686000000000003</v>
      </c>
      <c r="J18" s="465">
        <v>49.685000000000002</v>
      </c>
    </row>
    <row r="19" spans="1:10" x14ac:dyDescent="0.2">
      <c r="A19" s="462"/>
      <c r="B19" s="464"/>
      <c r="C19" s="464"/>
      <c r="D19" s="464"/>
      <c r="E19" s="464"/>
      <c r="F19" s="464"/>
      <c r="G19" s="464"/>
      <c r="H19" s="464"/>
      <c r="I19" s="464"/>
      <c r="J19" s="464"/>
    </row>
    <row r="20" spans="1:10" x14ac:dyDescent="0.2">
      <c r="A20" s="463" t="s">
        <v>409</v>
      </c>
      <c r="B20" s="464">
        <v>0.83299999999999996</v>
      </c>
      <c r="C20" s="464">
        <v>2.4689999999999999</v>
      </c>
      <c r="D20" s="464">
        <v>1.3220000000000001</v>
      </c>
      <c r="E20" s="464">
        <v>2.2839999999999998</v>
      </c>
      <c r="F20" s="464">
        <v>3.181</v>
      </c>
      <c r="G20" s="464">
        <v>3.121</v>
      </c>
      <c r="H20" s="464">
        <v>1.861</v>
      </c>
      <c r="I20" s="464">
        <v>1.228</v>
      </c>
      <c r="J20" s="464">
        <v>0.45600000000000002</v>
      </c>
    </row>
    <row r="21" spans="1:10" x14ac:dyDescent="0.2">
      <c r="A21" s="463" t="s">
        <v>410</v>
      </c>
      <c r="B21" s="464">
        <v>0.252</v>
      </c>
      <c r="C21" s="464">
        <v>1.0269999999999999</v>
      </c>
      <c r="D21" s="464">
        <v>1.2689999999999999</v>
      </c>
      <c r="E21" s="464">
        <v>1.84</v>
      </c>
      <c r="F21" s="464">
        <v>0.70099999999999996</v>
      </c>
      <c r="G21" s="464">
        <v>0</v>
      </c>
      <c r="H21" s="464">
        <v>0</v>
      </c>
      <c r="I21" s="464">
        <v>0</v>
      </c>
      <c r="J21" s="464">
        <v>0</v>
      </c>
    </row>
    <row r="22" spans="1:10" x14ac:dyDescent="0.2">
      <c r="A22" s="459" t="s">
        <v>411</v>
      </c>
      <c r="B22" s="465">
        <v>45.169000000000004</v>
      </c>
      <c r="C22" s="465">
        <v>41.524000000000001</v>
      </c>
      <c r="D22" s="465">
        <v>37.654000000000003</v>
      </c>
      <c r="E22" s="465">
        <v>33.039000000000001</v>
      </c>
      <c r="F22" s="465">
        <v>19.449000000000002</v>
      </c>
      <c r="G22" s="465">
        <v>20.529</v>
      </c>
      <c r="H22" s="465">
        <v>20.957000000000004</v>
      </c>
      <c r="I22" s="465">
        <v>28.914000000000005</v>
      </c>
      <c r="J22" s="465">
        <v>50.140999999999998</v>
      </c>
    </row>
    <row r="23" spans="1:10" x14ac:dyDescent="0.2">
      <c r="A23" s="462"/>
      <c r="B23" s="464"/>
      <c r="C23" s="464"/>
      <c r="D23" s="464"/>
      <c r="E23" s="464"/>
      <c r="F23" s="464"/>
      <c r="G23" s="464"/>
      <c r="H23" s="464"/>
      <c r="I23" s="464"/>
      <c r="J23" s="464"/>
    </row>
    <row r="24" spans="1:10" x14ac:dyDescent="0.2">
      <c r="A24" s="459" t="s">
        <v>412</v>
      </c>
      <c r="B24" s="465">
        <v>15.617000000000001</v>
      </c>
      <c r="C24" s="465">
        <v>14.793999999999999</v>
      </c>
      <c r="D24" s="465">
        <v>14.458000000000002</v>
      </c>
      <c r="E24" s="465">
        <v>13.358999999999998</v>
      </c>
      <c r="F24" s="465">
        <v>14.227</v>
      </c>
      <c r="G24" s="465">
        <v>28.664000000000001</v>
      </c>
      <c r="H24" s="465">
        <v>50.286999999999999</v>
      </c>
      <c r="I24" s="465">
        <v>51.141999999999996</v>
      </c>
      <c r="J24" s="465">
        <v>43.17</v>
      </c>
    </row>
    <row r="25" spans="1:10" x14ac:dyDescent="0.2">
      <c r="A25" s="463" t="s">
        <v>413</v>
      </c>
      <c r="B25" s="464">
        <v>2.282</v>
      </c>
      <c r="C25" s="464">
        <v>3.484</v>
      </c>
      <c r="D25" s="464">
        <v>4.0540000000000003</v>
      </c>
      <c r="E25" s="464">
        <v>2.891</v>
      </c>
      <c r="F25" s="464">
        <v>2.3149999999999999</v>
      </c>
      <c r="G25" s="464">
        <v>1.8109999999999999</v>
      </c>
      <c r="H25" s="464">
        <v>1.4970000000000001</v>
      </c>
      <c r="I25" s="464">
        <v>0.82699999999999996</v>
      </c>
      <c r="J25" s="464">
        <v>3.1709999999999998</v>
      </c>
    </row>
    <row r="26" spans="1:10" x14ac:dyDescent="0.2">
      <c r="A26" s="463" t="s">
        <v>414</v>
      </c>
      <c r="B26" s="464">
        <v>0.84799999999999998</v>
      </c>
      <c r="C26" s="464">
        <v>1.0329999999999999</v>
      </c>
      <c r="D26" s="464">
        <v>0.76100000000000001</v>
      </c>
      <c r="E26" s="464">
        <v>1.9059999999999999</v>
      </c>
      <c r="F26" s="464">
        <v>3.6970000000000001</v>
      </c>
      <c r="G26" s="464">
        <v>7.3239999999999998</v>
      </c>
      <c r="H26" s="464">
        <v>15.420999999999999</v>
      </c>
      <c r="I26" s="464">
        <v>14.590999999999999</v>
      </c>
      <c r="J26" s="464">
        <v>21.52</v>
      </c>
    </row>
    <row r="27" spans="1:10" x14ac:dyDescent="0.2">
      <c r="A27" s="463" t="s">
        <v>415</v>
      </c>
      <c r="B27" s="464">
        <v>12.487</v>
      </c>
      <c r="C27" s="464">
        <v>10.276999999999999</v>
      </c>
      <c r="D27" s="464">
        <v>9.6430000000000007</v>
      </c>
      <c r="E27" s="464">
        <v>8.5619999999999994</v>
      </c>
      <c r="F27" s="464">
        <v>8.2149999999999999</v>
      </c>
      <c r="G27" s="464">
        <v>19.529</v>
      </c>
      <c r="H27" s="464">
        <v>33.369</v>
      </c>
      <c r="I27" s="464">
        <v>35.723999999999997</v>
      </c>
      <c r="J27" s="464">
        <v>18.478999999999999</v>
      </c>
    </row>
    <row r="28" spans="1:10" x14ac:dyDescent="0.2">
      <c r="A28" s="462"/>
      <c r="B28" s="464"/>
      <c r="C28" s="464"/>
      <c r="D28" s="464"/>
      <c r="E28" s="464"/>
      <c r="F28" s="464"/>
      <c r="G28" s="464"/>
      <c r="H28" s="464"/>
      <c r="I28" s="464"/>
      <c r="J28" s="464"/>
    </row>
    <row r="29" spans="1:10" x14ac:dyDescent="0.2">
      <c r="A29" s="463" t="s">
        <v>416</v>
      </c>
      <c r="B29" s="464">
        <v>0.3</v>
      </c>
      <c r="C29" s="464">
        <v>0.19</v>
      </c>
      <c r="D29" s="464">
        <v>0.17499999999999999</v>
      </c>
      <c r="E29" s="464">
        <v>1.4999999999999999E-2</v>
      </c>
      <c r="F29" s="464">
        <v>0.20899999999999999</v>
      </c>
      <c r="G29" s="464">
        <v>0.189</v>
      </c>
      <c r="H29" s="464">
        <v>0.17</v>
      </c>
      <c r="I29" s="464">
        <v>0.14099999999999999</v>
      </c>
      <c r="J29" s="464">
        <v>0.16900000000000001</v>
      </c>
    </row>
    <row r="30" spans="1:10" x14ac:dyDescent="0.2">
      <c r="A30" s="463" t="s">
        <v>417</v>
      </c>
      <c r="B30" s="464">
        <v>0.65600000000000003</v>
      </c>
      <c r="C30" s="464">
        <v>0.71699999999999997</v>
      </c>
      <c r="D30" s="464">
        <v>0.748</v>
      </c>
      <c r="E30" s="464">
        <v>7.4999999999999997E-2</v>
      </c>
      <c r="F30" s="464">
        <v>0.752</v>
      </c>
      <c r="G30" s="464">
        <v>0.80200000000000005</v>
      </c>
      <c r="H30" s="464">
        <v>0.80600000000000005</v>
      </c>
      <c r="I30" s="464">
        <v>1.3380000000000001</v>
      </c>
      <c r="J30" s="464">
        <v>1.454</v>
      </c>
    </row>
    <row r="31" spans="1:10" x14ac:dyDescent="0.2">
      <c r="A31" s="463" t="s">
        <v>418</v>
      </c>
      <c r="B31" s="464">
        <v>0</v>
      </c>
      <c r="C31" s="464">
        <v>0</v>
      </c>
      <c r="D31" s="464">
        <v>0</v>
      </c>
      <c r="E31" s="464">
        <v>0</v>
      </c>
      <c r="F31" s="464">
        <v>0</v>
      </c>
      <c r="G31" s="464">
        <v>0</v>
      </c>
      <c r="H31" s="464">
        <v>0</v>
      </c>
      <c r="I31" s="464">
        <v>0</v>
      </c>
      <c r="J31" s="464">
        <v>0</v>
      </c>
    </row>
    <row r="32" spans="1:10" x14ac:dyDescent="0.2">
      <c r="A32" s="463" t="s">
        <v>419</v>
      </c>
      <c r="B32" s="464">
        <v>0.56499999999999995</v>
      </c>
      <c r="C32" s="464">
        <v>1.2629999999999999</v>
      </c>
      <c r="D32" s="464">
        <v>1.635</v>
      </c>
      <c r="E32" s="464">
        <v>2.7069999999999999</v>
      </c>
      <c r="F32" s="464">
        <v>4.18</v>
      </c>
      <c r="G32" s="464">
        <v>1.5169999999999999</v>
      </c>
      <c r="H32" s="464">
        <v>1.37</v>
      </c>
      <c r="I32" s="464">
        <v>2.0289999999999999</v>
      </c>
      <c r="J32" s="464">
        <v>3.8079999999999998</v>
      </c>
    </row>
    <row r="33" spans="1:10" x14ac:dyDescent="0.2">
      <c r="A33" s="463" t="s">
        <v>420</v>
      </c>
      <c r="B33" s="464">
        <v>0</v>
      </c>
      <c r="C33" s="464">
        <v>0</v>
      </c>
      <c r="D33" s="464">
        <v>0</v>
      </c>
      <c r="E33" s="464">
        <v>0</v>
      </c>
      <c r="F33" s="464">
        <v>1.2549999999999999</v>
      </c>
      <c r="G33" s="464">
        <v>0</v>
      </c>
      <c r="H33" s="464">
        <v>0</v>
      </c>
      <c r="I33" s="464">
        <v>0</v>
      </c>
      <c r="J33" s="464">
        <v>0</v>
      </c>
    </row>
    <row r="34" spans="1:10" x14ac:dyDescent="0.2">
      <c r="A34" s="463" t="s">
        <v>421</v>
      </c>
      <c r="B34" s="464">
        <v>0</v>
      </c>
      <c r="C34" s="464">
        <v>0</v>
      </c>
      <c r="D34" s="464">
        <v>0</v>
      </c>
      <c r="E34" s="464">
        <v>0</v>
      </c>
      <c r="F34" s="464">
        <v>0</v>
      </c>
      <c r="G34" s="464">
        <v>0.17199999999999999</v>
      </c>
      <c r="H34" s="464">
        <v>0</v>
      </c>
      <c r="I34" s="464">
        <v>0</v>
      </c>
      <c r="J34" s="464">
        <v>0</v>
      </c>
    </row>
    <row r="35" spans="1:10" x14ac:dyDescent="0.2">
      <c r="A35" s="463" t="s">
        <v>422</v>
      </c>
      <c r="B35" s="464">
        <v>0</v>
      </c>
      <c r="C35" s="464">
        <v>0</v>
      </c>
      <c r="D35" s="464">
        <v>0</v>
      </c>
      <c r="E35" s="464">
        <v>0</v>
      </c>
      <c r="F35" s="464">
        <v>0</v>
      </c>
      <c r="G35" s="464">
        <v>0.252</v>
      </c>
      <c r="H35" s="464">
        <v>0</v>
      </c>
      <c r="I35" s="464">
        <v>0</v>
      </c>
      <c r="J35" s="464">
        <v>0</v>
      </c>
    </row>
    <row r="36" spans="1:10" x14ac:dyDescent="0.2">
      <c r="A36" s="463" t="s">
        <v>423</v>
      </c>
      <c r="B36" s="464">
        <v>0</v>
      </c>
      <c r="C36" s="464">
        <v>0</v>
      </c>
      <c r="D36" s="464">
        <v>0</v>
      </c>
      <c r="E36" s="464">
        <v>0</v>
      </c>
      <c r="F36" s="464">
        <v>0</v>
      </c>
      <c r="G36" s="464">
        <v>0</v>
      </c>
      <c r="H36" s="464">
        <v>1.099</v>
      </c>
      <c r="I36" s="464">
        <v>1.1519999999999999</v>
      </c>
      <c r="J36" s="464">
        <v>0</v>
      </c>
    </row>
    <row r="37" spans="1:10" x14ac:dyDescent="0.2">
      <c r="A37" s="462"/>
      <c r="B37" s="464"/>
      <c r="C37" s="464"/>
      <c r="D37" s="464"/>
      <c r="E37" s="464"/>
      <c r="F37" s="464"/>
      <c r="G37" s="464"/>
      <c r="H37" s="464"/>
      <c r="I37" s="464"/>
      <c r="J37" s="464"/>
    </row>
    <row r="38" spans="1:10" x14ac:dyDescent="0.2">
      <c r="A38" s="459" t="s">
        <v>206</v>
      </c>
      <c r="B38" s="465">
        <v>62.306999999999995</v>
      </c>
      <c r="C38" s="465">
        <v>58.487999999999992</v>
      </c>
      <c r="D38" s="465">
        <v>54.67</v>
      </c>
      <c r="E38" s="465">
        <v>49.195</v>
      </c>
      <c r="F38" s="465">
        <v>40.07200000000001</v>
      </c>
      <c r="G38" s="465">
        <v>52.125</v>
      </c>
      <c r="H38" s="465">
        <v>74.689000000000007</v>
      </c>
      <c r="I38" s="465">
        <v>84.715999999999994</v>
      </c>
      <c r="J38" s="465">
        <v>98.74199999999999</v>
      </c>
    </row>
    <row r="39" spans="1:10" x14ac:dyDescent="0.2">
      <c r="A39" s="436"/>
      <c r="B39" s="436"/>
      <c r="C39" s="436"/>
      <c r="D39" s="436"/>
      <c r="E39" s="436"/>
      <c r="F39" s="436"/>
      <c r="G39" s="436"/>
      <c r="H39" s="436"/>
      <c r="I39" s="436"/>
      <c r="J39" s="436"/>
    </row>
    <row r="40" spans="1:10" x14ac:dyDescent="0.2">
      <c r="A40" s="459" t="s">
        <v>207</v>
      </c>
      <c r="B40" s="466"/>
      <c r="C40" s="466"/>
      <c r="D40" s="466"/>
      <c r="E40" s="466"/>
      <c r="F40" s="466"/>
      <c r="G40" s="466"/>
      <c r="H40" s="466"/>
      <c r="I40" s="466"/>
      <c r="J40" s="466"/>
    </row>
    <row r="41" spans="1:10" x14ac:dyDescent="0.2">
      <c r="A41" s="433"/>
      <c r="B41" s="433"/>
      <c r="C41" s="433"/>
      <c r="D41" s="433"/>
      <c r="E41" s="433"/>
      <c r="F41" s="433"/>
      <c r="G41" s="433"/>
      <c r="H41" s="433"/>
      <c r="I41" s="433"/>
      <c r="J41" s="433"/>
    </row>
    <row r="42" spans="1:10" x14ac:dyDescent="0.2">
      <c r="A42" s="459" t="s">
        <v>424</v>
      </c>
      <c r="B42" s="465">
        <v>38.661000000000001</v>
      </c>
      <c r="C42" s="465">
        <v>36.563000000000002</v>
      </c>
      <c r="D42" s="465">
        <v>29.977</v>
      </c>
      <c r="E42" s="465">
        <v>23.491</v>
      </c>
      <c r="F42" s="465">
        <v>19.134</v>
      </c>
      <c r="G42" s="465">
        <v>24.6</v>
      </c>
      <c r="H42" s="465">
        <v>35.585000000000001</v>
      </c>
      <c r="I42" s="465">
        <v>46.561999999999998</v>
      </c>
      <c r="J42" s="465">
        <v>48.811</v>
      </c>
    </row>
    <row r="43" spans="1:10" x14ac:dyDescent="0.2">
      <c r="A43" s="467"/>
      <c r="B43" s="465"/>
      <c r="C43" s="465"/>
      <c r="D43" s="465"/>
      <c r="E43" s="465"/>
      <c r="F43" s="465"/>
      <c r="G43" s="465"/>
      <c r="H43" s="465"/>
      <c r="I43" s="465"/>
      <c r="J43" s="465"/>
    </row>
    <row r="44" spans="1:10" x14ac:dyDescent="0.2">
      <c r="A44" s="459" t="s">
        <v>133</v>
      </c>
      <c r="B44" s="465">
        <v>19.561</v>
      </c>
      <c r="C44" s="465">
        <v>14.195</v>
      </c>
      <c r="D44" s="465">
        <v>16.148</v>
      </c>
      <c r="E44" s="465">
        <v>16.091999999999999</v>
      </c>
      <c r="F44" s="465">
        <v>8.9740000000000002</v>
      </c>
      <c r="G44" s="465">
        <v>13.875</v>
      </c>
      <c r="H44" s="465">
        <v>20.456999999999997</v>
      </c>
      <c r="I44" s="465">
        <v>27.646999999999998</v>
      </c>
      <c r="J44" s="465">
        <v>30.268000000000004</v>
      </c>
    </row>
    <row r="45" spans="1:10" x14ac:dyDescent="0.2">
      <c r="A45" s="463" t="s">
        <v>425</v>
      </c>
      <c r="B45" s="464">
        <v>5.5170000000000003</v>
      </c>
      <c r="C45" s="464">
        <v>5.2240000000000002</v>
      </c>
      <c r="D45" s="464">
        <v>4.0789999999999997</v>
      </c>
      <c r="E45" s="464">
        <v>4.0720000000000001</v>
      </c>
      <c r="F45" s="464">
        <v>1.3720000000000001</v>
      </c>
      <c r="G45" s="464">
        <v>9.4269999999999996</v>
      </c>
      <c r="H45" s="464">
        <v>15.122</v>
      </c>
      <c r="I45" s="464">
        <v>11.082000000000001</v>
      </c>
      <c r="J45" s="464">
        <v>9.3759999999999994</v>
      </c>
    </row>
    <row r="46" spans="1:10" x14ac:dyDescent="0.2">
      <c r="A46" s="463" t="s">
        <v>426</v>
      </c>
      <c r="B46" s="464">
        <v>0</v>
      </c>
      <c r="C46" s="464">
        <v>0.65200000000000002</v>
      </c>
      <c r="D46" s="464">
        <v>0.497</v>
      </c>
      <c r="E46" s="464">
        <v>0.47899999999999998</v>
      </c>
      <c r="F46" s="464">
        <v>0.80900000000000005</v>
      </c>
      <c r="G46" s="464">
        <v>2.0910000000000002</v>
      </c>
      <c r="H46" s="464">
        <v>2.54</v>
      </c>
      <c r="I46" s="464">
        <v>2.7639999999999998</v>
      </c>
      <c r="J46" s="464">
        <v>2.5059999999999998</v>
      </c>
    </row>
    <row r="47" spans="1:10" x14ac:dyDescent="0.2">
      <c r="A47" s="463" t="s">
        <v>427</v>
      </c>
      <c r="B47" s="464">
        <v>13.2</v>
      </c>
      <c r="C47" s="464">
        <v>5.556</v>
      </c>
      <c r="D47" s="464">
        <v>8.02</v>
      </c>
      <c r="E47" s="464">
        <v>9.4160000000000004</v>
      </c>
      <c r="F47" s="464">
        <v>6.665</v>
      </c>
      <c r="G47" s="464">
        <v>2.25</v>
      </c>
      <c r="H47" s="464">
        <v>2.7349999999999999</v>
      </c>
      <c r="I47" s="464">
        <v>10.971</v>
      </c>
      <c r="J47" s="464">
        <v>17.702000000000002</v>
      </c>
    </row>
    <row r="48" spans="1:10" x14ac:dyDescent="0.2">
      <c r="A48" s="463" t="s">
        <v>428</v>
      </c>
      <c r="B48" s="464">
        <v>0.82399999999999995</v>
      </c>
      <c r="C48" s="464">
        <v>2.5470000000000002</v>
      </c>
      <c r="D48" s="464">
        <v>2.339</v>
      </c>
      <c r="E48" s="464">
        <v>0</v>
      </c>
      <c r="F48" s="464">
        <v>0</v>
      </c>
      <c r="G48" s="464">
        <v>0</v>
      </c>
      <c r="H48" s="464">
        <v>0</v>
      </c>
      <c r="I48" s="464">
        <v>0</v>
      </c>
      <c r="J48" s="464">
        <v>0</v>
      </c>
    </row>
    <row r="49" spans="1:10" x14ac:dyDescent="0.2">
      <c r="A49" s="463" t="s">
        <v>429</v>
      </c>
      <c r="B49" s="464">
        <v>0.02</v>
      </c>
      <c r="C49" s="464">
        <v>0.216</v>
      </c>
      <c r="D49" s="464">
        <v>1.2130000000000001</v>
      </c>
      <c r="E49" s="464">
        <v>2.125</v>
      </c>
      <c r="F49" s="464">
        <v>0.128</v>
      </c>
      <c r="G49" s="464">
        <v>0.107</v>
      </c>
      <c r="H49" s="464">
        <v>0.06</v>
      </c>
      <c r="I49" s="464">
        <v>2.83</v>
      </c>
      <c r="J49" s="464">
        <v>0.68400000000000005</v>
      </c>
    </row>
    <row r="50" spans="1:10" x14ac:dyDescent="0.2">
      <c r="A50" s="462"/>
      <c r="B50" s="464"/>
      <c r="C50" s="464"/>
      <c r="D50" s="464"/>
      <c r="E50" s="464"/>
      <c r="F50" s="464"/>
      <c r="G50" s="464"/>
      <c r="H50" s="464"/>
      <c r="I50" s="464"/>
      <c r="J50" s="464"/>
    </row>
    <row r="51" spans="1:10" x14ac:dyDescent="0.2">
      <c r="A51" s="459" t="s">
        <v>430</v>
      </c>
      <c r="B51" s="465">
        <v>58.222000000000001</v>
      </c>
      <c r="C51" s="465">
        <v>50.758000000000003</v>
      </c>
      <c r="D51" s="465">
        <v>46.125</v>
      </c>
      <c r="E51" s="465">
        <v>39.582999999999998</v>
      </c>
      <c r="F51" s="465">
        <v>28.108000000000001</v>
      </c>
      <c r="G51" s="465">
        <v>38.475000000000001</v>
      </c>
      <c r="H51" s="465">
        <v>56.042000000000002</v>
      </c>
      <c r="I51" s="465">
        <v>74.209000000000003</v>
      </c>
      <c r="J51" s="465">
        <v>79.079000000000008</v>
      </c>
    </row>
    <row r="52" spans="1:10" x14ac:dyDescent="0.2">
      <c r="A52" s="462"/>
      <c r="B52" s="464"/>
      <c r="C52" s="464"/>
      <c r="D52" s="464"/>
      <c r="E52" s="464"/>
      <c r="F52" s="464"/>
      <c r="G52" s="464"/>
      <c r="H52" s="464"/>
      <c r="I52" s="464"/>
      <c r="J52" s="464"/>
    </row>
    <row r="53" spans="1:10" x14ac:dyDescent="0.2">
      <c r="A53" s="463" t="s">
        <v>431</v>
      </c>
      <c r="B53" s="464">
        <v>0</v>
      </c>
      <c r="C53" s="464">
        <v>0</v>
      </c>
      <c r="D53" s="464">
        <v>0</v>
      </c>
      <c r="E53" s="464">
        <v>0</v>
      </c>
      <c r="F53" s="464">
        <v>0</v>
      </c>
      <c r="G53" s="464">
        <v>0</v>
      </c>
      <c r="H53" s="464">
        <v>0.75700000000000001</v>
      </c>
      <c r="I53" s="464">
        <v>1.4730000000000001</v>
      </c>
      <c r="J53" s="464">
        <v>9.984</v>
      </c>
    </row>
    <row r="54" spans="1:10" x14ac:dyDescent="0.2">
      <c r="A54" s="463" t="s">
        <v>432</v>
      </c>
      <c r="B54" s="464">
        <v>3.4000000000000002E-2</v>
      </c>
      <c r="C54" s="464">
        <v>3.2000000000000001E-2</v>
      </c>
      <c r="D54" s="464">
        <v>5.8000000000000003E-2</v>
      </c>
      <c r="E54" s="464">
        <v>2.4729999999999999</v>
      </c>
      <c r="F54" s="464">
        <v>0.105</v>
      </c>
      <c r="G54" s="464">
        <v>0.18</v>
      </c>
      <c r="H54" s="464">
        <v>0.23899999999999999</v>
      </c>
      <c r="I54" s="464">
        <v>0.23300000000000001</v>
      </c>
      <c r="J54" s="464">
        <v>0.35399999999999998</v>
      </c>
    </row>
    <row r="55" spans="1:10" x14ac:dyDescent="0.2">
      <c r="A55" s="463" t="s">
        <v>433</v>
      </c>
      <c r="B55" s="464">
        <v>5.0999999999999997E-2</v>
      </c>
      <c r="C55" s="464">
        <v>4.9000000000000002E-2</v>
      </c>
      <c r="D55" s="464">
        <v>0.221</v>
      </c>
      <c r="E55" s="464">
        <v>0</v>
      </c>
      <c r="F55" s="464">
        <v>5.3239999999999998</v>
      </c>
      <c r="G55" s="464">
        <v>7.5039999999999996</v>
      </c>
      <c r="H55" s="464">
        <v>13</v>
      </c>
      <c r="I55" s="464">
        <v>1</v>
      </c>
      <c r="J55" s="464">
        <v>3</v>
      </c>
    </row>
    <row r="56" spans="1:10" x14ac:dyDescent="0.2">
      <c r="A56" s="462"/>
      <c r="B56" s="464"/>
      <c r="C56" s="464"/>
      <c r="D56" s="464"/>
      <c r="E56" s="464"/>
      <c r="F56" s="464"/>
      <c r="G56" s="464"/>
      <c r="H56" s="464"/>
      <c r="I56" s="464"/>
      <c r="J56" s="464"/>
    </row>
    <row r="57" spans="1:10" x14ac:dyDescent="0.2">
      <c r="A57" s="459" t="s">
        <v>259</v>
      </c>
      <c r="B57" s="465">
        <v>58.307000000000002</v>
      </c>
      <c r="C57" s="465">
        <v>50.838999999999999</v>
      </c>
      <c r="D57" s="465">
        <v>46.403999999999996</v>
      </c>
      <c r="E57" s="465">
        <v>42.055999999999997</v>
      </c>
      <c r="F57" s="465">
        <v>33.536999999999999</v>
      </c>
      <c r="G57" s="465">
        <v>46.158999999999999</v>
      </c>
      <c r="H57" s="465">
        <v>70.037999999999997</v>
      </c>
      <c r="I57" s="465">
        <v>76.915000000000006</v>
      </c>
      <c r="J57" s="465">
        <v>92.417000000000002</v>
      </c>
    </row>
    <row r="58" spans="1:10" x14ac:dyDescent="0.2">
      <c r="A58" s="462"/>
      <c r="B58" s="464"/>
      <c r="C58" s="464"/>
      <c r="D58" s="464"/>
      <c r="E58" s="464"/>
      <c r="F58" s="464"/>
      <c r="G58" s="464"/>
      <c r="H58" s="464"/>
      <c r="I58" s="464"/>
      <c r="J58" s="464"/>
    </row>
    <row r="59" spans="1:10" x14ac:dyDescent="0.2">
      <c r="A59" s="459" t="s">
        <v>434</v>
      </c>
      <c r="B59" s="465">
        <v>3.6459999999999999</v>
      </c>
      <c r="C59" s="465">
        <v>6.3730000000000002</v>
      </c>
      <c r="D59" s="465">
        <v>6.266</v>
      </c>
      <c r="E59" s="465">
        <v>6.24</v>
      </c>
      <c r="F59" s="465">
        <v>5.532</v>
      </c>
      <c r="G59" s="465">
        <v>5.532</v>
      </c>
      <c r="H59" s="465">
        <v>5.2210000000000001</v>
      </c>
      <c r="I59" s="465">
        <v>5.0510000000000002</v>
      </c>
      <c r="J59" s="465">
        <v>5.0510000000000002</v>
      </c>
    </row>
    <row r="60" spans="1:10" x14ac:dyDescent="0.2">
      <c r="A60" s="463" t="s">
        <v>435</v>
      </c>
      <c r="B60" s="464">
        <v>0</v>
      </c>
      <c r="C60" s="464">
        <v>0</v>
      </c>
      <c r="D60" s="464">
        <v>0</v>
      </c>
      <c r="E60" s="464">
        <v>0</v>
      </c>
      <c r="F60" s="464">
        <v>0</v>
      </c>
      <c r="G60" s="464">
        <v>0</v>
      </c>
      <c r="H60" s="464">
        <v>0</v>
      </c>
      <c r="I60" s="464">
        <v>0</v>
      </c>
      <c r="J60" s="464">
        <v>1.153</v>
      </c>
    </row>
    <row r="61" spans="1:10" s="359" customFormat="1" ht="12.75" customHeight="1" x14ac:dyDescent="0.2">
      <c r="A61" s="459" t="s">
        <v>107</v>
      </c>
      <c r="B61" s="465">
        <v>0</v>
      </c>
      <c r="C61" s="465">
        <v>0</v>
      </c>
      <c r="D61" s="465">
        <v>0.373</v>
      </c>
      <c r="E61" s="465">
        <v>0</v>
      </c>
      <c r="F61" s="465">
        <v>1.0029999999999999</v>
      </c>
      <c r="G61" s="465">
        <v>0</v>
      </c>
      <c r="H61" s="465">
        <v>0</v>
      </c>
      <c r="I61" s="465">
        <v>2.9140000000000001</v>
      </c>
      <c r="J61" s="465">
        <v>2.2669999999999999</v>
      </c>
    </row>
    <row r="62" spans="1:10" ht="12.75" customHeight="1" x14ac:dyDescent="0.2">
      <c r="A62" s="463"/>
      <c r="B62" s="464"/>
      <c r="C62" s="464"/>
      <c r="D62" s="464"/>
      <c r="E62" s="464"/>
      <c r="F62" s="464"/>
      <c r="G62" s="464"/>
      <c r="H62" s="464"/>
      <c r="I62" s="464"/>
      <c r="J62" s="464"/>
    </row>
    <row r="63" spans="1:10" ht="12.75" customHeight="1" x14ac:dyDescent="0.2">
      <c r="A63" s="463" t="s">
        <v>420</v>
      </c>
      <c r="B63" s="464">
        <v>0.20399999999999999</v>
      </c>
      <c r="C63" s="464">
        <v>1.2490000000000001</v>
      </c>
      <c r="D63" s="464">
        <v>1.629</v>
      </c>
      <c r="E63" s="464">
        <v>0.89200000000000002</v>
      </c>
      <c r="F63" s="464">
        <v>0</v>
      </c>
      <c r="G63" s="464">
        <v>0</v>
      </c>
      <c r="H63" s="464">
        <v>0</v>
      </c>
      <c r="I63" s="464">
        <v>0</v>
      </c>
      <c r="J63" s="464">
        <v>0</v>
      </c>
    </row>
    <row r="64" spans="1:10" ht="12.75" customHeight="1" x14ac:dyDescent="0.2">
      <c r="A64" s="463"/>
      <c r="B64" s="464"/>
      <c r="C64" s="464"/>
      <c r="D64" s="464"/>
      <c r="E64" s="464"/>
      <c r="F64" s="464"/>
      <c r="G64" s="464"/>
      <c r="H64" s="464"/>
      <c r="I64" s="464"/>
      <c r="J64" s="464"/>
    </row>
    <row r="65" spans="1:72" ht="12.75" customHeight="1" x14ac:dyDescent="0.2">
      <c r="A65" s="463" t="s">
        <v>436</v>
      </c>
      <c r="B65" s="464">
        <v>0</v>
      </c>
      <c r="C65" s="464">
        <v>0</v>
      </c>
      <c r="D65" s="464">
        <v>0</v>
      </c>
      <c r="E65" s="464">
        <v>0</v>
      </c>
      <c r="F65" s="464">
        <v>0</v>
      </c>
      <c r="G65" s="464">
        <v>0</v>
      </c>
      <c r="H65" s="464">
        <v>0</v>
      </c>
      <c r="I65" s="464">
        <v>0</v>
      </c>
      <c r="J65" s="464">
        <v>0</v>
      </c>
    </row>
    <row r="66" spans="1:72" ht="12.75" customHeight="1" x14ac:dyDescent="0.2">
      <c r="A66" s="463"/>
      <c r="B66" s="464"/>
      <c r="C66" s="464"/>
      <c r="D66" s="464"/>
      <c r="E66" s="464"/>
      <c r="F66" s="464"/>
      <c r="G66" s="464"/>
      <c r="H66" s="464"/>
      <c r="I66" s="464"/>
      <c r="J66" s="464"/>
    </row>
    <row r="67" spans="1:72" s="359" customFormat="1" ht="12.75" customHeight="1" x14ac:dyDescent="0.2">
      <c r="A67" s="459" t="s">
        <v>261</v>
      </c>
      <c r="B67" s="465">
        <v>62.157000000000004</v>
      </c>
      <c r="C67" s="465">
        <v>58.460999999999999</v>
      </c>
      <c r="D67" s="465">
        <v>54.67199999999999</v>
      </c>
      <c r="E67" s="465">
        <v>49.188000000000002</v>
      </c>
      <c r="F67" s="465">
        <v>40.072000000000003</v>
      </c>
      <c r="G67" s="465">
        <v>51.691000000000003</v>
      </c>
      <c r="H67" s="465">
        <v>75.259</v>
      </c>
      <c r="I67" s="465">
        <v>84.88</v>
      </c>
      <c r="J67" s="465">
        <v>98.621000000000009</v>
      </c>
    </row>
    <row r="68" spans="1:72" s="359" customFormat="1" ht="12.75" customHeight="1" x14ac:dyDescent="0.2">
      <c r="A68" s="459"/>
      <c r="B68" s="465"/>
      <c r="C68" s="465"/>
      <c r="D68" s="465"/>
      <c r="E68" s="465"/>
      <c r="F68" s="465"/>
      <c r="G68" s="465"/>
      <c r="H68" s="465"/>
      <c r="I68" s="465"/>
      <c r="J68" s="465"/>
    </row>
    <row r="69" spans="1:72" s="359" customFormat="1" ht="12.75" customHeight="1" x14ac:dyDescent="0.2">
      <c r="A69" s="459" t="s">
        <v>262</v>
      </c>
      <c r="B69" s="465">
        <v>2.988</v>
      </c>
      <c r="C69" s="465">
        <v>16.305</v>
      </c>
      <c r="D69" s="465">
        <v>17.943000000000001</v>
      </c>
      <c r="E69" s="465">
        <v>46.879000000000005</v>
      </c>
      <c r="F69" s="465">
        <v>50.5749</v>
      </c>
      <c r="G69" s="465">
        <v>35.227000000000004</v>
      </c>
      <c r="H69" s="465">
        <v>53.01</v>
      </c>
      <c r="I69" s="465">
        <v>48.515000000000001</v>
      </c>
      <c r="J69" s="465">
        <v>70.506</v>
      </c>
    </row>
    <row r="70" spans="1:72" ht="12.75" customHeight="1" x14ac:dyDescent="0.2">
      <c r="A70" s="431"/>
      <c r="B70" s="437"/>
      <c r="C70" s="437"/>
      <c r="D70" s="437"/>
      <c r="E70" s="437"/>
      <c r="F70" s="437"/>
      <c r="G70" s="437"/>
      <c r="H70" s="437"/>
      <c r="I70" s="437"/>
      <c r="J70" s="437"/>
    </row>
    <row r="71" spans="1:72" ht="12.75" customHeight="1" x14ac:dyDescent="0.2">
      <c r="A71" s="441"/>
      <c r="B71" s="442"/>
      <c r="C71" s="442"/>
      <c r="D71" s="442"/>
      <c r="E71" s="442"/>
      <c r="F71" s="442"/>
      <c r="G71" s="442"/>
      <c r="H71" s="442"/>
      <c r="I71" s="442"/>
      <c r="J71" s="442"/>
    </row>
    <row r="72" spans="1:72" ht="12.75" customHeight="1" x14ac:dyDescent="0.2">
      <c r="A72" s="433"/>
      <c r="B72" s="437"/>
      <c r="C72" s="437"/>
      <c r="D72" s="437"/>
      <c r="E72" s="437"/>
      <c r="F72" s="437"/>
      <c r="G72" s="437"/>
      <c r="H72" s="437"/>
      <c r="I72" s="437"/>
      <c r="J72" s="437"/>
    </row>
    <row r="73" spans="1:72" ht="12.75" customHeight="1" x14ac:dyDescent="0.2"/>
    <row r="74" spans="1:72" ht="12.75" customHeight="1" x14ac:dyDescent="0.2"/>
    <row r="75" spans="1:72" ht="12.75" customHeight="1" x14ac:dyDescent="0.2"/>
    <row r="76" spans="1:72" x14ac:dyDescent="0.2">
      <c r="A76" s="425"/>
      <c r="B76" s="425"/>
      <c r="C76" s="425"/>
      <c r="D76" s="425"/>
      <c r="E76" s="425"/>
      <c r="F76" s="425"/>
      <c r="G76" s="425"/>
      <c r="H76" s="425"/>
      <c r="I76" s="425"/>
      <c r="J76" s="425"/>
    </row>
    <row r="78" spans="1:72" x14ac:dyDescent="0.2">
      <c r="Y78" s="430"/>
      <c r="Z78" s="430"/>
      <c r="AA78" s="433"/>
      <c r="AB78" s="433"/>
      <c r="AC78" s="433"/>
      <c r="AD78" s="433"/>
      <c r="AE78" s="433"/>
      <c r="AF78" s="433"/>
      <c r="AG78" s="433"/>
      <c r="AH78" s="433"/>
      <c r="AI78" s="433"/>
      <c r="AJ78" s="433"/>
      <c r="AK78" s="433"/>
      <c r="AL78" s="433"/>
      <c r="AM78" s="433"/>
      <c r="AN78" s="433"/>
      <c r="AO78" s="433"/>
      <c r="AP78" s="433"/>
      <c r="AQ78" s="433"/>
      <c r="AR78" s="433"/>
      <c r="AS78" s="433"/>
      <c r="AT78" s="433"/>
      <c r="AU78" s="433"/>
      <c r="AV78" s="433"/>
      <c r="AW78" s="433"/>
      <c r="AX78" s="433"/>
      <c r="AY78" s="433"/>
      <c r="AZ78" s="433"/>
      <c r="BA78" s="433"/>
      <c r="BB78" s="433"/>
      <c r="BC78" s="433"/>
      <c r="BD78" s="433"/>
      <c r="BE78" s="433"/>
      <c r="BF78" s="433"/>
      <c r="BG78" s="433"/>
      <c r="BH78" s="433"/>
      <c r="BI78" s="433"/>
      <c r="BJ78" s="433"/>
      <c r="BK78" s="433"/>
      <c r="BL78" s="433"/>
      <c r="BM78" s="433"/>
      <c r="BN78" s="433"/>
      <c r="BO78" s="433"/>
      <c r="BP78" s="433"/>
      <c r="BQ78" s="433"/>
      <c r="BR78" s="433"/>
      <c r="BS78" s="433"/>
      <c r="BT78" s="433"/>
    </row>
    <row r="79" spans="1:72" x14ac:dyDescent="0.2">
      <c r="A79" s="410"/>
      <c r="Y79" s="430"/>
      <c r="Z79" s="430"/>
      <c r="AA79" s="433"/>
      <c r="AB79" s="433"/>
      <c r="AC79" s="433"/>
      <c r="AD79" s="433"/>
      <c r="AE79" s="433"/>
      <c r="AF79" s="433"/>
      <c r="AG79" s="433"/>
      <c r="AH79" s="433"/>
      <c r="AI79" s="433"/>
      <c r="AJ79" s="433"/>
      <c r="AK79" s="433"/>
      <c r="AL79" s="433"/>
      <c r="AM79" s="433"/>
      <c r="AN79" s="433"/>
      <c r="AO79" s="433"/>
      <c r="AP79" s="433"/>
      <c r="AQ79" s="433"/>
      <c r="AR79" s="433"/>
      <c r="AS79" s="433"/>
      <c r="AT79" s="433"/>
      <c r="AU79" s="433"/>
      <c r="AV79" s="433"/>
      <c r="AW79" s="433"/>
      <c r="AX79" s="433"/>
      <c r="AY79" s="433"/>
      <c r="AZ79" s="433"/>
      <c r="BA79" s="433"/>
      <c r="BB79" s="433"/>
      <c r="BC79" s="433"/>
      <c r="BD79" s="433"/>
      <c r="BE79" s="433"/>
      <c r="BF79" s="433"/>
      <c r="BG79" s="433"/>
      <c r="BH79" s="433"/>
      <c r="BI79" s="433"/>
      <c r="BJ79" s="429" t="s">
        <v>146</v>
      </c>
      <c r="BK79" s="433"/>
      <c r="BL79" s="433"/>
      <c r="BM79" s="433"/>
      <c r="BN79" s="433"/>
      <c r="BO79" s="433"/>
      <c r="BP79" s="433"/>
      <c r="BQ79" s="433"/>
      <c r="BR79" s="433"/>
      <c r="BS79" s="433"/>
      <c r="BT79" s="433"/>
    </row>
    <row r="80" spans="1:72" ht="15" x14ac:dyDescent="0.25">
      <c r="A80" s="128" t="s">
        <v>598</v>
      </c>
      <c r="Y80" s="430"/>
      <c r="Z80" s="430"/>
      <c r="AA80" s="433"/>
      <c r="AB80" s="433"/>
      <c r="AC80" s="433"/>
      <c r="AD80" s="433"/>
      <c r="AE80" s="433"/>
      <c r="AF80" s="433"/>
      <c r="AG80" s="433"/>
      <c r="AH80" s="433"/>
      <c r="AI80" s="433"/>
      <c r="AJ80" s="433"/>
      <c r="AK80" s="433"/>
      <c r="AL80" s="433"/>
      <c r="AM80" s="433"/>
      <c r="AN80" s="433"/>
      <c r="AO80" s="433"/>
      <c r="AP80" s="433"/>
      <c r="AQ80" s="433"/>
      <c r="AR80" s="433"/>
      <c r="AS80" s="433"/>
      <c r="AT80" s="433"/>
      <c r="AU80" s="433"/>
      <c r="AV80" s="433"/>
      <c r="AW80" s="433"/>
      <c r="AX80" s="433"/>
      <c r="AY80" s="433"/>
      <c r="AZ80" s="433"/>
      <c r="BA80" s="433"/>
      <c r="BB80" s="433"/>
      <c r="BC80" s="433"/>
      <c r="BD80" s="433"/>
      <c r="BE80" s="433"/>
      <c r="BF80" s="433"/>
      <c r="BG80" s="433"/>
      <c r="BH80" s="433"/>
      <c r="BI80" s="433"/>
      <c r="BJ80" s="431" t="s">
        <v>147</v>
      </c>
      <c r="BK80" s="433"/>
      <c r="BL80" s="433"/>
      <c r="BM80" s="433"/>
      <c r="BN80" s="433"/>
      <c r="BO80" s="433"/>
      <c r="BP80" s="433"/>
      <c r="BQ80" s="433"/>
      <c r="BR80" s="433"/>
      <c r="BS80" s="433"/>
      <c r="BT80" s="433"/>
    </row>
    <row r="81" spans="1:72" x14ac:dyDescent="0.2">
      <c r="A81" s="108"/>
      <c r="Y81" s="433"/>
      <c r="Z81" s="433"/>
      <c r="AA81" s="433"/>
      <c r="AB81" s="433"/>
      <c r="AC81" s="433"/>
      <c r="AD81" s="433"/>
      <c r="AE81" s="433"/>
      <c r="AF81" s="433"/>
      <c r="AG81" s="433"/>
      <c r="AH81" s="433"/>
      <c r="AI81" s="433"/>
      <c r="AJ81" s="433"/>
      <c r="AK81" s="433"/>
      <c r="AL81" s="433"/>
      <c r="AM81" s="433"/>
      <c r="AN81" s="433"/>
      <c r="AO81" s="433"/>
      <c r="AP81" s="433"/>
      <c r="AQ81" s="433"/>
      <c r="AR81" s="433"/>
      <c r="AS81" s="433"/>
      <c r="AT81" s="433"/>
      <c r="AU81" s="433"/>
      <c r="AV81" s="433"/>
      <c r="AW81" s="433"/>
      <c r="AX81" s="433"/>
      <c r="AY81" s="433"/>
      <c r="AZ81" s="433"/>
      <c r="BA81" s="433"/>
      <c r="BB81" s="433"/>
      <c r="BC81" s="433"/>
      <c r="BD81" s="433"/>
      <c r="BE81" s="433"/>
      <c r="BF81" s="433"/>
      <c r="BG81" s="433"/>
      <c r="BH81" s="433"/>
      <c r="BI81" s="433"/>
      <c r="BJ81" s="433"/>
      <c r="BK81" s="433"/>
      <c r="BL81" s="433"/>
      <c r="BM81" s="433"/>
      <c r="BN81" s="433"/>
      <c r="BO81" s="433"/>
      <c r="BP81" s="433"/>
      <c r="BQ81" s="433"/>
      <c r="BR81" s="433"/>
      <c r="BS81" s="433"/>
      <c r="BT81" s="433"/>
    </row>
    <row r="82" spans="1:72" x14ac:dyDescent="0.2">
      <c r="Y82" s="434"/>
      <c r="Z82" s="434"/>
      <c r="AA82" s="434"/>
      <c r="AB82" s="434"/>
      <c r="AC82" s="434"/>
      <c r="AD82" s="434"/>
      <c r="AE82" s="434"/>
      <c r="AF82" s="434"/>
      <c r="AG82" s="434"/>
      <c r="AH82" s="434"/>
      <c r="AI82" s="434"/>
      <c r="AJ82" s="434"/>
      <c r="AK82" s="434"/>
      <c r="AL82" s="434"/>
      <c r="AM82" s="434"/>
      <c r="AN82" s="434"/>
      <c r="AO82" s="434"/>
      <c r="AP82" s="434"/>
      <c r="AQ82" s="434"/>
      <c r="AR82" s="434"/>
      <c r="AS82" s="434"/>
      <c r="AT82" s="434"/>
      <c r="AU82" s="434"/>
      <c r="AV82" s="434"/>
      <c r="AW82" s="434"/>
      <c r="AX82" s="434"/>
      <c r="AY82" s="433"/>
      <c r="AZ82" s="433"/>
      <c r="BA82" s="433"/>
      <c r="BB82" s="433"/>
      <c r="BC82" s="433"/>
      <c r="BD82" s="433"/>
      <c r="BE82" s="433"/>
      <c r="BF82" s="433"/>
      <c r="BG82" s="433"/>
      <c r="BH82" s="433"/>
      <c r="BI82" s="433"/>
      <c r="BJ82" s="433"/>
      <c r="BK82" s="433"/>
      <c r="BL82" s="433"/>
      <c r="BM82" s="433"/>
      <c r="BN82" s="433"/>
      <c r="BO82" s="433"/>
      <c r="BP82" s="433"/>
      <c r="BQ82" s="433"/>
      <c r="BR82" s="433"/>
      <c r="BS82" s="433"/>
      <c r="BT82" s="433"/>
    </row>
    <row r="83" spans="1:72" x14ac:dyDescent="0.2">
      <c r="Y83" s="443"/>
      <c r="Z83" s="443"/>
      <c r="AA83" s="435"/>
      <c r="AB83" s="435"/>
      <c r="AC83" s="435"/>
      <c r="AD83" s="435"/>
      <c r="AE83" s="435"/>
      <c r="AF83" s="435"/>
      <c r="AG83" s="435"/>
      <c r="AH83" s="435"/>
      <c r="AI83" s="435"/>
      <c r="AJ83" s="435"/>
      <c r="AK83" s="435"/>
      <c r="AL83" s="435"/>
      <c r="AM83" s="435"/>
      <c r="AN83" s="435"/>
      <c r="AO83" s="435"/>
      <c r="AP83" s="435"/>
      <c r="AQ83" s="435"/>
      <c r="AR83" s="435"/>
      <c r="AS83" s="435"/>
      <c r="AT83" s="435"/>
      <c r="AU83" s="435"/>
      <c r="AV83" s="435"/>
      <c r="AW83" s="435"/>
      <c r="AX83" s="435"/>
      <c r="AY83" s="433"/>
      <c r="AZ83" s="433"/>
      <c r="BA83" s="433"/>
      <c r="BB83" s="433"/>
      <c r="BC83" s="433"/>
      <c r="BD83" s="433"/>
      <c r="BE83" s="433"/>
      <c r="BF83" s="433"/>
      <c r="BG83" s="433"/>
      <c r="BH83" s="433"/>
      <c r="BI83" s="433"/>
      <c r="BJ83" s="433"/>
      <c r="BK83" s="433"/>
      <c r="BL83" s="433"/>
      <c r="BM83" s="433"/>
      <c r="BN83" s="433"/>
      <c r="BO83" s="433"/>
      <c r="BP83" s="433"/>
      <c r="BQ83" s="433"/>
      <c r="BR83" s="433"/>
      <c r="BS83" s="433"/>
      <c r="BT83" s="433"/>
    </row>
    <row r="84" spans="1:72" x14ac:dyDescent="0.2">
      <c r="Y84" s="443"/>
      <c r="Z84" s="443"/>
      <c r="AA84" s="433"/>
      <c r="AB84" s="433"/>
      <c r="AC84" s="433"/>
      <c r="AD84" s="433"/>
      <c r="AE84" s="433"/>
      <c r="AF84" s="433"/>
      <c r="AG84" s="433"/>
      <c r="AH84" s="433"/>
      <c r="AI84" s="433"/>
      <c r="AJ84" s="433"/>
      <c r="AK84" s="433"/>
      <c r="AL84" s="433"/>
      <c r="AM84" s="433"/>
      <c r="AN84" s="433"/>
      <c r="AO84" s="433"/>
      <c r="AP84" s="433"/>
      <c r="AQ84" s="433"/>
      <c r="AR84" s="433"/>
      <c r="AS84" s="433"/>
      <c r="AT84" s="433"/>
      <c r="AU84" s="433"/>
      <c r="AV84" s="433"/>
      <c r="AW84" s="433"/>
      <c r="AX84" s="433"/>
      <c r="AY84" s="433"/>
      <c r="AZ84" s="433"/>
      <c r="BA84" s="433"/>
      <c r="BB84" s="433"/>
      <c r="BC84" s="433"/>
      <c r="BD84" s="433"/>
      <c r="BE84" s="433"/>
      <c r="BF84" s="433"/>
      <c r="BG84" s="433"/>
      <c r="BH84" s="433"/>
      <c r="BI84" s="433"/>
      <c r="BJ84" s="433"/>
      <c r="BK84" s="433"/>
      <c r="BL84" s="433"/>
      <c r="BM84" s="433"/>
      <c r="BN84" s="433"/>
      <c r="BO84" s="433"/>
      <c r="BP84" s="433"/>
      <c r="BQ84" s="433"/>
      <c r="BR84" s="433"/>
      <c r="BS84" s="433"/>
      <c r="BT84" s="433"/>
    </row>
    <row r="85" spans="1:72" x14ac:dyDescent="0.2">
      <c r="Y85" s="436"/>
      <c r="Z85" s="436"/>
      <c r="AA85" s="436"/>
      <c r="AB85" s="436"/>
      <c r="AC85" s="436"/>
      <c r="AD85" s="436"/>
      <c r="AE85" s="436"/>
      <c r="AF85" s="436"/>
      <c r="AG85" s="436"/>
      <c r="AH85" s="436"/>
      <c r="AI85" s="436"/>
      <c r="AJ85" s="436"/>
      <c r="AK85" s="436"/>
      <c r="AL85" s="436"/>
      <c r="AM85" s="436"/>
      <c r="AN85" s="436"/>
      <c r="AO85" s="436"/>
      <c r="AP85" s="436"/>
      <c r="AQ85" s="436"/>
      <c r="AR85" s="436"/>
      <c r="AS85" s="436"/>
      <c r="AT85" s="436"/>
      <c r="AU85" s="436"/>
      <c r="AV85" s="436"/>
      <c r="AW85" s="436"/>
      <c r="AX85" s="436"/>
      <c r="AY85" s="433"/>
      <c r="AZ85" s="433"/>
      <c r="BA85" s="433"/>
      <c r="BB85" s="433"/>
      <c r="BC85" s="433"/>
      <c r="BD85" s="433"/>
      <c r="BE85" s="433"/>
      <c r="BF85" s="433"/>
      <c r="BG85" s="433"/>
      <c r="BH85" s="433"/>
      <c r="BI85" s="433"/>
      <c r="BJ85" s="433"/>
      <c r="BK85" s="433"/>
      <c r="BL85" s="433"/>
      <c r="BM85" s="433"/>
      <c r="BN85" s="433"/>
      <c r="BO85" s="433"/>
      <c r="BP85" s="433"/>
      <c r="BQ85" s="433"/>
      <c r="BR85" s="433"/>
      <c r="BS85" s="433"/>
      <c r="BT85" s="433"/>
    </row>
    <row r="86" spans="1:72" s="359" customFormat="1" x14ac:dyDescent="0.2">
      <c r="Y86" s="444"/>
      <c r="Z86" s="444"/>
      <c r="AA86" s="445"/>
      <c r="AB86" s="445"/>
      <c r="AC86" s="445"/>
      <c r="AD86" s="445"/>
      <c r="AE86" s="445"/>
      <c r="AF86" s="445"/>
      <c r="AG86" s="445"/>
      <c r="AH86" s="445"/>
      <c r="AI86" s="445"/>
      <c r="AJ86" s="445"/>
      <c r="AK86" s="445"/>
      <c r="AL86" s="445"/>
      <c r="AM86" s="445"/>
      <c r="AN86" s="445"/>
      <c r="AO86" s="445"/>
      <c r="AP86" s="445"/>
      <c r="AQ86" s="445"/>
      <c r="AR86" s="445"/>
      <c r="AS86" s="445"/>
      <c r="AT86" s="445"/>
      <c r="AU86" s="445"/>
      <c r="AV86" s="445"/>
      <c r="AW86" s="445"/>
      <c r="AX86" s="445"/>
      <c r="AY86" s="440"/>
      <c r="AZ86" s="440"/>
      <c r="BA86" s="440"/>
      <c r="BB86" s="440"/>
      <c r="BC86" s="440"/>
      <c r="BD86" s="440"/>
      <c r="BE86" s="440"/>
      <c r="BF86" s="440"/>
      <c r="BG86" s="440"/>
      <c r="BH86" s="440"/>
      <c r="BI86" s="440"/>
      <c r="BJ86" s="440"/>
      <c r="BK86" s="440"/>
      <c r="BL86" s="440"/>
      <c r="BM86" s="440"/>
      <c r="BN86" s="440"/>
      <c r="BO86" s="440"/>
      <c r="BP86" s="440"/>
      <c r="BQ86" s="440"/>
      <c r="BR86" s="440"/>
      <c r="BS86" s="440"/>
      <c r="BT86" s="440"/>
    </row>
    <row r="87" spans="1:72" x14ac:dyDescent="0.2">
      <c r="Y87" s="446"/>
      <c r="Z87" s="446"/>
      <c r="AA87" s="433"/>
      <c r="AB87" s="433"/>
      <c r="AC87" s="433"/>
      <c r="AD87" s="433"/>
      <c r="AE87" s="433"/>
      <c r="AF87" s="433"/>
      <c r="AG87" s="433"/>
      <c r="AH87" s="433"/>
      <c r="AI87" s="433"/>
      <c r="AJ87" s="433"/>
      <c r="AK87" s="433"/>
      <c r="AL87" s="433"/>
      <c r="AM87" s="433"/>
      <c r="AN87" s="433"/>
      <c r="AO87" s="433"/>
      <c r="AP87" s="433"/>
      <c r="AQ87" s="433"/>
      <c r="AR87" s="433"/>
      <c r="AS87" s="433"/>
      <c r="AT87" s="433"/>
      <c r="AU87" s="433"/>
      <c r="AV87" s="433"/>
      <c r="AW87" s="433"/>
      <c r="AX87" s="433"/>
      <c r="AY87" s="433"/>
      <c r="AZ87" s="433"/>
      <c r="BA87" s="433"/>
      <c r="BB87" s="433"/>
      <c r="BC87" s="433"/>
      <c r="BD87" s="433"/>
      <c r="BE87" s="433"/>
      <c r="BF87" s="433"/>
      <c r="BG87" s="433"/>
      <c r="BH87" s="433"/>
      <c r="BI87" s="433"/>
      <c r="BJ87" s="433"/>
      <c r="BK87" s="433"/>
      <c r="BL87" s="433"/>
      <c r="BM87" s="433"/>
      <c r="BN87" s="433"/>
      <c r="BO87" s="433"/>
      <c r="BP87" s="433"/>
      <c r="BQ87" s="433"/>
      <c r="BR87" s="433"/>
      <c r="BS87" s="433"/>
      <c r="BT87" s="433"/>
    </row>
    <row r="88" spans="1:72" x14ac:dyDescent="0.2">
      <c r="Y88" s="446"/>
      <c r="Z88" s="446"/>
      <c r="AA88" s="433"/>
      <c r="AB88" s="433"/>
      <c r="AC88" s="433"/>
      <c r="AD88" s="433"/>
      <c r="AE88" s="433"/>
      <c r="AF88" s="433"/>
      <c r="AG88" s="433"/>
      <c r="AH88" s="433"/>
      <c r="AI88" s="433"/>
      <c r="AJ88" s="433"/>
      <c r="AK88" s="433"/>
      <c r="AL88" s="433"/>
      <c r="AM88" s="433"/>
      <c r="AN88" s="433"/>
      <c r="AO88" s="433"/>
      <c r="AP88" s="433"/>
      <c r="AQ88" s="433"/>
      <c r="AR88" s="433"/>
      <c r="AS88" s="433"/>
      <c r="AT88" s="433"/>
      <c r="AU88" s="433"/>
      <c r="AV88" s="433"/>
      <c r="AW88" s="433"/>
      <c r="AX88" s="433"/>
      <c r="AY88" s="433"/>
      <c r="AZ88" s="433"/>
      <c r="BA88" s="433"/>
      <c r="BB88" s="433"/>
      <c r="BC88" s="433"/>
      <c r="BD88" s="433"/>
      <c r="BE88" s="433"/>
      <c r="BF88" s="433"/>
      <c r="BG88" s="433"/>
      <c r="BH88" s="433"/>
      <c r="BI88" s="433"/>
      <c r="BJ88" s="433"/>
      <c r="BK88" s="433"/>
      <c r="BL88" s="433"/>
      <c r="BM88" s="433"/>
      <c r="BN88" s="433"/>
      <c r="BO88" s="433"/>
      <c r="BP88" s="433"/>
      <c r="BQ88" s="433"/>
      <c r="BR88" s="433"/>
      <c r="BS88" s="433"/>
      <c r="BT88" s="433"/>
    </row>
    <row r="89" spans="1:72" x14ac:dyDescent="0.2">
      <c r="Y89" s="446"/>
      <c r="Z89" s="446"/>
      <c r="AA89" s="433"/>
      <c r="AB89" s="433"/>
      <c r="AC89" s="433"/>
      <c r="AD89" s="433"/>
      <c r="AE89" s="433"/>
      <c r="AF89" s="433"/>
      <c r="AG89" s="433"/>
      <c r="AH89" s="433"/>
      <c r="AI89" s="433"/>
      <c r="AJ89" s="433"/>
      <c r="AK89" s="433"/>
      <c r="AL89" s="433"/>
      <c r="AM89" s="433"/>
      <c r="AN89" s="433"/>
      <c r="AO89" s="433"/>
      <c r="AP89" s="433"/>
      <c r="AQ89" s="433"/>
      <c r="AR89" s="433"/>
      <c r="AS89" s="433"/>
      <c r="AT89" s="433"/>
      <c r="AU89" s="433"/>
      <c r="AV89" s="433"/>
      <c r="AW89" s="433"/>
      <c r="AX89" s="433"/>
      <c r="AY89" s="433"/>
      <c r="AZ89" s="433"/>
      <c r="BA89" s="433"/>
      <c r="BB89" s="433"/>
      <c r="BC89" s="433"/>
      <c r="BD89" s="433"/>
      <c r="BE89" s="433"/>
      <c r="BF89" s="433"/>
      <c r="BG89" s="433"/>
      <c r="BH89" s="433"/>
      <c r="BI89" s="433"/>
      <c r="BJ89" s="433"/>
      <c r="BK89" s="433"/>
      <c r="BL89" s="433"/>
      <c r="BM89" s="433"/>
      <c r="BN89" s="433"/>
      <c r="BO89" s="433"/>
      <c r="BP89" s="433"/>
      <c r="BQ89" s="433"/>
      <c r="BR89" s="433"/>
      <c r="BS89" s="433"/>
      <c r="BT89" s="433"/>
    </row>
    <row r="90" spans="1:72" s="359" customFormat="1" x14ac:dyDescent="0.2">
      <c r="Y90" s="445"/>
      <c r="Z90" s="445"/>
      <c r="AA90" s="445"/>
      <c r="AB90" s="445"/>
      <c r="AC90" s="445"/>
      <c r="AD90" s="445"/>
      <c r="AE90" s="445"/>
      <c r="AF90" s="445"/>
      <c r="AG90" s="445"/>
      <c r="AH90" s="445"/>
      <c r="AI90" s="445"/>
      <c r="AJ90" s="445"/>
      <c r="AK90" s="445"/>
      <c r="AL90" s="445"/>
      <c r="AM90" s="445"/>
      <c r="AN90" s="445"/>
      <c r="AO90" s="445"/>
      <c r="AP90" s="445"/>
      <c r="AQ90" s="445"/>
      <c r="AR90" s="445"/>
      <c r="AS90" s="445"/>
      <c r="AT90" s="445"/>
      <c r="AU90" s="445"/>
      <c r="AV90" s="445"/>
      <c r="AW90" s="445"/>
      <c r="AX90" s="445"/>
      <c r="AY90" s="440"/>
      <c r="AZ90" s="440"/>
      <c r="BA90" s="440"/>
      <c r="BB90" s="440"/>
      <c r="BC90" s="440"/>
      <c r="BD90" s="440"/>
      <c r="BE90" s="440"/>
      <c r="BF90" s="440"/>
      <c r="BG90" s="440"/>
      <c r="BH90" s="440"/>
      <c r="BI90" s="440"/>
      <c r="BJ90" s="440"/>
      <c r="BK90" s="440"/>
      <c r="BL90" s="440"/>
      <c r="BM90" s="440"/>
      <c r="BN90" s="440"/>
      <c r="BO90" s="440"/>
      <c r="BP90" s="440"/>
      <c r="BQ90" s="440"/>
      <c r="BR90" s="440"/>
      <c r="BS90" s="440"/>
      <c r="BT90" s="440"/>
    </row>
    <row r="91" spans="1:72" x14ac:dyDescent="0.2">
      <c r="Y91" s="439"/>
      <c r="Z91" s="439"/>
      <c r="AA91" s="439"/>
      <c r="AB91" s="439"/>
      <c r="AC91" s="439"/>
      <c r="AD91" s="439"/>
      <c r="AE91" s="439"/>
      <c r="AF91" s="439"/>
      <c r="AG91" s="439"/>
      <c r="AH91" s="439"/>
      <c r="AI91" s="439"/>
      <c r="AJ91" s="439"/>
      <c r="AK91" s="439"/>
      <c r="AL91" s="439"/>
      <c r="AM91" s="439"/>
      <c r="AN91" s="439"/>
      <c r="AO91" s="439"/>
      <c r="AP91" s="439"/>
      <c r="AQ91" s="439"/>
      <c r="AR91" s="439"/>
      <c r="AS91" s="439"/>
      <c r="AT91" s="439"/>
      <c r="AU91" s="439"/>
      <c r="AV91" s="439"/>
      <c r="AW91" s="439"/>
      <c r="AX91" s="439"/>
      <c r="AY91" s="433"/>
      <c r="AZ91" s="433"/>
      <c r="BA91" s="433"/>
      <c r="BB91" s="433"/>
      <c r="BC91" s="433"/>
      <c r="BD91" s="433"/>
      <c r="BE91" s="433"/>
      <c r="BF91" s="433"/>
      <c r="BG91" s="433"/>
      <c r="BH91" s="433"/>
      <c r="BI91" s="433"/>
      <c r="BJ91" s="433"/>
      <c r="BK91" s="433"/>
      <c r="BL91" s="433"/>
      <c r="BM91" s="433"/>
      <c r="BN91" s="433"/>
      <c r="BO91" s="433"/>
      <c r="BP91" s="433"/>
      <c r="BQ91" s="433"/>
      <c r="BR91" s="433"/>
      <c r="BS91" s="433"/>
      <c r="BT91" s="433"/>
    </row>
    <row r="92" spans="1:72" x14ac:dyDescent="0.2">
      <c r="Y92" s="439"/>
      <c r="Z92" s="439"/>
      <c r="AA92" s="439"/>
      <c r="AB92" s="439"/>
      <c r="AC92" s="439"/>
      <c r="AD92" s="439"/>
      <c r="AE92" s="439"/>
      <c r="AF92" s="439"/>
      <c r="AG92" s="439"/>
      <c r="AH92" s="439"/>
      <c r="AI92" s="439"/>
      <c r="AJ92" s="439"/>
      <c r="AK92" s="439"/>
      <c r="AL92" s="439"/>
      <c r="AM92" s="439"/>
      <c r="AN92" s="439"/>
      <c r="AO92" s="439"/>
      <c r="AP92" s="439"/>
      <c r="AQ92" s="439"/>
      <c r="AR92" s="439"/>
      <c r="AS92" s="439"/>
      <c r="AT92" s="439"/>
      <c r="AU92" s="439"/>
      <c r="AV92" s="439"/>
      <c r="AW92" s="439"/>
      <c r="AX92" s="439"/>
      <c r="AY92" s="433"/>
      <c r="AZ92" s="433"/>
      <c r="BA92" s="433"/>
      <c r="BB92" s="433"/>
      <c r="BC92" s="433"/>
      <c r="BD92" s="433"/>
      <c r="BE92" s="433"/>
      <c r="BF92" s="433"/>
      <c r="BG92" s="433"/>
      <c r="BH92" s="433"/>
      <c r="BI92" s="433"/>
      <c r="BJ92" s="433"/>
      <c r="BK92" s="433"/>
      <c r="BL92" s="433"/>
      <c r="BM92" s="433"/>
      <c r="BN92" s="433"/>
      <c r="BO92" s="433"/>
      <c r="BP92" s="433"/>
      <c r="BQ92" s="433"/>
      <c r="BR92" s="433"/>
      <c r="BS92" s="433"/>
      <c r="BT92" s="433"/>
    </row>
    <row r="93" spans="1:72" x14ac:dyDescent="0.2">
      <c r="Y93" s="439"/>
      <c r="Z93" s="439"/>
      <c r="AA93" s="439"/>
      <c r="AB93" s="439"/>
      <c r="AC93" s="439"/>
      <c r="AD93" s="439"/>
      <c r="AE93" s="439"/>
      <c r="AF93" s="439"/>
      <c r="AG93" s="439"/>
      <c r="AH93" s="439"/>
      <c r="AI93" s="439"/>
      <c r="AJ93" s="439"/>
      <c r="AK93" s="439"/>
      <c r="AL93" s="439"/>
      <c r="AM93" s="439"/>
      <c r="AN93" s="439"/>
      <c r="AO93" s="439"/>
      <c r="AP93" s="439"/>
      <c r="AQ93" s="439"/>
      <c r="AR93" s="439"/>
      <c r="AS93" s="439"/>
      <c r="AT93" s="439"/>
      <c r="AU93" s="439"/>
      <c r="AV93" s="439"/>
      <c r="AW93" s="439"/>
      <c r="AX93" s="439"/>
      <c r="AY93" s="433"/>
      <c r="AZ93" s="433"/>
      <c r="BA93" s="433"/>
      <c r="BB93" s="433"/>
      <c r="BC93" s="433"/>
      <c r="BD93" s="433"/>
      <c r="BE93" s="433"/>
      <c r="BF93" s="433"/>
      <c r="BG93" s="433"/>
      <c r="BH93" s="433"/>
      <c r="BI93" s="433"/>
      <c r="BJ93" s="433"/>
      <c r="BK93" s="433"/>
      <c r="BL93" s="433"/>
      <c r="BM93" s="433"/>
      <c r="BN93" s="433"/>
      <c r="BO93" s="433"/>
      <c r="BP93" s="433"/>
      <c r="BQ93" s="433"/>
      <c r="BR93" s="433"/>
      <c r="BS93" s="433"/>
      <c r="BT93" s="433"/>
    </row>
    <row r="94" spans="1:72" x14ac:dyDescent="0.2">
      <c r="Y94" s="439"/>
      <c r="Z94" s="439"/>
      <c r="AA94" s="439"/>
      <c r="AB94" s="439"/>
      <c r="AC94" s="439"/>
      <c r="AD94" s="439"/>
      <c r="AE94" s="439"/>
      <c r="AF94" s="439"/>
      <c r="AG94" s="439"/>
      <c r="AH94" s="439"/>
      <c r="AI94" s="439"/>
      <c r="AJ94" s="439"/>
      <c r="AK94" s="439"/>
      <c r="AL94" s="439"/>
      <c r="AM94" s="439"/>
      <c r="AN94" s="439"/>
      <c r="AO94" s="439"/>
      <c r="AP94" s="439"/>
      <c r="AQ94" s="439"/>
      <c r="AR94" s="439"/>
      <c r="AS94" s="439"/>
      <c r="AT94" s="439"/>
      <c r="AU94" s="439"/>
      <c r="AV94" s="439"/>
      <c r="AW94" s="439"/>
      <c r="AX94" s="439"/>
      <c r="AY94" s="433"/>
      <c r="AZ94" s="433"/>
      <c r="BA94" s="433"/>
      <c r="BB94" s="433"/>
      <c r="BC94" s="433"/>
      <c r="BD94" s="433"/>
      <c r="BE94" s="433"/>
      <c r="BF94" s="433"/>
      <c r="BG94" s="433"/>
      <c r="BH94" s="433"/>
      <c r="BI94" s="433"/>
      <c r="BJ94" s="433"/>
      <c r="BK94" s="433"/>
      <c r="BL94" s="433"/>
      <c r="BM94" s="433"/>
      <c r="BN94" s="433"/>
      <c r="BO94" s="433"/>
      <c r="BP94" s="433"/>
      <c r="BQ94" s="433"/>
      <c r="BR94" s="433"/>
      <c r="BS94" s="433"/>
      <c r="BT94" s="433"/>
    </row>
    <row r="95" spans="1:72" x14ac:dyDescent="0.2">
      <c r="Y95" s="439"/>
      <c r="Z95" s="439"/>
      <c r="AA95" s="439"/>
      <c r="AB95" s="439"/>
      <c r="AC95" s="439"/>
      <c r="AD95" s="439"/>
      <c r="AE95" s="439"/>
      <c r="AF95" s="439"/>
      <c r="AG95" s="439"/>
      <c r="AH95" s="439"/>
      <c r="AI95" s="439"/>
      <c r="AJ95" s="439"/>
      <c r="AK95" s="439"/>
      <c r="AL95" s="439"/>
      <c r="AM95" s="439"/>
      <c r="AN95" s="439"/>
      <c r="AO95" s="439"/>
      <c r="AP95" s="439"/>
      <c r="AQ95" s="439"/>
      <c r="AR95" s="439"/>
      <c r="AS95" s="439"/>
      <c r="AT95" s="439"/>
      <c r="AU95" s="439"/>
      <c r="AV95" s="439"/>
      <c r="AW95" s="439"/>
      <c r="AX95" s="447"/>
      <c r="AY95" s="433"/>
      <c r="AZ95" s="433"/>
      <c r="BA95" s="433"/>
      <c r="BB95" s="433"/>
      <c r="BC95" s="433"/>
      <c r="BD95" s="433"/>
      <c r="BE95" s="433"/>
      <c r="BF95" s="433"/>
      <c r="BG95" s="433"/>
      <c r="BH95" s="433"/>
      <c r="BI95" s="433"/>
      <c r="BJ95" s="433"/>
      <c r="BK95" s="433"/>
      <c r="BL95" s="433"/>
      <c r="BM95" s="433"/>
      <c r="BN95" s="433"/>
      <c r="BO95" s="433"/>
      <c r="BP95" s="433"/>
      <c r="BQ95" s="433"/>
      <c r="BR95" s="433"/>
      <c r="BS95" s="433"/>
      <c r="BT95" s="433"/>
    </row>
    <row r="96" spans="1:72" x14ac:dyDescent="0.2">
      <c r="Y96" s="439"/>
      <c r="Z96" s="439"/>
      <c r="AA96" s="439"/>
      <c r="AB96" s="439"/>
      <c r="AC96" s="439"/>
      <c r="AD96" s="439"/>
      <c r="AE96" s="439"/>
      <c r="AF96" s="439"/>
      <c r="AG96" s="439"/>
      <c r="AH96" s="439"/>
      <c r="AI96" s="439"/>
      <c r="AJ96" s="439"/>
      <c r="AK96" s="439"/>
      <c r="AL96" s="439"/>
      <c r="AM96" s="439"/>
      <c r="AN96" s="439"/>
      <c r="AO96" s="439"/>
      <c r="AP96" s="439"/>
      <c r="AQ96" s="439"/>
      <c r="AR96" s="439"/>
      <c r="AS96" s="439"/>
      <c r="AT96" s="439"/>
      <c r="AU96" s="439"/>
      <c r="AV96" s="439"/>
      <c r="AW96" s="439"/>
      <c r="AX96" s="439"/>
      <c r="AY96" s="433"/>
      <c r="AZ96" s="433"/>
      <c r="BA96" s="433"/>
      <c r="BB96" s="433"/>
      <c r="BC96" s="433"/>
      <c r="BD96" s="433"/>
      <c r="BE96" s="433"/>
      <c r="BF96" s="433"/>
      <c r="BG96" s="433"/>
      <c r="BH96" s="433"/>
      <c r="BI96" s="433"/>
      <c r="BJ96" s="433"/>
      <c r="BK96" s="433"/>
      <c r="BL96" s="433"/>
      <c r="BM96" s="433"/>
      <c r="BN96" s="433"/>
      <c r="BO96" s="433"/>
      <c r="BP96" s="433"/>
      <c r="BQ96" s="433"/>
      <c r="BR96" s="433"/>
      <c r="BS96" s="433"/>
      <c r="BT96" s="433"/>
    </row>
    <row r="97" spans="25:72" x14ac:dyDescent="0.2">
      <c r="Y97" s="439"/>
      <c r="Z97" s="439"/>
      <c r="AA97" s="439"/>
      <c r="AB97" s="439"/>
      <c r="AC97" s="439"/>
      <c r="AD97" s="439"/>
      <c r="AE97" s="439"/>
      <c r="AF97" s="439"/>
      <c r="AG97" s="439"/>
      <c r="AH97" s="439"/>
      <c r="AI97" s="439"/>
      <c r="AJ97" s="439"/>
      <c r="AK97" s="439"/>
      <c r="AL97" s="439"/>
      <c r="AM97" s="439"/>
      <c r="AN97" s="439"/>
      <c r="AO97" s="439"/>
      <c r="AP97" s="439"/>
      <c r="AQ97" s="439"/>
      <c r="AR97" s="439"/>
      <c r="AS97" s="439"/>
      <c r="AT97" s="439"/>
      <c r="AU97" s="439"/>
      <c r="AV97" s="439"/>
      <c r="AW97" s="439"/>
      <c r="AX97" s="447"/>
      <c r="AY97" s="433"/>
      <c r="AZ97" s="433"/>
      <c r="BA97" s="433"/>
      <c r="BB97" s="433"/>
      <c r="BC97" s="433"/>
      <c r="BD97" s="433"/>
      <c r="BE97" s="433"/>
      <c r="BF97" s="433"/>
      <c r="BG97" s="433"/>
      <c r="BH97" s="433"/>
      <c r="BI97" s="433"/>
      <c r="BJ97" s="433"/>
      <c r="BK97" s="433"/>
      <c r="BL97" s="433"/>
      <c r="BM97" s="433"/>
      <c r="BN97" s="433"/>
      <c r="BO97" s="433"/>
      <c r="BP97" s="433"/>
      <c r="BQ97" s="433"/>
      <c r="BR97" s="433"/>
      <c r="BS97" s="433"/>
      <c r="BT97" s="433"/>
    </row>
    <row r="98" spans="25:72" x14ac:dyDescent="0.2">
      <c r="Y98" s="439"/>
      <c r="Z98" s="439"/>
      <c r="AA98" s="439"/>
      <c r="AB98" s="439"/>
      <c r="AC98" s="439"/>
      <c r="AD98" s="439"/>
      <c r="AE98" s="439"/>
      <c r="AF98" s="439"/>
      <c r="AG98" s="439"/>
      <c r="AH98" s="439"/>
      <c r="AI98" s="439"/>
      <c r="AJ98" s="439"/>
      <c r="AK98" s="439"/>
      <c r="AL98" s="439"/>
      <c r="AM98" s="439"/>
      <c r="AN98" s="439"/>
      <c r="AO98" s="439"/>
      <c r="AP98" s="439"/>
      <c r="AQ98" s="439"/>
      <c r="AR98" s="439"/>
      <c r="AS98" s="439"/>
      <c r="AT98" s="439"/>
      <c r="AU98" s="439"/>
      <c r="AV98" s="439"/>
      <c r="AW98" s="439"/>
      <c r="AX98" s="439"/>
      <c r="AY98" s="433"/>
      <c r="AZ98" s="433"/>
      <c r="BA98" s="433"/>
      <c r="BB98" s="433"/>
      <c r="BC98" s="433"/>
      <c r="BD98" s="433"/>
      <c r="BE98" s="433"/>
      <c r="BF98" s="433"/>
      <c r="BG98" s="433"/>
      <c r="BH98" s="433"/>
      <c r="BI98" s="433"/>
      <c r="BJ98" s="433"/>
      <c r="BK98" s="433"/>
      <c r="BL98" s="433"/>
      <c r="BM98" s="433"/>
      <c r="BN98" s="433"/>
      <c r="BO98" s="433"/>
      <c r="BP98" s="433"/>
      <c r="BQ98" s="433"/>
      <c r="BR98" s="433"/>
      <c r="BS98" s="433"/>
      <c r="BT98" s="433"/>
    </row>
    <row r="99" spans="25:72" s="359" customFormat="1" x14ac:dyDescent="0.2">
      <c r="Y99" s="445"/>
      <c r="Z99" s="445"/>
      <c r="AA99" s="445"/>
      <c r="AB99" s="445"/>
      <c r="AC99" s="445"/>
      <c r="AD99" s="445"/>
      <c r="AE99" s="445"/>
      <c r="AF99" s="445"/>
      <c r="AG99" s="445"/>
      <c r="AH99" s="445"/>
      <c r="AI99" s="445"/>
      <c r="AJ99" s="445"/>
      <c r="AK99" s="445"/>
      <c r="AL99" s="445"/>
      <c r="AM99" s="445"/>
      <c r="AN99" s="445"/>
      <c r="AO99" s="445"/>
      <c r="AP99" s="445"/>
      <c r="AQ99" s="445"/>
      <c r="AR99" s="445"/>
      <c r="AS99" s="445"/>
      <c r="AT99" s="445"/>
      <c r="AU99" s="445"/>
      <c r="AV99" s="445"/>
      <c r="AW99" s="445"/>
      <c r="AX99" s="445"/>
      <c r="AY99" s="440"/>
      <c r="AZ99" s="440"/>
      <c r="BA99" s="440"/>
      <c r="BB99" s="440"/>
      <c r="BC99" s="440"/>
      <c r="BD99" s="440"/>
      <c r="BE99" s="440"/>
      <c r="BF99" s="440"/>
      <c r="BG99" s="440"/>
      <c r="BH99" s="440"/>
      <c r="BI99" s="440"/>
      <c r="BJ99" s="440"/>
      <c r="BK99" s="440"/>
      <c r="BL99" s="440"/>
      <c r="BM99" s="440"/>
      <c r="BN99" s="440"/>
      <c r="BO99" s="440"/>
      <c r="BP99" s="440"/>
      <c r="BQ99" s="440"/>
      <c r="BR99" s="440"/>
      <c r="BS99" s="440"/>
      <c r="BT99" s="440"/>
    </row>
    <row r="100" spans="25:72" s="359" customFormat="1" x14ac:dyDescent="0.2">
      <c r="Y100" s="445"/>
      <c r="Z100" s="445"/>
      <c r="AA100" s="445"/>
      <c r="AB100" s="445"/>
      <c r="AC100" s="445"/>
      <c r="AD100" s="445"/>
      <c r="AE100" s="445"/>
      <c r="AF100" s="445"/>
      <c r="AG100" s="445"/>
      <c r="AH100" s="445"/>
      <c r="AI100" s="445"/>
      <c r="AJ100" s="445"/>
      <c r="AK100" s="445"/>
      <c r="AL100" s="445"/>
      <c r="AM100" s="445"/>
      <c r="AN100" s="445"/>
      <c r="AO100" s="445"/>
      <c r="AP100" s="445"/>
      <c r="AQ100" s="445"/>
      <c r="AR100" s="445"/>
      <c r="AS100" s="445"/>
      <c r="AT100" s="445"/>
      <c r="AU100" s="445"/>
      <c r="AV100" s="445"/>
      <c r="AW100" s="445"/>
      <c r="AX100" s="445"/>
      <c r="AY100" s="440"/>
      <c r="AZ100" s="440"/>
      <c r="BA100" s="440"/>
      <c r="BB100" s="440"/>
      <c r="BC100" s="440"/>
      <c r="BD100" s="440"/>
      <c r="BE100" s="440"/>
      <c r="BF100" s="440"/>
      <c r="BG100" s="440"/>
      <c r="BH100" s="440"/>
      <c r="BI100" s="440"/>
      <c r="BJ100" s="440"/>
      <c r="BK100" s="440"/>
      <c r="BL100" s="440"/>
      <c r="BM100" s="440"/>
      <c r="BN100" s="440"/>
      <c r="BO100" s="440"/>
      <c r="BP100" s="440"/>
      <c r="BQ100" s="440"/>
      <c r="BR100" s="440"/>
      <c r="BS100" s="440"/>
      <c r="BT100" s="440"/>
    </row>
    <row r="101" spans="25:72" s="359" customFormat="1" x14ac:dyDescent="0.2">
      <c r="Y101" s="445"/>
      <c r="Z101" s="445"/>
      <c r="AA101" s="445"/>
      <c r="AB101" s="445"/>
      <c r="AC101" s="445"/>
      <c r="AD101" s="445"/>
      <c r="AE101" s="445"/>
      <c r="AF101" s="445"/>
      <c r="AG101" s="445"/>
      <c r="AH101" s="445"/>
      <c r="AI101" s="445"/>
      <c r="AJ101" s="445"/>
      <c r="AK101" s="445"/>
      <c r="AL101" s="445"/>
      <c r="AM101" s="445"/>
      <c r="AN101" s="445"/>
      <c r="AO101" s="445"/>
      <c r="AP101" s="445"/>
      <c r="AQ101" s="445"/>
      <c r="AR101" s="445"/>
      <c r="AS101" s="445"/>
      <c r="AT101" s="445"/>
      <c r="AU101" s="445"/>
      <c r="AV101" s="445"/>
      <c r="AW101" s="445"/>
      <c r="AX101" s="445"/>
      <c r="AY101" s="440"/>
      <c r="AZ101" s="440"/>
      <c r="BA101" s="440"/>
      <c r="BB101" s="440"/>
      <c r="BC101" s="440"/>
      <c r="BD101" s="440"/>
      <c r="BE101" s="440"/>
      <c r="BF101" s="440"/>
      <c r="BG101" s="440"/>
      <c r="BH101" s="440"/>
      <c r="BI101" s="440"/>
      <c r="BJ101" s="440"/>
      <c r="BK101" s="440"/>
      <c r="BL101" s="440"/>
      <c r="BM101" s="440"/>
      <c r="BN101" s="440"/>
      <c r="BO101" s="440"/>
      <c r="BP101" s="440"/>
      <c r="BQ101" s="440"/>
      <c r="BR101" s="440"/>
      <c r="BS101" s="440"/>
      <c r="BT101" s="440"/>
    </row>
    <row r="102" spans="25:72" x14ac:dyDescent="0.2">
      <c r="Y102" s="439"/>
      <c r="Z102" s="439"/>
      <c r="AA102" s="439"/>
      <c r="AB102" s="439"/>
      <c r="AC102" s="439"/>
      <c r="AD102" s="439"/>
      <c r="AE102" s="439"/>
      <c r="AF102" s="439"/>
      <c r="AG102" s="439"/>
      <c r="AH102" s="439"/>
      <c r="AI102" s="439"/>
      <c r="AJ102" s="439"/>
      <c r="AK102" s="439"/>
      <c r="AL102" s="439"/>
      <c r="AM102" s="439"/>
      <c r="AN102" s="439"/>
      <c r="AO102" s="439"/>
      <c r="AP102" s="439"/>
      <c r="AQ102" s="439"/>
      <c r="AR102" s="439"/>
      <c r="AS102" s="439"/>
      <c r="AT102" s="439"/>
      <c r="AU102" s="439"/>
      <c r="AV102" s="439"/>
      <c r="AW102" s="439"/>
      <c r="AX102" s="439"/>
      <c r="AY102" s="433"/>
      <c r="AZ102" s="433"/>
      <c r="BA102" s="433"/>
      <c r="BB102" s="433"/>
      <c r="BC102" s="433"/>
      <c r="BD102" s="433"/>
      <c r="BE102" s="433"/>
      <c r="BF102" s="433"/>
      <c r="BG102" s="433"/>
      <c r="BH102" s="433"/>
      <c r="BI102" s="433"/>
      <c r="BJ102" s="433"/>
      <c r="BK102" s="433"/>
      <c r="BL102" s="433"/>
      <c r="BM102" s="433"/>
      <c r="BN102" s="433"/>
      <c r="BO102" s="433"/>
      <c r="BP102" s="433"/>
      <c r="BQ102" s="433"/>
      <c r="BR102" s="433"/>
      <c r="BS102" s="433"/>
      <c r="BT102" s="433"/>
    </row>
    <row r="103" spans="25:72" x14ac:dyDescent="0.2">
      <c r="Y103" s="448"/>
      <c r="Z103" s="448"/>
      <c r="AA103" s="439"/>
      <c r="AB103" s="439"/>
      <c r="AC103" s="439"/>
      <c r="AD103" s="439"/>
      <c r="AE103" s="439"/>
      <c r="AF103" s="439"/>
      <c r="AG103" s="439"/>
      <c r="AH103" s="439"/>
      <c r="AI103" s="439"/>
      <c r="AJ103" s="439"/>
      <c r="AK103" s="439"/>
      <c r="AL103" s="439"/>
      <c r="AM103" s="439"/>
      <c r="AN103" s="439"/>
      <c r="AO103" s="439"/>
      <c r="AP103" s="439"/>
      <c r="AQ103" s="439"/>
      <c r="AR103" s="439"/>
      <c r="AS103" s="439"/>
      <c r="AT103" s="439"/>
      <c r="AU103" s="439"/>
      <c r="AV103" s="439"/>
      <c r="AW103" s="439"/>
      <c r="AX103" s="439"/>
      <c r="AY103" s="433"/>
      <c r="AZ103" s="433"/>
      <c r="BA103" s="433"/>
      <c r="BB103" s="433"/>
      <c r="BC103" s="433"/>
      <c r="BD103" s="433"/>
      <c r="BE103" s="433"/>
      <c r="BF103" s="433"/>
      <c r="BG103" s="433"/>
      <c r="BH103" s="433"/>
      <c r="BI103" s="433"/>
      <c r="BJ103" s="433"/>
      <c r="BK103" s="433"/>
      <c r="BL103" s="433"/>
      <c r="BM103" s="433"/>
      <c r="BN103" s="433"/>
      <c r="BO103" s="433"/>
      <c r="BP103" s="433"/>
      <c r="BQ103" s="433"/>
      <c r="BR103" s="433"/>
      <c r="BS103" s="433"/>
      <c r="BT103" s="433"/>
    </row>
    <row r="104" spans="25:72" x14ac:dyDescent="0.2">
      <c r="Y104" s="448"/>
      <c r="Z104" s="448"/>
      <c r="AA104" s="439"/>
      <c r="AB104" s="439"/>
      <c r="AC104" s="439"/>
      <c r="AD104" s="439"/>
      <c r="AE104" s="439"/>
      <c r="AF104" s="439"/>
      <c r="AG104" s="439"/>
      <c r="AH104" s="439"/>
      <c r="AI104" s="439"/>
      <c r="AJ104" s="439"/>
      <c r="AK104" s="439"/>
      <c r="AL104" s="439"/>
      <c r="AM104" s="439"/>
      <c r="AN104" s="439"/>
      <c r="AO104" s="439"/>
      <c r="AP104" s="439"/>
      <c r="AQ104" s="439"/>
      <c r="AR104" s="439"/>
      <c r="AS104" s="439"/>
      <c r="AT104" s="439"/>
      <c r="AU104" s="439"/>
      <c r="AV104" s="439"/>
      <c r="AW104" s="439"/>
      <c r="AX104" s="439"/>
      <c r="AY104" s="433"/>
      <c r="AZ104" s="433"/>
      <c r="BA104" s="433"/>
      <c r="BB104" s="433"/>
      <c r="BC104" s="433"/>
      <c r="BD104" s="433"/>
      <c r="BE104" s="433"/>
      <c r="BF104" s="433"/>
      <c r="BG104" s="433"/>
      <c r="BH104" s="433"/>
      <c r="BI104" s="433"/>
      <c r="BJ104" s="433"/>
      <c r="BK104" s="433"/>
      <c r="BL104" s="433"/>
      <c r="BM104" s="433"/>
      <c r="BN104" s="433"/>
      <c r="BO104" s="433"/>
      <c r="BP104" s="433"/>
      <c r="BQ104" s="433"/>
      <c r="BR104" s="433"/>
      <c r="BS104" s="433"/>
      <c r="BT104" s="433"/>
    </row>
    <row r="105" spans="25:72" x14ac:dyDescent="0.2">
      <c r="Y105" s="439"/>
      <c r="Z105" s="439"/>
      <c r="AA105" s="439"/>
      <c r="AB105" s="439"/>
      <c r="AC105" s="439"/>
      <c r="AD105" s="439"/>
      <c r="AE105" s="439"/>
      <c r="AF105" s="439"/>
      <c r="AG105" s="439"/>
      <c r="AH105" s="439"/>
      <c r="AI105" s="439"/>
      <c r="AJ105" s="439"/>
      <c r="AK105" s="439"/>
      <c r="AL105" s="439"/>
      <c r="AM105" s="439"/>
      <c r="AN105" s="439"/>
      <c r="AO105" s="439"/>
      <c r="AP105" s="439"/>
      <c r="AQ105" s="439"/>
      <c r="AR105" s="439"/>
      <c r="AS105" s="439"/>
      <c r="AT105" s="439"/>
      <c r="AU105" s="439"/>
      <c r="AV105" s="439"/>
      <c r="AW105" s="439"/>
      <c r="AX105" s="439"/>
      <c r="AY105" s="433"/>
      <c r="AZ105" s="433"/>
      <c r="BA105" s="433"/>
      <c r="BB105" s="433"/>
      <c r="BC105" s="433"/>
      <c r="BD105" s="433"/>
      <c r="BE105" s="433"/>
      <c r="BF105" s="433"/>
      <c r="BG105" s="433"/>
      <c r="BH105" s="433"/>
      <c r="BI105" s="433"/>
      <c r="BJ105" s="433"/>
      <c r="BK105" s="433"/>
      <c r="BL105" s="433"/>
      <c r="BM105" s="433"/>
      <c r="BN105" s="433"/>
      <c r="BO105" s="433"/>
      <c r="BP105" s="433"/>
      <c r="BQ105" s="433"/>
      <c r="BR105" s="433"/>
      <c r="BS105" s="433"/>
      <c r="BT105" s="433"/>
    </row>
    <row r="106" spans="25:72" x14ac:dyDescent="0.2">
      <c r="Y106" s="448"/>
      <c r="Z106" s="448"/>
      <c r="AA106" s="439"/>
      <c r="AB106" s="439"/>
      <c r="AC106" s="439"/>
      <c r="AD106" s="439"/>
      <c r="AE106" s="439"/>
      <c r="AF106" s="439"/>
      <c r="AG106" s="439"/>
      <c r="AH106" s="439"/>
      <c r="AI106" s="439"/>
      <c r="AJ106" s="439"/>
      <c r="AK106" s="439"/>
      <c r="AL106" s="439"/>
      <c r="AM106" s="439"/>
      <c r="AN106" s="439"/>
      <c r="AO106" s="439"/>
      <c r="AP106" s="439"/>
      <c r="AQ106" s="439"/>
      <c r="AR106" s="439"/>
      <c r="AS106" s="439"/>
      <c r="AT106" s="439"/>
      <c r="AU106" s="439"/>
      <c r="AV106" s="439"/>
      <c r="AW106" s="439"/>
      <c r="AX106" s="439"/>
      <c r="AY106" s="433"/>
      <c r="AZ106" s="433"/>
      <c r="BA106" s="433"/>
      <c r="BB106" s="433"/>
      <c r="BC106" s="433"/>
      <c r="BD106" s="433"/>
      <c r="BE106" s="433"/>
      <c r="BF106" s="433"/>
      <c r="BG106" s="433"/>
      <c r="BH106" s="433"/>
      <c r="BI106" s="433"/>
      <c r="BJ106" s="433"/>
      <c r="BK106" s="433"/>
      <c r="BL106" s="433"/>
      <c r="BM106" s="433"/>
      <c r="BN106" s="433"/>
      <c r="BO106" s="433"/>
      <c r="BP106" s="433"/>
      <c r="BQ106" s="433"/>
      <c r="BR106" s="433"/>
      <c r="BS106" s="433"/>
      <c r="BT106" s="433"/>
    </row>
    <row r="107" spans="25:72" x14ac:dyDescent="0.2">
      <c r="Y107" s="439"/>
      <c r="Z107" s="439"/>
      <c r="AA107" s="439"/>
      <c r="AB107" s="439"/>
      <c r="AC107" s="439"/>
      <c r="AD107" s="439"/>
      <c r="AE107" s="439"/>
      <c r="AF107" s="439"/>
      <c r="AG107" s="439"/>
      <c r="AH107" s="439"/>
      <c r="AI107" s="439"/>
      <c r="AJ107" s="439"/>
      <c r="AK107" s="439"/>
      <c r="AL107" s="439"/>
      <c r="AM107" s="439"/>
      <c r="AN107" s="439"/>
      <c r="AO107" s="439"/>
      <c r="AP107" s="439"/>
      <c r="AQ107" s="439"/>
      <c r="AR107" s="439"/>
      <c r="AS107" s="439"/>
      <c r="AT107" s="439"/>
      <c r="AU107" s="439"/>
      <c r="AV107" s="439"/>
      <c r="AW107" s="439"/>
      <c r="AX107" s="439"/>
      <c r="AY107" s="433"/>
      <c r="AZ107" s="433"/>
      <c r="BA107" s="433"/>
      <c r="BB107" s="433"/>
      <c r="BC107" s="433"/>
      <c r="BD107" s="433"/>
      <c r="BE107" s="433"/>
      <c r="BF107" s="433"/>
      <c r="BG107" s="433"/>
      <c r="BH107" s="433"/>
      <c r="BI107" s="433"/>
      <c r="BJ107" s="433"/>
      <c r="BK107" s="433"/>
      <c r="BL107" s="433"/>
      <c r="BM107" s="433"/>
      <c r="BN107" s="433"/>
      <c r="BO107" s="433"/>
      <c r="BP107" s="433"/>
      <c r="BQ107" s="433"/>
      <c r="BR107" s="433"/>
      <c r="BS107" s="433"/>
      <c r="BT107" s="433"/>
    </row>
    <row r="108" spans="25:72" x14ac:dyDescent="0.2">
      <c r="Y108" s="439"/>
      <c r="Z108" s="439"/>
      <c r="AA108" s="439"/>
      <c r="AB108" s="439"/>
      <c r="AC108" s="439"/>
      <c r="AD108" s="439"/>
      <c r="AE108" s="439"/>
      <c r="AF108" s="439"/>
      <c r="AG108" s="439"/>
      <c r="AH108" s="439"/>
      <c r="AI108" s="439"/>
      <c r="AJ108" s="439"/>
      <c r="AK108" s="439"/>
      <c r="AL108" s="439"/>
      <c r="AM108" s="439"/>
      <c r="AN108" s="439"/>
      <c r="AO108" s="439"/>
      <c r="AP108" s="439"/>
      <c r="AQ108" s="439"/>
      <c r="AR108" s="439"/>
      <c r="AS108" s="439"/>
      <c r="AT108" s="439"/>
      <c r="AU108" s="439"/>
      <c r="AV108" s="439"/>
      <c r="AW108" s="439"/>
      <c r="AX108" s="439"/>
      <c r="AY108" s="433"/>
      <c r="AZ108" s="433"/>
      <c r="BA108" s="433"/>
      <c r="BB108" s="433"/>
      <c r="BC108" s="433"/>
      <c r="BD108" s="433"/>
      <c r="BE108" s="433"/>
      <c r="BF108" s="433"/>
      <c r="BG108" s="433"/>
      <c r="BH108" s="433"/>
      <c r="BI108" s="433"/>
      <c r="BJ108" s="433"/>
      <c r="BK108" s="433"/>
      <c r="BL108" s="433"/>
      <c r="BM108" s="433"/>
      <c r="BN108" s="433"/>
      <c r="BO108" s="433"/>
      <c r="BP108" s="433"/>
      <c r="BQ108" s="433"/>
      <c r="BR108" s="433"/>
      <c r="BS108" s="433"/>
      <c r="BT108" s="433"/>
    </row>
    <row r="109" spans="25:72" x14ac:dyDescent="0.2">
      <c r="Y109" s="439"/>
      <c r="Z109" s="439"/>
      <c r="AA109" s="439"/>
      <c r="AB109" s="439"/>
      <c r="AC109" s="439"/>
      <c r="AD109" s="439"/>
      <c r="AE109" s="439"/>
      <c r="AF109" s="439"/>
      <c r="AG109" s="439"/>
      <c r="AH109" s="439"/>
      <c r="AI109" s="439"/>
      <c r="AJ109" s="439"/>
      <c r="AK109" s="439"/>
      <c r="AL109" s="439"/>
      <c r="AM109" s="439"/>
      <c r="AN109" s="439"/>
      <c r="AO109" s="439"/>
      <c r="AP109" s="439"/>
      <c r="AQ109" s="439"/>
      <c r="AR109" s="439"/>
      <c r="AS109" s="439"/>
      <c r="AT109" s="439"/>
      <c r="AU109" s="439"/>
      <c r="AV109" s="439"/>
      <c r="AW109" s="439"/>
      <c r="AX109" s="439"/>
      <c r="AY109" s="433"/>
      <c r="AZ109" s="433"/>
      <c r="BA109" s="433"/>
      <c r="BB109" s="433"/>
      <c r="BC109" s="433"/>
      <c r="BD109" s="433"/>
      <c r="BE109" s="433"/>
      <c r="BF109" s="433"/>
      <c r="BG109" s="433"/>
      <c r="BH109" s="433"/>
      <c r="BI109" s="433"/>
      <c r="BJ109" s="433"/>
      <c r="BK109" s="433"/>
      <c r="BL109" s="433"/>
      <c r="BM109" s="433"/>
      <c r="BN109" s="433"/>
      <c r="BO109" s="433"/>
      <c r="BP109" s="433"/>
      <c r="BQ109" s="433"/>
      <c r="BR109" s="433"/>
      <c r="BS109" s="433"/>
      <c r="BT109" s="433"/>
    </row>
    <row r="110" spans="25:72" x14ac:dyDescent="0.2">
      <c r="Y110" s="439"/>
      <c r="Z110" s="439"/>
      <c r="AA110" s="439"/>
      <c r="AB110" s="439"/>
      <c r="AC110" s="439"/>
      <c r="AD110" s="439"/>
      <c r="AE110" s="439"/>
      <c r="AF110" s="439"/>
      <c r="AG110" s="439"/>
      <c r="AH110" s="439"/>
      <c r="AI110" s="439"/>
      <c r="AJ110" s="439"/>
      <c r="AK110" s="439"/>
      <c r="AL110" s="439"/>
      <c r="AM110" s="439"/>
      <c r="AN110" s="439"/>
      <c r="AO110" s="439"/>
      <c r="AP110" s="439"/>
      <c r="AQ110" s="439"/>
      <c r="AR110" s="439"/>
      <c r="AS110" s="439"/>
      <c r="AT110" s="439"/>
      <c r="AU110" s="439"/>
      <c r="AV110" s="439"/>
      <c r="AW110" s="439"/>
      <c r="AX110" s="439"/>
      <c r="AY110" s="433"/>
      <c r="AZ110" s="433"/>
      <c r="BA110" s="433"/>
      <c r="BB110" s="433"/>
      <c r="BC110" s="433"/>
      <c r="BD110" s="433"/>
      <c r="BE110" s="433"/>
      <c r="BF110" s="433"/>
      <c r="BG110" s="433"/>
      <c r="BH110" s="433"/>
      <c r="BI110" s="433"/>
      <c r="BJ110" s="433"/>
      <c r="BK110" s="433"/>
      <c r="BL110" s="433"/>
      <c r="BM110" s="433"/>
      <c r="BN110" s="433"/>
      <c r="BO110" s="433"/>
      <c r="BP110" s="433"/>
      <c r="BQ110" s="433"/>
      <c r="BR110" s="433"/>
      <c r="BS110" s="433"/>
      <c r="BT110" s="433"/>
    </row>
    <row r="111" spans="25:72" x14ac:dyDescent="0.2">
      <c r="Y111" s="448"/>
      <c r="Z111" s="448"/>
      <c r="AA111" s="439"/>
      <c r="AB111" s="439"/>
      <c r="AC111" s="439"/>
      <c r="AD111" s="439"/>
      <c r="AE111" s="439"/>
      <c r="AF111" s="439"/>
      <c r="AG111" s="439"/>
      <c r="AH111" s="439"/>
      <c r="AI111" s="439"/>
      <c r="AJ111" s="439"/>
      <c r="AK111" s="439"/>
      <c r="AL111" s="439"/>
      <c r="AM111" s="439"/>
      <c r="AN111" s="439"/>
      <c r="AO111" s="439"/>
      <c r="AP111" s="439"/>
      <c r="AQ111" s="439"/>
      <c r="AR111" s="439"/>
      <c r="AS111" s="439"/>
      <c r="AT111" s="439"/>
      <c r="AU111" s="439"/>
      <c r="AV111" s="439"/>
      <c r="AW111" s="439"/>
      <c r="AX111" s="439"/>
      <c r="AY111" s="433"/>
      <c r="AZ111" s="433"/>
      <c r="BA111" s="433"/>
      <c r="BB111" s="433"/>
      <c r="BC111" s="433"/>
      <c r="BD111" s="433"/>
      <c r="BE111" s="433"/>
      <c r="BF111" s="433"/>
      <c r="BG111" s="433"/>
      <c r="BH111" s="433"/>
      <c r="BI111" s="433"/>
      <c r="BJ111" s="433"/>
      <c r="BK111" s="433"/>
      <c r="BL111" s="433"/>
      <c r="BM111" s="433"/>
      <c r="BN111" s="433"/>
      <c r="BO111" s="433"/>
      <c r="BP111" s="433"/>
      <c r="BQ111" s="433"/>
      <c r="BR111" s="433"/>
      <c r="BS111" s="433"/>
      <c r="BT111" s="433"/>
    </row>
    <row r="112" spans="25:72" x14ac:dyDescent="0.2">
      <c r="Y112" s="448"/>
      <c r="Z112" s="448"/>
      <c r="AA112" s="439"/>
      <c r="AB112" s="439"/>
      <c r="AC112" s="439"/>
      <c r="AD112" s="439"/>
      <c r="AE112" s="439"/>
      <c r="AF112" s="439"/>
      <c r="AG112" s="439"/>
      <c r="AH112" s="439"/>
      <c r="AI112" s="439"/>
      <c r="AJ112" s="439"/>
      <c r="AK112" s="439"/>
      <c r="AL112" s="439"/>
      <c r="AM112" s="439"/>
      <c r="AN112" s="439"/>
      <c r="AO112" s="439"/>
      <c r="AP112" s="439"/>
      <c r="AQ112" s="439"/>
      <c r="AR112" s="439"/>
      <c r="AS112" s="439"/>
      <c r="AT112" s="439"/>
      <c r="AU112" s="439"/>
      <c r="AV112" s="439"/>
      <c r="AW112" s="439"/>
      <c r="AX112" s="439"/>
      <c r="AY112" s="433"/>
      <c r="AZ112" s="433"/>
      <c r="BA112" s="433"/>
      <c r="BB112" s="433"/>
      <c r="BC112" s="433"/>
      <c r="BD112" s="433"/>
      <c r="BE112" s="433"/>
      <c r="BF112" s="433"/>
      <c r="BG112" s="433"/>
      <c r="BH112" s="433"/>
      <c r="BI112" s="433"/>
      <c r="BJ112" s="433"/>
      <c r="BK112" s="433"/>
      <c r="BL112" s="433"/>
      <c r="BM112" s="433"/>
      <c r="BN112" s="433"/>
      <c r="BO112" s="433"/>
      <c r="BP112" s="433"/>
      <c r="BQ112" s="433"/>
      <c r="BR112" s="433"/>
      <c r="BS112" s="433"/>
      <c r="BT112" s="433"/>
    </row>
    <row r="113" spans="25:72" x14ac:dyDescent="0.2">
      <c r="Y113" s="448"/>
      <c r="Z113" s="448"/>
      <c r="AA113" s="439"/>
      <c r="AB113" s="439"/>
      <c r="AC113" s="439"/>
      <c r="AD113" s="439"/>
      <c r="AE113" s="439"/>
      <c r="AF113" s="439"/>
      <c r="AG113" s="439"/>
      <c r="AH113" s="439"/>
      <c r="AI113" s="439"/>
      <c r="AJ113" s="439"/>
      <c r="AK113" s="439"/>
      <c r="AL113" s="439"/>
      <c r="AM113" s="439"/>
      <c r="AN113" s="439"/>
      <c r="AO113" s="439"/>
      <c r="AP113" s="439"/>
      <c r="AQ113" s="439"/>
      <c r="AR113" s="439"/>
      <c r="AS113" s="439"/>
      <c r="AT113" s="439"/>
      <c r="AU113" s="439"/>
      <c r="AV113" s="439"/>
      <c r="AW113" s="439"/>
      <c r="AX113" s="439"/>
      <c r="AY113" s="433"/>
      <c r="AZ113" s="433"/>
      <c r="BA113" s="433"/>
      <c r="BB113" s="433"/>
      <c r="BC113" s="433"/>
      <c r="BD113" s="433"/>
      <c r="BE113" s="433"/>
      <c r="BF113" s="433"/>
      <c r="BG113" s="433"/>
      <c r="BH113" s="433"/>
      <c r="BI113" s="433"/>
      <c r="BJ113" s="433"/>
      <c r="BK113" s="433"/>
      <c r="BL113" s="433"/>
      <c r="BM113" s="433"/>
      <c r="BN113" s="433"/>
      <c r="BO113" s="433"/>
      <c r="BP113" s="433"/>
      <c r="BQ113" s="433"/>
      <c r="BR113" s="433"/>
      <c r="BS113" s="433"/>
      <c r="BT113" s="433"/>
    </row>
    <row r="114" spans="25:72" x14ac:dyDescent="0.2">
      <c r="Y114" s="448"/>
      <c r="Z114" s="448"/>
      <c r="AA114" s="439"/>
      <c r="AB114" s="439"/>
      <c r="AC114" s="439"/>
      <c r="AD114" s="439"/>
      <c r="AE114" s="439"/>
      <c r="AF114" s="439"/>
      <c r="AG114" s="439"/>
      <c r="AH114" s="439"/>
      <c r="AI114" s="439"/>
      <c r="AJ114" s="439"/>
      <c r="AK114" s="439"/>
      <c r="AL114" s="439"/>
      <c r="AM114" s="439"/>
      <c r="AN114" s="439"/>
      <c r="AO114" s="439"/>
      <c r="AP114" s="439"/>
      <c r="AQ114" s="439"/>
      <c r="AR114" s="439"/>
      <c r="AS114" s="439"/>
      <c r="AT114" s="439"/>
      <c r="AU114" s="439"/>
      <c r="AV114" s="439"/>
      <c r="AW114" s="439"/>
      <c r="AX114" s="439"/>
      <c r="AY114" s="433"/>
      <c r="AZ114" s="433"/>
      <c r="BA114" s="433"/>
      <c r="BB114" s="433"/>
      <c r="BC114" s="433"/>
      <c r="BD114" s="433"/>
      <c r="BE114" s="433"/>
      <c r="BF114" s="433"/>
      <c r="BG114" s="433"/>
      <c r="BH114" s="433"/>
      <c r="BI114" s="433"/>
      <c r="BJ114" s="433"/>
      <c r="BK114" s="433"/>
      <c r="BL114" s="433"/>
      <c r="BM114" s="433"/>
      <c r="BN114" s="433"/>
      <c r="BO114" s="433"/>
      <c r="BP114" s="433"/>
      <c r="BQ114" s="433"/>
      <c r="BR114" s="433"/>
      <c r="BS114" s="433"/>
      <c r="BT114" s="433"/>
    </row>
    <row r="115" spans="25:72" s="359" customFormat="1" x14ac:dyDescent="0.2">
      <c r="Y115" s="445"/>
      <c r="Z115" s="445"/>
      <c r="AA115" s="445"/>
      <c r="AB115" s="445"/>
      <c r="AC115" s="445"/>
      <c r="AD115" s="445"/>
      <c r="AE115" s="445"/>
      <c r="AF115" s="445"/>
      <c r="AG115" s="445"/>
      <c r="AH115" s="445"/>
      <c r="AI115" s="445"/>
      <c r="AJ115" s="445"/>
      <c r="AK115" s="445"/>
      <c r="AL115" s="445"/>
      <c r="AM115" s="445"/>
      <c r="AN115" s="445"/>
      <c r="AO115" s="445"/>
      <c r="AP115" s="445"/>
      <c r="AQ115" s="445"/>
      <c r="AR115" s="445"/>
      <c r="AS115" s="445"/>
      <c r="AT115" s="445"/>
      <c r="AU115" s="445"/>
      <c r="AV115" s="445"/>
      <c r="AW115" s="445"/>
      <c r="AX115" s="445"/>
      <c r="AY115" s="440"/>
      <c r="AZ115" s="440"/>
      <c r="BA115" s="440"/>
      <c r="BB115" s="440"/>
      <c r="BC115" s="440"/>
      <c r="BD115" s="440"/>
      <c r="BE115" s="440"/>
      <c r="BF115" s="440"/>
      <c r="BG115" s="440"/>
      <c r="BH115" s="440"/>
      <c r="BI115" s="440"/>
      <c r="BJ115" s="440"/>
      <c r="BK115" s="440"/>
      <c r="BL115" s="440"/>
      <c r="BM115" s="440"/>
      <c r="BN115" s="440"/>
      <c r="BO115" s="440"/>
      <c r="BP115" s="440"/>
      <c r="BQ115" s="440"/>
      <c r="BR115" s="440"/>
      <c r="BS115" s="440"/>
      <c r="BT115" s="440"/>
    </row>
    <row r="116" spans="25:72" x14ac:dyDescent="0.2">
      <c r="Y116" s="439"/>
      <c r="Z116" s="439"/>
      <c r="AA116" s="439"/>
      <c r="AB116" s="439"/>
      <c r="AC116" s="439"/>
      <c r="AD116" s="439"/>
      <c r="AE116" s="439"/>
      <c r="AF116" s="439"/>
      <c r="AG116" s="439"/>
      <c r="AH116" s="439"/>
      <c r="AI116" s="439"/>
      <c r="AJ116" s="439"/>
      <c r="AK116" s="439"/>
      <c r="AL116" s="439"/>
      <c r="AM116" s="439"/>
      <c r="AN116" s="439"/>
      <c r="AO116" s="439"/>
      <c r="AP116" s="439"/>
      <c r="AQ116" s="439"/>
      <c r="AR116" s="439"/>
      <c r="AS116" s="439"/>
      <c r="AT116" s="439"/>
      <c r="AU116" s="439"/>
      <c r="AV116" s="439"/>
      <c r="AW116" s="439"/>
      <c r="AX116" s="439"/>
      <c r="AY116" s="433"/>
      <c r="AZ116" s="433"/>
      <c r="BA116" s="433"/>
      <c r="BB116" s="433"/>
      <c r="BC116" s="433"/>
      <c r="BD116" s="433"/>
      <c r="BE116" s="433"/>
      <c r="BF116" s="433"/>
      <c r="BG116" s="433"/>
      <c r="BH116" s="433"/>
      <c r="BI116" s="433"/>
      <c r="BJ116" s="433"/>
      <c r="BK116" s="433"/>
      <c r="BL116" s="433"/>
      <c r="BM116" s="433"/>
      <c r="BN116" s="433"/>
      <c r="BO116" s="433"/>
      <c r="BP116" s="433"/>
      <c r="BQ116" s="433"/>
      <c r="BR116" s="433"/>
      <c r="BS116" s="433"/>
      <c r="BT116" s="433"/>
    </row>
    <row r="117" spans="25:72" x14ac:dyDescent="0.2">
      <c r="Y117" s="448"/>
      <c r="Z117" s="448"/>
      <c r="AA117" s="439"/>
      <c r="AB117" s="439"/>
      <c r="AC117" s="439"/>
      <c r="AD117" s="439"/>
      <c r="AE117" s="439"/>
      <c r="AF117" s="439"/>
      <c r="AG117" s="439"/>
      <c r="AH117" s="439"/>
      <c r="AI117" s="439"/>
      <c r="AJ117" s="439"/>
      <c r="AK117" s="439"/>
      <c r="AL117" s="439"/>
      <c r="AM117" s="439"/>
      <c r="AN117" s="439"/>
      <c r="AO117" s="439"/>
      <c r="AP117" s="439"/>
      <c r="AQ117" s="439"/>
      <c r="AR117" s="439"/>
      <c r="AS117" s="439"/>
      <c r="AT117" s="439"/>
      <c r="AU117" s="439"/>
      <c r="AV117" s="439"/>
      <c r="AW117" s="439"/>
      <c r="AX117" s="439"/>
      <c r="AY117" s="433"/>
      <c r="AZ117" s="433"/>
      <c r="BA117" s="433"/>
      <c r="BB117" s="433"/>
      <c r="BC117" s="433"/>
      <c r="BD117" s="433"/>
      <c r="BE117" s="433"/>
      <c r="BF117" s="433"/>
      <c r="BG117" s="433"/>
      <c r="BH117" s="433"/>
      <c r="BI117" s="433"/>
      <c r="BJ117" s="433"/>
      <c r="BK117" s="433"/>
      <c r="BL117" s="433"/>
      <c r="BM117" s="433"/>
      <c r="BN117" s="433"/>
      <c r="BO117" s="433"/>
      <c r="BP117" s="433"/>
      <c r="BQ117" s="433"/>
      <c r="BR117" s="433"/>
      <c r="BS117" s="433"/>
      <c r="BT117" s="448"/>
    </row>
    <row r="118" spans="25:72" x14ac:dyDescent="0.2">
      <c r="Y118" s="448"/>
      <c r="Z118" s="448"/>
      <c r="AA118" s="439"/>
      <c r="AB118" s="439"/>
      <c r="AC118" s="439"/>
      <c r="AD118" s="439"/>
      <c r="AE118" s="439"/>
      <c r="AF118" s="439"/>
      <c r="AG118" s="439"/>
      <c r="AH118" s="439"/>
      <c r="AI118" s="439"/>
      <c r="AJ118" s="439"/>
      <c r="AK118" s="439"/>
      <c r="AL118" s="439"/>
      <c r="AM118" s="439"/>
      <c r="AN118" s="439"/>
      <c r="AO118" s="439"/>
      <c r="AP118" s="439"/>
      <c r="AQ118" s="439"/>
      <c r="AR118" s="439"/>
      <c r="AS118" s="439"/>
      <c r="AT118" s="439"/>
      <c r="AU118" s="439"/>
      <c r="AV118" s="439"/>
      <c r="AW118" s="439"/>
      <c r="AX118" s="439"/>
      <c r="AY118" s="433"/>
      <c r="AZ118" s="433"/>
      <c r="BA118" s="433"/>
      <c r="BB118" s="433"/>
      <c r="BC118" s="433"/>
      <c r="BD118" s="433"/>
      <c r="BE118" s="433"/>
      <c r="BF118" s="433"/>
      <c r="BG118" s="433"/>
      <c r="BH118" s="433"/>
      <c r="BI118" s="433"/>
      <c r="BJ118" s="433"/>
      <c r="BK118" s="433"/>
      <c r="BL118" s="433"/>
      <c r="BM118" s="433"/>
      <c r="BN118" s="433"/>
      <c r="BO118" s="433"/>
      <c r="BP118" s="433"/>
      <c r="BQ118" s="433"/>
      <c r="BR118" s="433"/>
      <c r="BS118" s="433"/>
      <c r="BT118" s="433"/>
    </row>
    <row r="119" spans="25:72" x14ac:dyDescent="0.2">
      <c r="Y119" s="448"/>
      <c r="Z119" s="448"/>
      <c r="AA119" s="439"/>
      <c r="AB119" s="439"/>
      <c r="AC119" s="439"/>
      <c r="AD119" s="439"/>
      <c r="AE119" s="439"/>
      <c r="AF119" s="439"/>
      <c r="AG119" s="439"/>
      <c r="AH119" s="439"/>
      <c r="AI119" s="439"/>
      <c r="AJ119" s="439"/>
      <c r="AK119" s="439"/>
      <c r="AL119" s="439"/>
      <c r="AM119" s="439"/>
      <c r="AN119" s="439"/>
      <c r="AO119" s="439"/>
      <c r="AP119" s="439"/>
      <c r="AQ119" s="439"/>
      <c r="AR119" s="439"/>
      <c r="AS119" s="439"/>
      <c r="AT119" s="439"/>
      <c r="AU119" s="439"/>
      <c r="AV119" s="439"/>
      <c r="AW119" s="439"/>
      <c r="AX119" s="439"/>
      <c r="AY119" s="433"/>
      <c r="AZ119" s="433"/>
      <c r="BA119" s="433"/>
      <c r="BB119" s="433"/>
      <c r="BC119" s="433"/>
      <c r="BD119" s="433"/>
      <c r="BE119" s="433"/>
      <c r="BF119" s="433"/>
      <c r="BG119" s="433"/>
      <c r="BH119" s="433"/>
      <c r="BI119" s="433"/>
      <c r="BJ119" s="433"/>
      <c r="BK119" s="433"/>
      <c r="BL119" s="433"/>
      <c r="BM119" s="433"/>
      <c r="BN119" s="433"/>
      <c r="BO119" s="433"/>
      <c r="BP119" s="433"/>
      <c r="BQ119" s="433"/>
      <c r="BR119" s="433"/>
      <c r="BS119" s="433"/>
      <c r="BT119" s="433"/>
    </row>
    <row r="120" spans="25:72" x14ac:dyDescent="0.2">
      <c r="Y120" s="448"/>
      <c r="Z120" s="448"/>
      <c r="AA120" s="439"/>
      <c r="AB120" s="439"/>
      <c r="AC120" s="439"/>
      <c r="AD120" s="439"/>
      <c r="AE120" s="439"/>
      <c r="AF120" s="439"/>
      <c r="AG120" s="439"/>
      <c r="AH120" s="439"/>
      <c r="AI120" s="439"/>
      <c r="AJ120" s="439"/>
      <c r="AK120" s="439"/>
      <c r="AL120" s="439"/>
      <c r="AM120" s="439"/>
      <c r="AN120" s="439"/>
      <c r="AO120" s="439"/>
      <c r="AP120" s="439"/>
      <c r="AQ120" s="439"/>
      <c r="AR120" s="439"/>
      <c r="AS120" s="439"/>
      <c r="AT120" s="439"/>
      <c r="AU120" s="439"/>
      <c r="AV120" s="439"/>
      <c r="AW120" s="439"/>
      <c r="AX120" s="439"/>
      <c r="AY120" s="433"/>
      <c r="AZ120" s="433"/>
      <c r="BA120" s="433"/>
      <c r="BB120" s="433"/>
      <c r="BC120" s="433"/>
      <c r="BD120" s="433"/>
      <c r="BE120" s="433"/>
      <c r="BF120" s="433"/>
      <c r="BG120" s="433"/>
      <c r="BH120" s="433"/>
      <c r="BI120" s="433"/>
      <c r="BJ120" s="433"/>
      <c r="BK120" s="433"/>
      <c r="BL120" s="433"/>
      <c r="BM120" s="433"/>
      <c r="BN120" s="433"/>
      <c r="BO120" s="433"/>
      <c r="BP120" s="433"/>
      <c r="BQ120" s="433"/>
      <c r="BR120" s="433"/>
      <c r="BS120" s="433"/>
      <c r="BT120" s="433"/>
    </row>
    <row r="121" spans="25:72" x14ac:dyDescent="0.2">
      <c r="Y121" s="439"/>
      <c r="Z121" s="439"/>
      <c r="AA121" s="439"/>
      <c r="AB121" s="439"/>
      <c r="AC121" s="439"/>
      <c r="AD121" s="439"/>
      <c r="AE121" s="439"/>
      <c r="AF121" s="439"/>
      <c r="AG121" s="439"/>
      <c r="AH121" s="439"/>
      <c r="AI121" s="439"/>
      <c r="AJ121" s="439"/>
      <c r="AK121" s="439"/>
      <c r="AL121" s="439"/>
      <c r="AM121" s="439"/>
      <c r="AN121" s="439"/>
      <c r="AO121" s="439"/>
      <c r="AP121" s="439"/>
      <c r="AQ121" s="439"/>
      <c r="AR121" s="439"/>
      <c r="AS121" s="439"/>
      <c r="AT121" s="439"/>
      <c r="AU121" s="439"/>
      <c r="AV121" s="439"/>
      <c r="AW121" s="439"/>
      <c r="AX121" s="439"/>
      <c r="AY121" s="433"/>
      <c r="AZ121" s="433"/>
      <c r="BA121" s="433"/>
      <c r="BB121" s="433"/>
      <c r="BC121" s="433"/>
      <c r="BD121" s="433"/>
      <c r="BE121" s="433"/>
      <c r="BF121" s="433"/>
      <c r="BG121" s="433"/>
      <c r="BH121" s="433"/>
      <c r="BI121" s="433"/>
      <c r="BJ121" s="433"/>
      <c r="BK121" s="433"/>
      <c r="BL121" s="433"/>
      <c r="BM121" s="433"/>
      <c r="BN121" s="433"/>
      <c r="BO121" s="433"/>
      <c r="BP121" s="433"/>
      <c r="BQ121" s="433"/>
      <c r="BR121" s="433"/>
      <c r="BS121" s="433"/>
      <c r="BT121" s="433"/>
    </row>
    <row r="122" spans="25:72" x14ac:dyDescent="0.2">
      <c r="Y122" s="439"/>
      <c r="Z122" s="439"/>
      <c r="AA122" s="439"/>
      <c r="AB122" s="439"/>
      <c r="AC122" s="439"/>
      <c r="AD122" s="439"/>
      <c r="AE122" s="439"/>
      <c r="AF122" s="439"/>
      <c r="AG122" s="439"/>
      <c r="AH122" s="439"/>
      <c r="AI122" s="439"/>
      <c r="AJ122" s="439"/>
      <c r="AK122" s="439"/>
      <c r="AL122" s="439"/>
      <c r="AM122" s="439"/>
      <c r="AN122" s="439"/>
      <c r="AO122" s="439"/>
      <c r="AP122" s="439"/>
      <c r="AQ122" s="439"/>
      <c r="AR122" s="439"/>
      <c r="AS122" s="439"/>
      <c r="AT122" s="439"/>
      <c r="AU122" s="439"/>
      <c r="AV122" s="439"/>
      <c r="AW122" s="439"/>
      <c r="AX122" s="439"/>
      <c r="AY122" s="433"/>
      <c r="AZ122" s="433"/>
      <c r="BA122" s="433"/>
      <c r="BB122" s="433"/>
      <c r="BC122" s="433"/>
      <c r="BD122" s="433"/>
      <c r="BE122" s="433"/>
      <c r="BF122" s="433"/>
      <c r="BG122" s="433"/>
      <c r="BH122" s="433"/>
      <c r="BI122" s="433"/>
      <c r="BJ122" s="433"/>
      <c r="BK122" s="433"/>
      <c r="BL122" s="433"/>
      <c r="BM122" s="433"/>
      <c r="BN122" s="433"/>
      <c r="BO122" s="433"/>
      <c r="BP122" s="433"/>
      <c r="BQ122" s="433"/>
      <c r="BR122" s="433"/>
      <c r="BS122" s="433"/>
      <c r="BT122" s="433"/>
    </row>
    <row r="123" spans="25:72" x14ac:dyDescent="0.2">
      <c r="Y123" s="439"/>
      <c r="Z123" s="439"/>
      <c r="AA123" s="439"/>
      <c r="AB123" s="439"/>
      <c r="AC123" s="439"/>
      <c r="AD123" s="439"/>
      <c r="AE123" s="439"/>
      <c r="AF123" s="439"/>
      <c r="AG123" s="439"/>
      <c r="AH123" s="439"/>
      <c r="AI123" s="439"/>
      <c r="AJ123" s="439"/>
      <c r="AK123" s="439"/>
      <c r="AL123" s="439"/>
      <c r="AM123" s="439"/>
      <c r="AN123" s="439"/>
      <c r="AO123" s="439"/>
      <c r="AP123" s="439"/>
      <c r="AQ123" s="439"/>
      <c r="AR123" s="439"/>
      <c r="AS123" s="439"/>
      <c r="AT123" s="439"/>
      <c r="AU123" s="439"/>
      <c r="AV123" s="439"/>
      <c r="AW123" s="439"/>
      <c r="AX123" s="439"/>
      <c r="AY123" s="433"/>
      <c r="AZ123" s="433"/>
      <c r="BA123" s="433"/>
      <c r="BB123" s="433"/>
      <c r="BC123" s="433"/>
      <c r="BD123" s="433"/>
      <c r="BE123" s="433"/>
      <c r="BF123" s="433"/>
      <c r="BG123" s="433"/>
      <c r="BH123" s="433"/>
      <c r="BI123" s="433"/>
      <c r="BJ123" s="433"/>
      <c r="BK123" s="433"/>
      <c r="BL123" s="433"/>
      <c r="BM123" s="433"/>
      <c r="BN123" s="433"/>
      <c r="BO123" s="433"/>
      <c r="BP123" s="433"/>
      <c r="BQ123" s="433"/>
      <c r="BR123" s="433"/>
      <c r="BS123" s="433"/>
      <c r="BT123" s="433"/>
    </row>
    <row r="124" spans="25:72" x14ac:dyDescent="0.2">
      <c r="Y124" s="448"/>
      <c r="Z124" s="448"/>
      <c r="AA124" s="439"/>
      <c r="AB124" s="439"/>
      <c r="AC124" s="439"/>
      <c r="AD124" s="439"/>
      <c r="AE124" s="439"/>
      <c r="AF124" s="439"/>
      <c r="AG124" s="439"/>
      <c r="AH124" s="439"/>
      <c r="AI124" s="439"/>
      <c r="AJ124" s="439"/>
      <c r="AK124" s="439"/>
      <c r="AL124" s="439"/>
      <c r="AM124" s="439"/>
      <c r="AN124" s="439"/>
      <c r="AO124" s="439"/>
      <c r="AP124" s="439"/>
      <c r="AQ124" s="439"/>
      <c r="AR124" s="439"/>
      <c r="AS124" s="439"/>
      <c r="AT124" s="439"/>
      <c r="AU124" s="439"/>
      <c r="AV124" s="439"/>
      <c r="AW124" s="439"/>
      <c r="AX124" s="439"/>
      <c r="AY124" s="433"/>
      <c r="AZ124" s="433"/>
      <c r="BA124" s="433"/>
      <c r="BB124" s="433"/>
      <c r="BC124" s="433"/>
      <c r="BD124" s="433"/>
      <c r="BE124" s="433"/>
      <c r="BF124" s="433"/>
      <c r="BG124" s="433"/>
      <c r="BH124" s="433"/>
      <c r="BI124" s="433"/>
      <c r="BJ124" s="433"/>
      <c r="BK124" s="433"/>
      <c r="BL124" s="433"/>
      <c r="BM124" s="433"/>
      <c r="BN124" s="433"/>
      <c r="BO124" s="433"/>
      <c r="BP124" s="433"/>
      <c r="BQ124" s="433"/>
      <c r="BR124" s="433"/>
      <c r="BS124" s="433"/>
      <c r="BT124" s="433"/>
    </row>
    <row r="125" spans="25:72" x14ac:dyDescent="0.2">
      <c r="Y125" s="448"/>
      <c r="Z125" s="448"/>
      <c r="AA125" s="439"/>
      <c r="AB125" s="439"/>
      <c r="AC125" s="439"/>
      <c r="AD125" s="439"/>
      <c r="AE125" s="439"/>
      <c r="AF125" s="439"/>
      <c r="AG125" s="439"/>
      <c r="AH125" s="439"/>
      <c r="AI125" s="439"/>
      <c r="AJ125" s="439"/>
      <c r="AK125" s="439"/>
      <c r="AL125" s="439"/>
      <c r="AM125" s="439"/>
      <c r="AN125" s="439"/>
      <c r="AO125" s="439"/>
      <c r="AP125" s="439"/>
      <c r="AQ125" s="439"/>
      <c r="AR125" s="439"/>
      <c r="AS125" s="439"/>
      <c r="AT125" s="439"/>
      <c r="AU125" s="439"/>
      <c r="AV125" s="439"/>
      <c r="AW125" s="439"/>
      <c r="AX125" s="439"/>
      <c r="AY125" s="433"/>
      <c r="AZ125" s="433"/>
      <c r="BA125" s="433"/>
      <c r="BB125" s="433"/>
      <c r="BC125" s="433"/>
      <c r="BD125" s="433"/>
      <c r="BE125" s="433"/>
      <c r="BF125" s="433"/>
      <c r="BG125" s="433"/>
      <c r="BH125" s="433"/>
      <c r="BI125" s="433"/>
      <c r="BJ125" s="433"/>
      <c r="BK125" s="433"/>
      <c r="BL125" s="433"/>
      <c r="BM125" s="433"/>
      <c r="BN125" s="433"/>
      <c r="BO125" s="433"/>
      <c r="BP125" s="433"/>
      <c r="BQ125" s="433"/>
      <c r="BR125" s="433"/>
      <c r="BS125" s="433"/>
      <c r="BT125" s="433"/>
    </row>
    <row r="126" spans="25:72" s="359" customFormat="1" x14ac:dyDescent="0.2">
      <c r="Y126" s="445"/>
      <c r="Z126" s="445"/>
      <c r="AA126" s="445"/>
      <c r="AB126" s="445"/>
      <c r="AC126" s="445"/>
      <c r="AD126" s="445"/>
      <c r="AE126" s="445"/>
      <c r="AF126" s="445"/>
      <c r="AG126" s="445"/>
      <c r="AH126" s="445"/>
      <c r="AI126" s="445"/>
      <c r="AJ126" s="445"/>
      <c r="AK126" s="445"/>
      <c r="AL126" s="445"/>
      <c r="AM126" s="445"/>
      <c r="AN126" s="445"/>
      <c r="AO126" s="445"/>
      <c r="AP126" s="445"/>
      <c r="AQ126" s="445"/>
      <c r="AR126" s="445"/>
      <c r="AS126" s="445"/>
      <c r="AT126" s="445"/>
      <c r="AU126" s="445"/>
      <c r="AV126" s="445"/>
      <c r="AW126" s="445"/>
      <c r="AX126" s="445"/>
      <c r="AY126" s="440"/>
      <c r="AZ126" s="440"/>
      <c r="BA126" s="440"/>
      <c r="BB126" s="440"/>
      <c r="BC126" s="440"/>
      <c r="BD126" s="440"/>
      <c r="BE126" s="440"/>
      <c r="BF126" s="440"/>
      <c r="BG126" s="440"/>
      <c r="BH126" s="440"/>
      <c r="BI126" s="440"/>
      <c r="BJ126" s="440"/>
      <c r="BK126" s="440"/>
      <c r="BL126" s="440"/>
      <c r="BM126" s="440"/>
      <c r="BN126" s="440"/>
      <c r="BO126" s="440"/>
      <c r="BP126" s="440"/>
      <c r="BQ126" s="440"/>
      <c r="BR126" s="440"/>
      <c r="BS126" s="440"/>
      <c r="BT126" s="440"/>
    </row>
    <row r="127" spans="25:72" s="359" customFormat="1" x14ac:dyDescent="0.2">
      <c r="Y127" s="445"/>
      <c r="Z127" s="445"/>
      <c r="AA127" s="445"/>
      <c r="AB127" s="445"/>
      <c r="AC127" s="445"/>
      <c r="AD127" s="445"/>
      <c r="AE127" s="445"/>
      <c r="AF127" s="445"/>
      <c r="AG127" s="445"/>
      <c r="AH127" s="445"/>
      <c r="AI127" s="445"/>
      <c r="AJ127" s="445"/>
      <c r="AK127" s="445"/>
      <c r="AL127" s="445"/>
      <c r="AM127" s="445"/>
      <c r="AN127" s="445"/>
      <c r="AO127" s="445"/>
      <c r="AP127" s="445"/>
      <c r="AQ127" s="445"/>
      <c r="AR127" s="445"/>
      <c r="AS127" s="445"/>
      <c r="AT127" s="445"/>
      <c r="AU127" s="445"/>
      <c r="AV127" s="445"/>
      <c r="AW127" s="445"/>
      <c r="AX127" s="445"/>
      <c r="AY127" s="440"/>
      <c r="AZ127" s="440"/>
      <c r="BA127" s="440"/>
      <c r="BB127" s="440"/>
      <c r="BC127" s="440"/>
      <c r="BD127" s="440"/>
      <c r="BE127" s="440"/>
      <c r="BF127" s="440"/>
      <c r="BG127" s="440"/>
      <c r="BH127" s="440"/>
      <c r="BI127" s="440"/>
      <c r="BJ127" s="440"/>
      <c r="BK127" s="440"/>
      <c r="BL127" s="440"/>
      <c r="BM127" s="440"/>
      <c r="BN127" s="440"/>
      <c r="BO127" s="440"/>
      <c r="BP127" s="440"/>
      <c r="BQ127" s="440"/>
      <c r="BR127" s="440"/>
      <c r="BS127" s="440"/>
      <c r="BT127" s="440"/>
    </row>
    <row r="128" spans="25:72" s="359" customFormat="1" x14ac:dyDescent="0.2">
      <c r="Y128" s="445"/>
      <c r="Z128" s="445"/>
      <c r="AA128" s="445"/>
      <c r="AB128" s="445"/>
      <c r="AC128" s="445"/>
      <c r="AD128" s="445"/>
      <c r="AE128" s="445"/>
      <c r="AF128" s="445"/>
      <c r="AG128" s="445"/>
      <c r="AH128" s="445"/>
      <c r="AI128" s="445"/>
      <c r="AJ128" s="445"/>
      <c r="AK128" s="445"/>
      <c r="AL128" s="445"/>
      <c r="AM128" s="445"/>
      <c r="AN128" s="445"/>
      <c r="AO128" s="445"/>
      <c r="AP128" s="445"/>
      <c r="AQ128" s="445"/>
      <c r="AR128" s="445"/>
      <c r="AS128" s="445"/>
      <c r="AT128" s="445"/>
      <c r="AU128" s="445"/>
      <c r="AV128" s="445"/>
      <c r="AW128" s="445"/>
      <c r="AX128" s="445"/>
      <c r="AY128" s="440"/>
      <c r="AZ128" s="440"/>
      <c r="BA128" s="440"/>
      <c r="BB128" s="440"/>
      <c r="BC128" s="440"/>
      <c r="BD128" s="440"/>
      <c r="BE128" s="440"/>
      <c r="BF128" s="440"/>
      <c r="BG128" s="440"/>
      <c r="BH128" s="440"/>
      <c r="BI128" s="440"/>
      <c r="BJ128" s="440"/>
      <c r="BK128" s="440"/>
      <c r="BL128" s="440"/>
      <c r="BM128" s="440"/>
      <c r="BN128" s="440"/>
      <c r="BO128" s="440"/>
      <c r="BP128" s="440"/>
      <c r="BQ128" s="440"/>
      <c r="BR128" s="440"/>
      <c r="BS128" s="440"/>
      <c r="BT128" s="440"/>
    </row>
    <row r="129" spans="25:72" x14ac:dyDescent="0.2">
      <c r="Y129" s="439"/>
      <c r="Z129" s="439"/>
      <c r="AA129" s="439"/>
      <c r="AB129" s="439"/>
      <c r="AC129" s="439"/>
      <c r="AD129" s="439"/>
      <c r="AE129" s="439"/>
      <c r="AF129" s="439"/>
      <c r="AG129" s="439"/>
      <c r="AH129" s="439"/>
      <c r="AI129" s="439"/>
      <c r="AJ129" s="439"/>
      <c r="AK129" s="439"/>
      <c r="AL129" s="439"/>
      <c r="AM129" s="439"/>
      <c r="AN129" s="439"/>
      <c r="AO129" s="439"/>
      <c r="AP129" s="439"/>
      <c r="AQ129" s="439"/>
      <c r="AR129" s="439"/>
      <c r="AS129" s="439"/>
      <c r="AT129" s="439"/>
      <c r="AU129" s="439"/>
      <c r="AV129" s="439"/>
      <c r="AW129" s="439"/>
      <c r="AX129" s="439"/>
      <c r="AY129" s="433"/>
      <c r="AZ129" s="433"/>
      <c r="BA129" s="433"/>
      <c r="BB129" s="433"/>
      <c r="BC129" s="433"/>
      <c r="BD129" s="433"/>
      <c r="BE129" s="433"/>
      <c r="BF129" s="433"/>
      <c r="BG129" s="433"/>
      <c r="BH129" s="433"/>
      <c r="BI129" s="433"/>
      <c r="BJ129" s="433"/>
      <c r="BK129" s="433"/>
      <c r="BL129" s="433"/>
      <c r="BM129" s="433"/>
      <c r="BN129" s="433"/>
      <c r="BO129" s="433"/>
      <c r="BP129" s="433"/>
      <c r="BQ129" s="433"/>
      <c r="BR129" s="433"/>
      <c r="BS129" s="433"/>
      <c r="BT129" s="433"/>
    </row>
    <row r="130" spans="25:72" x14ac:dyDescent="0.2">
      <c r="Y130" s="445"/>
      <c r="Z130" s="445"/>
      <c r="AA130" s="445"/>
      <c r="AB130" s="445"/>
      <c r="AC130" s="445"/>
      <c r="AD130" s="445"/>
      <c r="AE130" s="445"/>
      <c r="AF130" s="445"/>
      <c r="AG130" s="445"/>
      <c r="AH130" s="445"/>
      <c r="AI130" s="445"/>
      <c r="AJ130" s="445"/>
      <c r="AK130" s="445"/>
      <c r="AL130" s="445"/>
      <c r="AM130" s="445"/>
      <c r="AN130" s="445"/>
      <c r="AO130" s="445"/>
      <c r="AP130" s="445"/>
      <c r="AQ130" s="445"/>
      <c r="AR130" s="445"/>
      <c r="AS130" s="445"/>
      <c r="AT130" s="445"/>
      <c r="AU130" s="445"/>
      <c r="AV130" s="445"/>
      <c r="AW130" s="445"/>
      <c r="AX130" s="445"/>
      <c r="AY130" s="433"/>
      <c r="AZ130" s="433"/>
      <c r="BA130" s="433"/>
      <c r="BB130" s="433"/>
      <c r="BC130" s="433"/>
      <c r="BD130" s="433"/>
      <c r="BE130" s="433"/>
      <c r="BF130" s="433"/>
      <c r="BG130" s="433"/>
      <c r="BH130" s="433"/>
      <c r="BI130" s="433"/>
      <c r="BJ130" s="433"/>
      <c r="BK130" s="433"/>
      <c r="BL130" s="433"/>
      <c r="BM130" s="433"/>
      <c r="BN130" s="433"/>
      <c r="BO130" s="433"/>
      <c r="BP130" s="433"/>
      <c r="BQ130" s="433"/>
      <c r="BR130" s="433"/>
      <c r="BS130" s="433"/>
      <c r="BT130" s="433"/>
    </row>
    <row r="131" spans="25:72" x14ac:dyDescent="0.2">
      <c r="Y131" s="439"/>
      <c r="Z131" s="439"/>
      <c r="AA131" s="439"/>
      <c r="AB131" s="439"/>
      <c r="AC131" s="439"/>
      <c r="AD131" s="439"/>
      <c r="AE131" s="439"/>
      <c r="AF131" s="439"/>
      <c r="AG131" s="439"/>
      <c r="AH131" s="439"/>
      <c r="AI131" s="439"/>
      <c r="AJ131" s="439"/>
      <c r="AK131" s="439"/>
      <c r="AL131" s="439"/>
      <c r="AM131" s="439"/>
      <c r="AN131" s="439"/>
      <c r="AO131" s="439"/>
      <c r="AP131" s="439"/>
      <c r="AQ131" s="439"/>
      <c r="AR131" s="439"/>
      <c r="AS131" s="439"/>
      <c r="AT131" s="439"/>
      <c r="AU131" s="439"/>
      <c r="AV131" s="439"/>
      <c r="AW131" s="439"/>
      <c r="AX131" s="439"/>
      <c r="AY131" s="433"/>
      <c r="AZ131" s="433"/>
      <c r="BA131" s="433"/>
      <c r="BB131" s="433"/>
      <c r="BC131" s="433"/>
      <c r="BD131" s="433"/>
      <c r="BE131" s="433"/>
      <c r="BF131" s="433"/>
      <c r="BG131" s="433"/>
      <c r="BH131" s="433"/>
      <c r="BI131" s="433"/>
      <c r="BJ131" s="433"/>
      <c r="BK131" s="433"/>
      <c r="BL131" s="433"/>
      <c r="BM131" s="433"/>
      <c r="BN131" s="433"/>
      <c r="BO131" s="433"/>
      <c r="BP131" s="433"/>
      <c r="BQ131" s="433"/>
      <c r="BR131" s="433"/>
      <c r="BS131" s="433"/>
      <c r="BT131" s="433"/>
    </row>
    <row r="132" spans="25:72" x14ac:dyDescent="0.2">
      <c r="Y132" s="433"/>
      <c r="Z132" s="433"/>
      <c r="AA132" s="439"/>
      <c r="AB132" s="439"/>
      <c r="AC132" s="439"/>
      <c r="AD132" s="439"/>
      <c r="AE132" s="439"/>
      <c r="AF132" s="439"/>
      <c r="AG132" s="439"/>
      <c r="AH132" s="439"/>
      <c r="AI132" s="439"/>
      <c r="AJ132" s="439"/>
      <c r="AK132" s="439"/>
      <c r="AL132" s="439"/>
      <c r="AM132" s="439"/>
      <c r="AN132" s="439"/>
      <c r="AO132" s="439"/>
      <c r="AP132" s="439"/>
      <c r="AQ132" s="439"/>
      <c r="AR132" s="439"/>
      <c r="AS132" s="439"/>
      <c r="AT132" s="439"/>
      <c r="AU132" s="439"/>
      <c r="AV132" s="439"/>
      <c r="AW132" s="439"/>
      <c r="AX132" s="439"/>
      <c r="AY132" s="433"/>
      <c r="AZ132" s="433"/>
      <c r="BA132" s="433"/>
      <c r="BB132" s="433"/>
      <c r="BC132" s="433"/>
      <c r="BD132" s="433"/>
      <c r="BE132" s="433"/>
      <c r="BF132" s="433"/>
      <c r="BG132" s="433"/>
      <c r="BH132" s="433"/>
      <c r="BI132" s="433"/>
      <c r="BJ132" s="433"/>
      <c r="BK132" s="433"/>
      <c r="BL132" s="433"/>
      <c r="BM132" s="433"/>
      <c r="BN132" s="433"/>
      <c r="BO132" s="433"/>
      <c r="BP132" s="433"/>
      <c r="BQ132" s="433"/>
      <c r="BR132" s="433"/>
      <c r="BS132" s="433"/>
      <c r="BT132" s="433"/>
    </row>
    <row r="133" spans="25:72" x14ac:dyDescent="0.2">
      <c r="Y133" s="433"/>
      <c r="Z133" s="433"/>
      <c r="AA133" s="439"/>
      <c r="AB133" s="439"/>
      <c r="AC133" s="439"/>
      <c r="AD133" s="439"/>
      <c r="AE133" s="439"/>
      <c r="AF133" s="439"/>
      <c r="AG133" s="439"/>
      <c r="AH133" s="439"/>
      <c r="AI133" s="439"/>
      <c r="AJ133" s="439"/>
      <c r="AK133" s="439"/>
      <c r="AL133" s="439"/>
      <c r="AM133" s="439"/>
      <c r="AN133" s="439"/>
      <c r="AO133" s="439"/>
      <c r="AP133" s="439"/>
      <c r="AQ133" s="439"/>
      <c r="AR133" s="439"/>
      <c r="AS133" s="439"/>
      <c r="AT133" s="439"/>
      <c r="AU133" s="439"/>
      <c r="AV133" s="439"/>
      <c r="AW133" s="439"/>
      <c r="AX133" s="439"/>
      <c r="AY133" s="433"/>
      <c r="AZ133" s="433"/>
      <c r="BA133" s="433"/>
      <c r="BB133" s="433"/>
      <c r="BC133" s="433"/>
      <c r="BD133" s="433"/>
      <c r="BE133" s="433"/>
      <c r="BF133" s="433"/>
      <c r="BG133" s="433"/>
      <c r="BH133" s="433"/>
      <c r="BI133" s="433"/>
      <c r="BJ133" s="433"/>
      <c r="BK133" s="433"/>
      <c r="BL133" s="433"/>
      <c r="BM133" s="433"/>
      <c r="BN133" s="433"/>
      <c r="BO133" s="433"/>
      <c r="BP133" s="433"/>
      <c r="BQ133" s="433"/>
      <c r="BR133" s="433"/>
      <c r="BS133" s="433"/>
      <c r="BT133" s="433"/>
    </row>
    <row r="134" spans="25:72" x14ac:dyDescent="0.2">
      <c r="Y134" s="439"/>
      <c r="Z134" s="439"/>
      <c r="AA134" s="439"/>
      <c r="AB134" s="439"/>
      <c r="AC134" s="439"/>
      <c r="AD134" s="439"/>
      <c r="AE134" s="439"/>
      <c r="AF134" s="439"/>
      <c r="AG134" s="439"/>
      <c r="AH134" s="439"/>
      <c r="AI134" s="439"/>
      <c r="AJ134" s="439"/>
      <c r="AK134" s="439"/>
      <c r="AL134" s="439"/>
      <c r="AM134" s="439"/>
      <c r="AN134" s="439"/>
      <c r="AO134" s="439"/>
      <c r="AP134" s="439"/>
      <c r="AQ134" s="439"/>
      <c r="AR134" s="439"/>
      <c r="AS134" s="439"/>
      <c r="AT134" s="439"/>
      <c r="AU134" s="439"/>
      <c r="AV134" s="439"/>
      <c r="AW134" s="439"/>
      <c r="AX134" s="439"/>
      <c r="AY134" s="433"/>
      <c r="AZ134" s="433"/>
      <c r="BA134" s="433"/>
      <c r="BB134" s="433"/>
      <c r="BC134" s="433"/>
      <c r="BD134" s="433"/>
      <c r="BE134" s="433"/>
      <c r="BF134" s="433"/>
      <c r="BG134" s="433"/>
      <c r="BH134" s="433"/>
      <c r="BI134" s="433"/>
      <c r="BJ134" s="433"/>
      <c r="BK134" s="433"/>
      <c r="BL134" s="433"/>
      <c r="BM134" s="433"/>
      <c r="BN134" s="433"/>
      <c r="BO134" s="433"/>
      <c r="BP134" s="433"/>
      <c r="BQ134" s="433"/>
      <c r="BR134" s="433"/>
      <c r="BS134" s="433"/>
      <c r="BT134" s="433"/>
    </row>
    <row r="135" spans="25:72" x14ac:dyDescent="0.2">
      <c r="Y135" s="433"/>
      <c r="Z135" s="433"/>
      <c r="AA135" s="433"/>
      <c r="AB135" s="433"/>
      <c r="AC135" s="433"/>
      <c r="AD135" s="433"/>
      <c r="AE135" s="433"/>
      <c r="AF135" s="433"/>
      <c r="AG135" s="433"/>
      <c r="AH135" s="433"/>
      <c r="AI135" s="433"/>
      <c r="AJ135" s="433"/>
      <c r="AK135" s="433"/>
      <c r="AL135" s="433"/>
      <c r="AM135" s="433"/>
      <c r="AN135" s="433"/>
      <c r="AO135" s="433"/>
      <c r="AP135" s="433"/>
      <c r="AQ135" s="433"/>
      <c r="AR135" s="433"/>
      <c r="AS135" s="433"/>
      <c r="AT135" s="433"/>
      <c r="AU135" s="433"/>
      <c r="AV135" s="433"/>
      <c r="AW135" s="433"/>
      <c r="AX135" s="433"/>
      <c r="AY135" s="433"/>
      <c r="AZ135" s="433"/>
      <c r="BA135" s="433"/>
      <c r="BB135" s="433"/>
      <c r="BC135" s="433"/>
      <c r="BD135" s="433"/>
      <c r="BE135" s="433"/>
      <c r="BF135" s="433"/>
      <c r="BG135" s="433"/>
      <c r="BH135" s="433"/>
      <c r="BI135" s="433"/>
      <c r="BJ135" s="433"/>
      <c r="BK135" s="433"/>
      <c r="BL135" s="433"/>
      <c r="BM135" s="433"/>
      <c r="BN135" s="433"/>
      <c r="BO135" s="433"/>
      <c r="BP135" s="433"/>
      <c r="BQ135" s="433"/>
      <c r="BR135" s="433"/>
      <c r="BS135" s="433"/>
      <c r="BT135" s="433"/>
    </row>
    <row r="136" spans="25:72" x14ac:dyDescent="0.2">
      <c r="Y136" s="433"/>
      <c r="Z136" s="433"/>
      <c r="AA136" s="433"/>
      <c r="AB136" s="433"/>
      <c r="AC136" s="433"/>
      <c r="AD136" s="433"/>
      <c r="AE136" s="433"/>
      <c r="AF136" s="433"/>
      <c r="AG136" s="433"/>
      <c r="AH136" s="433"/>
      <c r="AI136" s="433"/>
      <c r="AJ136" s="433"/>
      <c r="AK136" s="433"/>
      <c r="AL136" s="433"/>
      <c r="AM136" s="433"/>
      <c r="AN136" s="433"/>
      <c r="AO136" s="433"/>
      <c r="AP136" s="433"/>
      <c r="AQ136" s="433"/>
      <c r="AR136" s="433"/>
      <c r="AS136" s="433"/>
      <c r="AT136" s="433"/>
      <c r="AU136" s="433"/>
      <c r="AV136" s="433"/>
      <c r="AW136" s="433"/>
      <c r="AX136" s="433"/>
      <c r="AY136" s="433"/>
      <c r="AZ136" s="433"/>
      <c r="BA136" s="433"/>
      <c r="BB136" s="433"/>
      <c r="BC136" s="433"/>
      <c r="BD136" s="433"/>
      <c r="BE136" s="433"/>
      <c r="BF136" s="433"/>
      <c r="BG136" s="433"/>
      <c r="BH136" s="433"/>
      <c r="BI136" s="433"/>
      <c r="BJ136" s="433"/>
      <c r="BK136" s="433"/>
      <c r="BL136" s="433"/>
      <c r="BM136" s="433"/>
      <c r="BN136" s="433"/>
      <c r="BO136" s="433"/>
      <c r="BP136" s="433"/>
      <c r="BQ136" s="433"/>
      <c r="BR136" s="433"/>
      <c r="BS136" s="433"/>
      <c r="BT136" s="433"/>
    </row>
    <row r="137" spans="25:72" x14ac:dyDescent="0.2">
      <c r="Y137" s="433"/>
      <c r="Z137" s="433"/>
      <c r="AA137" s="433"/>
      <c r="AB137" s="433"/>
      <c r="AC137" s="433"/>
      <c r="AD137" s="433"/>
      <c r="AE137" s="433"/>
      <c r="AF137" s="433"/>
      <c r="AG137" s="433"/>
      <c r="AH137" s="433"/>
      <c r="AI137" s="433"/>
      <c r="AJ137" s="433"/>
      <c r="AK137" s="433"/>
      <c r="AL137" s="433"/>
      <c r="AM137" s="433"/>
      <c r="AN137" s="433"/>
      <c r="AO137" s="433"/>
      <c r="AP137" s="433"/>
      <c r="AQ137" s="433"/>
      <c r="AR137" s="433"/>
      <c r="AS137" s="433"/>
      <c r="AT137" s="433"/>
      <c r="AU137" s="433"/>
      <c r="AV137" s="433"/>
      <c r="AW137" s="433"/>
      <c r="AX137" s="433"/>
      <c r="AY137" s="433"/>
      <c r="AZ137" s="433"/>
      <c r="BA137" s="433"/>
      <c r="BB137" s="433"/>
      <c r="BC137" s="433"/>
      <c r="BD137" s="433"/>
      <c r="BE137" s="433"/>
      <c r="BF137" s="433"/>
      <c r="BG137" s="433"/>
      <c r="BH137" s="433"/>
      <c r="BI137" s="433"/>
      <c r="BJ137" s="433"/>
      <c r="BK137" s="433"/>
      <c r="BL137" s="433"/>
      <c r="BM137" s="433"/>
      <c r="BN137" s="433"/>
      <c r="BO137" s="433"/>
      <c r="BP137" s="433"/>
      <c r="BQ137" s="433"/>
      <c r="BR137" s="433"/>
      <c r="BS137" s="433"/>
      <c r="BT137" s="433"/>
    </row>
    <row r="138" spans="25:72" x14ac:dyDescent="0.2">
      <c r="Y138" s="433"/>
      <c r="Z138" s="433"/>
      <c r="AA138" s="433"/>
      <c r="AB138" s="433"/>
      <c r="AC138" s="433"/>
      <c r="AD138" s="433"/>
      <c r="AE138" s="433"/>
      <c r="AF138" s="433"/>
      <c r="AG138" s="433"/>
      <c r="AH138" s="433"/>
      <c r="AI138" s="433"/>
      <c r="AJ138" s="433"/>
      <c r="AK138" s="433"/>
      <c r="AL138" s="433"/>
      <c r="AM138" s="433"/>
      <c r="AN138" s="433"/>
      <c r="AO138" s="433"/>
      <c r="AP138" s="433"/>
      <c r="AQ138" s="433"/>
      <c r="AR138" s="433"/>
      <c r="AS138" s="433"/>
      <c r="AT138" s="433"/>
      <c r="AU138" s="433"/>
      <c r="AV138" s="433"/>
      <c r="AW138" s="433"/>
      <c r="AX138" s="433"/>
      <c r="AY138" s="433"/>
      <c r="AZ138" s="433"/>
      <c r="BA138" s="433"/>
      <c r="BB138" s="433"/>
      <c r="BC138" s="433"/>
      <c r="BD138" s="433"/>
      <c r="BE138" s="433"/>
      <c r="BF138" s="433"/>
      <c r="BG138" s="433"/>
      <c r="BH138" s="433"/>
      <c r="BI138" s="433"/>
      <c r="BJ138" s="433"/>
      <c r="BK138" s="433"/>
      <c r="BL138" s="433"/>
      <c r="BM138" s="433"/>
      <c r="BN138" s="433"/>
      <c r="BO138" s="433"/>
      <c r="BP138" s="433"/>
      <c r="BQ138" s="433"/>
      <c r="BR138" s="433"/>
      <c r="BS138" s="433"/>
      <c r="BT138" s="433"/>
    </row>
    <row r="139" spans="25:72" x14ac:dyDescent="0.2">
      <c r="Y139" s="434"/>
      <c r="Z139" s="434"/>
      <c r="AA139" s="434"/>
      <c r="AB139" s="434"/>
      <c r="AC139" s="434"/>
      <c r="AD139" s="434"/>
      <c r="AE139" s="434"/>
      <c r="AF139" s="434"/>
      <c r="AG139" s="434"/>
      <c r="AH139" s="434"/>
      <c r="AI139" s="434"/>
      <c r="AJ139" s="434"/>
      <c r="AK139" s="434"/>
      <c r="AL139" s="434"/>
      <c r="AM139" s="434"/>
      <c r="AN139" s="434"/>
      <c r="AO139" s="434"/>
      <c r="AP139" s="434"/>
      <c r="AQ139" s="434"/>
      <c r="AR139" s="434"/>
      <c r="AS139" s="434"/>
      <c r="AT139" s="434"/>
      <c r="AU139" s="434"/>
      <c r="AV139" s="434"/>
      <c r="AW139" s="434"/>
      <c r="AX139" s="434"/>
      <c r="AY139" s="433"/>
      <c r="AZ139" s="433"/>
      <c r="BA139" s="433"/>
      <c r="BB139" s="433"/>
      <c r="BC139" s="433"/>
      <c r="BD139" s="433"/>
      <c r="BE139" s="433"/>
      <c r="BF139" s="433"/>
      <c r="BG139" s="433"/>
      <c r="BH139" s="433"/>
      <c r="BI139" s="433"/>
      <c r="BJ139" s="433"/>
      <c r="BK139" s="433"/>
      <c r="BL139" s="433"/>
      <c r="BM139" s="433"/>
      <c r="BN139" s="433"/>
      <c r="BO139" s="433"/>
      <c r="BP139" s="433"/>
      <c r="BQ139" s="433"/>
      <c r="BR139" s="433"/>
      <c r="BS139" s="433"/>
      <c r="BT139" s="433"/>
    </row>
    <row r="140" spans="25:72" x14ac:dyDescent="0.2">
      <c r="Y140" s="443"/>
      <c r="Z140" s="443"/>
      <c r="AA140" s="435"/>
      <c r="AB140" s="435"/>
      <c r="AC140" s="435"/>
      <c r="AD140" s="435"/>
      <c r="AE140" s="435"/>
      <c r="AF140" s="435"/>
      <c r="AG140" s="435"/>
      <c r="AH140" s="435"/>
      <c r="AI140" s="435"/>
      <c r="AJ140" s="435"/>
      <c r="AK140" s="435"/>
      <c r="AL140" s="435"/>
      <c r="AM140" s="435"/>
      <c r="AN140" s="435"/>
      <c r="AO140" s="435"/>
      <c r="AP140" s="435"/>
      <c r="AQ140" s="435"/>
      <c r="AR140" s="435"/>
      <c r="AS140" s="435"/>
      <c r="AT140" s="435"/>
      <c r="AU140" s="435"/>
      <c r="AV140" s="435"/>
      <c r="AW140" s="435"/>
      <c r="AX140" s="435"/>
      <c r="AY140" s="433"/>
      <c r="AZ140" s="433"/>
      <c r="BA140" s="433"/>
      <c r="BB140" s="433"/>
      <c r="BC140" s="433"/>
      <c r="BD140" s="433"/>
      <c r="BE140" s="433"/>
      <c r="BF140" s="433"/>
      <c r="BG140" s="433"/>
      <c r="BH140" s="433"/>
      <c r="BI140" s="433"/>
      <c r="BJ140" s="433"/>
      <c r="BK140" s="433"/>
      <c r="BL140" s="433"/>
      <c r="BM140" s="433"/>
      <c r="BN140" s="433"/>
      <c r="BO140" s="433"/>
      <c r="BP140" s="433"/>
      <c r="BQ140" s="433"/>
      <c r="BR140" s="433"/>
      <c r="BS140" s="433"/>
      <c r="BT140" s="433"/>
    </row>
    <row r="141" spans="25:72" x14ac:dyDescent="0.2">
      <c r="Y141" s="433"/>
      <c r="Z141" s="433"/>
      <c r="AA141" s="433"/>
      <c r="AB141" s="433"/>
      <c r="AC141" s="433"/>
      <c r="AD141" s="433"/>
      <c r="AE141" s="433"/>
      <c r="AF141" s="433"/>
      <c r="AG141" s="433"/>
      <c r="AH141" s="433"/>
      <c r="AI141" s="433"/>
      <c r="AJ141" s="433"/>
      <c r="AK141" s="433"/>
      <c r="AL141" s="433"/>
      <c r="AM141" s="433"/>
      <c r="AN141" s="433"/>
      <c r="AO141" s="433"/>
      <c r="AP141" s="433"/>
      <c r="AQ141" s="433"/>
      <c r="AR141" s="433"/>
      <c r="AS141" s="433"/>
      <c r="AT141" s="433"/>
      <c r="AU141" s="433"/>
      <c r="AV141" s="433"/>
      <c r="AW141" s="433"/>
      <c r="AX141" s="433"/>
      <c r="AY141" s="433"/>
      <c r="AZ141" s="433"/>
      <c r="BA141" s="433"/>
      <c r="BB141" s="433"/>
      <c r="BC141" s="433"/>
      <c r="BD141" s="433"/>
      <c r="BE141" s="433"/>
      <c r="BF141" s="433"/>
      <c r="BG141" s="433"/>
      <c r="BH141" s="433"/>
      <c r="BI141" s="433"/>
      <c r="BJ141" s="433"/>
      <c r="BK141" s="433"/>
      <c r="BL141" s="433"/>
      <c r="BM141" s="433"/>
      <c r="BN141" s="433"/>
      <c r="BO141" s="433"/>
      <c r="BP141" s="433"/>
      <c r="BQ141" s="433"/>
      <c r="BR141" s="433"/>
      <c r="BS141" s="433"/>
      <c r="BT141" s="433"/>
    </row>
    <row r="142" spans="25:72" x14ac:dyDescent="0.2">
      <c r="Y142" s="436"/>
      <c r="Z142" s="436"/>
      <c r="AA142" s="436"/>
      <c r="AB142" s="436"/>
      <c r="AC142" s="436"/>
      <c r="AD142" s="436"/>
      <c r="AE142" s="436"/>
      <c r="AF142" s="436"/>
      <c r="AG142" s="436"/>
      <c r="AH142" s="436"/>
      <c r="AI142" s="436"/>
      <c r="AJ142" s="436"/>
      <c r="AK142" s="436"/>
      <c r="AL142" s="436"/>
      <c r="AM142" s="436"/>
      <c r="AN142" s="436"/>
      <c r="AO142" s="436"/>
      <c r="AP142" s="436"/>
      <c r="AQ142" s="436"/>
      <c r="AR142" s="436"/>
      <c r="AS142" s="436"/>
      <c r="AT142" s="436"/>
      <c r="AU142" s="436"/>
      <c r="AV142" s="436"/>
      <c r="AW142" s="436"/>
      <c r="AX142" s="436"/>
      <c r="AY142" s="433"/>
      <c r="AZ142" s="433"/>
      <c r="BA142" s="433"/>
      <c r="BB142" s="433"/>
      <c r="BC142" s="433"/>
      <c r="BD142" s="433"/>
      <c r="BE142" s="433"/>
      <c r="BF142" s="433"/>
      <c r="BG142" s="433"/>
      <c r="BH142" s="433"/>
      <c r="BI142" s="433"/>
      <c r="BJ142" s="433"/>
      <c r="BK142" s="433"/>
      <c r="BL142" s="433"/>
      <c r="BM142" s="433"/>
      <c r="BN142" s="433"/>
      <c r="BO142" s="433"/>
      <c r="BP142" s="433"/>
      <c r="BQ142" s="433"/>
      <c r="BR142" s="433"/>
      <c r="BS142" s="433"/>
      <c r="BT142" s="433"/>
    </row>
    <row r="143" spans="25:72" x14ac:dyDescent="0.2">
      <c r="Y143" s="439"/>
      <c r="Z143" s="439"/>
      <c r="AA143" s="439"/>
      <c r="AB143" s="439"/>
      <c r="AC143" s="439"/>
      <c r="AD143" s="439"/>
      <c r="AE143" s="439"/>
      <c r="AF143" s="439"/>
      <c r="AG143" s="439"/>
      <c r="AH143" s="439"/>
      <c r="AI143" s="439"/>
      <c r="AJ143" s="439"/>
      <c r="AK143" s="439"/>
      <c r="AL143" s="439"/>
      <c r="AM143" s="439"/>
      <c r="AN143" s="439"/>
      <c r="AO143" s="439"/>
      <c r="AP143" s="439"/>
      <c r="AQ143" s="439"/>
      <c r="AR143" s="439"/>
      <c r="AS143" s="439"/>
      <c r="AT143" s="439"/>
      <c r="AU143" s="439"/>
      <c r="AV143" s="439"/>
      <c r="AW143" s="439"/>
      <c r="AX143" s="439"/>
      <c r="AY143" s="433"/>
      <c r="AZ143" s="433"/>
      <c r="BA143" s="433"/>
      <c r="BB143" s="433"/>
      <c r="BC143" s="433"/>
      <c r="BD143" s="433"/>
      <c r="BE143" s="433"/>
      <c r="BF143" s="433"/>
      <c r="BG143" s="433"/>
      <c r="BH143" s="433"/>
      <c r="BI143" s="433"/>
      <c r="BJ143" s="433"/>
      <c r="BK143" s="433"/>
      <c r="BL143" s="433"/>
      <c r="BM143" s="433"/>
      <c r="BN143" s="433"/>
      <c r="BO143" s="433"/>
      <c r="BP143" s="433"/>
      <c r="BQ143" s="433"/>
      <c r="BR143" s="433"/>
      <c r="BS143" s="433"/>
      <c r="BT143" s="433"/>
    </row>
    <row r="144" spans="25:72" x14ac:dyDescent="0.2">
      <c r="Y144" s="433"/>
      <c r="Z144" s="433"/>
      <c r="AA144" s="433"/>
      <c r="AB144" s="433"/>
      <c r="AC144" s="433"/>
      <c r="AD144" s="433"/>
      <c r="AE144" s="433"/>
      <c r="AF144" s="433"/>
      <c r="AG144" s="433"/>
      <c r="AH144" s="433"/>
      <c r="AI144" s="433"/>
      <c r="AJ144" s="433"/>
      <c r="AK144" s="433"/>
      <c r="AL144" s="433"/>
      <c r="AM144" s="433"/>
      <c r="AN144" s="433"/>
      <c r="AO144" s="433"/>
      <c r="AP144" s="433"/>
      <c r="AQ144" s="433"/>
      <c r="AR144" s="433"/>
      <c r="AS144" s="433"/>
      <c r="AT144" s="433"/>
      <c r="AU144" s="433"/>
      <c r="AV144" s="433"/>
      <c r="AW144" s="433"/>
      <c r="AX144" s="433"/>
      <c r="AY144" s="433"/>
      <c r="AZ144" s="433"/>
      <c r="BA144" s="433"/>
      <c r="BB144" s="433"/>
      <c r="BC144" s="433"/>
      <c r="BD144" s="433"/>
      <c r="BE144" s="433"/>
      <c r="BF144" s="433"/>
      <c r="BG144" s="433"/>
      <c r="BH144" s="433"/>
      <c r="BI144" s="433"/>
      <c r="BJ144" s="433"/>
      <c r="BK144" s="433"/>
      <c r="BL144" s="433"/>
      <c r="BM144" s="433"/>
      <c r="BN144" s="433"/>
      <c r="BO144" s="433"/>
      <c r="BP144" s="433"/>
      <c r="BQ144" s="433"/>
      <c r="BR144" s="433"/>
      <c r="BS144" s="433"/>
      <c r="BT144" s="433"/>
    </row>
    <row r="145" spans="25:72" s="359" customFormat="1" x14ac:dyDescent="0.2">
      <c r="Y145" s="445"/>
      <c r="Z145" s="445"/>
      <c r="AA145" s="445"/>
      <c r="AB145" s="445"/>
      <c r="AC145" s="445"/>
      <c r="AD145" s="445"/>
      <c r="AE145" s="445"/>
      <c r="AF145" s="445"/>
      <c r="AG145" s="445"/>
      <c r="AH145" s="445"/>
      <c r="AI145" s="445"/>
      <c r="AJ145" s="445"/>
      <c r="AK145" s="445"/>
      <c r="AL145" s="445"/>
      <c r="AM145" s="445"/>
      <c r="AN145" s="445"/>
      <c r="AO145" s="445"/>
      <c r="AP145" s="445"/>
      <c r="AQ145" s="445"/>
      <c r="AR145" s="445"/>
      <c r="AS145" s="445"/>
      <c r="AT145" s="445"/>
      <c r="AU145" s="445"/>
      <c r="AV145" s="445"/>
      <c r="AW145" s="445"/>
      <c r="AX145" s="445"/>
      <c r="AY145" s="440"/>
      <c r="AZ145" s="440"/>
      <c r="BA145" s="440"/>
      <c r="BB145" s="440"/>
      <c r="BC145" s="440"/>
      <c r="BD145" s="440"/>
      <c r="BE145" s="440"/>
      <c r="BF145" s="440"/>
      <c r="BG145" s="440"/>
      <c r="BH145" s="440"/>
      <c r="BI145" s="440"/>
      <c r="BJ145" s="440"/>
      <c r="BK145" s="440"/>
      <c r="BL145" s="440"/>
      <c r="BM145" s="440"/>
      <c r="BN145" s="440"/>
      <c r="BO145" s="440"/>
      <c r="BP145" s="440"/>
      <c r="BQ145" s="440"/>
      <c r="BR145" s="440"/>
      <c r="BS145" s="440"/>
      <c r="BT145" s="440"/>
    </row>
    <row r="146" spans="25:72" x14ac:dyDescent="0.2">
      <c r="Y146" s="448"/>
      <c r="Z146" s="448"/>
      <c r="AA146" s="439"/>
      <c r="AB146" s="439"/>
      <c r="AC146" s="439"/>
      <c r="AD146" s="439"/>
      <c r="AE146" s="439"/>
      <c r="AF146" s="439"/>
      <c r="AG146" s="439"/>
      <c r="AH146" s="439"/>
      <c r="AI146" s="439"/>
      <c r="AJ146" s="439"/>
      <c r="AK146" s="439"/>
      <c r="AL146" s="439"/>
      <c r="AM146" s="439"/>
      <c r="AN146" s="439"/>
      <c r="AO146" s="439"/>
      <c r="AP146" s="439"/>
      <c r="AQ146" s="439"/>
      <c r="AR146" s="439"/>
      <c r="AS146" s="439"/>
      <c r="AT146" s="439"/>
      <c r="AU146" s="439"/>
      <c r="AV146" s="439"/>
      <c r="AW146" s="439"/>
      <c r="AX146" s="439"/>
      <c r="AY146" s="433"/>
      <c r="AZ146" s="433"/>
      <c r="BA146" s="433"/>
      <c r="BB146" s="433"/>
      <c r="BC146" s="433"/>
      <c r="BD146" s="433"/>
      <c r="BE146" s="433"/>
      <c r="BF146" s="433"/>
      <c r="BG146" s="433"/>
      <c r="BH146" s="433"/>
      <c r="BI146" s="433"/>
      <c r="BJ146" s="433"/>
      <c r="BK146" s="433"/>
      <c r="BL146" s="433"/>
      <c r="BM146" s="433"/>
      <c r="BN146" s="433"/>
      <c r="BO146" s="433"/>
      <c r="BP146" s="433"/>
      <c r="BQ146" s="433"/>
      <c r="BR146" s="433"/>
      <c r="BS146" s="433"/>
      <c r="BT146" s="433"/>
    </row>
    <row r="147" spans="25:72" x14ac:dyDescent="0.2">
      <c r="Y147" s="439"/>
      <c r="Z147" s="439"/>
      <c r="AA147" s="439"/>
      <c r="AB147" s="439"/>
      <c r="AC147" s="439"/>
      <c r="AD147" s="439"/>
      <c r="AE147" s="439"/>
      <c r="AF147" s="439"/>
      <c r="AG147" s="439"/>
      <c r="AH147" s="439"/>
      <c r="AI147" s="439"/>
      <c r="AJ147" s="439"/>
      <c r="AK147" s="439"/>
      <c r="AL147" s="439"/>
      <c r="AM147" s="439"/>
      <c r="AN147" s="439"/>
      <c r="AO147" s="439"/>
      <c r="AP147" s="439"/>
      <c r="AQ147" s="439"/>
      <c r="AR147" s="439"/>
      <c r="AS147" s="439"/>
      <c r="AT147" s="439"/>
      <c r="AU147" s="439"/>
      <c r="AV147" s="439"/>
      <c r="AW147" s="439"/>
      <c r="AX147" s="439"/>
      <c r="AY147" s="433"/>
      <c r="AZ147" s="433"/>
      <c r="BA147" s="433"/>
      <c r="BB147" s="433"/>
      <c r="BC147" s="433"/>
      <c r="BD147" s="433"/>
      <c r="BE147" s="433"/>
      <c r="BF147" s="433"/>
      <c r="BG147" s="433"/>
      <c r="BH147" s="433"/>
      <c r="BI147" s="433"/>
      <c r="BJ147" s="433"/>
      <c r="BK147" s="433"/>
      <c r="BL147" s="433"/>
      <c r="BM147" s="433"/>
      <c r="BN147" s="433"/>
      <c r="BO147" s="433"/>
      <c r="BP147" s="433"/>
      <c r="BQ147" s="433"/>
      <c r="BR147" s="433"/>
      <c r="BS147" s="433"/>
      <c r="BT147" s="433"/>
    </row>
    <row r="148" spans="25:72" x14ac:dyDescent="0.2">
      <c r="Y148" s="439"/>
      <c r="Z148" s="439"/>
      <c r="AA148" s="439"/>
      <c r="AB148" s="439"/>
      <c r="AC148" s="439"/>
      <c r="AD148" s="439"/>
      <c r="AE148" s="439"/>
      <c r="AF148" s="439"/>
      <c r="AG148" s="439"/>
      <c r="AH148" s="439"/>
      <c r="AI148" s="439"/>
      <c r="AJ148" s="439"/>
      <c r="AK148" s="439"/>
      <c r="AL148" s="439"/>
      <c r="AM148" s="439"/>
      <c r="AN148" s="439"/>
      <c r="AO148" s="439"/>
      <c r="AP148" s="439"/>
      <c r="AQ148" s="439"/>
      <c r="AR148" s="439"/>
      <c r="AS148" s="439"/>
      <c r="AT148" s="439"/>
      <c r="AU148" s="439"/>
      <c r="AV148" s="439"/>
      <c r="AW148" s="439"/>
      <c r="AX148" s="439"/>
      <c r="AY148" s="433"/>
      <c r="AZ148" s="433"/>
      <c r="BA148" s="433"/>
      <c r="BB148" s="433"/>
      <c r="BC148" s="433"/>
      <c r="BD148" s="433"/>
      <c r="BE148" s="433"/>
      <c r="BF148" s="433"/>
      <c r="BG148" s="433"/>
      <c r="BH148" s="433"/>
      <c r="BI148" s="433"/>
      <c r="BJ148" s="433"/>
      <c r="BK148" s="433"/>
      <c r="BL148" s="433"/>
      <c r="BM148" s="433"/>
      <c r="BN148" s="433"/>
      <c r="BO148" s="433"/>
      <c r="BP148" s="433"/>
      <c r="BQ148" s="433"/>
      <c r="BR148" s="433"/>
      <c r="BS148" s="433"/>
      <c r="BT148" s="433"/>
    </row>
    <row r="149" spans="25:72" x14ac:dyDescent="0.2">
      <c r="Y149" s="439"/>
      <c r="Z149" s="439"/>
      <c r="AA149" s="439"/>
      <c r="AB149" s="439"/>
      <c r="AC149" s="439"/>
      <c r="AD149" s="439"/>
      <c r="AE149" s="439"/>
      <c r="AF149" s="439"/>
      <c r="AG149" s="439"/>
      <c r="AH149" s="439"/>
      <c r="AI149" s="439"/>
      <c r="AJ149" s="439"/>
      <c r="AK149" s="439"/>
      <c r="AL149" s="439"/>
      <c r="AM149" s="439"/>
      <c r="AN149" s="439"/>
      <c r="AO149" s="439"/>
      <c r="AP149" s="439"/>
      <c r="AQ149" s="439"/>
      <c r="AR149" s="439"/>
      <c r="AS149" s="439"/>
      <c r="AT149" s="439"/>
      <c r="AU149" s="439"/>
      <c r="AV149" s="439"/>
      <c r="AW149" s="439"/>
      <c r="AX149" s="439"/>
      <c r="AY149" s="433"/>
      <c r="AZ149" s="433"/>
      <c r="BA149" s="433"/>
      <c r="BB149" s="433"/>
      <c r="BC149" s="433"/>
      <c r="BD149" s="433"/>
      <c r="BE149" s="433"/>
      <c r="BF149" s="433"/>
      <c r="BG149" s="433"/>
      <c r="BH149" s="433"/>
      <c r="BI149" s="433"/>
      <c r="BJ149" s="433"/>
      <c r="BK149" s="433"/>
      <c r="BL149" s="433"/>
      <c r="BM149" s="433"/>
      <c r="BN149" s="433"/>
      <c r="BO149" s="433"/>
      <c r="BP149" s="433"/>
      <c r="BQ149" s="433"/>
      <c r="BR149" s="433"/>
      <c r="BS149" s="433"/>
      <c r="BT149" s="433"/>
    </row>
    <row r="150" spans="25:72" x14ac:dyDescent="0.2">
      <c r="Y150" s="439"/>
      <c r="Z150" s="439"/>
      <c r="AA150" s="439"/>
      <c r="AB150" s="439"/>
      <c r="AC150" s="439"/>
      <c r="AD150" s="439"/>
      <c r="AE150" s="439"/>
      <c r="AF150" s="439"/>
      <c r="AG150" s="439"/>
      <c r="AH150" s="439"/>
      <c r="AI150" s="439"/>
      <c r="AJ150" s="439"/>
      <c r="AK150" s="439"/>
      <c r="AL150" s="439"/>
      <c r="AM150" s="439"/>
      <c r="AN150" s="439"/>
      <c r="AO150" s="439"/>
      <c r="AP150" s="439"/>
      <c r="AQ150" s="439"/>
      <c r="AR150" s="439"/>
      <c r="AS150" s="439"/>
      <c r="AT150" s="439"/>
      <c r="AU150" s="439"/>
      <c r="AV150" s="439"/>
      <c r="AW150" s="439"/>
      <c r="AX150" s="439"/>
      <c r="AY150" s="433"/>
      <c r="AZ150" s="433"/>
      <c r="BA150" s="433"/>
      <c r="BB150" s="433"/>
      <c r="BC150" s="433"/>
      <c r="BD150" s="433"/>
      <c r="BE150" s="433"/>
      <c r="BF150" s="433"/>
      <c r="BG150" s="433"/>
      <c r="BH150" s="433"/>
      <c r="BI150" s="433"/>
      <c r="BJ150" s="433"/>
      <c r="BK150" s="433"/>
      <c r="BL150" s="433"/>
      <c r="BM150" s="433"/>
      <c r="BN150" s="433"/>
      <c r="BO150" s="433"/>
      <c r="BP150" s="433"/>
      <c r="BQ150" s="433"/>
      <c r="BR150" s="433"/>
      <c r="BS150" s="433"/>
      <c r="BT150" s="433"/>
    </row>
    <row r="151" spans="25:72" s="359" customFormat="1" x14ac:dyDescent="0.2">
      <c r="Y151" s="445"/>
      <c r="Z151" s="445"/>
      <c r="AA151" s="445"/>
      <c r="AB151" s="445"/>
      <c r="AC151" s="445"/>
      <c r="AD151" s="445"/>
      <c r="AE151" s="445"/>
      <c r="AF151" s="445"/>
      <c r="AG151" s="445"/>
      <c r="AH151" s="445"/>
      <c r="AI151" s="445"/>
      <c r="AJ151" s="445"/>
      <c r="AK151" s="445"/>
      <c r="AL151" s="445"/>
      <c r="AM151" s="445"/>
      <c r="AN151" s="445"/>
      <c r="AO151" s="445"/>
      <c r="AP151" s="445"/>
      <c r="AQ151" s="445"/>
      <c r="AR151" s="445"/>
      <c r="AS151" s="445"/>
      <c r="AT151" s="445"/>
      <c r="AU151" s="445"/>
      <c r="AV151" s="445"/>
      <c r="AW151" s="445"/>
      <c r="AX151" s="445"/>
      <c r="AY151" s="440"/>
      <c r="AZ151" s="440"/>
      <c r="BA151" s="440"/>
      <c r="BB151" s="440"/>
      <c r="BC151" s="440"/>
      <c r="BD151" s="440"/>
      <c r="BE151" s="440"/>
      <c r="BF151" s="440"/>
      <c r="BG151" s="440"/>
      <c r="BH151" s="440"/>
      <c r="BI151" s="440"/>
      <c r="BJ151" s="440"/>
      <c r="BK151" s="440"/>
      <c r="BL151" s="440"/>
      <c r="BM151" s="440"/>
      <c r="BN151" s="440"/>
      <c r="BO151" s="440"/>
      <c r="BP151" s="440"/>
      <c r="BQ151" s="440"/>
      <c r="BR151" s="440"/>
      <c r="BS151" s="440"/>
      <c r="BT151" s="440"/>
    </row>
    <row r="152" spans="25:72" s="359" customFormat="1" x14ac:dyDescent="0.2">
      <c r="Y152" s="445"/>
      <c r="Z152" s="445"/>
      <c r="AA152" s="445"/>
      <c r="AB152" s="445"/>
      <c r="AC152" s="445"/>
      <c r="AD152" s="445"/>
      <c r="AE152" s="445"/>
      <c r="AF152" s="445"/>
      <c r="AG152" s="445"/>
      <c r="AH152" s="445"/>
      <c r="AI152" s="445"/>
      <c r="AJ152" s="445"/>
      <c r="AK152" s="445"/>
      <c r="AL152" s="445"/>
      <c r="AM152" s="445"/>
      <c r="AN152" s="445"/>
      <c r="AO152" s="445"/>
      <c r="AP152" s="445"/>
      <c r="AQ152" s="445"/>
      <c r="AR152" s="445"/>
      <c r="AS152" s="445"/>
      <c r="AT152" s="445"/>
      <c r="AU152" s="445"/>
      <c r="AV152" s="445"/>
      <c r="AW152" s="445"/>
      <c r="AX152" s="445"/>
      <c r="AY152" s="440"/>
      <c r="AZ152" s="440"/>
      <c r="BA152" s="440"/>
      <c r="BB152" s="440"/>
      <c r="BC152" s="440"/>
      <c r="BD152" s="440"/>
      <c r="BE152" s="440"/>
      <c r="BF152" s="440"/>
      <c r="BG152" s="440"/>
      <c r="BH152" s="440"/>
      <c r="BI152" s="440"/>
      <c r="BJ152" s="440"/>
      <c r="BK152" s="440"/>
      <c r="BL152" s="440"/>
      <c r="BM152" s="440"/>
      <c r="BN152" s="440"/>
      <c r="BO152" s="440"/>
      <c r="BP152" s="440"/>
      <c r="BQ152" s="440"/>
      <c r="BR152" s="440"/>
      <c r="BS152" s="440"/>
      <c r="BT152" s="440"/>
    </row>
    <row r="153" spans="25:72" x14ac:dyDescent="0.2">
      <c r="Y153" s="448"/>
      <c r="Z153" s="448"/>
      <c r="AA153" s="447"/>
      <c r="AB153" s="447"/>
      <c r="AC153" s="447"/>
      <c r="AD153" s="447"/>
      <c r="AE153" s="447"/>
      <c r="AF153" s="447"/>
      <c r="AG153" s="447"/>
      <c r="AH153" s="447"/>
      <c r="AI153" s="447"/>
      <c r="AJ153" s="447"/>
      <c r="AK153" s="447"/>
      <c r="AL153" s="447"/>
      <c r="AM153" s="447"/>
      <c r="AN153" s="447"/>
      <c r="AO153" s="447"/>
      <c r="AP153" s="447"/>
      <c r="AQ153" s="447"/>
      <c r="AR153" s="447"/>
      <c r="AS153" s="447"/>
      <c r="AT153" s="447"/>
      <c r="AU153" s="447"/>
      <c r="AV153" s="439"/>
      <c r="AW153" s="439"/>
      <c r="AX153" s="439"/>
      <c r="AY153" s="433"/>
      <c r="AZ153" s="433"/>
      <c r="BA153" s="433"/>
      <c r="BB153" s="433"/>
      <c r="BC153" s="433"/>
      <c r="BD153" s="433"/>
      <c r="BE153" s="433"/>
      <c r="BF153" s="433"/>
      <c r="BG153" s="433"/>
      <c r="BH153" s="433"/>
      <c r="BI153" s="433"/>
      <c r="BJ153" s="433"/>
      <c r="BK153" s="433"/>
      <c r="BL153" s="433"/>
      <c r="BM153" s="433"/>
      <c r="BN153" s="433"/>
      <c r="BO153" s="433"/>
      <c r="BP153" s="433"/>
      <c r="BQ153" s="433"/>
      <c r="BR153" s="433"/>
      <c r="BS153" s="433"/>
      <c r="BT153" s="433"/>
    </row>
    <row r="154" spans="25:72" x14ac:dyDescent="0.2">
      <c r="Y154" s="448"/>
      <c r="Z154" s="448"/>
      <c r="AA154" s="448"/>
      <c r="AB154" s="448"/>
      <c r="AC154" s="448"/>
      <c r="AD154" s="448"/>
      <c r="AE154" s="447"/>
      <c r="AF154" s="447"/>
      <c r="AG154" s="447"/>
      <c r="AH154" s="447"/>
      <c r="AI154" s="447"/>
      <c r="AJ154" s="447"/>
      <c r="AK154" s="447"/>
      <c r="AL154" s="447"/>
      <c r="AM154" s="447"/>
      <c r="AN154" s="447"/>
      <c r="AO154" s="447"/>
      <c r="AP154" s="447"/>
      <c r="AQ154" s="447"/>
      <c r="AR154" s="447"/>
      <c r="AS154" s="447"/>
      <c r="AT154" s="447"/>
      <c r="AU154" s="447"/>
      <c r="AV154" s="439"/>
      <c r="AW154" s="439"/>
      <c r="AX154" s="439"/>
      <c r="AY154" s="433"/>
      <c r="AZ154" s="433"/>
      <c r="BA154" s="433"/>
      <c r="BB154" s="433"/>
      <c r="BC154" s="433"/>
      <c r="BD154" s="433"/>
      <c r="BE154" s="433"/>
      <c r="BF154" s="433"/>
      <c r="BG154" s="433"/>
      <c r="BH154" s="433"/>
      <c r="BI154" s="433"/>
      <c r="BJ154" s="433"/>
      <c r="BK154" s="433"/>
      <c r="BL154" s="433"/>
      <c r="BM154" s="433"/>
      <c r="BN154" s="433"/>
      <c r="BO154" s="433"/>
      <c r="BP154" s="433"/>
      <c r="BQ154" s="433"/>
      <c r="BR154" s="433"/>
      <c r="BS154" s="433"/>
      <c r="BT154" s="433"/>
    </row>
    <row r="155" spans="25:72" x14ac:dyDescent="0.2">
      <c r="Y155" s="439"/>
      <c r="Z155" s="439"/>
      <c r="AA155" s="447"/>
      <c r="AB155" s="447"/>
      <c r="AC155" s="447"/>
      <c r="AD155" s="447"/>
      <c r="AE155" s="447"/>
      <c r="AF155" s="447"/>
      <c r="AG155" s="447"/>
      <c r="AH155" s="447"/>
      <c r="AI155" s="447"/>
      <c r="AJ155" s="447"/>
      <c r="AK155" s="447"/>
      <c r="AL155" s="447"/>
      <c r="AM155" s="447"/>
      <c r="AN155" s="447"/>
      <c r="AO155" s="447"/>
      <c r="AP155" s="447"/>
      <c r="AQ155" s="447"/>
      <c r="AR155" s="447"/>
      <c r="AS155" s="447"/>
      <c r="AT155" s="447"/>
      <c r="AU155" s="447"/>
      <c r="AV155" s="439"/>
      <c r="AW155" s="439"/>
      <c r="AX155" s="439"/>
      <c r="AY155" s="433"/>
      <c r="AZ155" s="433"/>
      <c r="BA155" s="433"/>
      <c r="BB155" s="433"/>
      <c r="BC155" s="433"/>
      <c r="BD155" s="433"/>
      <c r="BE155" s="433"/>
      <c r="BF155" s="433"/>
      <c r="BG155" s="433"/>
      <c r="BH155" s="433"/>
      <c r="BI155" s="433"/>
      <c r="BJ155" s="433"/>
      <c r="BK155" s="433"/>
      <c r="BL155" s="433"/>
      <c r="BM155" s="433"/>
      <c r="BN155" s="433"/>
      <c r="BO155" s="433"/>
      <c r="BP155" s="433"/>
      <c r="BQ155" s="433"/>
      <c r="BR155" s="433"/>
      <c r="BS155" s="433"/>
      <c r="BT155" s="433"/>
    </row>
    <row r="156" spans="25:72" x14ac:dyDescent="0.2">
      <c r="Y156" s="439"/>
      <c r="Z156" s="439"/>
      <c r="AA156" s="447"/>
      <c r="AB156" s="447"/>
      <c r="AC156" s="447"/>
      <c r="AD156" s="447"/>
      <c r="AE156" s="447"/>
      <c r="AF156" s="447"/>
      <c r="AG156" s="447"/>
      <c r="AH156" s="447"/>
      <c r="AI156" s="447"/>
      <c r="AJ156" s="447"/>
      <c r="AK156" s="447"/>
      <c r="AL156" s="447"/>
      <c r="AM156" s="447"/>
      <c r="AN156" s="447"/>
      <c r="AO156" s="447"/>
      <c r="AP156" s="447"/>
      <c r="AQ156" s="447"/>
      <c r="AR156" s="447"/>
      <c r="AS156" s="447"/>
      <c r="AT156" s="447"/>
      <c r="AU156" s="447"/>
      <c r="AV156" s="439"/>
      <c r="AW156" s="439"/>
      <c r="AX156" s="439"/>
      <c r="AY156" s="433"/>
      <c r="AZ156" s="433"/>
      <c r="BA156" s="433"/>
      <c r="BB156" s="433"/>
      <c r="BC156" s="433"/>
      <c r="BD156" s="433"/>
      <c r="BE156" s="433"/>
      <c r="BF156" s="433"/>
      <c r="BG156" s="433"/>
      <c r="BH156" s="433"/>
      <c r="BI156" s="433"/>
      <c r="BJ156" s="433"/>
      <c r="BK156" s="433"/>
      <c r="BL156" s="433"/>
      <c r="BM156" s="433"/>
      <c r="BN156" s="433"/>
      <c r="BO156" s="433"/>
      <c r="BP156" s="433"/>
      <c r="BQ156" s="433"/>
      <c r="BR156" s="433"/>
      <c r="BS156" s="433"/>
      <c r="BT156" s="433"/>
    </row>
    <row r="157" spans="25:72" x14ac:dyDescent="0.2">
      <c r="Y157" s="439"/>
      <c r="Z157" s="439"/>
      <c r="AA157" s="447"/>
      <c r="AB157" s="447"/>
      <c r="AC157" s="447"/>
      <c r="AD157" s="447"/>
      <c r="AE157" s="447"/>
      <c r="AF157" s="447"/>
      <c r="AG157" s="447"/>
      <c r="AH157" s="447"/>
      <c r="AI157" s="447"/>
      <c r="AJ157" s="447"/>
      <c r="AK157" s="447"/>
      <c r="AL157" s="447"/>
      <c r="AM157" s="447"/>
      <c r="AN157" s="447"/>
      <c r="AO157" s="447"/>
      <c r="AP157" s="447"/>
      <c r="AQ157" s="447"/>
      <c r="AR157" s="447"/>
      <c r="AS157" s="447"/>
      <c r="AT157" s="447"/>
      <c r="AU157" s="447"/>
      <c r="AV157" s="439"/>
      <c r="AW157" s="439"/>
      <c r="AX157" s="439"/>
      <c r="AY157" s="433"/>
      <c r="AZ157" s="433"/>
      <c r="BA157" s="433"/>
      <c r="BB157" s="433"/>
      <c r="BC157" s="433"/>
      <c r="BD157" s="433"/>
      <c r="BE157" s="433"/>
      <c r="BF157" s="433"/>
      <c r="BG157" s="433"/>
      <c r="BH157" s="433"/>
      <c r="BI157" s="433"/>
      <c r="BJ157" s="433"/>
      <c r="BK157" s="433"/>
      <c r="BL157" s="433"/>
      <c r="BM157" s="433"/>
      <c r="BN157" s="433"/>
      <c r="BO157" s="433"/>
      <c r="BP157" s="433"/>
      <c r="BQ157" s="433"/>
      <c r="BR157" s="433"/>
      <c r="BS157" s="433"/>
      <c r="BT157" s="433"/>
    </row>
    <row r="158" spans="25:72" x14ac:dyDescent="0.2">
      <c r="Y158" s="439"/>
      <c r="Z158" s="439"/>
      <c r="AA158" s="447"/>
      <c r="AB158" s="447"/>
      <c r="AC158" s="447"/>
      <c r="AD158" s="447"/>
      <c r="AE158" s="447"/>
      <c r="AF158" s="447"/>
      <c r="AG158" s="447"/>
      <c r="AH158" s="447"/>
      <c r="AI158" s="447"/>
      <c r="AJ158" s="447"/>
      <c r="AK158" s="447"/>
      <c r="AL158" s="447"/>
      <c r="AM158" s="447"/>
      <c r="AN158" s="447"/>
      <c r="AO158" s="447"/>
      <c r="AP158" s="447"/>
      <c r="AQ158" s="447"/>
      <c r="AR158" s="447"/>
      <c r="AS158" s="447"/>
      <c r="AT158" s="447"/>
      <c r="AU158" s="447"/>
      <c r="AV158" s="439"/>
      <c r="AW158" s="439"/>
      <c r="AX158" s="439"/>
      <c r="AY158" s="433"/>
      <c r="AZ158" s="433"/>
      <c r="BA158" s="433"/>
      <c r="BB158" s="433"/>
      <c r="BC158" s="433"/>
      <c r="BD158" s="433"/>
      <c r="BE158" s="433"/>
      <c r="BF158" s="433"/>
      <c r="BG158" s="433"/>
      <c r="BH158" s="433"/>
      <c r="BI158" s="433"/>
      <c r="BJ158" s="433"/>
      <c r="BK158" s="433"/>
      <c r="BL158" s="433"/>
      <c r="BM158" s="433"/>
      <c r="BN158" s="433"/>
      <c r="BO158" s="433"/>
      <c r="BP158" s="433"/>
      <c r="BQ158" s="433"/>
      <c r="BR158" s="433"/>
      <c r="BS158" s="433"/>
      <c r="BT158" s="433"/>
    </row>
    <row r="159" spans="25:72" x14ac:dyDescent="0.2">
      <c r="Y159" s="439"/>
      <c r="Z159" s="439"/>
      <c r="AA159" s="447"/>
      <c r="AB159" s="447"/>
      <c r="AC159" s="447"/>
      <c r="AD159" s="447"/>
      <c r="AE159" s="447"/>
      <c r="AF159" s="447"/>
      <c r="AG159" s="447"/>
      <c r="AH159" s="447"/>
      <c r="AI159" s="447"/>
      <c r="AJ159" s="447"/>
      <c r="AK159" s="447"/>
      <c r="AL159" s="447"/>
      <c r="AM159" s="447"/>
      <c r="AN159" s="447"/>
      <c r="AO159" s="447"/>
      <c r="AP159" s="447"/>
      <c r="AQ159" s="447"/>
      <c r="AR159" s="447"/>
      <c r="AS159" s="447"/>
      <c r="AT159" s="447"/>
      <c r="AU159" s="447"/>
      <c r="AV159" s="439"/>
      <c r="AW159" s="439"/>
      <c r="AX159" s="439"/>
      <c r="AY159" s="433"/>
      <c r="AZ159" s="433"/>
      <c r="BA159" s="433"/>
      <c r="BB159" s="433"/>
      <c r="BC159" s="433"/>
      <c r="BD159" s="433"/>
      <c r="BE159" s="433"/>
      <c r="BF159" s="433"/>
      <c r="BG159" s="433"/>
      <c r="BH159" s="433"/>
      <c r="BI159" s="433"/>
      <c r="BJ159" s="433"/>
      <c r="BK159" s="433"/>
      <c r="BL159" s="433"/>
      <c r="BM159" s="433"/>
      <c r="BN159" s="433"/>
      <c r="BO159" s="433"/>
      <c r="BP159" s="433"/>
      <c r="BQ159" s="433"/>
      <c r="BR159" s="433"/>
      <c r="BS159" s="433"/>
      <c r="BT159" s="433"/>
    </row>
    <row r="160" spans="25:72" x14ac:dyDescent="0.2">
      <c r="Y160" s="439"/>
      <c r="Z160" s="439"/>
      <c r="AA160" s="447"/>
      <c r="AB160" s="447"/>
      <c r="AC160" s="447"/>
      <c r="AD160" s="447"/>
      <c r="AE160" s="447"/>
      <c r="AF160" s="447"/>
      <c r="AG160" s="447"/>
      <c r="AH160" s="447"/>
      <c r="AI160" s="447"/>
      <c r="AJ160" s="447"/>
      <c r="AK160" s="447"/>
      <c r="AL160" s="447"/>
      <c r="AM160" s="447"/>
      <c r="AN160" s="447"/>
      <c r="AO160" s="447"/>
      <c r="AP160" s="447"/>
      <c r="AQ160" s="447"/>
      <c r="AR160" s="447"/>
      <c r="AS160" s="447"/>
      <c r="AT160" s="447"/>
      <c r="AU160" s="447"/>
      <c r="AV160" s="439"/>
      <c r="AW160" s="439"/>
      <c r="AX160" s="439"/>
      <c r="AY160" s="433"/>
      <c r="AZ160" s="433"/>
      <c r="BA160" s="433"/>
      <c r="BB160" s="433"/>
      <c r="BC160" s="433"/>
      <c r="BD160" s="433"/>
      <c r="BE160" s="433"/>
      <c r="BF160" s="433"/>
      <c r="BG160" s="433"/>
      <c r="BH160" s="433"/>
      <c r="BI160" s="433"/>
      <c r="BJ160" s="433"/>
      <c r="BK160" s="433"/>
      <c r="BL160" s="433"/>
      <c r="BM160" s="433"/>
      <c r="BN160" s="433"/>
      <c r="BO160" s="433"/>
      <c r="BP160" s="433"/>
      <c r="BQ160" s="433"/>
      <c r="BR160" s="433"/>
      <c r="BS160" s="433"/>
      <c r="BT160" s="433"/>
    </row>
    <row r="161" spans="25:72" x14ac:dyDescent="0.2">
      <c r="Y161" s="439"/>
      <c r="Z161" s="439"/>
      <c r="AA161" s="447"/>
      <c r="AB161" s="447"/>
      <c r="AC161" s="447"/>
      <c r="AD161" s="447"/>
      <c r="AE161" s="447"/>
      <c r="AF161" s="447"/>
      <c r="AG161" s="447"/>
      <c r="AH161" s="447"/>
      <c r="AI161" s="447"/>
      <c r="AJ161" s="447"/>
      <c r="AK161" s="447"/>
      <c r="AL161" s="447"/>
      <c r="AM161" s="447"/>
      <c r="AN161" s="447"/>
      <c r="AO161" s="447"/>
      <c r="AP161" s="447"/>
      <c r="AQ161" s="447"/>
      <c r="AR161" s="447"/>
      <c r="AS161" s="447"/>
      <c r="AT161" s="447"/>
      <c r="AU161" s="447"/>
      <c r="AV161" s="439"/>
      <c r="AW161" s="439"/>
      <c r="AX161" s="439"/>
      <c r="AY161" s="433"/>
      <c r="AZ161" s="433"/>
      <c r="BA161" s="433"/>
      <c r="BB161" s="433"/>
      <c r="BC161" s="433"/>
      <c r="BD161" s="433"/>
      <c r="BE161" s="433"/>
      <c r="BF161" s="433"/>
      <c r="BG161" s="433"/>
      <c r="BH161" s="433"/>
      <c r="BI161" s="433"/>
      <c r="BJ161" s="433"/>
      <c r="BK161" s="433"/>
      <c r="BL161" s="433"/>
      <c r="BM161" s="433"/>
      <c r="BN161" s="433"/>
      <c r="BO161" s="433"/>
      <c r="BP161" s="433"/>
      <c r="BQ161" s="433"/>
      <c r="BR161" s="433"/>
      <c r="BS161" s="433"/>
      <c r="BT161" s="433"/>
    </row>
    <row r="162" spans="25:72" x14ac:dyDescent="0.2">
      <c r="Y162" s="439"/>
      <c r="Z162" s="439"/>
      <c r="AA162" s="447"/>
      <c r="AB162" s="447"/>
      <c r="AC162" s="447"/>
      <c r="AD162" s="447"/>
      <c r="AE162" s="447"/>
      <c r="AF162" s="447"/>
      <c r="AG162" s="447"/>
      <c r="AH162" s="447"/>
      <c r="AI162" s="447"/>
      <c r="AJ162" s="447"/>
      <c r="AK162" s="447"/>
      <c r="AL162" s="447"/>
      <c r="AM162" s="447"/>
      <c r="AN162" s="447"/>
      <c r="AO162" s="447"/>
      <c r="AP162" s="447"/>
      <c r="AQ162" s="447"/>
      <c r="AR162" s="447"/>
      <c r="AS162" s="447"/>
      <c r="AT162" s="447"/>
      <c r="AU162" s="447"/>
      <c r="AV162" s="439"/>
      <c r="AW162" s="439"/>
      <c r="AX162" s="439"/>
      <c r="AY162" s="433"/>
      <c r="AZ162" s="433"/>
      <c r="BA162" s="433"/>
      <c r="BB162" s="433"/>
      <c r="BC162" s="433"/>
      <c r="BD162" s="433"/>
      <c r="BE162" s="433"/>
      <c r="BF162" s="433"/>
      <c r="BG162" s="433"/>
      <c r="BH162" s="433"/>
      <c r="BI162" s="433"/>
      <c r="BJ162" s="433"/>
      <c r="BK162" s="433"/>
      <c r="BL162" s="433"/>
      <c r="BM162" s="433"/>
      <c r="BN162" s="433"/>
      <c r="BO162" s="433"/>
      <c r="BP162" s="433"/>
      <c r="BQ162" s="433"/>
      <c r="BR162" s="433"/>
      <c r="BS162" s="433"/>
      <c r="BT162" s="433"/>
    </row>
    <row r="163" spans="25:72" x14ac:dyDescent="0.2">
      <c r="Y163" s="448"/>
      <c r="Z163" s="448"/>
      <c r="AA163" s="447"/>
      <c r="AB163" s="447"/>
      <c r="AC163" s="447"/>
      <c r="AD163" s="447"/>
      <c r="AE163" s="447"/>
      <c r="AF163" s="447"/>
      <c r="AG163" s="447"/>
      <c r="AH163" s="447"/>
      <c r="AI163" s="447"/>
      <c r="AJ163" s="447"/>
      <c r="AK163" s="447"/>
      <c r="AL163" s="447"/>
      <c r="AM163" s="447"/>
      <c r="AN163" s="447"/>
      <c r="AO163" s="447"/>
      <c r="AP163" s="447"/>
      <c r="AQ163" s="447"/>
      <c r="AR163" s="447"/>
      <c r="AS163" s="447"/>
      <c r="AT163" s="447"/>
      <c r="AU163" s="447"/>
      <c r="AV163" s="439"/>
      <c r="AW163" s="439"/>
      <c r="AX163" s="439"/>
      <c r="AY163" s="433"/>
      <c r="AZ163" s="433"/>
      <c r="BA163" s="433"/>
      <c r="BB163" s="433"/>
      <c r="BC163" s="433"/>
      <c r="BD163" s="433"/>
      <c r="BE163" s="433"/>
      <c r="BF163" s="433"/>
      <c r="BG163" s="433"/>
      <c r="BH163" s="433"/>
      <c r="BI163" s="433"/>
      <c r="BJ163" s="433"/>
      <c r="BK163" s="433"/>
      <c r="BL163" s="433"/>
      <c r="BM163" s="433"/>
      <c r="BN163" s="433"/>
      <c r="BO163" s="433"/>
      <c r="BP163" s="433"/>
      <c r="BQ163" s="433"/>
      <c r="BR163" s="433"/>
      <c r="BS163" s="433"/>
      <c r="BT163" s="433"/>
    </row>
    <row r="164" spans="25:72" x14ac:dyDescent="0.2">
      <c r="Y164" s="439"/>
      <c r="Z164" s="439"/>
      <c r="AA164" s="447"/>
      <c r="AB164" s="447"/>
      <c r="AC164" s="447"/>
      <c r="AD164" s="447"/>
      <c r="AE164" s="447"/>
      <c r="AF164" s="447"/>
      <c r="AG164" s="447"/>
      <c r="AH164" s="447"/>
      <c r="AI164" s="447"/>
      <c r="AJ164" s="447"/>
      <c r="AK164" s="447"/>
      <c r="AL164" s="447"/>
      <c r="AM164" s="447"/>
      <c r="AN164" s="447"/>
      <c r="AO164" s="447"/>
      <c r="AP164" s="447"/>
      <c r="AQ164" s="447"/>
      <c r="AR164" s="447"/>
      <c r="AS164" s="447"/>
      <c r="AT164" s="447"/>
      <c r="AU164" s="447"/>
      <c r="AV164" s="439"/>
      <c r="AW164" s="439"/>
      <c r="AX164" s="439"/>
      <c r="AY164" s="433"/>
      <c r="AZ164" s="433"/>
      <c r="BA164" s="433"/>
      <c r="BB164" s="433"/>
      <c r="BC164" s="433"/>
      <c r="BD164" s="433"/>
      <c r="BE164" s="433"/>
      <c r="BF164" s="433"/>
      <c r="BG164" s="433"/>
      <c r="BH164" s="433"/>
      <c r="BI164" s="433"/>
      <c r="BJ164" s="433"/>
      <c r="BK164" s="433"/>
      <c r="BL164" s="433"/>
      <c r="BM164" s="433"/>
      <c r="BN164" s="433"/>
      <c r="BO164" s="433"/>
      <c r="BP164" s="433"/>
      <c r="BQ164" s="433"/>
      <c r="BR164" s="433"/>
      <c r="BS164" s="433"/>
      <c r="BT164" s="433"/>
    </row>
    <row r="165" spans="25:72" x14ac:dyDescent="0.2">
      <c r="Y165" s="439"/>
      <c r="Z165" s="439"/>
      <c r="AA165" s="447"/>
      <c r="AB165" s="447"/>
      <c r="AC165" s="447"/>
      <c r="AD165" s="447"/>
      <c r="AE165" s="447"/>
      <c r="AF165" s="447"/>
      <c r="AG165" s="447"/>
      <c r="AH165" s="447"/>
      <c r="AI165" s="447"/>
      <c r="AJ165" s="447"/>
      <c r="AK165" s="447"/>
      <c r="AL165" s="447"/>
      <c r="AM165" s="447"/>
      <c r="AN165" s="447"/>
      <c r="AO165" s="447"/>
      <c r="AP165" s="447"/>
      <c r="AQ165" s="447"/>
      <c r="AR165" s="447"/>
      <c r="AS165" s="447"/>
      <c r="AT165" s="447"/>
      <c r="AU165" s="447"/>
      <c r="AV165" s="439"/>
      <c r="AW165" s="439"/>
      <c r="AX165" s="439"/>
      <c r="AY165" s="433"/>
      <c r="AZ165" s="433"/>
      <c r="BA165" s="433"/>
      <c r="BB165" s="433"/>
      <c r="BC165" s="433"/>
      <c r="BD165" s="433"/>
      <c r="BE165" s="433"/>
      <c r="BF165" s="433"/>
      <c r="BG165" s="433"/>
      <c r="BH165" s="433"/>
      <c r="BI165" s="433"/>
      <c r="BJ165" s="433"/>
      <c r="BK165" s="433"/>
      <c r="BL165" s="433"/>
      <c r="BM165" s="433"/>
      <c r="BN165" s="433"/>
      <c r="BO165" s="433"/>
      <c r="BP165" s="433"/>
      <c r="BQ165" s="433"/>
      <c r="BR165" s="433"/>
      <c r="BS165" s="433"/>
      <c r="BT165" s="433"/>
    </row>
    <row r="166" spans="25:72" x14ac:dyDescent="0.2">
      <c r="Y166" s="439"/>
      <c r="Z166" s="439"/>
      <c r="AA166" s="447"/>
      <c r="AB166" s="447"/>
      <c r="AC166" s="447"/>
      <c r="AD166" s="447"/>
      <c r="AE166" s="447"/>
      <c r="AF166" s="447"/>
      <c r="AG166" s="447"/>
      <c r="AH166" s="447"/>
      <c r="AI166" s="447"/>
      <c r="AJ166" s="447"/>
      <c r="AK166" s="447"/>
      <c r="AL166" s="447"/>
      <c r="AM166" s="447"/>
      <c r="AN166" s="447"/>
      <c r="AO166" s="447"/>
      <c r="AP166" s="447"/>
      <c r="AQ166" s="447"/>
      <c r="AR166" s="447"/>
      <c r="AS166" s="447"/>
      <c r="AT166" s="447"/>
      <c r="AU166" s="447"/>
      <c r="AV166" s="439"/>
      <c r="AW166" s="439"/>
      <c r="AX166" s="439"/>
      <c r="AY166" s="433"/>
      <c r="AZ166" s="433"/>
      <c r="BA166" s="433"/>
      <c r="BB166" s="433"/>
      <c r="BC166" s="433"/>
      <c r="BD166" s="433"/>
      <c r="BE166" s="433"/>
      <c r="BF166" s="433"/>
      <c r="BG166" s="433"/>
      <c r="BH166" s="433"/>
      <c r="BI166" s="433"/>
      <c r="BJ166" s="433"/>
      <c r="BK166" s="433"/>
      <c r="BL166" s="433"/>
      <c r="BM166" s="433"/>
      <c r="BN166" s="433"/>
      <c r="BO166" s="433"/>
      <c r="BP166" s="433"/>
      <c r="BQ166" s="433"/>
      <c r="BR166" s="433"/>
      <c r="BS166" s="433"/>
      <c r="BT166" s="433"/>
    </row>
    <row r="167" spans="25:72" x14ac:dyDescent="0.2">
      <c r="Y167" s="439"/>
      <c r="Z167" s="439"/>
      <c r="AA167" s="447"/>
      <c r="AB167" s="447"/>
      <c r="AC167" s="447"/>
      <c r="AD167" s="447"/>
      <c r="AE167" s="447"/>
      <c r="AF167" s="447"/>
      <c r="AG167" s="447"/>
      <c r="AH167" s="447"/>
      <c r="AI167" s="447"/>
      <c r="AJ167" s="447"/>
      <c r="AK167" s="447"/>
      <c r="AL167" s="447"/>
      <c r="AM167" s="447"/>
      <c r="AN167" s="447"/>
      <c r="AO167" s="447"/>
      <c r="AP167" s="447"/>
      <c r="AQ167" s="447"/>
      <c r="AR167" s="447"/>
      <c r="AS167" s="447"/>
      <c r="AT167" s="447"/>
      <c r="AU167" s="447"/>
      <c r="AV167" s="439"/>
      <c r="AW167" s="439"/>
      <c r="AX167" s="439"/>
      <c r="AY167" s="433"/>
      <c r="AZ167" s="433"/>
      <c r="BA167" s="433"/>
      <c r="BB167" s="433"/>
      <c r="BC167" s="433"/>
      <c r="BD167" s="433"/>
      <c r="BE167" s="433"/>
      <c r="BF167" s="433"/>
      <c r="BG167" s="433"/>
      <c r="BH167" s="433"/>
      <c r="BI167" s="433"/>
      <c r="BJ167" s="433"/>
      <c r="BK167" s="433"/>
      <c r="BL167" s="433"/>
      <c r="BM167" s="433"/>
      <c r="BN167" s="433"/>
      <c r="BO167" s="433"/>
      <c r="BP167" s="433"/>
      <c r="BQ167" s="433"/>
      <c r="BR167" s="433"/>
      <c r="BS167" s="433"/>
      <c r="BT167" s="433"/>
    </row>
    <row r="168" spans="25:72" x14ac:dyDescent="0.2">
      <c r="Y168" s="448"/>
      <c r="Z168" s="448"/>
      <c r="AA168" s="439"/>
      <c r="AB168" s="439"/>
      <c r="AC168" s="439"/>
      <c r="AD168" s="439"/>
      <c r="AE168" s="439"/>
      <c r="AF168" s="439"/>
      <c r="AG168" s="439"/>
      <c r="AH168" s="439"/>
      <c r="AI168" s="439"/>
      <c r="AJ168" s="439"/>
      <c r="AK168" s="439"/>
      <c r="AL168" s="439"/>
      <c r="AM168" s="439"/>
      <c r="AN168" s="439"/>
      <c r="AO168" s="439"/>
      <c r="AP168" s="439"/>
      <c r="AQ168" s="439"/>
      <c r="AR168" s="439"/>
      <c r="AS168" s="439"/>
      <c r="AT168" s="439"/>
      <c r="AU168" s="439"/>
      <c r="AV168" s="439"/>
      <c r="AW168" s="439"/>
      <c r="AX168" s="439"/>
      <c r="AY168" s="433"/>
      <c r="AZ168" s="433"/>
      <c r="BA168" s="433"/>
      <c r="BB168" s="433"/>
      <c r="BC168" s="433"/>
      <c r="BD168" s="433"/>
      <c r="BE168" s="433"/>
      <c r="BF168" s="433"/>
      <c r="BG168" s="433"/>
      <c r="BH168" s="433"/>
      <c r="BI168" s="433"/>
      <c r="BJ168" s="433"/>
      <c r="BK168" s="433"/>
      <c r="BL168" s="433"/>
      <c r="BM168" s="433"/>
      <c r="BN168" s="433"/>
      <c r="BO168" s="433"/>
      <c r="BP168" s="433"/>
      <c r="BQ168" s="433"/>
      <c r="BR168" s="433"/>
      <c r="BS168" s="433"/>
      <c r="BT168" s="433"/>
    </row>
    <row r="169" spans="25:72" s="359" customFormat="1" x14ac:dyDescent="0.2">
      <c r="Y169" s="445"/>
      <c r="Z169" s="445"/>
      <c r="AA169" s="445"/>
      <c r="AB169" s="445"/>
      <c r="AC169" s="445"/>
      <c r="AD169" s="445"/>
      <c r="AE169" s="445"/>
      <c r="AF169" s="445"/>
      <c r="AG169" s="445"/>
      <c r="AH169" s="445"/>
      <c r="AI169" s="445"/>
      <c r="AJ169" s="445"/>
      <c r="AK169" s="445"/>
      <c r="AL169" s="445"/>
      <c r="AM169" s="445"/>
      <c r="AN169" s="445"/>
      <c r="AO169" s="445"/>
      <c r="AP169" s="445"/>
      <c r="AQ169" s="445"/>
      <c r="AR169" s="445"/>
      <c r="AS169" s="445"/>
      <c r="AT169" s="445"/>
      <c r="AU169" s="445"/>
      <c r="AV169" s="445"/>
      <c r="AW169" s="445"/>
      <c r="AX169" s="445"/>
      <c r="AY169" s="440"/>
      <c r="AZ169" s="440"/>
      <c r="BA169" s="440"/>
      <c r="BB169" s="440"/>
      <c r="BC169" s="440"/>
      <c r="BD169" s="440"/>
      <c r="BE169" s="440"/>
      <c r="BF169" s="440"/>
      <c r="BG169" s="440"/>
      <c r="BH169" s="440"/>
      <c r="BI169" s="440"/>
      <c r="BJ169" s="440"/>
      <c r="BK169" s="440"/>
      <c r="BL169" s="440"/>
      <c r="BM169" s="440"/>
      <c r="BN169" s="440"/>
      <c r="BO169" s="440"/>
      <c r="BP169" s="440"/>
      <c r="BQ169" s="440"/>
      <c r="BR169" s="440"/>
      <c r="BS169" s="440"/>
      <c r="BT169" s="440"/>
    </row>
    <row r="170" spans="25:72" x14ac:dyDescent="0.2">
      <c r="Y170" s="439"/>
      <c r="Z170" s="439"/>
      <c r="AA170" s="439"/>
      <c r="AB170" s="439"/>
      <c r="AC170" s="439"/>
      <c r="AD170" s="439"/>
      <c r="AE170" s="439"/>
      <c r="AF170" s="439"/>
      <c r="AG170" s="439"/>
      <c r="AH170" s="439"/>
      <c r="AI170" s="439"/>
      <c r="AJ170" s="439"/>
      <c r="AK170" s="439"/>
      <c r="AL170" s="439"/>
      <c r="AM170" s="439"/>
      <c r="AN170" s="439"/>
      <c r="AO170" s="439"/>
      <c r="AP170" s="439"/>
      <c r="AQ170" s="439"/>
      <c r="AR170" s="439"/>
      <c r="AS170" s="439"/>
      <c r="AT170" s="439"/>
      <c r="AU170" s="439"/>
      <c r="AV170" s="439"/>
      <c r="AW170" s="439"/>
      <c r="AX170" s="439"/>
      <c r="AY170" s="433"/>
      <c r="AZ170" s="433"/>
      <c r="BA170" s="433"/>
      <c r="BB170" s="433"/>
      <c r="BC170" s="433"/>
      <c r="BD170" s="433"/>
      <c r="BE170" s="433"/>
      <c r="BF170" s="433"/>
      <c r="BG170" s="433"/>
      <c r="BH170" s="433"/>
      <c r="BI170" s="433"/>
      <c r="BJ170" s="433"/>
      <c r="BK170" s="433"/>
      <c r="BL170" s="433"/>
      <c r="BM170" s="433"/>
      <c r="BN170" s="433"/>
      <c r="BO170" s="433"/>
      <c r="BP170" s="433"/>
      <c r="BQ170" s="433"/>
      <c r="BR170" s="433"/>
      <c r="BS170" s="433"/>
      <c r="BT170" s="433"/>
    </row>
    <row r="171" spans="25:72" x14ac:dyDescent="0.2">
      <c r="Y171" s="437"/>
      <c r="Z171" s="437"/>
      <c r="AA171" s="437"/>
      <c r="AB171" s="437"/>
      <c r="AC171" s="437"/>
      <c r="AD171" s="437"/>
      <c r="AE171" s="437"/>
      <c r="AF171" s="437"/>
      <c r="AG171" s="437"/>
      <c r="AH171" s="437"/>
      <c r="AI171" s="437"/>
      <c r="AJ171" s="437"/>
      <c r="AK171" s="437"/>
      <c r="AL171" s="437"/>
      <c r="AM171" s="437"/>
      <c r="AN171" s="437"/>
      <c r="AO171" s="437"/>
      <c r="AP171" s="437"/>
      <c r="AQ171" s="437"/>
      <c r="AR171" s="437"/>
      <c r="AS171" s="437"/>
      <c r="AT171" s="437"/>
      <c r="AU171" s="437"/>
      <c r="AV171" s="437"/>
      <c r="AW171" s="437"/>
      <c r="AX171" s="437"/>
      <c r="AY171" s="433"/>
      <c r="AZ171" s="433"/>
      <c r="BA171" s="433"/>
      <c r="BB171" s="433"/>
      <c r="BC171" s="433"/>
      <c r="BD171" s="433"/>
      <c r="BE171" s="433"/>
      <c r="BF171" s="433"/>
      <c r="BG171" s="433"/>
      <c r="BH171" s="433"/>
      <c r="BI171" s="433"/>
      <c r="BJ171" s="433"/>
      <c r="BK171" s="433"/>
      <c r="BL171" s="433"/>
      <c r="BM171" s="433"/>
      <c r="BN171" s="433"/>
      <c r="BO171" s="433"/>
      <c r="BP171" s="433"/>
      <c r="BQ171" s="433"/>
      <c r="BR171" s="433"/>
      <c r="BS171" s="433"/>
      <c r="BT171" s="433"/>
    </row>
    <row r="172" spans="25:72" x14ac:dyDescent="0.2">
      <c r="Y172" s="439"/>
      <c r="Z172" s="439"/>
      <c r="AA172" s="439"/>
      <c r="AB172" s="439"/>
      <c r="AC172" s="439"/>
      <c r="AD172" s="439"/>
      <c r="AE172" s="439"/>
      <c r="AF172" s="439"/>
      <c r="AG172" s="439"/>
      <c r="AH172" s="439"/>
      <c r="AI172" s="439"/>
      <c r="AJ172" s="439"/>
      <c r="AK172" s="439"/>
      <c r="AL172" s="439"/>
      <c r="AM172" s="439"/>
      <c r="AN172" s="439"/>
      <c r="AO172" s="439"/>
      <c r="AP172" s="439"/>
      <c r="AQ172" s="439"/>
      <c r="AR172" s="439"/>
      <c r="AS172" s="439"/>
      <c r="AT172" s="439"/>
      <c r="AU172" s="439"/>
      <c r="AV172" s="439"/>
      <c r="AW172" s="439"/>
      <c r="AX172" s="439"/>
      <c r="AY172" s="433"/>
      <c r="AZ172" s="433"/>
      <c r="BA172" s="433"/>
      <c r="BB172" s="433"/>
      <c r="BC172" s="433"/>
      <c r="BD172" s="433"/>
      <c r="BE172" s="433"/>
      <c r="BF172" s="433"/>
      <c r="BG172" s="433"/>
      <c r="BH172" s="433"/>
      <c r="BI172" s="433"/>
      <c r="BJ172" s="433"/>
      <c r="BK172" s="433"/>
      <c r="BL172" s="433"/>
      <c r="BM172" s="433"/>
      <c r="BN172" s="433"/>
      <c r="BO172" s="433"/>
      <c r="BP172" s="433"/>
      <c r="BQ172" s="433"/>
      <c r="BR172" s="433"/>
      <c r="BS172" s="433"/>
      <c r="BT172" s="433"/>
    </row>
    <row r="173" spans="25:72" x14ac:dyDescent="0.2">
      <c r="Y173" s="439"/>
      <c r="Z173" s="439"/>
      <c r="AA173" s="439"/>
      <c r="AB173" s="439"/>
      <c r="AC173" s="439"/>
      <c r="AD173" s="439"/>
      <c r="AE173" s="439"/>
      <c r="AF173" s="439"/>
      <c r="AG173" s="439"/>
      <c r="AH173" s="439"/>
      <c r="AI173" s="439"/>
      <c r="AJ173" s="439"/>
      <c r="AK173" s="439"/>
      <c r="AL173" s="439"/>
      <c r="AM173" s="439"/>
      <c r="AN173" s="439"/>
      <c r="AO173" s="439"/>
      <c r="AP173" s="439"/>
      <c r="AQ173" s="439"/>
      <c r="AR173" s="439"/>
      <c r="AS173" s="439"/>
      <c r="AT173" s="439"/>
      <c r="AU173" s="439"/>
      <c r="AV173" s="439"/>
      <c r="AW173" s="439"/>
      <c r="AX173" s="439"/>
      <c r="AY173" s="433"/>
      <c r="AZ173" s="433"/>
      <c r="BA173" s="433"/>
      <c r="BB173" s="433"/>
      <c r="BC173" s="433"/>
      <c r="BD173" s="433"/>
      <c r="BE173" s="433"/>
      <c r="BF173" s="433"/>
      <c r="BG173" s="433"/>
      <c r="BH173" s="433"/>
      <c r="BI173" s="433"/>
      <c r="BJ173" s="433"/>
      <c r="BK173" s="433"/>
      <c r="BL173" s="433"/>
      <c r="BM173" s="433"/>
      <c r="BN173" s="433"/>
      <c r="BO173" s="433"/>
      <c r="BP173" s="433"/>
      <c r="BQ173" s="433"/>
      <c r="BR173" s="433"/>
      <c r="BS173" s="433"/>
      <c r="BT173" s="433"/>
    </row>
    <row r="174" spans="25:72" s="359" customFormat="1" x14ac:dyDescent="0.2">
      <c r="Y174" s="445"/>
      <c r="Z174" s="445"/>
      <c r="AA174" s="445"/>
      <c r="AB174" s="445"/>
      <c r="AC174" s="445"/>
      <c r="AD174" s="445"/>
      <c r="AE174" s="445"/>
      <c r="AF174" s="445"/>
      <c r="AG174" s="445"/>
      <c r="AH174" s="445"/>
      <c r="AI174" s="445"/>
      <c r="AJ174" s="445"/>
      <c r="AK174" s="445"/>
      <c r="AL174" s="445"/>
      <c r="AM174" s="445"/>
      <c r="AN174" s="445"/>
      <c r="AO174" s="445"/>
      <c r="AP174" s="445"/>
      <c r="AQ174" s="445"/>
      <c r="AR174" s="445"/>
      <c r="AS174" s="445"/>
      <c r="AT174" s="445"/>
      <c r="AU174" s="445"/>
      <c r="AV174" s="445"/>
      <c r="AW174" s="445"/>
      <c r="AX174" s="445"/>
      <c r="AY174" s="440"/>
      <c r="AZ174" s="440"/>
      <c r="BA174" s="440"/>
      <c r="BB174" s="440"/>
      <c r="BC174" s="440"/>
      <c r="BD174" s="440"/>
      <c r="BE174" s="440"/>
      <c r="BF174" s="440"/>
      <c r="BG174" s="440"/>
      <c r="BH174" s="440"/>
      <c r="BI174" s="440"/>
      <c r="BJ174" s="440"/>
      <c r="BK174" s="440"/>
      <c r="BL174" s="440"/>
      <c r="BM174" s="440"/>
      <c r="BN174" s="440"/>
      <c r="BO174" s="440"/>
      <c r="BP174" s="440"/>
      <c r="BQ174" s="440"/>
      <c r="BR174" s="440"/>
      <c r="BS174" s="440"/>
      <c r="BT174" s="440"/>
    </row>
    <row r="175" spans="25:72" x14ac:dyDescent="0.2">
      <c r="Y175" s="439"/>
      <c r="Z175" s="439"/>
      <c r="AA175" s="439"/>
      <c r="AB175" s="439"/>
      <c r="AC175" s="439"/>
      <c r="AD175" s="439"/>
      <c r="AE175" s="439"/>
      <c r="AF175" s="439"/>
      <c r="AG175" s="439"/>
      <c r="AH175" s="439"/>
      <c r="AI175" s="439"/>
      <c r="AJ175" s="439"/>
      <c r="AK175" s="439"/>
      <c r="AL175" s="439"/>
      <c r="AM175" s="439"/>
      <c r="AN175" s="439"/>
      <c r="AO175" s="439"/>
      <c r="AP175" s="439"/>
      <c r="AQ175" s="439"/>
      <c r="AR175" s="439"/>
      <c r="AS175" s="439"/>
      <c r="AT175" s="439"/>
      <c r="AU175" s="439"/>
      <c r="AV175" s="439"/>
      <c r="AW175" s="439"/>
      <c r="AX175" s="439"/>
      <c r="AY175" s="433"/>
      <c r="AZ175" s="433"/>
      <c r="BA175" s="433"/>
      <c r="BB175" s="433"/>
      <c r="BC175" s="433"/>
      <c r="BD175" s="433"/>
      <c r="BE175" s="433"/>
      <c r="BF175" s="433"/>
      <c r="BG175" s="433"/>
      <c r="BH175" s="433"/>
      <c r="BI175" s="433"/>
      <c r="BJ175" s="433"/>
      <c r="BK175" s="433"/>
      <c r="BL175" s="433"/>
      <c r="BM175" s="433"/>
      <c r="BN175" s="433"/>
      <c r="BO175" s="433"/>
      <c r="BP175" s="433"/>
      <c r="BQ175" s="433"/>
      <c r="BR175" s="433"/>
      <c r="BS175" s="433"/>
      <c r="BT175" s="433"/>
    </row>
    <row r="176" spans="25:72" x14ac:dyDescent="0.2">
      <c r="Y176" s="439"/>
      <c r="Z176" s="439"/>
      <c r="AA176" s="439"/>
      <c r="AB176" s="439"/>
      <c r="AC176" s="439"/>
      <c r="AD176" s="439"/>
      <c r="AE176" s="439"/>
      <c r="AF176" s="439"/>
      <c r="AG176" s="439"/>
      <c r="AH176" s="439"/>
      <c r="AI176" s="439"/>
      <c r="AJ176" s="439"/>
      <c r="AK176" s="439"/>
      <c r="AL176" s="439"/>
      <c r="AM176" s="439"/>
      <c r="AN176" s="439"/>
      <c r="AO176" s="439"/>
      <c r="AP176" s="439"/>
      <c r="AQ176" s="439"/>
      <c r="AR176" s="439"/>
      <c r="AS176" s="439"/>
      <c r="AT176" s="439"/>
      <c r="AU176" s="439"/>
      <c r="AV176" s="439"/>
      <c r="AW176" s="439"/>
      <c r="AX176" s="439"/>
      <c r="AY176" s="433"/>
      <c r="AZ176" s="433"/>
      <c r="BA176" s="433"/>
      <c r="BB176" s="433"/>
      <c r="BC176" s="433"/>
      <c r="BD176" s="433"/>
      <c r="BE176" s="433"/>
      <c r="BF176" s="433"/>
      <c r="BG176" s="433"/>
      <c r="BH176" s="433"/>
      <c r="BI176" s="433"/>
      <c r="BJ176" s="433"/>
      <c r="BK176" s="433"/>
      <c r="BL176" s="433"/>
      <c r="BM176" s="433"/>
      <c r="BN176" s="433"/>
      <c r="BO176" s="433"/>
      <c r="BP176" s="433"/>
      <c r="BQ176" s="433"/>
      <c r="BR176" s="433"/>
      <c r="BS176" s="433"/>
      <c r="BT176" s="433"/>
    </row>
    <row r="177" spans="25:72" x14ac:dyDescent="0.2">
      <c r="Y177" s="439"/>
      <c r="Z177" s="439"/>
      <c r="AA177" s="439"/>
      <c r="AB177" s="439"/>
      <c r="AC177" s="439"/>
      <c r="AD177" s="439"/>
      <c r="AE177" s="439"/>
      <c r="AF177" s="439"/>
      <c r="AG177" s="439"/>
      <c r="AH177" s="439"/>
      <c r="AI177" s="439"/>
      <c r="AJ177" s="439"/>
      <c r="AK177" s="439"/>
      <c r="AL177" s="439"/>
      <c r="AM177" s="439"/>
      <c r="AN177" s="439"/>
      <c r="AO177" s="439"/>
      <c r="AP177" s="439"/>
      <c r="AQ177" s="439"/>
      <c r="AR177" s="439"/>
      <c r="AS177" s="439"/>
      <c r="AT177" s="439"/>
      <c r="AU177" s="439"/>
      <c r="AV177" s="439"/>
      <c r="AW177" s="439"/>
      <c r="AX177" s="439"/>
      <c r="AY177" s="433"/>
      <c r="AZ177" s="433"/>
      <c r="BA177" s="433"/>
      <c r="BB177" s="433"/>
      <c r="BC177" s="433"/>
      <c r="BD177" s="433"/>
      <c r="BE177" s="433"/>
      <c r="BF177" s="433"/>
      <c r="BG177" s="433"/>
      <c r="BH177" s="433"/>
      <c r="BI177" s="433"/>
      <c r="BJ177" s="433"/>
      <c r="BK177" s="433"/>
      <c r="BL177" s="433"/>
      <c r="BM177" s="433"/>
      <c r="BN177" s="433"/>
      <c r="BO177" s="433"/>
      <c r="BP177" s="433"/>
      <c r="BQ177" s="433"/>
      <c r="BR177" s="433"/>
      <c r="BS177" s="433"/>
      <c r="BT177" s="433"/>
    </row>
    <row r="178" spans="25:72" x14ac:dyDescent="0.2">
      <c r="Y178" s="439"/>
      <c r="Z178" s="439"/>
      <c r="AA178" s="439"/>
      <c r="AB178" s="439"/>
      <c r="AC178" s="439"/>
      <c r="AD178" s="439"/>
      <c r="AE178" s="439"/>
      <c r="AF178" s="439"/>
      <c r="AG178" s="439"/>
      <c r="AH178" s="439"/>
      <c r="AI178" s="439"/>
      <c r="AJ178" s="439"/>
      <c r="AK178" s="439"/>
      <c r="AL178" s="439"/>
      <c r="AM178" s="439"/>
      <c r="AN178" s="439"/>
      <c r="AO178" s="439"/>
      <c r="AP178" s="439"/>
      <c r="AQ178" s="439"/>
      <c r="AR178" s="439"/>
      <c r="AS178" s="439"/>
      <c r="AT178" s="439"/>
      <c r="AU178" s="439"/>
      <c r="AV178" s="439"/>
      <c r="AW178" s="439"/>
      <c r="AX178" s="439"/>
      <c r="AY178" s="433"/>
      <c r="AZ178" s="433"/>
      <c r="BA178" s="433"/>
      <c r="BB178" s="433"/>
      <c r="BC178" s="433"/>
      <c r="BD178" s="433"/>
      <c r="BE178" s="433"/>
      <c r="BF178" s="433"/>
      <c r="BG178" s="433"/>
      <c r="BH178" s="433"/>
      <c r="BI178" s="433"/>
      <c r="BJ178" s="433"/>
      <c r="BK178" s="433"/>
      <c r="BL178" s="433"/>
      <c r="BM178" s="433"/>
      <c r="BN178" s="433"/>
      <c r="BO178" s="433"/>
      <c r="BP178" s="433"/>
      <c r="BQ178" s="433"/>
      <c r="BR178" s="433"/>
      <c r="BS178" s="433"/>
      <c r="BT178" s="433"/>
    </row>
    <row r="179" spans="25:72" x14ac:dyDescent="0.2">
      <c r="Y179" s="439"/>
      <c r="Z179" s="439"/>
      <c r="AA179" s="439"/>
      <c r="AB179" s="439"/>
      <c r="AC179" s="439"/>
      <c r="AD179" s="439"/>
      <c r="AE179" s="439"/>
      <c r="AF179" s="439"/>
      <c r="AG179" s="439"/>
      <c r="AH179" s="439"/>
      <c r="AI179" s="439"/>
      <c r="AJ179" s="439"/>
      <c r="AK179" s="439"/>
      <c r="AL179" s="439"/>
      <c r="AM179" s="439"/>
      <c r="AN179" s="439"/>
      <c r="AO179" s="439"/>
      <c r="AP179" s="439"/>
      <c r="AQ179" s="439"/>
      <c r="AR179" s="439"/>
      <c r="AS179" s="439"/>
      <c r="AT179" s="439"/>
      <c r="AU179" s="439"/>
      <c r="AV179" s="439"/>
      <c r="AW179" s="439"/>
      <c r="AX179" s="439"/>
      <c r="AY179" s="433"/>
      <c r="AZ179" s="433"/>
      <c r="BA179" s="433"/>
      <c r="BB179" s="433"/>
      <c r="BC179" s="433"/>
      <c r="BD179" s="433"/>
      <c r="BE179" s="433"/>
      <c r="BF179" s="433"/>
      <c r="BG179" s="433"/>
      <c r="BH179" s="433"/>
      <c r="BI179" s="433"/>
      <c r="BJ179" s="433"/>
      <c r="BK179" s="433"/>
      <c r="BL179" s="433"/>
      <c r="BM179" s="433"/>
      <c r="BN179" s="433"/>
      <c r="BO179" s="433"/>
      <c r="BP179" s="433"/>
      <c r="BQ179" s="433"/>
      <c r="BR179" s="433"/>
      <c r="BS179" s="433"/>
      <c r="BT179" s="433"/>
    </row>
    <row r="180" spans="25:72" x14ac:dyDescent="0.2">
      <c r="Y180" s="439"/>
      <c r="Z180" s="439"/>
      <c r="AA180" s="439"/>
      <c r="AB180" s="439"/>
      <c r="AC180" s="439"/>
      <c r="AD180" s="439"/>
      <c r="AE180" s="439"/>
      <c r="AF180" s="439"/>
      <c r="AG180" s="439"/>
      <c r="AH180" s="439"/>
      <c r="AI180" s="439"/>
      <c r="AJ180" s="439"/>
      <c r="AK180" s="439"/>
      <c r="AL180" s="439"/>
      <c r="AM180" s="439"/>
      <c r="AN180" s="439"/>
      <c r="AO180" s="439"/>
      <c r="AP180" s="439"/>
      <c r="AQ180" s="439"/>
      <c r="AR180" s="439"/>
      <c r="AS180" s="439"/>
      <c r="AT180" s="439"/>
      <c r="AU180" s="439"/>
      <c r="AV180" s="439"/>
      <c r="AW180" s="439"/>
      <c r="AX180" s="439"/>
      <c r="AY180" s="433"/>
      <c r="AZ180" s="433"/>
      <c r="BA180" s="433"/>
      <c r="BB180" s="433"/>
      <c r="BC180" s="433"/>
      <c r="BD180" s="433"/>
      <c r="BE180" s="433"/>
      <c r="BF180" s="433"/>
      <c r="BG180" s="433"/>
      <c r="BH180" s="433"/>
      <c r="BI180" s="433"/>
      <c r="BJ180" s="433"/>
      <c r="BK180" s="433"/>
      <c r="BL180" s="433"/>
      <c r="BM180" s="433"/>
      <c r="BN180" s="433"/>
      <c r="BO180" s="433"/>
      <c r="BP180" s="433"/>
      <c r="BQ180" s="433"/>
      <c r="BR180" s="433"/>
      <c r="BS180" s="433"/>
      <c r="BT180" s="433"/>
    </row>
    <row r="181" spans="25:72" x14ac:dyDescent="0.2">
      <c r="Y181" s="439"/>
      <c r="Z181" s="439"/>
      <c r="AA181" s="439"/>
      <c r="AB181" s="439"/>
      <c r="AC181" s="439"/>
      <c r="AD181" s="439"/>
      <c r="AE181" s="439"/>
      <c r="AF181" s="439"/>
      <c r="AG181" s="439"/>
      <c r="AH181" s="439"/>
      <c r="AI181" s="439"/>
      <c r="AJ181" s="439"/>
      <c r="AK181" s="439"/>
      <c r="AL181" s="439"/>
      <c r="AM181" s="439"/>
      <c r="AN181" s="439"/>
      <c r="AO181" s="439"/>
      <c r="AP181" s="439"/>
      <c r="AQ181" s="439"/>
      <c r="AR181" s="439"/>
      <c r="AS181" s="439"/>
      <c r="AT181" s="439"/>
      <c r="AU181" s="439"/>
      <c r="AV181" s="439"/>
      <c r="AW181" s="439"/>
      <c r="AX181" s="439"/>
      <c r="AY181" s="433"/>
      <c r="AZ181" s="433"/>
      <c r="BA181" s="433"/>
      <c r="BB181" s="433"/>
      <c r="BC181" s="433"/>
      <c r="BD181" s="433"/>
      <c r="BE181" s="433"/>
      <c r="BF181" s="433"/>
      <c r="BG181" s="433"/>
      <c r="BH181" s="433"/>
      <c r="BI181" s="433"/>
      <c r="BJ181" s="433"/>
      <c r="BK181" s="433"/>
      <c r="BL181" s="433"/>
      <c r="BM181" s="433"/>
      <c r="BN181" s="433"/>
      <c r="BO181" s="433"/>
      <c r="BP181" s="433"/>
      <c r="BQ181" s="433"/>
      <c r="BR181" s="433"/>
      <c r="BS181" s="433"/>
      <c r="BT181" s="433"/>
    </row>
    <row r="182" spans="25:72" x14ac:dyDescent="0.2">
      <c r="Y182" s="439"/>
      <c r="Z182" s="439"/>
      <c r="AA182" s="439"/>
      <c r="AB182" s="439"/>
      <c r="AC182" s="439"/>
      <c r="AD182" s="439"/>
      <c r="AE182" s="439"/>
      <c r="AF182" s="439"/>
      <c r="AG182" s="439"/>
      <c r="AH182" s="439"/>
      <c r="AI182" s="439"/>
      <c r="AJ182" s="439"/>
      <c r="AK182" s="439"/>
      <c r="AL182" s="439"/>
      <c r="AM182" s="439"/>
      <c r="AN182" s="439"/>
      <c r="AO182" s="439"/>
      <c r="AP182" s="439"/>
      <c r="AQ182" s="439"/>
      <c r="AR182" s="439"/>
      <c r="AS182" s="439"/>
      <c r="AT182" s="439"/>
      <c r="AU182" s="439"/>
      <c r="AV182" s="439"/>
      <c r="AW182" s="439"/>
      <c r="AX182" s="439"/>
      <c r="AY182" s="433"/>
      <c r="AZ182" s="433"/>
      <c r="BA182" s="433"/>
      <c r="BB182" s="433"/>
      <c r="BC182" s="433"/>
      <c r="BD182" s="433"/>
      <c r="BE182" s="433"/>
      <c r="BF182" s="433"/>
      <c r="BG182" s="433"/>
      <c r="BH182" s="433"/>
      <c r="BI182" s="433"/>
      <c r="BJ182" s="433"/>
      <c r="BK182" s="433"/>
      <c r="BL182" s="433"/>
      <c r="BM182" s="433"/>
      <c r="BN182" s="433"/>
      <c r="BO182" s="433"/>
      <c r="BP182" s="433"/>
      <c r="BQ182" s="433"/>
      <c r="BR182" s="433"/>
      <c r="BS182" s="433"/>
      <c r="BT182" s="433"/>
    </row>
    <row r="183" spans="25:72" x14ac:dyDescent="0.2">
      <c r="Y183" s="448"/>
      <c r="Z183" s="448"/>
      <c r="AA183" s="439"/>
      <c r="AB183" s="439"/>
      <c r="AC183" s="439"/>
      <c r="AD183" s="439"/>
      <c r="AE183" s="439"/>
      <c r="AF183" s="439"/>
      <c r="AG183" s="439"/>
      <c r="AH183" s="439"/>
      <c r="AI183" s="439"/>
      <c r="AJ183" s="439"/>
      <c r="AK183" s="439"/>
      <c r="AL183" s="439"/>
      <c r="AM183" s="439"/>
      <c r="AN183" s="439"/>
      <c r="AO183" s="439"/>
      <c r="AP183" s="439"/>
      <c r="AQ183" s="439"/>
      <c r="AR183" s="439"/>
      <c r="AS183" s="439"/>
      <c r="AT183" s="439"/>
      <c r="AU183" s="439"/>
      <c r="AV183" s="439"/>
      <c r="AW183" s="439"/>
      <c r="AX183" s="439"/>
      <c r="AY183" s="433"/>
      <c r="AZ183" s="433"/>
      <c r="BA183" s="433"/>
      <c r="BB183" s="433"/>
      <c r="BC183" s="433"/>
      <c r="BD183" s="433"/>
      <c r="BE183" s="433"/>
      <c r="BF183" s="433"/>
      <c r="BG183" s="433"/>
      <c r="BH183" s="433"/>
      <c r="BI183" s="433"/>
      <c r="BJ183" s="433"/>
      <c r="BK183" s="433"/>
      <c r="BL183" s="433"/>
      <c r="BM183" s="433"/>
      <c r="BN183" s="433"/>
      <c r="BO183" s="433"/>
      <c r="BP183" s="433"/>
      <c r="BQ183" s="433"/>
      <c r="BR183" s="433"/>
      <c r="BS183" s="433"/>
      <c r="BT183" s="433"/>
    </row>
    <row r="184" spans="25:72" s="359" customFormat="1" x14ac:dyDescent="0.2">
      <c r="Y184" s="445"/>
      <c r="Z184" s="445"/>
      <c r="AA184" s="445"/>
      <c r="AB184" s="445"/>
      <c r="AC184" s="445"/>
      <c r="AD184" s="445"/>
      <c r="AE184" s="445"/>
      <c r="AF184" s="445"/>
      <c r="AG184" s="445"/>
      <c r="AH184" s="445"/>
      <c r="AI184" s="445"/>
      <c r="AJ184" s="445"/>
      <c r="AK184" s="445"/>
      <c r="AL184" s="445"/>
      <c r="AM184" s="445"/>
      <c r="AN184" s="445"/>
      <c r="AO184" s="445"/>
      <c r="AP184" s="445"/>
      <c r="AQ184" s="445"/>
      <c r="AR184" s="445"/>
      <c r="AS184" s="445"/>
      <c r="AT184" s="445"/>
      <c r="AU184" s="445"/>
      <c r="AV184" s="445"/>
      <c r="AW184" s="445"/>
      <c r="AX184" s="445"/>
      <c r="AY184" s="440"/>
      <c r="AZ184" s="440"/>
      <c r="BA184" s="440"/>
      <c r="BB184" s="440"/>
      <c r="BC184" s="440"/>
      <c r="BD184" s="440"/>
      <c r="BE184" s="440"/>
      <c r="BF184" s="440"/>
      <c r="BG184" s="440"/>
      <c r="BH184" s="440"/>
      <c r="BI184" s="440"/>
      <c r="BJ184" s="440"/>
      <c r="BK184" s="440"/>
      <c r="BL184" s="440"/>
      <c r="BM184" s="440"/>
      <c r="BN184" s="440"/>
      <c r="BO184" s="440"/>
      <c r="BP184" s="440"/>
      <c r="BQ184" s="440"/>
      <c r="BR184" s="440"/>
      <c r="BS184" s="440"/>
      <c r="BT184" s="440"/>
    </row>
    <row r="185" spans="25:72" x14ac:dyDescent="0.2">
      <c r="Y185" s="439"/>
      <c r="Z185" s="439"/>
      <c r="AA185" s="439"/>
      <c r="AB185" s="439"/>
      <c r="AC185" s="439"/>
      <c r="AD185" s="439"/>
      <c r="AE185" s="439"/>
      <c r="AF185" s="439"/>
      <c r="AG185" s="439"/>
      <c r="AH185" s="439"/>
      <c r="AI185" s="439"/>
      <c r="AJ185" s="439"/>
      <c r="AK185" s="439"/>
      <c r="AL185" s="439"/>
      <c r="AM185" s="439"/>
      <c r="AN185" s="439"/>
      <c r="AO185" s="439"/>
      <c r="AP185" s="439"/>
      <c r="AQ185" s="439"/>
      <c r="AR185" s="439"/>
      <c r="AS185" s="439"/>
      <c r="AT185" s="439"/>
      <c r="AU185" s="439"/>
      <c r="AV185" s="439"/>
      <c r="AW185" s="439"/>
      <c r="AX185" s="439"/>
      <c r="AY185" s="433"/>
      <c r="AZ185" s="433"/>
      <c r="BA185" s="433"/>
      <c r="BB185" s="433"/>
      <c r="BC185" s="433"/>
      <c r="BD185" s="433"/>
      <c r="BE185" s="433"/>
      <c r="BF185" s="433"/>
      <c r="BG185" s="433"/>
      <c r="BH185" s="433"/>
      <c r="BI185" s="433"/>
      <c r="BJ185" s="433"/>
      <c r="BK185" s="433"/>
      <c r="BL185" s="433"/>
      <c r="BM185" s="433"/>
      <c r="BN185" s="433"/>
      <c r="BO185" s="433"/>
      <c r="BP185" s="433"/>
      <c r="BQ185" s="433"/>
      <c r="BR185" s="433"/>
      <c r="BS185" s="433"/>
      <c r="BT185" s="433"/>
    </row>
    <row r="186" spans="25:72" x14ac:dyDescent="0.2">
      <c r="Y186" s="439"/>
      <c r="Z186" s="439"/>
      <c r="AA186" s="439"/>
      <c r="AB186" s="439"/>
      <c r="AC186" s="439"/>
      <c r="AD186" s="439"/>
      <c r="AE186" s="439"/>
      <c r="AF186" s="439"/>
      <c r="AG186" s="439"/>
      <c r="AH186" s="439"/>
      <c r="AI186" s="439"/>
      <c r="AJ186" s="439"/>
      <c r="AK186" s="439"/>
      <c r="AL186" s="439"/>
      <c r="AM186" s="439"/>
      <c r="AN186" s="439"/>
      <c r="AO186" s="439"/>
      <c r="AP186" s="439"/>
      <c r="AQ186" s="439"/>
      <c r="AR186" s="439"/>
      <c r="AS186" s="439"/>
      <c r="AT186" s="439"/>
      <c r="AU186" s="439"/>
      <c r="AV186" s="439"/>
      <c r="AW186" s="439"/>
      <c r="AX186" s="439"/>
      <c r="AY186" s="433"/>
      <c r="AZ186" s="433"/>
      <c r="BA186" s="433"/>
      <c r="BB186" s="433"/>
      <c r="BC186" s="433"/>
      <c r="BD186" s="433"/>
      <c r="BE186" s="433"/>
      <c r="BF186" s="433"/>
      <c r="BG186" s="433"/>
      <c r="BH186" s="433"/>
      <c r="BI186" s="433"/>
      <c r="BJ186" s="433"/>
      <c r="BK186" s="433"/>
      <c r="BL186" s="433"/>
      <c r="BM186" s="433"/>
      <c r="BN186" s="433"/>
      <c r="BO186" s="433"/>
      <c r="BP186" s="433"/>
      <c r="BQ186" s="433"/>
      <c r="BR186" s="433"/>
      <c r="BS186" s="433"/>
      <c r="BT186" s="433"/>
    </row>
    <row r="187" spans="25:72" x14ac:dyDescent="0.2">
      <c r="Y187" s="439"/>
      <c r="Z187" s="439"/>
      <c r="AA187" s="439"/>
      <c r="AB187" s="439"/>
      <c r="AC187" s="439"/>
      <c r="AD187" s="439"/>
      <c r="AE187" s="439"/>
      <c r="AF187" s="439"/>
      <c r="AG187" s="439"/>
      <c r="AH187" s="439"/>
      <c r="AI187" s="439"/>
      <c r="AJ187" s="439"/>
      <c r="AK187" s="439"/>
      <c r="AL187" s="439"/>
      <c r="AM187" s="439"/>
      <c r="AN187" s="439"/>
      <c r="AO187" s="439"/>
      <c r="AP187" s="439"/>
      <c r="AQ187" s="439"/>
      <c r="AR187" s="439"/>
      <c r="AS187" s="439"/>
      <c r="AT187" s="439"/>
      <c r="AU187" s="439"/>
      <c r="AV187" s="439"/>
      <c r="AW187" s="439"/>
      <c r="AX187" s="439"/>
      <c r="AY187" s="433"/>
      <c r="AZ187" s="433"/>
      <c r="BA187" s="433"/>
      <c r="BB187" s="433"/>
      <c r="BC187" s="433"/>
      <c r="BD187" s="433"/>
      <c r="BE187" s="433"/>
      <c r="BF187" s="433"/>
      <c r="BG187" s="433"/>
      <c r="BH187" s="433"/>
      <c r="BI187" s="433"/>
      <c r="BJ187" s="433"/>
      <c r="BK187" s="433"/>
      <c r="BL187" s="433"/>
      <c r="BM187" s="433"/>
      <c r="BN187" s="433"/>
      <c r="BO187" s="433"/>
      <c r="BP187" s="433"/>
      <c r="BQ187" s="433"/>
      <c r="BR187" s="433"/>
      <c r="BS187" s="433"/>
      <c r="BT187" s="433"/>
    </row>
    <row r="188" spans="25:72" x14ac:dyDescent="0.2">
      <c r="Y188" s="439"/>
      <c r="Z188" s="439"/>
      <c r="AA188" s="439"/>
      <c r="AB188" s="439"/>
      <c r="AC188" s="439"/>
      <c r="AD188" s="439"/>
      <c r="AE188" s="439"/>
      <c r="AF188" s="439"/>
      <c r="AG188" s="439"/>
      <c r="AH188" s="439"/>
      <c r="AI188" s="439"/>
      <c r="AJ188" s="439"/>
      <c r="AK188" s="439"/>
      <c r="AL188" s="439"/>
      <c r="AM188" s="439"/>
      <c r="AN188" s="439"/>
      <c r="AO188" s="439"/>
      <c r="AP188" s="439"/>
      <c r="AQ188" s="439"/>
      <c r="AR188" s="439"/>
      <c r="AS188" s="439"/>
      <c r="AT188" s="439"/>
      <c r="AU188" s="439"/>
      <c r="AV188" s="439"/>
      <c r="AW188" s="439"/>
      <c r="AX188" s="439"/>
      <c r="AY188" s="433"/>
      <c r="AZ188" s="433"/>
      <c r="BA188" s="433"/>
      <c r="BB188" s="433"/>
      <c r="BC188" s="433"/>
      <c r="BD188" s="433"/>
      <c r="BE188" s="433"/>
      <c r="BF188" s="433"/>
      <c r="BG188" s="433"/>
      <c r="BH188" s="433"/>
      <c r="BI188" s="433"/>
      <c r="BJ188" s="433"/>
      <c r="BK188" s="433"/>
      <c r="BL188" s="433"/>
      <c r="BM188" s="433"/>
      <c r="BN188" s="433"/>
      <c r="BO188" s="433"/>
      <c r="BP188" s="433"/>
      <c r="BQ188" s="433"/>
      <c r="BR188" s="433"/>
      <c r="BS188" s="433"/>
      <c r="BT188" s="433"/>
    </row>
    <row r="189" spans="25:72" x14ac:dyDescent="0.2">
      <c r="Y189" s="439"/>
      <c r="Z189" s="439"/>
      <c r="AA189" s="439"/>
      <c r="AB189" s="439"/>
      <c r="AC189" s="439"/>
      <c r="AD189" s="439"/>
      <c r="AE189" s="439"/>
      <c r="AF189" s="439"/>
      <c r="AG189" s="439"/>
      <c r="AH189" s="439"/>
      <c r="AI189" s="439"/>
      <c r="AJ189" s="439"/>
      <c r="AK189" s="439"/>
      <c r="AL189" s="439"/>
      <c r="AM189" s="439"/>
      <c r="AN189" s="439"/>
      <c r="AO189" s="439"/>
      <c r="AP189" s="439"/>
      <c r="AQ189" s="439"/>
      <c r="AR189" s="439"/>
      <c r="AS189" s="439"/>
      <c r="AT189" s="439"/>
      <c r="AU189" s="439"/>
      <c r="AV189" s="439"/>
      <c r="AW189" s="439"/>
      <c r="AX189" s="439"/>
      <c r="AY189" s="433"/>
      <c r="AZ189" s="433"/>
      <c r="BA189" s="433"/>
      <c r="BB189" s="433"/>
      <c r="BC189" s="433"/>
      <c r="BD189" s="433"/>
      <c r="BE189" s="433"/>
      <c r="BF189" s="433"/>
      <c r="BG189" s="433"/>
      <c r="BH189" s="433"/>
      <c r="BI189" s="433"/>
      <c r="BJ189" s="433"/>
      <c r="BK189" s="433"/>
      <c r="BL189" s="433"/>
      <c r="BM189" s="433"/>
      <c r="BN189" s="433"/>
      <c r="BO189" s="433"/>
      <c r="BP189" s="433"/>
      <c r="BQ189" s="433"/>
      <c r="BR189" s="433"/>
      <c r="BS189" s="433"/>
      <c r="BT189" s="433"/>
    </row>
    <row r="190" spans="25:72" x14ac:dyDescent="0.2">
      <c r="Y190" s="439"/>
      <c r="Z190" s="439"/>
      <c r="AA190" s="439"/>
      <c r="AB190" s="439"/>
      <c r="AC190" s="439"/>
      <c r="AD190" s="439"/>
      <c r="AE190" s="439"/>
      <c r="AF190" s="439"/>
      <c r="AG190" s="439"/>
      <c r="AH190" s="439"/>
      <c r="AI190" s="439"/>
      <c r="AJ190" s="439"/>
      <c r="AK190" s="439"/>
      <c r="AL190" s="439"/>
      <c r="AM190" s="439"/>
      <c r="AN190" s="439"/>
      <c r="AO190" s="439"/>
      <c r="AP190" s="439"/>
      <c r="AQ190" s="439"/>
      <c r="AR190" s="439"/>
      <c r="AS190" s="439"/>
      <c r="AT190" s="439"/>
      <c r="AU190" s="439"/>
      <c r="AV190" s="439"/>
      <c r="AW190" s="439"/>
      <c r="AX190" s="439"/>
      <c r="AY190" s="433"/>
      <c r="AZ190" s="433"/>
      <c r="BA190" s="433"/>
      <c r="BB190" s="433"/>
      <c r="BC190" s="433"/>
      <c r="BD190" s="433"/>
      <c r="BE190" s="433"/>
      <c r="BF190" s="433"/>
      <c r="BG190" s="433"/>
      <c r="BH190" s="433"/>
      <c r="BI190" s="433"/>
      <c r="BJ190" s="433"/>
      <c r="BK190" s="433"/>
      <c r="BL190" s="433"/>
      <c r="BM190" s="433"/>
      <c r="BN190" s="433"/>
      <c r="BO190" s="433"/>
      <c r="BP190" s="433"/>
      <c r="BQ190" s="433"/>
      <c r="BR190" s="433"/>
      <c r="BS190" s="433"/>
      <c r="BT190" s="433"/>
    </row>
    <row r="191" spans="25:72" x14ac:dyDescent="0.2">
      <c r="Y191" s="439"/>
      <c r="Z191" s="439"/>
      <c r="AA191" s="439"/>
      <c r="AB191" s="439"/>
      <c r="AC191" s="439"/>
      <c r="AD191" s="439"/>
      <c r="AE191" s="439"/>
      <c r="AF191" s="439"/>
      <c r="AG191" s="439"/>
      <c r="AH191" s="439"/>
      <c r="AI191" s="439"/>
      <c r="AJ191" s="439"/>
      <c r="AK191" s="439"/>
      <c r="AL191" s="439"/>
      <c r="AM191" s="439"/>
      <c r="AN191" s="439"/>
      <c r="AO191" s="439"/>
      <c r="AP191" s="439"/>
      <c r="AQ191" s="439"/>
      <c r="AR191" s="439"/>
      <c r="AS191" s="439"/>
      <c r="AT191" s="439"/>
      <c r="AU191" s="439"/>
      <c r="AV191" s="439"/>
      <c r="AW191" s="439"/>
      <c r="AX191" s="439"/>
      <c r="AY191" s="433"/>
      <c r="AZ191" s="433"/>
      <c r="BA191" s="433"/>
      <c r="BB191" s="433"/>
      <c r="BC191" s="433"/>
      <c r="BD191" s="433"/>
      <c r="BE191" s="433"/>
      <c r="BF191" s="433"/>
      <c r="BG191" s="433"/>
      <c r="BH191" s="433"/>
      <c r="BI191" s="433"/>
      <c r="BJ191" s="433"/>
      <c r="BK191" s="433"/>
      <c r="BL191" s="433"/>
      <c r="BM191" s="433"/>
      <c r="BN191" s="433"/>
      <c r="BO191" s="433"/>
      <c r="BP191" s="433"/>
      <c r="BQ191" s="433"/>
      <c r="BR191" s="433"/>
      <c r="BS191" s="433"/>
      <c r="BT191" s="433"/>
    </row>
    <row r="192" spans="25:72" x14ac:dyDescent="0.2">
      <c r="Y192" s="439"/>
      <c r="Z192" s="439"/>
      <c r="AA192" s="439"/>
      <c r="AB192" s="439"/>
      <c r="AC192" s="439"/>
      <c r="AD192" s="439"/>
      <c r="AE192" s="439"/>
      <c r="AF192" s="439"/>
      <c r="AG192" s="439"/>
      <c r="AH192" s="439"/>
      <c r="AI192" s="439"/>
      <c r="AJ192" s="439"/>
      <c r="AK192" s="439"/>
      <c r="AL192" s="439"/>
      <c r="AM192" s="439"/>
      <c r="AN192" s="439"/>
      <c r="AO192" s="439"/>
      <c r="AP192" s="439"/>
      <c r="AQ192" s="439"/>
      <c r="AR192" s="439"/>
      <c r="AS192" s="439"/>
      <c r="AT192" s="439"/>
      <c r="AU192" s="439"/>
      <c r="AV192" s="439"/>
      <c r="AW192" s="439"/>
      <c r="AX192" s="439"/>
      <c r="AY192" s="433"/>
      <c r="AZ192" s="433"/>
      <c r="BA192" s="433"/>
      <c r="BB192" s="433"/>
      <c r="BC192" s="433"/>
      <c r="BD192" s="433"/>
      <c r="BE192" s="433"/>
      <c r="BF192" s="433"/>
      <c r="BG192" s="433"/>
      <c r="BH192" s="433"/>
      <c r="BI192" s="433"/>
      <c r="BJ192" s="433"/>
      <c r="BK192" s="433"/>
      <c r="BL192" s="433"/>
      <c r="BM192" s="433"/>
      <c r="BN192" s="433"/>
      <c r="BO192" s="433"/>
      <c r="BP192" s="433"/>
      <c r="BQ192" s="433"/>
      <c r="BR192" s="433"/>
      <c r="BS192" s="433"/>
      <c r="BT192" s="433"/>
    </row>
    <row r="193" spans="25:73" x14ac:dyDescent="0.2">
      <c r="Y193" s="439"/>
      <c r="Z193" s="439"/>
      <c r="AA193" s="439"/>
      <c r="AB193" s="439"/>
      <c r="AC193" s="439"/>
      <c r="AD193" s="439"/>
      <c r="AE193" s="439"/>
      <c r="AF193" s="439"/>
      <c r="AG193" s="439"/>
      <c r="AH193" s="439"/>
      <c r="AI193" s="439"/>
      <c r="AJ193" s="439"/>
      <c r="AK193" s="439"/>
      <c r="AL193" s="439"/>
      <c r="AM193" s="439"/>
      <c r="AN193" s="439"/>
      <c r="AO193" s="439"/>
      <c r="AP193" s="439"/>
      <c r="AQ193" s="439"/>
      <c r="AR193" s="439"/>
      <c r="AS193" s="439"/>
      <c r="AT193" s="439"/>
      <c r="AU193" s="439"/>
      <c r="AV193" s="439"/>
      <c r="AW193" s="439"/>
      <c r="AX193" s="439"/>
      <c r="AY193" s="433"/>
      <c r="AZ193" s="433"/>
      <c r="BA193" s="433"/>
      <c r="BB193" s="433"/>
      <c r="BC193" s="433"/>
      <c r="BD193" s="433"/>
      <c r="BE193" s="433"/>
      <c r="BF193" s="433"/>
      <c r="BG193" s="433"/>
      <c r="BH193" s="433"/>
      <c r="BI193" s="433"/>
      <c r="BJ193" s="433"/>
      <c r="BK193" s="433"/>
      <c r="BL193" s="433"/>
      <c r="BM193" s="433"/>
      <c r="BN193" s="433"/>
      <c r="BO193" s="433"/>
      <c r="BP193" s="433"/>
      <c r="BQ193" s="433"/>
      <c r="BR193" s="433"/>
      <c r="BS193" s="433"/>
      <c r="BT193" s="433"/>
    </row>
    <row r="194" spans="25:73" s="359" customFormat="1" x14ac:dyDescent="0.2">
      <c r="Y194" s="445"/>
      <c r="Z194" s="445"/>
      <c r="AA194" s="445"/>
      <c r="AB194" s="445"/>
      <c r="AC194" s="445"/>
      <c r="AD194" s="445"/>
      <c r="AE194" s="445"/>
      <c r="AF194" s="445"/>
      <c r="AG194" s="445"/>
      <c r="AH194" s="445"/>
      <c r="AI194" s="445"/>
      <c r="AJ194" s="445"/>
      <c r="AK194" s="445"/>
      <c r="AL194" s="445"/>
      <c r="AM194" s="445"/>
      <c r="AN194" s="445"/>
      <c r="AO194" s="445"/>
      <c r="AP194" s="445"/>
      <c r="AQ194" s="445"/>
      <c r="AR194" s="445"/>
      <c r="AS194" s="445"/>
      <c r="AT194" s="445"/>
      <c r="AU194" s="445"/>
      <c r="AV194" s="445"/>
      <c r="AW194" s="445"/>
      <c r="AX194" s="445"/>
      <c r="AY194" s="440"/>
      <c r="AZ194" s="440"/>
      <c r="BA194" s="440"/>
      <c r="BB194" s="440"/>
      <c r="BC194" s="440"/>
      <c r="BD194" s="440"/>
      <c r="BE194" s="440"/>
      <c r="BF194" s="440"/>
      <c r="BG194" s="440"/>
      <c r="BH194" s="440"/>
      <c r="BI194" s="440"/>
      <c r="BJ194" s="440"/>
      <c r="BK194" s="440"/>
      <c r="BL194" s="440"/>
      <c r="BM194" s="440"/>
      <c r="BN194" s="440"/>
      <c r="BO194" s="440"/>
      <c r="BP194" s="440"/>
      <c r="BQ194" s="440"/>
      <c r="BR194" s="440"/>
      <c r="BS194" s="440"/>
      <c r="BT194" s="440"/>
    </row>
    <row r="195" spans="25:73" s="359" customFormat="1" x14ac:dyDescent="0.2">
      <c r="Y195" s="445"/>
      <c r="Z195" s="445"/>
      <c r="AA195" s="445"/>
      <c r="AB195" s="445"/>
      <c r="AC195" s="445"/>
      <c r="AD195" s="445"/>
      <c r="AE195" s="445"/>
      <c r="AF195" s="445"/>
      <c r="AG195" s="445"/>
      <c r="AH195" s="445"/>
      <c r="AI195" s="445"/>
      <c r="AJ195" s="445"/>
      <c r="AK195" s="445"/>
      <c r="AL195" s="445"/>
      <c r="AM195" s="445"/>
      <c r="AN195" s="445"/>
      <c r="AO195" s="445"/>
      <c r="AP195" s="445"/>
      <c r="AQ195" s="445"/>
      <c r="AR195" s="445"/>
      <c r="AS195" s="445"/>
      <c r="AT195" s="445"/>
      <c r="AU195" s="445"/>
      <c r="AV195" s="445"/>
      <c r="AW195" s="445"/>
      <c r="AX195" s="445"/>
      <c r="AY195" s="440"/>
      <c r="AZ195" s="440"/>
      <c r="BA195" s="440"/>
      <c r="BB195" s="440"/>
      <c r="BC195" s="440"/>
      <c r="BD195" s="440"/>
      <c r="BE195" s="440"/>
      <c r="BF195" s="440"/>
      <c r="BG195" s="440"/>
      <c r="BH195" s="440"/>
      <c r="BI195" s="440"/>
      <c r="BJ195" s="440"/>
      <c r="BK195" s="440"/>
      <c r="BL195" s="440"/>
      <c r="BM195" s="440"/>
      <c r="BN195" s="440"/>
      <c r="BO195" s="440"/>
      <c r="BP195" s="440"/>
      <c r="BQ195" s="440"/>
      <c r="BR195" s="440"/>
      <c r="BS195" s="440"/>
      <c r="BT195" s="440"/>
    </row>
    <row r="196" spans="25:73" x14ac:dyDescent="0.2">
      <c r="Y196" s="439"/>
      <c r="Z196" s="439"/>
      <c r="AA196" s="439"/>
      <c r="AB196" s="439"/>
      <c r="AC196" s="439"/>
      <c r="AD196" s="439"/>
      <c r="AE196" s="439"/>
      <c r="AF196" s="439"/>
      <c r="AG196" s="439"/>
      <c r="AH196" s="439"/>
      <c r="AI196" s="439"/>
      <c r="AJ196" s="439"/>
      <c r="AK196" s="439"/>
      <c r="AL196" s="439"/>
      <c r="AM196" s="439"/>
      <c r="AN196" s="439"/>
      <c r="AO196" s="439"/>
      <c r="AP196" s="439"/>
      <c r="AQ196" s="439"/>
      <c r="AR196" s="439"/>
      <c r="AS196" s="439"/>
      <c r="AT196" s="439"/>
      <c r="AU196" s="439"/>
      <c r="AV196" s="439"/>
      <c r="AW196" s="439"/>
      <c r="AX196" s="439"/>
      <c r="AY196" s="433"/>
      <c r="AZ196" s="433"/>
      <c r="BA196" s="433"/>
      <c r="BB196" s="433"/>
      <c r="BC196" s="433"/>
      <c r="BD196" s="433"/>
      <c r="BE196" s="433"/>
      <c r="BF196" s="433"/>
      <c r="BG196" s="433"/>
      <c r="BH196" s="433"/>
      <c r="BI196" s="433"/>
      <c r="BJ196" s="433"/>
      <c r="BK196" s="433"/>
      <c r="BL196" s="433"/>
      <c r="BM196" s="433"/>
      <c r="BN196" s="433"/>
      <c r="BO196" s="433"/>
      <c r="BP196" s="433"/>
      <c r="BQ196" s="433"/>
      <c r="BR196" s="433"/>
      <c r="BS196" s="433"/>
      <c r="BT196" s="433"/>
    </row>
    <row r="197" spans="25:73" x14ac:dyDescent="0.2">
      <c r="Y197" s="445"/>
      <c r="Z197" s="445"/>
      <c r="AA197" s="445"/>
      <c r="AB197" s="445"/>
      <c r="AC197" s="445"/>
      <c r="AD197" s="445"/>
      <c r="AE197" s="445"/>
      <c r="AF197" s="445"/>
      <c r="AG197" s="445"/>
      <c r="AH197" s="445"/>
      <c r="AI197" s="445"/>
      <c r="AJ197" s="445"/>
      <c r="AK197" s="445"/>
      <c r="AL197" s="445"/>
      <c r="AM197" s="445"/>
      <c r="AN197" s="445"/>
      <c r="AO197" s="445"/>
      <c r="AP197" s="445"/>
      <c r="AQ197" s="445"/>
      <c r="AR197" s="445"/>
      <c r="AS197" s="445"/>
      <c r="AT197" s="445"/>
      <c r="AU197" s="445"/>
      <c r="AV197" s="445"/>
      <c r="AW197" s="445"/>
      <c r="AX197" s="445"/>
      <c r="AY197" s="433"/>
      <c r="AZ197" s="433"/>
      <c r="BA197" s="433"/>
      <c r="BB197" s="433"/>
      <c r="BC197" s="433"/>
      <c r="BD197" s="433"/>
      <c r="BE197" s="433"/>
      <c r="BF197" s="433"/>
      <c r="BG197" s="433"/>
      <c r="BH197" s="433"/>
      <c r="BI197" s="433"/>
      <c r="BJ197" s="433"/>
      <c r="BK197" s="433"/>
      <c r="BL197" s="433"/>
      <c r="BM197" s="433"/>
      <c r="BN197" s="433"/>
      <c r="BO197" s="433"/>
      <c r="BP197" s="433"/>
      <c r="BQ197" s="433"/>
      <c r="BR197" s="433"/>
      <c r="BS197" s="433"/>
      <c r="BT197" s="433"/>
    </row>
    <row r="198" spans="25:73" x14ac:dyDescent="0.2">
      <c r="Y198" s="439"/>
      <c r="Z198" s="439"/>
      <c r="AA198" s="439"/>
      <c r="AB198" s="439"/>
      <c r="AC198" s="439"/>
      <c r="AD198" s="439"/>
      <c r="AE198" s="439"/>
      <c r="AF198" s="439"/>
      <c r="AG198" s="439"/>
      <c r="AH198" s="439"/>
      <c r="AI198" s="439"/>
      <c r="AJ198" s="439"/>
      <c r="AK198" s="439"/>
      <c r="AL198" s="439"/>
      <c r="AM198" s="439"/>
      <c r="AN198" s="439"/>
      <c r="AO198" s="439"/>
      <c r="AP198" s="439"/>
      <c r="AQ198" s="439"/>
      <c r="AR198" s="439"/>
      <c r="AS198" s="439"/>
      <c r="AT198" s="439"/>
      <c r="AU198" s="439"/>
      <c r="AV198" s="439"/>
      <c r="AW198" s="439"/>
      <c r="AX198" s="439"/>
      <c r="AY198" s="433"/>
      <c r="AZ198" s="433"/>
      <c r="BA198" s="433"/>
      <c r="BB198" s="433"/>
      <c r="BC198" s="433"/>
      <c r="BD198" s="433"/>
      <c r="BE198" s="433"/>
      <c r="BF198" s="433"/>
      <c r="BG198" s="433"/>
      <c r="BH198" s="433"/>
      <c r="BI198" s="433"/>
      <c r="BJ198" s="433"/>
      <c r="BK198" s="433"/>
      <c r="BL198" s="433"/>
      <c r="BM198" s="433"/>
      <c r="BN198" s="433"/>
      <c r="BO198" s="433"/>
      <c r="BP198" s="433"/>
      <c r="BQ198" s="433"/>
      <c r="BR198" s="433"/>
      <c r="BS198" s="433"/>
      <c r="BT198" s="433"/>
    </row>
    <row r="199" spans="25:73" x14ac:dyDescent="0.2">
      <c r="Y199" s="445"/>
      <c r="Z199" s="445"/>
      <c r="AA199" s="445"/>
      <c r="AB199" s="445"/>
      <c r="AC199" s="445"/>
      <c r="AD199" s="445"/>
      <c r="AE199" s="445"/>
      <c r="AF199" s="445"/>
      <c r="AG199" s="445"/>
      <c r="AH199" s="445"/>
      <c r="AI199" s="445"/>
      <c r="AJ199" s="445"/>
      <c r="AK199" s="445"/>
      <c r="AL199" s="445"/>
      <c r="AM199" s="445"/>
      <c r="AN199" s="445"/>
      <c r="AO199" s="445"/>
      <c r="AP199" s="445"/>
      <c r="AQ199" s="445"/>
      <c r="AR199" s="445"/>
      <c r="AS199" s="445"/>
      <c r="AT199" s="445"/>
      <c r="AU199" s="445"/>
      <c r="AV199" s="445"/>
      <c r="AW199" s="445"/>
      <c r="AX199" s="445"/>
      <c r="AY199" s="433"/>
      <c r="AZ199" s="433"/>
      <c r="BA199" s="433"/>
      <c r="BB199" s="433"/>
      <c r="BC199" s="433"/>
      <c r="BD199" s="433"/>
      <c r="BE199" s="433"/>
      <c r="BF199" s="433"/>
      <c r="BG199" s="433"/>
      <c r="BH199" s="433"/>
      <c r="BI199" s="433"/>
      <c r="BJ199" s="433"/>
      <c r="BK199" s="433"/>
      <c r="BL199" s="433"/>
      <c r="BM199" s="433"/>
      <c r="BN199" s="433"/>
      <c r="BO199" s="433"/>
      <c r="BP199" s="433"/>
      <c r="BQ199" s="433"/>
      <c r="BR199" s="433"/>
      <c r="BS199" s="433"/>
      <c r="BT199" s="433"/>
    </row>
    <row r="200" spans="25:73" x14ac:dyDescent="0.2">
      <c r="Y200" s="445"/>
      <c r="Z200" s="445"/>
      <c r="AA200" s="445"/>
      <c r="AB200" s="445"/>
      <c r="AC200" s="445"/>
      <c r="AD200" s="445"/>
      <c r="AE200" s="445"/>
      <c r="AF200" s="445"/>
      <c r="AG200" s="445"/>
      <c r="AH200" s="445"/>
      <c r="AI200" s="445"/>
      <c r="AJ200" s="445"/>
      <c r="AK200" s="445"/>
      <c r="AL200" s="445"/>
      <c r="AM200" s="445"/>
      <c r="AN200" s="445"/>
      <c r="AO200" s="445"/>
      <c r="AP200" s="445"/>
      <c r="AQ200" s="445"/>
      <c r="AR200" s="445"/>
      <c r="AS200" s="445"/>
      <c r="AT200" s="445"/>
      <c r="AU200" s="445"/>
      <c r="AV200" s="445"/>
      <c r="AW200" s="445"/>
      <c r="AX200" s="445"/>
      <c r="AY200" s="433"/>
      <c r="AZ200" s="433"/>
      <c r="BA200" s="433"/>
      <c r="BB200" s="433"/>
      <c r="BC200" s="433"/>
      <c r="BD200" s="433"/>
      <c r="BE200" s="433"/>
      <c r="BF200" s="433"/>
      <c r="BG200" s="433"/>
      <c r="BH200" s="433"/>
      <c r="BI200" s="433"/>
      <c r="BJ200" s="433"/>
      <c r="BK200" s="433"/>
      <c r="BL200" s="433"/>
      <c r="BM200" s="433"/>
      <c r="BN200" s="433"/>
      <c r="BO200" s="433"/>
      <c r="BP200" s="433"/>
      <c r="BQ200" s="433"/>
      <c r="BR200" s="433"/>
      <c r="BS200" s="433"/>
      <c r="BT200" s="433"/>
    </row>
    <row r="201" spans="25:73" x14ac:dyDescent="0.2">
      <c r="Y201" s="445"/>
      <c r="Z201" s="445"/>
      <c r="AA201" s="445"/>
      <c r="AB201" s="445"/>
      <c r="AC201" s="445"/>
      <c r="AD201" s="445"/>
      <c r="AE201" s="445"/>
      <c r="AF201" s="445"/>
      <c r="AG201" s="445"/>
      <c r="AH201" s="445"/>
      <c r="AI201" s="445"/>
      <c r="AJ201" s="445"/>
      <c r="AK201" s="445"/>
      <c r="AL201" s="445"/>
      <c r="AM201" s="445"/>
      <c r="AN201" s="445"/>
      <c r="AO201" s="445"/>
      <c r="AP201" s="445"/>
      <c r="AQ201" s="445"/>
      <c r="AR201" s="445"/>
      <c r="AS201" s="445"/>
      <c r="AT201" s="445"/>
      <c r="AU201" s="445"/>
      <c r="AV201" s="445"/>
      <c r="AW201" s="445"/>
      <c r="AX201" s="445"/>
      <c r="AY201" s="433"/>
      <c r="AZ201" s="433"/>
      <c r="BA201" s="433"/>
      <c r="BB201" s="433"/>
      <c r="BC201" s="433"/>
      <c r="BD201" s="433"/>
      <c r="BE201" s="433"/>
      <c r="BF201" s="433"/>
      <c r="BG201" s="433"/>
      <c r="BH201" s="433"/>
      <c r="BI201" s="433"/>
      <c r="BJ201" s="433"/>
      <c r="BK201" s="433"/>
      <c r="BL201" s="433"/>
      <c r="BM201" s="433"/>
      <c r="BN201" s="433"/>
      <c r="BO201" s="433"/>
      <c r="BP201" s="433"/>
      <c r="BQ201" s="433"/>
      <c r="BR201" s="433"/>
      <c r="BS201" s="433"/>
      <c r="BT201" s="433"/>
    </row>
    <row r="202" spans="25:73" x14ac:dyDescent="0.2">
      <c r="Y202" s="440"/>
      <c r="Z202" s="440"/>
      <c r="AA202" s="440"/>
      <c r="AB202" s="440"/>
      <c r="AC202" s="440"/>
      <c r="AD202" s="440"/>
      <c r="AE202" s="440"/>
      <c r="AF202" s="440"/>
      <c r="AG202" s="440"/>
      <c r="AH202" s="440"/>
      <c r="AI202" s="440"/>
      <c r="AJ202" s="440"/>
      <c r="AK202" s="440"/>
      <c r="AL202" s="440"/>
      <c r="AM202" s="440"/>
      <c r="AN202" s="440"/>
      <c r="AO202" s="440"/>
      <c r="AP202" s="440"/>
      <c r="AQ202" s="440"/>
      <c r="AR202" s="440"/>
      <c r="AS202" s="440"/>
      <c r="AT202" s="440"/>
      <c r="AU202" s="440"/>
      <c r="AV202" s="440"/>
      <c r="AW202" s="440"/>
      <c r="AX202" s="440"/>
      <c r="AY202" s="433"/>
      <c r="AZ202" s="433"/>
      <c r="BA202" s="433"/>
      <c r="BB202" s="433"/>
      <c r="BC202" s="433"/>
      <c r="BD202" s="433"/>
      <c r="BE202" s="433"/>
      <c r="BF202" s="433"/>
      <c r="BG202" s="433"/>
      <c r="BH202" s="433"/>
      <c r="BI202" s="433"/>
      <c r="BJ202" s="433"/>
      <c r="BK202" s="433"/>
      <c r="BL202" s="433"/>
      <c r="BM202" s="433"/>
      <c r="BN202" s="433"/>
      <c r="BO202" s="433"/>
      <c r="BP202" s="433"/>
      <c r="BQ202" s="433"/>
      <c r="BR202" s="433"/>
      <c r="BS202" s="433"/>
      <c r="BT202" s="433"/>
    </row>
    <row r="203" spans="25:73" x14ac:dyDescent="0.2">
      <c r="Y203" s="445"/>
      <c r="Z203" s="445"/>
      <c r="AA203" s="445"/>
      <c r="AB203" s="445"/>
      <c r="AC203" s="445"/>
      <c r="AD203" s="445"/>
      <c r="AE203" s="445"/>
      <c r="AF203" s="445"/>
      <c r="AG203" s="445"/>
      <c r="AH203" s="445"/>
      <c r="AI203" s="445"/>
      <c r="AJ203" s="445"/>
      <c r="AK203" s="445"/>
      <c r="AL203" s="445"/>
      <c r="AM203" s="445"/>
      <c r="AN203" s="445"/>
      <c r="AO203" s="445"/>
      <c r="AP203" s="445"/>
      <c r="AQ203" s="445"/>
      <c r="AR203" s="445"/>
      <c r="AS203" s="445"/>
      <c r="AT203" s="445"/>
      <c r="AU203" s="445"/>
      <c r="AV203" s="445"/>
      <c r="AW203" s="445"/>
      <c r="AX203" s="445"/>
      <c r="AY203" s="433"/>
      <c r="AZ203" s="433"/>
      <c r="BA203" s="433"/>
      <c r="BB203" s="433"/>
      <c r="BC203" s="433"/>
      <c r="BD203" s="433"/>
      <c r="BE203" s="433"/>
      <c r="BF203" s="433"/>
      <c r="BG203" s="433"/>
      <c r="BH203" s="433"/>
      <c r="BI203" s="433"/>
      <c r="BJ203" s="433"/>
      <c r="BK203" s="433"/>
      <c r="BL203" s="433"/>
      <c r="BM203" s="433"/>
      <c r="BN203" s="433"/>
      <c r="BO203" s="433"/>
      <c r="BP203" s="433"/>
      <c r="BQ203" s="433"/>
      <c r="BR203" s="433"/>
      <c r="BS203" s="433"/>
      <c r="BT203" s="433"/>
    </row>
    <row r="204" spans="25:73" x14ac:dyDescent="0.2">
      <c r="Y204" s="433"/>
      <c r="Z204" s="433"/>
      <c r="AA204" s="433"/>
      <c r="AB204" s="433"/>
      <c r="AC204" s="433"/>
      <c r="AD204" s="433"/>
      <c r="AE204" s="433"/>
      <c r="AF204" s="433"/>
      <c r="AG204" s="433"/>
      <c r="AH204" s="433"/>
      <c r="AI204" s="433"/>
      <c r="AJ204" s="433"/>
      <c r="AK204" s="433"/>
      <c r="AL204" s="433"/>
      <c r="AM204" s="433"/>
      <c r="AN204" s="433"/>
      <c r="AO204" s="433"/>
      <c r="AP204" s="433"/>
      <c r="AQ204" s="433"/>
      <c r="AR204" s="433"/>
      <c r="AS204" s="433"/>
      <c r="AT204" s="433"/>
      <c r="AU204" s="433"/>
      <c r="AV204" s="433"/>
      <c r="AW204" s="433"/>
      <c r="AX204" s="433"/>
      <c r="AY204" s="433"/>
      <c r="AZ204" s="433"/>
      <c r="BA204" s="433"/>
      <c r="BB204" s="433"/>
      <c r="BC204" s="433"/>
      <c r="BD204" s="433"/>
      <c r="BE204" s="433"/>
      <c r="BF204" s="433"/>
      <c r="BG204" s="433"/>
      <c r="BH204" s="433"/>
      <c r="BI204" s="433"/>
      <c r="BJ204" s="433"/>
      <c r="BK204" s="433"/>
      <c r="BL204" s="433"/>
      <c r="BM204" s="433"/>
      <c r="BN204" s="433"/>
      <c r="BO204" s="433"/>
      <c r="BP204" s="433"/>
      <c r="BQ204" s="433"/>
      <c r="BR204" s="433"/>
      <c r="BS204" s="433"/>
      <c r="BT204" s="433"/>
    </row>
    <row r="205" spans="25:73" x14ac:dyDescent="0.2">
      <c r="Y205" s="449"/>
      <c r="Z205" s="449"/>
      <c r="AA205" s="449"/>
      <c r="AB205" s="449"/>
      <c r="AC205" s="449"/>
      <c r="AD205" s="449"/>
      <c r="AE205" s="449"/>
      <c r="AF205" s="449"/>
      <c r="AG205" s="449"/>
      <c r="AH205" s="449"/>
      <c r="AI205" s="449"/>
      <c r="AJ205" s="449"/>
      <c r="AK205" s="449"/>
      <c r="AL205" s="449"/>
      <c r="AM205" s="449"/>
      <c r="AN205" s="449"/>
      <c r="AO205" s="449"/>
      <c r="AP205" s="449"/>
      <c r="AQ205" s="449"/>
      <c r="AR205" s="449"/>
      <c r="AS205" s="449"/>
      <c r="AT205" s="449"/>
      <c r="AU205" s="449"/>
      <c r="AV205" s="449"/>
      <c r="AW205" s="449"/>
      <c r="AX205" s="449"/>
      <c r="AY205" s="449"/>
      <c r="AZ205" s="433"/>
      <c r="BA205" s="433"/>
      <c r="BB205" s="433"/>
      <c r="BC205" s="433"/>
      <c r="BD205" s="433"/>
      <c r="BE205" s="433"/>
      <c r="BF205" s="433"/>
      <c r="BG205" s="433"/>
      <c r="BH205" s="433"/>
      <c r="BI205" s="433"/>
      <c r="BJ205" s="433"/>
      <c r="BK205" s="433"/>
      <c r="BL205" s="433"/>
      <c r="BM205" s="433"/>
      <c r="BN205" s="433"/>
      <c r="BO205" s="433"/>
      <c r="BP205" s="433"/>
      <c r="BQ205" s="433"/>
      <c r="BR205" s="433"/>
      <c r="BS205" s="433"/>
      <c r="BT205" s="433"/>
      <c r="BU205" s="433"/>
    </row>
    <row r="206" spans="25:73" x14ac:dyDescent="0.2">
      <c r="Y206" s="439"/>
      <c r="Z206" s="439"/>
      <c r="AA206" s="439"/>
      <c r="AB206" s="439"/>
      <c r="AC206" s="439"/>
      <c r="AD206" s="439"/>
      <c r="AE206" s="439"/>
      <c r="AF206" s="439"/>
      <c r="AG206" s="439"/>
      <c r="AH206" s="439"/>
      <c r="AI206" s="439"/>
      <c r="AJ206" s="439"/>
      <c r="AK206" s="439"/>
      <c r="AL206" s="439"/>
      <c r="AM206" s="439"/>
      <c r="AN206" s="439"/>
      <c r="AO206" s="439"/>
      <c r="AP206" s="439"/>
      <c r="AQ206" s="439"/>
      <c r="AR206" s="439"/>
      <c r="AS206" s="439"/>
      <c r="AT206" s="439"/>
      <c r="AU206" s="439"/>
      <c r="AV206" s="439"/>
      <c r="AW206" s="439"/>
      <c r="AX206" s="439"/>
      <c r="AY206" s="439"/>
      <c r="AZ206" s="433"/>
      <c r="BA206" s="433"/>
      <c r="BB206" s="433"/>
      <c r="BC206" s="433"/>
      <c r="BD206" s="433"/>
      <c r="BE206" s="433"/>
      <c r="BF206" s="433"/>
      <c r="BG206" s="433"/>
      <c r="BH206" s="433"/>
      <c r="BI206" s="433"/>
      <c r="BJ206" s="433"/>
      <c r="BK206" s="433"/>
      <c r="BL206" s="433"/>
      <c r="BM206" s="433"/>
      <c r="BN206" s="433"/>
      <c r="BO206" s="433"/>
      <c r="BP206" s="433"/>
      <c r="BQ206" s="433"/>
      <c r="BR206" s="433"/>
      <c r="BS206" s="433"/>
      <c r="BT206" s="433"/>
      <c r="BU206" s="433"/>
    </row>
    <row r="207" spans="25:73" x14ac:dyDescent="0.2">
      <c r="Y207" s="439"/>
      <c r="Z207" s="439"/>
      <c r="AA207" s="439"/>
      <c r="AB207" s="439"/>
      <c r="AC207" s="439"/>
      <c r="AD207" s="439"/>
      <c r="AE207" s="439"/>
      <c r="AF207" s="439"/>
      <c r="AG207" s="439"/>
      <c r="AH207" s="439"/>
      <c r="AI207" s="439"/>
      <c r="AJ207" s="439"/>
      <c r="AK207" s="439"/>
      <c r="AL207" s="439"/>
      <c r="AM207" s="439"/>
      <c r="AN207" s="439"/>
      <c r="AO207" s="439"/>
      <c r="AP207" s="439"/>
      <c r="AQ207" s="439"/>
      <c r="AR207" s="439"/>
      <c r="AS207" s="439"/>
      <c r="AT207" s="439"/>
      <c r="AU207" s="439"/>
      <c r="AV207" s="439"/>
      <c r="AW207" s="439"/>
      <c r="AX207" s="439"/>
      <c r="AY207" s="439"/>
      <c r="AZ207" s="433"/>
      <c r="BA207" s="433"/>
      <c r="BB207" s="433"/>
      <c r="BC207" s="433"/>
      <c r="BD207" s="433"/>
      <c r="BE207" s="433"/>
      <c r="BF207" s="433"/>
      <c r="BG207" s="433"/>
      <c r="BH207" s="433"/>
      <c r="BI207" s="433"/>
      <c r="BJ207" s="433"/>
      <c r="BK207" s="433"/>
      <c r="BL207" s="433"/>
      <c r="BM207" s="433"/>
      <c r="BN207" s="433"/>
      <c r="BO207" s="433"/>
      <c r="BP207" s="433"/>
      <c r="BQ207" s="433"/>
      <c r="BR207" s="433"/>
      <c r="BS207" s="433"/>
      <c r="BT207" s="433"/>
      <c r="BU207" s="433"/>
    </row>
    <row r="208" spans="25:73" x14ac:dyDescent="0.2">
      <c r="Y208" s="439"/>
      <c r="Z208" s="439"/>
      <c r="AA208" s="439"/>
      <c r="AB208" s="439"/>
      <c r="AC208" s="439"/>
      <c r="AD208" s="439"/>
      <c r="AE208" s="439"/>
      <c r="AF208" s="439"/>
      <c r="AG208" s="439"/>
      <c r="AH208" s="439"/>
      <c r="AI208" s="439"/>
      <c r="AJ208" s="439"/>
      <c r="AK208" s="439"/>
      <c r="AL208" s="439"/>
      <c r="AM208" s="439"/>
      <c r="AN208" s="439"/>
      <c r="AO208" s="439"/>
      <c r="AP208" s="439"/>
      <c r="AQ208" s="439"/>
      <c r="AR208" s="439"/>
      <c r="AS208" s="439"/>
      <c r="AT208" s="439"/>
      <c r="AU208" s="439"/>
      <c r="AV208" s="439"/>
      <c r="AW208" s="439"/>
      <c r="AX208" s="439"/>
      <c r="AY208" s="439"/>
      <c r="AZ208" s="433"/>
      <c r="BA208" s="433"/>
      <c r="BB208" s="433"/>
      <c r="BC208" s="433"/>
      <c r="BD208" s="433"/>
      <c r="BE208" s="433"/>
      <c r="BF208" s="433"/>
      <c r="BG208" s="433"/>
      <c r="BH208" s="433"/>
      <c r="BI208" s="433"/>
      <c r="BJ208" s="433"/>
      <c r="BK208" s="433"/>
      <c r="BL208" s="433"/>
      <c r="BM208" s="433"/>
      <c r="BN208" s="433"/>
      <c r="BO208" s="433"/>
      <c r="BP208" s="433"/>
      <c r="BQ208" s="433"/>
      <c r="BR208" s="433"/>
      <c r="BS208" s="433"/>
      <c r="BT208" s="433"/>
      <c r="BU208" s="433"/>
    </row>
    <row r="209" spans="1:73" x14ac:dyDescent="0.2">
      <c r="Y209" s="439"/>
      <c r="Z209" s="439"/>
      <c r="AA209" s="439"/>
      <c r="AB209" s="439"/>
      <c r="AC209" s="439"/>
      <c r="AD209" s="439"/>
      <c r="AE209" s="439"/>
      <c r="AF209" s="439"/>
      <c r="AG209" s="439"/>
      <c r="AH209" s="439"/>
      <c r="AI209" s="439"/>
      <c r="AJ209" s="439"/>
      <c r="AK209" s="439"/>
      <c r="AL209" s="439"/>
      <c r="AM209" s="439"/>
      <c r="AN209" s="439"/>
      <c r="AO209" s="439"/>
      <c r="AP209" s="439"/>
      <c r="AQ209" s="439"/>
      <c r="AR209" s="439"/>
      <c r="AS209" s="439"/>
      <c r="AT209" s="439"/>
      <c r="AU209" s="439"/>
      <c r="AV209" s="439"/>
      <c r="AW209" s="439"/>
      <c r="AX209" s="439"/>
      <c r="AY209" s="439"/>
      <c r="AZ209" s="433"/>
      <c r="BA209" s="433"/>
      <c r="BB209" s="433"/>
      <c r="BC209" s="433"/>
      <c r="BD209" s="433"/>
      <c r="BE209" s="433"/>
      <c r="BF209" s="433"/>
      <c r="BG209" s="433"/>
      <c r="BH209" s="433"/>
      <c r="BI209" s="433"/>
      <c r="BJ209" s="433"/>
      <c r="BK209" s="433"/>
      <c r="BL209" s="433"/>
      <c r="BM209" s="433"/>
      <c r="BN209" s="433"/>
      <c r="BO209" s="433"/>
      <c r="BP209" s="433"/>
      <c r="BQ209" s="433"/>
      <c r="BR209" s="433"/>
      <c r="BS209" s="433"/>
      <c r="BT209" s="433"/>
      <c r="BU209" s="433"/>
    </row>
    <row r="210" spans="1:73" x14ac:dyDescent="0.2">
      <c r="Y210" s="433"/>
      <c r="Z210" s="433"/>
      <c r="AA210" s="433"/>
      <c r="AB210" s="433"/>
      <c r="AC210" s="433"/>
      <c r="AD210" s="433"/>
      <c r="AE210" s="433"/>
      <c r="AF210" s="433"/>
      <c r="AG210" s="433"/>
      <c r="AH210" s="433"/>
      <c r="AI210" s="433"/>
      <c r="AJ210" s="433"/>
      <c r="AK210" s="433"/>
      <c r="AL210" s="433"/>
      <c r="AM210" s="433"/>
      <c r="AN210" s="433"/>
      <c r="AO210" s="433"/>
      <c r="AP210" s="433"/>
      <c r="AQ210" s="433"/>
      <c r="AR210" s="433"/>
      <c r="AS210" s="433"/>
      <c r="AT210" s="433"/>
      <c r="AU210" s="433"/>
      <c r="AV210" s="433"/>
      <c r="AW210" s="433"/>
      <c r="AX210" s="433"/>
      <c r="AY210" s="433"/>
      <c r="AZ210" s="433"/>
      <c r="BA210" s="433"/>
      <c r="BB210" s="433"/>
      <c r="BC210" s="433"/>
      <c r="BD210" s="433"/>
      <c r="BE210" s="433"/>
      <c r="BF210" s="433"/>
      <c r="BG210" s="433"/>
      <c r="BH210" s="433"/>
      <c r="BI210" s="433"/>
      <c r="BJ210" s="433"/>
      <c r="BK210" s="433"/>
      <c r="BL210" s="433"/>
      <c r="BM210" s="433"/>
      <c r="BN210" s="433"/>
      <c r="BO210" s="433"/>
      <c r="BP210" s="433"/>
      <c r="BQ210" s="433"/>
      <c r="BR210" s="439"/>
      <c r="BS210" s="433"/>
      <c r="BT210" s="433"/>
      <c r="BU210" s="433"/>
    </row>
    <row r="211" spans="1:73" x14ac:dyDescent="0.2">
      <c r="A211" s="433"/>
      <c r="B211" s="433"/>
      <c r="C211" s="433"/>
      <c r="D211" s="433"/>
      <c r="E211" s="433"/>
      <c r="F211" s="433"/>
      <c r="G211" s="433"/>
      <c r="H211" s="433"/>
      <c r="I211" s="433"/>
      <c r="J211" s="433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  <c r="AB211" s="433"/>
      <c r="AC211" s="433"/>
      <c r="AD211" s="433"/>
      <c r="AE211" s="433"/>
      <c r="AF211" s="433"/>
      <c r="AG211" s="433"/>
      <c r="AH211" s="433"/>
      <c r="AI211" s="433"/>
      <c r="AJ211" s="433"/>
      <c r="AK211" s="433"/>
      <c r="AL211" s="433"/>
      <c r="AM211" s="433"/>
      <c r="AN211" s="433"/>
      <c r="AO211" s="433"/>
      <c r="AP211" s="433"/>
      <c r="AQ211" s="433"/>
      <c r="AR211" s="433"/>
      <c r="AS211" s="433"/>
      <c r="AT211" s="433"/>
      <c r="AU211" s="433"/>
      <c r="AV211" s="433"/>
      <c r="AW211" s="433"/>
      <c r="AX211" s="433"/>
      <c r="AY211" s="433"/>
      <c r="AZ211" s="433"/>
      <c r="BA211" s="433"/>
      <c r="BB211" s="433"/>
      <c r="BC211" s="433"/>
      <c r="BD211" s="433"/>
      <c r="BE211" s="433"/>
      <c r="BF211" s="433"/>
      <c r="BG211" s="433"/>
      <c r="BH211" s="433"/>
      <c r="BI211" s="433"/>
      <c r="BJ211" s="433"/>
      <c r="BK211" s="433"/>
      <c r="BL211" s="433"/>
      <c r="BM211" s="433"/>
      <c r="BN211" s="433"/>
      <c r="BO211" s="433"/>
      <c r="BP211" s="433"/>
      <c r="BQ211" s="433"/>
      <c r="BR211" s="439"/>
      <c r="BS211" s="433"/>
      <c r="BT211" s="433"/>
      <c r="BU211" s="433"/>
    </row>
    <row r="212" spans="1:73" x14ac:dyDescent="0.2">
      <c r="AE212" s="433"/>
      <c r="AF212" s="433"/>
      <c r="AG212" s="433"/>
      <c r="AH212" s="433"/>
      <c r="AI212" s="433"/>
      <c r="AJ212" s="433"/>
      <c r="AK212" s="433"/>
      <c r="AL212" s="433"/>
      <c r="AM212" s="433"/>
      <c r="AN212" s="433"/>
      <c r="AO212" s="433"/>
      <c r="AP212" s="433"/>
      <c r="AQ212" s="433"/>
      <c r="AR212" s="433"/>
      <c r="AS212" s="433"/>
      <c r="AT212" s="433"/>
      <c r="AU212" s="433"/>
      <c r="AV212" s="433"/>
      <c r="AW212" s="433"/>
      <c r="AX212" s="433"/>
      <c r="AY212" s="433"/>
      <c r="AZ212" s="433"/>
      <c r="BA212" s="433"/>
      <c r="BB212" s="433"/>
      <c r="BC212" s="433"/>
      <c r="BD212" s="433"/>
      <c r="BE212" s="433"/>
      <c r="BF212" s="433"/>
      <c r="BG212" s="433"/>
      <c r="BH212" s="433"/>
      <c r="BI212" s="433"/>
      <c r="BJ212" s="433"/>
      <c r="BK212" s="433"/>
      <c r="BL212" s="433"/>
      <c r="BM212" s="433"/>
      <c r="BN212" s="433"/>
      <c r="BO212" s="433"/>
      <c r="BP212" s="433"/>
      <c r="BQ212" s="433"/>
      <c r="BR212" s="439"/>
      <c r="BS212" s="433"/>
      <c r="BT212" s="433"/>
      <c r="BU212" s="433"/>
    </row>
    <row r="213" spans="1:73" x14ac:dyDescent="0.2">
      <c r="AE213" s="433"/>
      <c r="AF213" s="433"/>
      <c r="AG213" s="433"/>
      <c r="AH213" s="433"/>
      <c r="AI213" s="433"/>
      <c r="AJ213" s="433"/>
      <c r="AK213" s="433"/>
      <c r="AL213" s="433"/>
      <c r="AM213" s="433"/>
      <c r="AN213" s="433"/>
      <c r="AO213" s="433"/>
      <c r="AP213" s="433"/>
      <c r="AQ213" s="433"/>
      <c r="AR213" s="433"/>
      <c r="AS213" s="433"/>
      <c r="AT213" s="433"/>
      <c r="AU213" s="433"/>
      <c r="AV213" s="433"/>
      <c r="AW213" s="433"/>
      <c r="AX213" s="433"/>
      <c r="AY213" s="433"/>
      <c r="AZ213" s="433"/>
      <c r="BA213" s="433"/>
      <c r="BB213" s="433"/>
      <c r="BC213" s="433"/>
      <c r="BD213" s="433"/>
      <c r="BE213" s="433"/>
      <c r="BF213" s="433"/>
      <c r="BG213" s="433"/>
      <c r="BH213" s="433"/>
      <c r="BI213" s="433"/>
      <c r="BJ213" s="433"/>
      <c r="BK213" s="433"/>
      <c r="BL213" s="433"/>
      <c r="BM213" s="433"/>
      <c r="BN213" s="433"/>
      <c r="BO213" s="433"/>
      <c r="BP213" s="433"/>
      <c r="BQ213" s="433"/>
      <c r="BR213" s="439"/>
      <c r="BS213" s="433"/>
      <c r="BT213" s="433"/>
      <c r="BU213" s="433"/>
    </row>
    <row r="214" spans="1:73" x14ac:dyDescent="0.2">
      <c r="AE214" s="433"/>
      <c r="AF214" s="433"/>
      <c r="AG214" s="433"/>
      <c r="AH214" s="433"/>
      <c r="AI214" s="433"/>
      <c r="AJ214" s="433"/>
      <c r="AK214" s="433"/>
      <c r="AL214" s="433"/>
      <c r="AM214" s="433"/>
      <c r="AN214" s="433"/>
      <c r="AO214" s="433"/>
      <c r="AP214" s="433"/>
      <c r="AQ214" s="433"/>
      <c r="AR214" s="433"/>
      <c r="AS214" s="433"/>
      <c r="AT214" s="433"/>
      <c r="AU214" s="433"/>
      <c r="AV214" s="433"/>
      <c r="AW214" s="433"/>
      <c r="AX214" s="433"/>
      <c r="AY214" s="433"/>
      <c r="AZ214" s="433"/>
      <c r="BA214" s="433"/>
      <c r="BB214" s="433"/>
      <c r="BC214" s="433"/>
      <c r="BD214" s="433"/>
      <c r="BE214" s="433"/>
      <c r="BF214" s="433"/>
      <c r="BG214" s="433"/>
      <c r="BH214" s="433"/>
      <c r="BI214" s="433"/>
      <c r="BJ214" s="433"/>
      <c r="BK214" s="433"/>
      <c r="BL214" s="433"/>
      <c r="BM214" s="433"/>
      <c r="BN214" s="433"/>
      <c r="BO214" s="433"/>
      <c r="BP214" s="433"/>
      <c r="BQ214" s="433"/>
      <c r="BR214" s="433"/>
      <c r="BS214" s="433"/>
      <c r="BT214" s="433"/>
      <c r="BU214" s="433"/>
    </row>
    <row r="215" spans="1:73" x14ac:dyDescent="0.2">
      <c r="AE215" s="433"/>
      <c r="AF215" s="433"/>
      <c r="AG215" s="433"/>
      <c r="AH215" s="433"/>
      <c r="AI215" s="433"/>
      <c r="AJ215" s="433"/>
      <c r="AK215" s="433"/>
      <c r="AL215" s="433"/>
      <c r="AM215" s="433"/>
      <c r="AN215" s="433"/>
      <c r="AO215" s="433"/>
      <c r="AP215" s="433"/>
      <c r="AQ215" s="433"/>
      <c r="AR215" s="433"/>
      <c r="AS215" s="433"/>
      <c r="AT215" s="433"/>
      <c r="AU215" s="433"/>
      <c r="AV215" s="433"/>
      <c r="AW215" s="433"/>
      <c r="AX215" s="433"/>
      <c r="AY215" s="433"/>
      <c r="AZ215" s="433"/>
      <c r="BA215" s="433"/>
      <c r="BB215" s="433"/>
      <c r="BC215" s="433"/>
      <c r="BD215" s="433"/>
      <c r="BE215" s="433"/>
      <c r="BF215" s="433"/>
      <c r="BG215" s="433"/>
      <c r="BH215" s="433"/>
      <c r="BI215" s="433"/>
      <c r="BJ215" s="433"/>
      <c r="BK215" s="433"/>
      <c r="BL215" s="433"/>
      <c r="BM215" s="433"/>
      <c r="BN215" s="433"/>
      <c r="BO215" s="433"/>
      <c r="BP215" s="433"/>
      <c r="BQ215" s="433"/>
      <c r="BR215" s="433"/>
      <c r="BS215" s="433"/>
      <c r="BT215" s="433"/>
      <c r="BU215" s="433"/>
    </row>
    <row r="216" spans="1:73" x14ac:dyDescent="0.2">
      <c r="AE216" s="433"/>
      <c r="AF216" s="433"/>
      <c r="AG216" s="433"/>
      <c r="AH216" s="433"/>
      <c r="AI216" s="433"/>
      <c r="AJ216" s="433"/>
      <c r="AK216" s="433"/>
      <c r="AL216" s="433"/>
      <c r="AM216" s="433"/>
      <c r="AN216" s="433"/>
      <c r="AO216" s="433"/>
      <c r="AP216" s="433"/>
      <c r="AQ216" s="433"/>
      <c r="AR216" s="433"/>
      <c r="AS216" s="433"/>
      <c r="AT216" s="433"/>
      <c r="AU216" s="433"/>
      <c r="AV216" s="433"/>
      <c r="AW216" s="433"/>
      <c r="AX216" s="433"/>
      <c r="AY216" s="433"/>
      <c r="AZ216" s="433"/>
      <c r="BA216" s="433"/>
      <c r="BB216" s="433"/>
      <c r="BC216" s="433"/>
      <c r="BD216" s="433"/>
      <c r="BE216" s="433"/>
      <c r="BF216" s="433"/>
      <c r="BG216" s="433"/>
      <c r="BH216" s="433"/>
      <c r="BI216" s="433"/>
      <c r="BJ216" s="433"/>
      <c r="BK216" s="433"/>
      <c r="BL216" s="433"/>
      <c r="BM216" s="433"/>
      <c r="BN216" s="433"/>
      <c r="BO216" s="433"/>
      <c r="BP216" s="433"/>
      <c r="BQ216" s="433"/>
      <c r="BR216" s="433"/>
      <c r="BS216" s="433"/>
      <c r="BT216" s="433"/>
      <c r="BU216" s="433"/>
    </row>
    <row r="217" spans="1:73" x14ac:dyDescent="0.2">
      <c r="AE217" s="433"/>
      <c r="AF217" s="433"/>
      <c r="AG217" s="433"/>
      <c r="AH217" s="433"/>
      <c r="AI217" s="433"/>
      <c r="AJ217" s="433"/>
      <c r="AK217" s="433"/>
      <c r="AL217" s="433"/>
      <c r="AM217" s="433"/>
      <c r="AN217" s="433"/>
      <c r="AO217" s="433"/>
      <c r="AP217" s="433"/>
      <c r="AQ217" s="433"/>
      <c r="AR217" s="433"/>
      <c r="AS217" s="433"/>
      <c r="AT217" s="433"/>
      <c r="AU217" s="433"/>
      <c r="AV217" s="433"/>
      <c r="AW217" s="433"/>
      <c r="AX217" s="433"/>
      <c r="AY217" s="433"/>
      <c r="AZ217" s="433"/>
      <c r="BA217" s="433"/>
      <c r="BB217" s="433"/>
      <c r="BC217" s="433"/>
      <c r="BD217" s="433"/>
      <c r="BE217" s="433"/>
      <c r="BF217" s="433"/>
      <c r="BG217" s="433"/>
      <c r="BH217" s="433"/>
      <c r="BI217" s="433"/>
      <c r="BJ217" s="433"/>
      <c r="BK217" s="433"/>
      <c r="BL217" s="433"/>
      <c r="BM217" s="433"/>
      <c r="BN217" s="433"/>
      <c r="BO217" s="433"/>
      <c r="BP217" s="433"/>
      <c r="BQ217" s="433"/>
      <c r="BR217" s="433"/>
      <c r="BS217" s="433"/>
      <c r="BT217" s="433"/>
      <c r="BU217" s="433"/>
    </row>
    <row r="218" spans="1:73" x14ac:dyDescent="0.2">
      <c r="AE218" s="433"/>
      <c r="AF218" s="433"/>
      <c r="AG218" s="433"/>
      <c r="AH218" s="433"/>
      <c r="AI218" s="433"/>
      <c r="AJ218" s="433"/>
      <c r="AK218" s="433"/>
      <c r="AL218" s="433"/>
      <c r="AM218" s="433"/>
      <c r="AN218" s="433"/>
      <c r="AO218" s="433"/>
      <c r="AP218" s="433"/>
      <c r="AQ218" s="433"/>
      <c r="AR218" s="433"/>
      <c r="AS218" s="433"/>
      <c r="AT218" s="433"/>
      <c r="AU218" s="433"/>
      <c r="AV218" s="433"/>
      <c r="AW218" s="433"/>
      <c r="AX218" s="433"/>
      <c r="AY218" s="433"/>
      <c r="AZ218" s="433"/>
      <c r="BA218" s="433"/>
      <c r="BB218" s="433"/>
      <c r="BC218" s="433"/>
      <c r="BD218" s="433"/>
      <c r="BE218" s="433"/>
      <c r="BF218" s="433"/>
      <c r="BG218" s="433"/>
      <c r="BH218" s="433"/>
      <c r="BI218" s="433"/>
      <c r="BJ218" s="433"/>
      <c r="BK218" s="433"/>
      <c r="BL218" s="433"/>
      <c r="BM218" s="433"/>
      <c r="BN218" s="433"/>
      <c r="BO218" s="433"/>
      <c r="BP218" s="433"/>
      <c r="BQ218" s="433"/>
      <c r="BR218" s="433"/>
      <c r="BS218" s="433"/>
      <c r="BT218" s="433"/>
      <c r="BU218" s="433"/>
    </row>
    <row r="219" spans="1:73" x14ac:dyDescent="0.2">
      <c r="AE219" s="433"/>
      <c r="AF219" s="433"/>
      <c r="AG219" s="433"/>
      <c r="AH219" s="433"/>
      <c r="AI219" s="433"/>
      <c r="AJ219" s="433"/>
      <c r="AK219" s="433"/>
      <c r="AL219" s="433"/>
      <c r="AM219" s="433"/>
      <c r="AN219" s="433"/>
      <c r="AO219" s="433"/>
      <c r="AP219" s="433"/>
      <c r="AQ219" s="433"/>
      <c r="AR219" s="433"/>
      <c r="AS219" s="433"/>
      <c r="AT219" s="433"/>
      <c r="AU219" s="433"/>
      <c r="AV219" s="433"/>
      <c r="AW219" s="433"/>
      <c r="AX219" s="433"/>
      <c r="AY219" s="433"/>
      <c r="AZ219" s="433"/>
      <c r="BA219" s="433"/>
      <c r="BB219" s="433"/>
      <c r="BC219" s="433"/>
      <c r="BD219" s="433"/>
      <c r="BE219" s="433"/>
      <c r="BF219" s="433"/>
      <c r="BG219" s="433"/>
      <c r="BH219" s="433"/>
      <c r="BI219" s="433"/>
      <c r="BJ219" s="433"/>
      <c r="BK219" s="433"/>
      <c r="BL219" s="433"/>
      <c r="BM219" s="433"/>
      <c r="BN219" s="433"/>
      <c r="BO219" s="433"/>
      <c r="BP219" s="433"/>
      <c r="BQ219" s="433"/>
      <c r="BR219" s="433"/>
      <c r="BS219" s="433"/>
      <c r="BT219" s="433"/>
      <c r="BU219" s="433"/>
    </row>
    <row r="220" spans="1:73" x14ac:dyDescent="0.2">
      <c r="AE220" s="433"/>
      <c r="AF220" s="433"/>
      <c r="AG220" s="433"/>
      <c r="AH220" s="433"/>
      <c r="AI220" s="433"/>
      <c r="AJ220" s="433"/>
      <c r="AK220" s="433"/>
      <c r="AL220" s="433"/>
      <c r="AM220" s="433"/>
      <c r="AN220" s="433"/>
      <c r="AO220" s="433"/>
      <c r="AP220" s="433"/>
      <c r="AQ220" s="433"/>
      <c r="AR220" s="433"/>
      <c r="AS220" s="433"/>
      <c r="AT220" s="433"/>
      <c r="AU220" s="433"/>
      <c r="AV220" s="433"/>
      <c r="AW220" s="433"/>
      <c r="AX220" s="433"/>
      <c r="AY220" s="433"/>
      <c r="AZ220" s="433"/>
      <c r="BA220" s="433"/>
      <c r="BB220" s="433"/>
      <c r="BC220" s="433"/>
      <c r="BD220" s="433"/>
      <c r="BE220" s="433"/>
      <c r="BF220" s="433"/>
      <c r="BG220" s="433"/>
      <c r="BH220" s="433"/>
      <c r="BI220" s="433"/>
      <c r="BJ220" s="433"/>
      <c r="BK220" s="433"/>
      <c r="BL220" s="433"/>
      <c r="BM220" s="433"/>
      <c r="BN220" s="433"/>
      <c r="BO220" s="433"/>
      <c r="BP220" s="433"/>
      <c r="BQ220" s="433"/>
      <c r="BR220" s="433"/>
      <c r="BS220" s="433"/>
      <c r="BT220" s="433"/>
      <c r="BU220" s="433"/>
    </row>
    <row r="221" spans="1:73" x14ac:dyDescent="0.2">
      <c r="AE221" s="433"/>
      <c r="AF221" s="433"/>
      <c r="AG221" s="433"/>
      <c r="AH221" s="433"/>
      <c r="AI221" s="433"/>
      <c r="AJ221" s="433"/>
      <c r="AK221" s="433"/>
      <c r="AL221" s="433"/>
      <c r="AM221" s="433"/>
      <c r="AN221" s="433"/>
      <c r="AO221" s="433"/>
      <c r="AP221" s="433"/>
      <c r="AQ221" s="433"/>
      <c r="AR221" s="433"/>
      <c r="AS221" s="433"/>
      <c r="AT221" s="433"/>
      <c r="AU221" s="433"/>
      <c r="AV221" s="433"/>
      <c r="AW221" s="433"/>
      <c r="AX221" s="433"/>
      <c r="AY221" s="433"/>
      <c r="AZ221" s="433"/>
      <c r="BA221" s="433"/>
      <c r="BB221" s="433"/>
      <c r="BC221" s="433"/>
      <c r="BD221" s="433"/>
      <c r="BE221" s="433"/>
      <c r="BF221" s="433"/>
      <c r="BG221" s="433"/>
      <c r="BH221" s="433"/>
      <c r="BI221" s="433"/>
      <c r="BJ221" s="433"/>
      <c r="BK221" s="433"/>
      <c r="BL221" s="433"/>
      <c r="BM221" s="433"/>
      <c r="BN221" s="433"/>
      <c r="BO221" s="433"/>
      <c r="BP221" s="433"/>
      <c r="BQ221" s="433"/>
      <c r="BR221" s="433"/>
      <c r="BS221" s="433"/>
      <c r="BT221" s="433"/>
      <c r="BU221" s="433"/>
    </row>
    <row r="222" spans="1:73" x14ac:dyDescent="0.2">
      <c r="AE222" s="433"/>
      <c r="AF222" s="433"/>
      <c r="AG222" s="433"/>
      <c r="AH222" s="433"/>
      <c r="AI222" s="433"/>
      <c r="AJ222" s="433"/>
      <c r="AK222" s="433"/>
      <c r="AL222" s="433"/>
      <c r="AM222" s="433"/>
      <c r="AN222" s="433"/>
      <c r="AO222" s="433"/>
      <c r="AP222" s="433"/>
      <c r="AQ222" s="433"/>
      <c r="AR222" s="433"/>
      <c r="AS222" s="433"/>
      <c r="AT222" s="433"/>
      <c r="AU222" s="433"/>
      <c r="AV222" s="433"/>
      <c r="AW222" s="433"/>
      <c r="AX222" s="433"/>
      <c r="AY222" s="433"/>
      <c r="AZ222" s="433"/>
      <c r="BA222" s="433"/>
      <c r="BB222" s="433"/>
      <c r="BC222" s="433"/>
      <c r="BD222" s="433"/>
      <c r="BE222" s="433"/>
      <c r="BF222" s="433"/>
      <c r="BG222" s="433"/>
      <c r="BH222" s="433"/>
      <c r="BI222" s="433"/>
      <c r="BJ222" s="433"/>
      <c r="BK222" s="433"/>
      <c r="BL222" s="433"/>
      <c r="BM222" s="433"/>
      <c r="BN222" s="433"/>
      <c r="BO222" s="433"/>
      <c r="BP222" s="433"/>
      <c r="BQ222" s="433"/>
      <c r="BR222" s="433"/>
      <c r="BS222" s="433"/>
      <c r="BT222" s="433"/>
      <c r="BU222" s="433"/>
    </row>
    <row r="223" spans="1:73" x14ac:dyDescent="0.2">
      <c r="AE223" s="433"/>
      <c r="AF223" s="433"/>
      <c r="AG223" s="433"/>
      <c r="AH223" s="433"/>
      <c r="AI223" s="433"/>
      <c r="AJ223" s="433"/>
      <c r="AK223" s="433"/>
      <c r="AL223" s="433"/>
      <c r="AM223" s="433"/>
      <c r="AN223" s="433"/>
      <c r="AO223" s="433"/>
      <c r="AP223" s="433"/>
      <c r="AQ223" s="433"/>
      <c r="AR223" s="433"/>
      <c r="AS223" s="433"/>
      <c r="AT223" s="433"/>
      <c r="AU223" s="433"/>
      <c r="AV223" s="433"/>
      <c r="AW223" s="433"/>
      <c r="AX223" s="433"/>
      <c r="AY223" s="433"/>
      <c r="AZ223" s="433"/>
      <c r="BA223" s="433"/>
      <c r="BB223" s="433"/>
      <c r="BC223" s="433"/>
      <c r="BD223" s="433"/>
      <c r="BE223" s="433"/>
      <c r="BF223" s="433"/>
      <c r="BG223" s="433"/>
      <c r="BH223" s="433"/>
      <c r="BI223" s="433"/>
      <c r="BJ223" s="433"/>
      <c r="BK223" s="433"/>
      <c r="BL223" s="433"/>
      <c r="BM223" s="433"/>
      <c r="BN223" s="433"/>
      <c r="BO223" s="433"/>
      <c r="BP223" s="433"/>
      <c r="BQ223" s="433"/>
      <c r="BR223" s="433"/>
      <c r="BS223" s="433"/>
      <c r="BT223" s="433"/>
      <c r="BU223" s="433"/>
    </row>
    <row r="224" spans="1:73" s="359" customFormat="1" x14ac:dyDescent="0.2">
      <c r="AE224" s="440"/>
      <c r="AF224" s="440"/>
      <c r="AG224" s="440"/>
      <c r="AH224" s="440"/>
      <c r="AI224" s="440"/>
      <c r="AJ224" s="440"/>
      <c r="AK224" s="440"/>
      <c r="AL224" s="440"/>
      <c r="AM224" s="440"/>
      <c r="AN224" s="440"/>
      <c r="AO224" s="440"/>
      <c r="AP224" s="440"/>
      <c r="AQ224" s="440"/>
      <c r="AR224" s="440"/>
      <c r="AS224" s="440"/>
      <c r="AT224" s="440"/>
      <c r="AU224" s="440"/>
      <c r="AV224" s="440"/>
      <c r="AW224" s="440"/>
      <c r="AX224" s="440"/>
      <c r="AY224" s="440"/>
      <c r="AZ224" s="440"/>
      <c r="BA224" s="440"/>
      <c r="BB224" s="440"/>
      <c r="BC224" s="440"/>
      <c r="BD224" s="440"/>
      <c r="BE224" s="440"/>
      <c r="BF224" s="440"/>
      <c r="BG224" s="440"/>
      <c r="BH224" s="440"/>
      <c r="BI224" s="440"/>
      <c r="BJ224" s="440"/>
      <c r="BK224" s="440"/>
      <c r="BL224" s="440"/>
      <c r="BM224" s="440"/>
      <c r="BN224" s="440"/>
      <c r="BO224" s="440"/>
      <c r="BP224" s="440"/>
      <c r="BQ224" s="440"/>
      <c r="BR224" s="440"/>
      <c r="BS224" s="440"/>
      <c r="BT224" s="440"/>
      <c r="BU224" s="440"/>
    </row>
    <row r="225" spans="31:73" x14ac:dyDescent="0.2">
      <c r="AE225" s="433"/>
      <c r="AF225" s="433"/>
      <c r="AG225" s="433"/>
      <c r="AH225" s="433"/>
      <c r="AI225" s="433"/>
      <c r="AJ225" s="433"/>
      <c r="AK225" s="433"/>
      <c r="AL225" s="433"/>
      <c r="AM225" s="433"/>
      <c r="AN225" s="433"/>
      <c r="AO225" s="433"/>
      <c r="AP225" s="433"/>
      <c r="AQ225" s="433"/>
      <c r="AR225" s="433"/>
      <c r="AS225" s="433"/>
      <c r="AT225" s="433"/>
      <c r="AU225" s="433"/>
      <c r="AV225" s="433"/>
      <c r="AW225" s="433"/>
      <c r="AX225" s="433"/>
      <c r="AY225" s="433"/>
      <c r="AZ225" s="433"/>
      <c r="BA225" s="433"/>
      <c r="BB225" s="433"/>
      <c r="BC225" s="433"/>
      <c r="BD225" s="433"/>
      <c r="BE225" s="433"/>
      <c r="BF225" s="433"/>
      <c r="BG225" s="433"/>
      <c r="BH225" s="433"/>
      <c r="BI225" s="433"/>
      <c r="BJ225" s="433"/>
      <c r="BK225" s="433"/>
      <c r="BL225" s="433"/>
      <c r="BM225" s="433"/>
      <c r="BN225" s="433"/>
      <c r="BO225" s="433"/>
      <c r="BP225" s="433"/>
      <c r="BQ225" s="433"/>
      <c r="BR225" s="433"/>
      <c r="BS225" s="433"/>
      <c r="BT225" s="433"/>
      <c r="BU225" s="433"/>
    </row>
    <row r="226" spans="31:73" x14ac:dyDescent="0.2">
      <c r="AE226" s="433"/>
      <c r="AF226" s="433"/>
      <c r="AG226" s="433"/>
      <c r="AH226" s="433"/>
      <c r="AI226" s="433"/>
      <c r="AJ226" s="433"/>
      <c r="AK226" s="433"/>
      <c r="AL226" s="433"/>
      <c r="AM226" s="433"/>
      <c r="AN226" s="433"/>
      <c r="AO226" s="433"/>
      <c r="AP226" s="433"/>
      <c r="AQ226" s="433"/>
      <c r="AR226" s="433"/>
      <c r="AS226" s="433"/>
      <c r="AT226" s="433"/>
      <c r="AU226" s="433"/>
      <c r="AV226" s="433"/>
      <c r="AW226" s="433"/>
      <c r="AX226" s="433"/>
      <c r="AY226" s="433"/>
      <c r="AZ226" s="433"/>
      <c r="BA226" s="433"/>
      <c r="BB226" s="433"/>
      <c r="BC226" s="433"/>
      <c r="BD226" s="433"/>
      <c r="BE226" s="433"/>
      <c r="BF226" s="433"/>
      <c r="BG226" s="433"/>
      <c r="BH226" s="433"/>
      <c r="BI226" s="433"/>
      <c r="BJ226" s="433"/>
      <c r="BK226" s="433"/>
      <c r="BL226" s="433"/>
      <c r="BM226" s="433"/>
      <c r="BN226" s="433"/>
      <c r="BO226" s="433"/>
      <c r="BP226" s="433"/>
      <c r="BQ226" s="433"/>
      <c r="BR226" s="433"/>
      <c r="BS226" s="433"/>
      <c r="BT226" s="433"/>
      <c r="BU226" s="433"/>
    </row>
    <row r="227" spans="31:73" x14ac:dyDescent="0.2">
      <c r="AE227" s="433"/>
      <c r="AF227" s="433"/>
      <c r="AG227" s="433"/>
      <c r="AH227" s="433"/>
      <c r="AI227" s="433"/>
      <c r="AJ227" s="433"/>
      <c r="AK227" s="433"/>
      <c r="AL227" s="433"/>
      <c r="AM227" s="433"/>
      <c r="AN227" s="433"/>
      <c r="AO227" s="433"/>
      <c r="AP227" s="433"/>
      <c r="AQ227" s="433"/>
      <c r="AR227" s="433"/>
      <c r="AS227" s="433"/>
      <c r="AT227" s="433"/>
      <c r="AU227" s="433"/>
      <c r="AV227" s="433"/>
      <c r="AW227" s="433"/>
      <c r="AX227" s="433"/>
      <c r="AY227" s="433"/>
      <c r="AZ227" s="433"/>
      <c r="BA227" s="433"/>
      <c r="BB227" s="433"/>
      <c r="BC227" s="433"/>
      <c r="BD227" s="433"/>
      <c r="BE227" s="433"/>
      <c r="BF227" s="433"/>
      <c r="BG227" s="433"/>
      <c r="BH227" s="433"/>
      <c r="BI227" s="433"/>
      <c r="BJ227" s="433"/>
      <c r="BK227" s="433"/>
      <c r="BL227" s="433"/>
      <c r="BM227" s="433"/>
      <c r="BN227" s="433"/>
      <c r="BO227" s="433"/>
      <c r="BP227" s="433"/>
      <c r="BQ227" s="433"/>
      <c r="BR227" s="433"/>
      <c r="BS227" s="433"/>
      <c r="BT227" s="433"/>
      <c r="BU227" s="433"/>
    </row>
    <row r="228" spans="31:73" s="359" customFormat="1" x14ac:dyDescent="0.2">
      <c r="AE228" s="440"/>
      <c r="AF228" s="440"/>
      <c r="AG228" s="440"/>
      <c r="AH228" s="440"/>
      <c r="AI228" s="440"/>
      <c r="AJ228" s="440"/>
      <c r="AK228" s="440"/>
      <c r="AL228" s="440"/>
      <c r="AM228" s="440"/>
      <c r="AN228" s="440"/>
      <c r="AO228" s="440"/>
      <c r="AP228" s="440"/>
      <c r="AQ228" s="440"/>
      <c r="AR228" s="440"/>
      <c r="AS228" s="440"/>
      <c r="AT228" s="440"/>
      <c r="AU228" s="440"/>
      <c r="AV228" s="440"/>
      <c r="AW228" s="440"/>
      <c r="AX228" s="440"/>
      <c r="AY228" s="440"/>
      <c r="AZ228" s="440"/>
      <c r="BA228" s="440"/>
      <c r="BB228" s="440"/>
      <c r="BC228" s="440"/>
      <c r="BD228" s="440"/>
      <c r="BE228" s="440"/>
      <c r="BF228" s="440"/>
      <c r="BG228" s="440"/>
      <c r="BH228" s="440"/>
      <c r="BI228" s="440"/>
      <c r="BJ228" s="440"/>
      <c r="BK228" s="440"/>
      <c r="BL228" s="440"/>
      <c r="BM228" s="440"/>
      <c r="BN228" s="440"/>
      <c r="BO228" s="440"/>
      <c r="BP228" s="440"/>
      <c r="BQ228" s="440"/>
      <c r="BR228" s="440"/>
      <c r="BS228" s="440"/>
      <c r="BT228" s="440"/>
      <c r="BU228" s="440"/>
    </row>
    <row r="229" spans="31:73" x14ac:dyDescent="0.2">
      <c r="AE229" s="433"/>
      <c r="AF229" s="433"/>
      <c r="AG229" s="433"/>
      <c r="AH229" s="433"/>
      <c r="AI229" s="433"/>
      <c r="AJ229" s="433"/>
      <c r="AK229" s="433"/>
      <c r="AL229" s="433"/>
      <c r="AM229" s="433"/>
      <c r="AN229" s="433"/>
      <c r="AO229" s="433"/>
      <c r="AP229" s="433"/>
      <c r="AQ229" s="433"/>
      <c r="AR229" s="433"/>
      <c r="AS229" s="433"/>
      <c r="AT229" s="433"/>
      <c r="AU229" s="433"/>
      <c r="AV229" s="433"/>
      <c r="AW229" s="433"/>
      <c r="AX229" s="433"/>
      <c r="AY229" s="433"/>
      <c r="AZ229" s="433"/>
      <c r="BA229" s="433"/>
      <c r="BB229" s="433"/>
      <c r="BC229" s="433"/>
      <c r="BD229" s="433"/>
      <c r="BE229" s="433"/>
      <c r="BF229" s="433"/>
      <c r="BG229" s="433"/>
      <c r="BH229" s="433"/>
      <c r="BI229" s="433"/>
      <c r="BJ229" s="433"/>
      <c r="BK229" s="433"/>
      <c r="BL229" s="433"/>
      <c r="BM229" s="433"/>
      <c r="BN229" s="433"/>
      <c r="BO229" s="433"/>
      <c r="BP229" s="433"/>
      <c r="BQ229" s="433"/>
      <c r="BR229" s="433"/>
      <c r="BS229" s="433"/>
      <c r="BT229" s="433"/>
      <c r="BU229" s="433"/>
    </row>
    <row r="230" spans="31:73" x14ac:dyDescent="0.2">
      <c r="AE230" s="433"/>
      <c r="AF230" s="433"/>
      <c r="AG230" s="433"/>
      <c r="AH230" s="433"/>
      <c r="AI230" s="433"/>
      <c r="AJ230" s="433"/>
      <c r="AK230" s="433"/>
      <c r="AL230" s="433"/>
      <c r="AM230" s="433"/>
      <c r="AN230" s="433"/>
      <c r="AO230" s="433"/>
      <c r="AP230" s="433"/>
      <c r="AQ230" s="433"/>
      <c r="AR230" s="433"/>
      <c r="AS230" s="433"/>
      <c r="AT230" s="433"/>
      <c r="AU230" s="433"/>
      <c r="AV230" s="433"/>
      <c r="AW230" s="433"/>
      <c r="AX230" s="433"/>
      <c r="AY230" s="433"/>
      <c r="AZ230" s="433"/>
      <c r="BA230" s="433"/>
      <c r="BB230" s="433"/>
      <c r="BC230" s="433"/>
      <c r="BD230" s="433"/>
      <c r="BE230" s="433"/>
      <c r="BF230" s="433"/>
      <c r="BG230" s="433"/>
      <c r="BH230" s="433"/>
      <c r="BI230" s="433"/>
      <c r="BJ230" s="433"/>
      <c r="BK230" s="433"/>
      <c r="BL230" s="433"/>
      <c r="BM230" s="433"/>
      <c r="BN230" s="433"/>
      <c r="BO230" s="433"/>
      <c r="BP230" s="433"/>
      <c r="BQ230" s="433"/>
      <c r="BR230" s="433"/>
      <c r="BS230" s="433"/>
      <c r="BT230" s="433"/>
      <c r="BU230" s="433"/>
    </row>
    <row r="231" spans="31:73" x14ac:dyDescent="0.2">
      <c r="AE231" s="433"/>
      <c r="AF231" s="433"/>
      <c r="AG231" s="433"/>
      <c r="AH231" s="433"/>
      <c r="AI231" s="433"/>
      <c r="AJ231" s="433"/>
      <c r="AK231" s="433"/>
      <c r="AL231" s="433"/>
      <c r="AM231" s="433"/>
      <c r="AN231" s="433"/>
      <c r="AO231" s="433"/>
      <c r="AP231" s="433"/>
      <c r="AQ231" s="433"/>
      <c r="AR231" s="433"/>
      <c r="AS231" s="433"/>
      <c r="AT231" s="433"/>
      <c r="AU231" s="433"/>
      <c r="AV231" s="433"/>
      <c r="AW231" s="433"/>
      <c r="AX231" s="433"/>
      <c r="AY231" s="433"/>
      <c r="AZ231" s="433"/>
      <c r="BA231" s="433"/>
      <c r="BB231" s="433"/>
      <c r="BC231" s="433"/>
      <c r="BD231" s="433"/>
      <c r="BE231" s="433"/>
      <c r="BF231" s="433"/>
      <c r="BG231" s="433"/>
      <c r="BH231" s="433"/>
      <c r="BI231" s="433"/>
      <c r="BJ231" s="433"/>
      <c r="BK231" s="433"/>
      <c r="BL231" s="433"/>
      <c r="BM231" s="433"/>
      <c r="BN231" s="433"/>
      <c r="BO231" s="433"/>
      <c r="BP231" s="433"/>
      <c r="BQ231" s="433"/>
      <c r="BR231" s="433"/>
      <c r="BS231" s="433"/>
      <c r="BT231" s="433"/>
      <c r="BU231" s="433"/>
    </row>
    <row r="232" spans="31:73" x14ac:dyDescent="0.2">
      <c r="AE232" s="433"/>
      <c r="AF232" s="433"/>
      <c r="AG232" s="433"/>
      <c r="AH232" s="433"/>
      <c r="AI232" s="433"/>
      <c r="AJ232" s="433"/>
      <c r="AK232" s="433"/>
      <c r="AL232" s="433"/>
      <c r="AM232" s="433"/>
      <c r="AN232" s="433"/>
      <c r="AO232" s="433"/>
      <c r="AP232" s="433"/>
      <c r="AQ232" s="433"/>
      <c r="AR232" s="433"/>
      <c r="AS232" s="433"/>
      <c r="AT232" s="433"/>
      <c r="AU232" s="433"/>
      <c r="AV232" s="433"/>
      <c r="AW232" s="433"/>
      <c r="AX232" s="433"/>
      <c r="AY232" s="433"/>
      <c r="AZ232" s="433"/>
      <c r="BA232" s="433"/>
      <c r="BB232" s="433"/>
      <c r="BC232" s="433"/>
      <c r="BD232" s="433"/>
      <c r="BE232" s="433"/>
      <c r="BF232" s="433"/>
      <c r="BG232" s="433"/>
      <c r="BH232" s="433"/>
      <c r="BI232" s="433"/>
      <c r="BJ232" s="433"/>
      <c r="BK232" s="433"/>
      <c r="BL232" s="433"/>
      <c r="BM232" s="433"/>
      <c r="BN232" s="433"/>
      <c r="BO232" s="433"/>
      <c r="BP232" s="433"/>
      <c r="BQ232" s="433"/>
      <c r="BR232" s="433"/>
      <c r="BS232" s="433"/>
      <c r="BT232" s="433"/>
      <c r="BU232" s="433"/>
    </row>
    <row r="233" spans="31:73" x14ac:dyDescent="0.2">
      <c r="AE233" s="433"/>
      <c r="AF233" s="433"/>
      <c r="AG233" s="433"/>
      <c r="AH233" s="433"/>
      <c r="AI233" s="433"/>
      <c r="AJ233" s="433"/>
      <c r="AK233" s="433"/>
      <c r="AL233" s="433"/>
      <c r="AM233" s="433"/>
      <c r="AN233" s="433"/>
      <c r="AO233" s="433"/>
      <c r="AP233" s="433"/>
      <c r="AQ233" s="433"/>
      <c r="AR233" s="433"/>
      <c r="AS233" s="433"/>
      <c r="AT233" s="433"/>
      <c r="AU233" s="433"/>
      <c r="AV233" s="433"/>
      <c r="AW233" s="433"/>
      <c r="AX233" s="433"/>
      <c r="AY233" s="433"/>
      <c r="AZ233" s="433"/>
      <c r="BA233" s="433"/>
      <c r="BB233" s="433"/>
      <c r="BC233" s="433"/>
      <c r="BD233" s="433"/>
      <c r="BE233" s="433"/>
      <c r="BF233" s="433"/>
      <c r="BG233" s="433"/>
      <c r="BH233" s="433"/>
      <c r="BI233" s="433"/>
      <c r="BJ233" s="433"/>
      <c r="BK233" s="433"/>
      <c r="BL233" s="433"/>
      <c r="BM233" s="433"/>
      <c r="BN233" s="433"/>
      <c r="BO233" s="433"/>
      <c r="BP233" s="433"/>
      <c r="BQ233" s="433"/>
      <c r="BR233" s="433"/>
      <c r="BS233" s="433"/>
      <c r="BT233" s="433"/>
      <c r="BU233" s="433"/>
    </row>
    <row r="234" spans="31:73" x14ac:dyDescent="0.2">
      <c r="AE234" s="433"/>
      <c r="AF234" s="433"/>
      <c r="AG234" s="433"/>
      <c r="AH234" s="433"/>
      <c r="AI234" s="433"/>
      <c r="AJ234" s="433"/>
      <c r="AK234" s="433"/>
      <c r="AL234" s="433"/>
      <c r="AM234" s="433"/>
      <c r="AN234" s="433"/>
      <c r="AO234" s="433"/>
      <c r="AP234" s="433"/>
      <c r="AQ234" s="433"/>
      <c r="AR234" s="433"/>
      <c r="AS234" s="433"/>
      <c r="AT234" s="433"/>
      <c r="AU234" s="433"/>
      <c r="AV234" s="433"/>
      <c r="AW234" s="433"/>
      <c r="AX234" s="433"/>
      <c r="AY234" s="433"/>
      <c r="AZ234" s="433"/>
      <c r="BA234" s="433"/>
      <c r="BB234" s="433"/>
      <c r="BC234" s="433"/>
      <c r="BD234" s="433"/>
      <c r="BE234" s="433"/>
      <c r="BF234" s="433"/>
      <c r="BG234" s="433"/>
      <c r="BH234" s="433"/>
      <c r="BI234" s="433"/>
      <c r="BJ234" s="433"/>
      <c r="BK234" s="433"/>
      <c r="BL234" s="433"/>
      <c r="BM234" s="433"/>
      <c r="BN234" s="433"/>
      <c r="BO234" s="433"/>
      <c r="BP234" s="433"/>
      <c r="BQ234" s="433"/>
      <c r="BR234" s="433"/>
      <c r="BS234" s="433"/>
      <c r="BT234" s="433"/>
      <c r="BU234" s="433"/>
    </row>
    <row r="235" spans="31:73" x14ac:dyDescent="0.2">
      <c r="AE235" s="433"/>
      <c r="AF235" s="433"/>
      <c r="AG235" s="433"/>
      <c r="AH235" s="433"/>
      <c r="AI235" s="433"/>
      <c r="AJ235" s="433"/>
      <c r="AK235" s="433"/>
      <c r="AL235" s="433"/>
      <c r="AM235" s="433"/>
      <c r="AN235" s="433"/>
      <c r="AO235" s="433"/>
      <c r="AP235" s="433"/>
      <c r="AQ235" s="433"/>
      <c r="AR235" s="433"/>
      <c r="AS235" s="433"/>
      <c r="AT235" s="433"/>
      <c r="AU235" s="433"/>
      <c r="AV235" s="433"/>
      <c r="AW235" s="433"/>
      <c r="AX235" s="433"/>
      <c r="AY235" s="433"/>
      <c r="AZ235" s="433"/>
      <c r="BA235" s="433"/>
      <c r="BB235" s="433"/>
      <c r="BC235" s="433"/>
      <c r="BD235" s="433"/>
      <c r="BE235" s="433"/>
      <c r="BF235" s="433"/>
      <c r="BG235" s="433"/>
      <c r="BH235" s="433"/>
      <c r="BI235" s="433"/>
      <c r="BJ235" s="433"/>
      <c r="BK235" s="433"/>
      <c r="BL235" s="433"/>
      <c r="BM235" s="433"/>
      <c r="BN235" s="433"/>
      <c r="BO235" s="433"/>
      <c r="BP235" s="433"/>
      <c r="BQ235" s="433"/>
      <c r="BR235" s="433"/>
      <c r="BS235" s="433"/>
      <c r="BT235" s="433"/>
      <c r="BU235" s="433"/>
    </row>
    <row r="236" spans="31:73" s="359" customFormat="1" x14ac:dyDescent="0.2">
      <c r="AE236" s="440"/>
      <c r="AF236" s="440"/>
      <c r="AG236" s="440"/>
      <c r="AH236" s="440"/>
      <c r="AI236" s="440"/>
      <c r="AJ236" s="440"/>
      <c r="AK236" s="440"/>
      <c r="AL236" s="440"/>
      <c r="AM236" s="440"/>
      <c r="AN236" s="440"/>
      <c r="AO236" s="440"/>
      <c r="AP236" s="440"/>
      <c r="AQ236" s="440"/>
      <c r="AR236" s="440"/>
      <c r="AS236" s="440"/>
      <c r="AT236" s="440"/>
      <c r="AU236" s="440"/>
      <c r="AV236" s="440"/>
      <c r="AW236" s="440"/>
      <c r="AX236" s="440"/>
      <c r="AY236" s="440"/>
      <c r="AZ236" s="440"/>
      <c r="BA236" s="440"/>
      <c r="BB236" s="440"/>
      <c r="BC236" s="440"/>
      <c r="BD236" s="440"/>
      <c r="BE236" s="440"/>
      <c r="BF236" s="440"/>
      <c r="BG236" s="440"/>
      <c r="BH236" s="440"/>
      <c r="BI236" s="440"/>
      <c r="BJ236" s="440"/>
      <c r="BK236" s="440"/>
      <c r="BL236" s="440"/>
      <c r="BM236" s="440"/>
      <c r="BN236" s="440"/>
      <c r="BO236" s="440"/>
      <c r="BP236" s="440"/>
      <c r="BQ236" s="440"/>
      <c r="BR236" s="440"/>
      <c r="BS236" s="440"/>
      <c r="BT236" s="440"/>
      <c r="BU236" s="440"/>
    </row>
    <row r="237" spans="31:73" s="359" customFormat="1" x14ac:dyDescent="0.2">
      <c r="AE237" s="440"/>
      <c r="AF237" s="440"/>
      <c r="AG237" s="440"/>
      <c r="AH237" s="440"/>
      <c r="AI237" s="440"/>
      <c r="AJ237" s="440"/>
      <c r="AK237" s="440"/>
      <c r="AL237" s="440"/>
      <c r="AM237" s="440"/>
      <c r="AN237" s="440"/>
      <c r="AO237" s="440"/>
      <c r="AP237" s="440"/>
      <c r="AQ237" s="440"/>
      <c r="AR237" s="440"/>
      <c r="AS237" s="440"/>
      <c r="AT237" s="440"/>
      <c r="AU237" s="440"/>
      <c r="AV237" s="440"/>
      <c r="AW237" s="440"/>
      <c r="AX237" s="440"/>
      <c r="AY237" s="440"/>
      <c r="AZ237" s="440"/>
      <c r="BA237" s="440"/>
      <c r="BB237" s="440"/>
      <c r="BC237" s="440"/>
      <c r="BD237" s="440"/>
      <c r="BE237" s="440"/>
      <c r="BF237" s="440"/>
      <c r="BG237" s="440"/>
      <c r="BH237" s="440"/>
      <c r="BI237" s="440"/>
      <c r="BJ237" s="440"/>
      <c r="BK237" s="440"/>
      <c r="BL237" s="440"/>
      <c r="BM237" s="440"/>
      <c r="BN237" s="440"/>
      <c r="BO237" s="440"/>
      <c r="BP237" s="440"/>
      <c r="BQ237" s="440"/>
      <c r="BR237" s="440"/>
      <c r="BS237" s="440"/>
      <c r="BT237" s="440"/>
      <c r="BU237" s="440"/>
    </row>
    <row r="238" spans="31:73" s="359" customFormat="1" x14ac:dyDescent="0.2">
      <c r="AE238" s="440"/>
      <c r="AF238" s="440"/>
      <c r="AG238" s="440"/>
      <c r="AH238" s="440"/>
      <c r="AI238" s="440"/>
      <c r="AJ238" s="440"/>
      <c r="AK238" s="440"/>
      <c r="AL238" s="440"/>
      <c r="AM238" s="440"/>
      <c r="AN238" s="440"/>
      <c r="AO238" s="440"/>
      <c r="AP238" s="440"/>
      <c r="AQ238" s="440"/>
      <c r="AR238" s="440"/>
      <c r="AS238" s="440"/>
      <c r="AT238" s="440"/>
      <c r="AU238" s="440"/>
      <c r="AV238" s="440"/>
      <c r="AW238" s="440"/>
      <c r="AX238" s="440"/>
      <c r="AY238" s="440"/>
      <c r="AZ238" s="440"/>
      <c r="BA238" s="440"/>
      <c r="BB238" s="440"/>
      <c r="BC238" s="440"/>
      <c r="BD238" s="440"/>
      <c r="BE238" s="440"/>
      <c r="BF238" s="440"/>
      <c r="BG238" s="440"/>
      <c r="BH238" s="440"/>
      <c r="BI238" s="440"/>
      <c r="BJ238" s="440"/>
      <c r="BK238" s="440"/>
      <c r="BL238" s="440"/>
      <c r="BM238" s="440"/>
      <c r="BN238" s="440"/>
      <c r="BO238" s="440"/>
      <c r="BP238" s="440"/>
      <c r="BQ238" s="440"/>
      <c r="BR238" s="440"/>
      <c r="BS238" s="440"/>
      <c r="BT238" s="440"/>
      <c r="BU238" s="440"/>
    </row>
    <row r="239" spans="31:73" x14ac:dyDescent="0.2">
      <c r="AE239" s="433"/>
      <c r="AF239" s="433"/>
      <c r="AG239" s="433"/>
      <c r="AH239" s="433"/>
      <c r="AI239" s="433"/>
      <c r="AJ239" s="433"/>
      <c r="AK239" s="433"/>
      <c r="AL239" s="433"/>
      <c r="AM239" s="433"/>
      <c r="AN239" s="433"/>
      <c r="AO239" s="433"/>
      <c r="AP239" s="433"/>
      <c r="AQ239" s="433"/>
      <c r="AR239" s="433"/>
      <c r="AS239" s="433"/>
      <c r="AT239" s="433"/>
      <c r="AU239" s="433"/>
      <c r="AV239" s="433"/>
      <c r="AW239" s="433"/>
      <c r="AX239" s="433"/>
      <c r="AY239" s="433"/>
      <c r="AZ239" s="433"/>
      <c r="BA239" s="433"/>
      <c r="BB239" s="433"/>
      <c r="BC239" s="433"/>
      <c r="BD239" s="433"/>
      <c r="BE239" s="433"/>
      <c r="BF239" s="433"/>
      <c r="BG239" s="433"/>
      <c r="BH239" s="433"/>
      <c r="BI239" s="433"/>
      <c r="BJ239" s="433"/>
      <c r="BK239" s="433"/>
      <c r="BL239" s="433"/>
      <c r="BM239" s="433"/>
      <c r="BN239" s="433"/>
      <c r="BO239" s="433"/>
      <c r="BP239" s="433"/>
      <c r="BQ239" s="433"/>
      <c r="BR239" s="433"/>
      <c r="BS239" s="433"/>
      <c r="BT239" s="433"/>
      <c r="BU239" s="433"/>
    </row>
    <row r="240" spans="31:73" x14ac:dyDescent="0.2">
      <c r="AE240" s="433"/>
      <c r="AF240" s="433"/>
      <c r="AG240" s="433"/>
      <c r="AH240" s="433"/>
      <c r="AI240" s="433"/>
      <c r="AJ240" s="433"/>
      <c r="AK240" s="433"/>
      <c r="AL240" s="433"/>
      <c r="AM240" s="433"/>
      <c r="AN240" s="433"/>
      <c r="AO240" s="433"/>
      <c r="AP240" s="433"/>
      <c r="AQ240" s="433"/>
      <c r="AR240" s="433"/>
      <c r="AS240" s="433"/>
      <c r="AT240" s="433"/>
      <c r="AU240" s="433"/>
      <c r="AV240" s="433"/>
      <c r="AW240" s="433"/>
      <c r="AX240" s="433"/>
      <c r="AY240" s="433"/>
      <c r="AZ240" s="433"/>
      <c r="BA240" s="433"/>
      <c r="BB240" s="433"/>
      <c r="BC240" s="433"/>
      <c r="BD240" s="433"/>
      <c r="BE240" s="433"/>
      <c r="BF240" s="433"/>
      <c r="BG240" s="433"/>
      <c r="BH240" s="433"/>
      <c r="BI240" s="433"/>
      <c r="BJ240" s="433"/>
      <c r="BK240" s="433"/>
      <c r="BL240" s="433"/>
      <c r="BM240" s="433"/>
      <c r="BN240" s="433"/>
      <c r="BO240" s="433"/>
      <c r="BP240" s="433"/>
      <c r="BQ240" s="433"/>
      <c r="BR240" s="433"/>
      <c r="BS240" s="433"/>
      <c r="BT240" s="433"/>
      <c r="BU240" s="433"/>
    </row>
    <row r="241" spans="31:73" x14ac:dyDescent="0.2">
      <c r="AE241" s="433"/>
      <c r="AF241" s="433"/>
      <c r="AG241" s="433"/>
      <c r="AH241" s="433"/>
      <c r="AI241" s="433"/>
      <c r="AJ241" s="433"/>
      <c r="AK241" s="433"/>
      <c r="AL241" s="433"/>
      <c r="AM241" s="433"/>
      <c r="AN241" s="433"/>
      <c r="AO241" s="433"/>
      <c r="AP241" s="433"/>
      <c r="AQ241" s="433"/>
      <c r="AR241" s="433"/>
      <c r="AS241" s="433"/>
      <c r="AT241" s="433"/>
      <c r="AU241" s="433"/>
      <c r="AV241" s="433"/>
      <c r="AW241" s="433"/>
      <c r="AX241" s="433"/>
      <c r="AY241" s="433"/>
      <c r="AZ241" s="433"/>
      <c r="BA241" s="433"/>
      <c r="BB241" s="433"/>
      <c r="BC241" s="433"/>
      <c r="BD241" s="433"/>
      <c r="BE241" s="433"/>
      <c r="BF241" s="433"/>
      <c r="BG241" s="433"/>
      <c r="BH241" s="433"/>
      <c r="BI241" s="433"/>
      <c r="BJ241" s="433"/>
      <c r="BK241" s="433"/>
      <c r="BL241" s="433"/>
      <c r="BM241" s="433"/>
      <c r="BN241" s="433"/>
      <c r="BO241" s="433"/>
      <c r="BP241" s="433"/>
      <c r="BQ241" s="433"/>
      <c r="BR241" s="433"/>
      <c r="BS241" s="433"/>
      <c r="BT241" s="433"/>
      <c r="BU241" s="433"/>
    </row>
    <row r="242" spans="31:73" x14ac:dyDescent="0.2">
      <c r="AE242" s="433"/>
      <c r="AF242" s="433"/>
      <c r="AG242" s="433"/>
      <c r="AH242" s="433"/>
      <c r="AI242" s="433"/>
      <c r="AJ242" s="433"/>
      <c r="AK242" s="433"/>
      <c r="AL242" s="433"/>
      <c r="AM242" s="433"/>
      <c r="AN242" s="433"/>
      <c r="AO242" s="433"/>
      <c r="AP242" s="433"/>
      <c r="AQ242" s="433"/>
      <c r="AR242" s="433"/>
      <c r="AS242" s="433"/>
      <c r="AT242" s="433"/>
      <c r="AU242" s="433"/>
      <c r="AV242" s="433"/>
      <c r="AW242" s="433"/>
      <c r="AX242" s="433"/>
      <c r="AY242" s="433"/>
      <c r="AZ242" s="433"/>
      <c r="BA242" s="433"/>
      <c r="BB242" s="433"/>
      <c r="BC242" s="433"/>
      <c r="BD242" s="433"/>
      <c r="BE242" s="433"/>
      <c r="BF242" s="433"/>
      <c r="BG242" s="433"/>
      <c r="BH242" s="433"/>
      <c r="BI242" s="433"/>
      <c r="BJ242" s="433"/>
      <c r="BK242" s="433"/>
      <c r="BL242" s="433"/>
      <c r="BM242" s="433"/>
      <c r="BN242" s="433"/>
      <c r="BO242" s="433"/>
      <c r="BP242" s="433"/>
      <c r="BQ242" s="433"/>
      <c r="BR242" s="433"/>
      <c r="BS242" s="433"/>
      <c r="BT242" s="433"/>
      <c r="BU242" s="433"/>
    </row>
    <row r="243" spans="31:73" x14ac:dyDescent="0.2">
      <c r="AE243" s="433"/>
      <c r="AF243" s="433"/>
      <c r="AG243" s="433"/>
      <c r="AH243" s="433"/>
      <c r="AI243" s="433"/>
      <c r="AJ243" s="433"/>
      <c r="AK243" s="433"/>
      <c r="AL243" s="433"/>
      <c r="AM243" s="433"/>
      <c r="AN243" s="433"/>
      <c r="AO243" s="433"/>
      <c r="AP243" s="433"/>
      <c r="AQ243" s="433"/>
      <c r="AR243" s="433"/>
      <c r="AS243" s="433"/>
      <c r="AT243" s="433"/>
      <c r="AU243" s="433"/>
      <c r="AV243" s="433"/>
      <c r="AW243" s="433"/>
      <c r="AX243" s="433"/>
      <c r="AY243" s="433"/>
      <c r="AZ243" s="433"/>
      <c r="BA243" s="433"/>
      <c r="BB243" s="433"/>
      <c r="BC243" s="433"/>
      <c r="BD243" s="433"/>
      <c r="BE243" s="433"/>
      <c r="BF243" s="433"/>
      <c r="BG243" s="433"/>
      <c r="BH243" s="433"/>
      <c r="BI243" s="433"/>
      <c r="BJ243" s="433"/>
      <c r="BK243" s="433"/>
      <c r="BL243" s="433"/>
      <c r="BM243" s="433"/>
      <c r="BN243" s="433"/>
      <c r="BO243" s="433"/>
      <c r="BP243" s="433"/>
      <c r="BQ243" s="433"/>
      <c r="BR243" s="433"/>
      <c r="BS243" s="433"/>
      <c r="BT243" s="433"/>
      <c r="BU243" s="433"/>
    </row>
    <row r="244" spans="31:73" x14ac:dyDescent="0.2">
      <c r="AE244" s="433"/>
      <c r="AF244" s="433"/>
      <c r="AG244" s="433"/>
      <c r="AH244" s="433"/>
      <c r="AI244" s="433"/>
      <c r="AJ244" s="433"/>
      <c r="AK244" s="433"/>
      <c r="AL244" s="433"/>
      <c r="AM244" s="433"/>
      <c r="AN244" s="433"/>
      <c r="AO244" s="433"/>
      <c r="AP244" s="433"/>
      <c r="AQ244" s="433"/>
      <c r="AR244" s="433"/>
      <c r="AS244" s="433"/>
      <c r="AT244" s="433"/>
      <c r="AU244" s="433"/>
      <c r="AV244" s="433"/>
      <c r="AW244" s="433"/>
      <c r="AX244" s="433"/>
      <c r="AY244" s="433"/>
      <c r="AZ244" s="433"/>
      <c r="BA244" s="433"/>
      <c r="BB244" s="433"/>
      <c r="BC244" s="433"/>
      <c r="BD244" s="433"/>
      <c r="BE244" s="433"/>
      <c r="BF244" s="433"/>
      <c r="BG244" s="433"/>
      <c r="BH244" s="433"/>
      <c r="BI244" s="433"/>
      <c r="BJ244" s="433"/>
      <c r="BK244" s="433"/>
      <c r="BL244" s="433"/>
      <c r="BM244" s="433"/>
      <c r="BN244" s="433"/>
      <c r="BO244" s="433"/>
      <c r="BP244" s="433"/>
      <c r="BQ244" s="433"/>
      <c r="BR244" s="433"/>
      <c r="BS244" s="433"/>
      <c r="BT244" s="433"/>
      <c r="BU244" s="433"/>
    </row>
    <row r="245" spans="31:73" x14ac:dyDescent="0.2">
      <c r="AE245" s="433"/>
      <c r="AF245" s="433"/>
      <c r="AG245" s="433"/>
      <c r="AH245" s="433"/>
      <c r="AI245" s="433"/>
      <c r="AJ245" s="433"/>
      <c r="AK245" s="433"/>
      <c r="AL245" s="433"/>
      <c r="AM245" s="433"/>
      <c r="AN245" s="433"/>
      <c r="AO245" s="433"/>
      <c r="AP245" s="433"/>
      <c r="AQ245" s="433"/>
      <c r="AR245" s="433"/>
      <c r="AS245" s="433"/>
      <c r="AT245" s="433"/>
      <c r="AU245" s="433"/>
      <c r="AV245" s="433"/>
      <c r="AW245" s="433"/>
      <c r="AX245" s="433"/>
      <c r="AY245" s="433"/>
      <c r="AZ245" s="433"/>
      <c r="BA245" s="433"/>
      <c r="BB245" s="433"/>
      <c r="BC245" s="433"/>
      <c r="BD245" s="433"/>
      <c r="BE245" s="433"/>
      <c r="BF245" s="433"/>
      <c r="BG245" s="433"/>
      <c r="BH245" s="433"/>
      <c r="BI245" s="433"/>
      <c r="BJ245" s="433"/>
      <c r="BK245" s="433"/>
      <c r="BL245" s="433"/>
      <c r="BM245" s="433"/>
      <c r="BN245" s="433"/>
      <c r="BO245" s="433"/>
      <c r="BP245" s="433"/>
      <c r="BQ245" s="433"/>
      <c r="BR245" s="433"/>
      <c r="BS245" s="433"/>
      <c r="BT245" s="433"/>
      <c r="BU245" s="433"/>
    </row>
    <row r="246" spans="31:73" x14ac:dyDescent="0.2">
      <c r="AE246" s="433"/>
      <c r="AF246" s="433"/>
      <c r="AG246" s="433"/>
      <c r="AH246" s="433"/>
      <c r="AI246" s="433"/>
      <c r="AJ246" s="433"/>
      <c r="AK246" s="433"/>
      <c r="AL246" s="433"/>
      <c r="AM246" s="433"/>
      <c r="AN246" s="433"/>
      <c r="AO246" s="433"/>
      <c r="AP246" s="433"/>
      <c r="AQ246" s="433"/>
      <c r="AR246" s="433"/>
      <c r="AS246" s="433"/>
      <c r="AT246" s="433"/>
      <c r="AU246" s="433"/>
      <c r="AV246" s="433"/>
      <c r="AW246" s="433"/>
      <c r="AX246" s="433"/>
      <c r="AY246" s="433"/>
      <c r="AZ246" s="433"/>
      <c r="BA246" s="433"/>
      <c r="BB246" s="433"/>
      <c r="BC246" s="433"/>
      <c r="BD246" s="433"/>
      <c r="BE246" s="433"/>
      <c r="BF246" s="433"/>
      <c r="BG246" s="433"/>
      <c r="BH246" s="433"/>
      <c r="BI246" s="433"/>
      <c r="BJ246" s="433"/>
      <c r="BK246" s="433"/>
      <c r="BL246" s="433"/>
      <c r="BM246" s="433"/>
      <c r="BN246" s="433"/>
      <c r="BO246" s="433"/>
      <c r="BP246" s="433"/>
      <c r="BQ246" s="433"/>
      <c r="BR246" s="433"/>
      <c r="BS246" s="433"/>
      <c r="BT246" s="433"/>
      <c r="BU246" s="433"/>
    </row>
    <row r="247" spans="31:73" x14ac:dyDescent="0.2">
      <c r="AE247" s="433"/>
      <c r="AF247" s="433"/>
      <c r="AG247" s="433"/>
      <c r="AH247" s="433"/>
      <c r="AI247" s="433"/>
      <c r="AJ247" s="433"/>
      <c r="AK247" s="433"/>
      <c r="AL247" s="433"/>
      <c r="AM247" s="433"/>
      <c r="AN247" s="433"/>
      <c r="AO247" s="433"/>
      <c r="AP247" s="433"/>
      <c r="AQ247" s="433"/>
      <c r="AR247" s="433"/>
      <c r="AS247" s="433"/>
      <c r="AT247" s="433"/>
      <c r="AU247" s="433"/>
      <c r="AV247" s="433"/>
      <c r="AW247" s="433"/>
      <c r="AX247" s="433"/>
      <c r="AY247" s="433"/>
      <c r="AZ247" s="433"/>
      <c r="BA247" s="433"/>
      <c r="BB247" s="433"/>
      <c r="BC247" s="433"/>
      <c r="BD247" s="433"/>
      <c r="BE247" s="433"/>
      <c r="BF247" s="433"/>
      <c r="BG247" s="433"/>
      <c r="BH247" s="433"/>
      <c r="BI247" s="433"/>
      <c r="BJ247" s="433"/>
      <c r="BK247" s="433"/>
      <c r="BL247" s="433"/>
      <c r="BM247" s="433"/>
      <c r="BN247" s="433"/>
      <c r="BO247" s="433"/>
      <c r="BP247" s="433"/>
      <c r="BQ247" s="433"/>
      <c r="BR247" s="433"/>
      <c r="BS247" s="433"/>
      <c r="BT247" s="433"/>
      <c r="BU247" s="433"/>
    </row>
    <row r="248" spans="31:73" x14ac:dyDescent="0.2">
      <c r="AE248" s="433"/>
      <c r="AF248" s="433"/>
      <c r="AG248" s="433"/>
      <c r="AH248" s="433"/>
      <c r="AI248" s="433"/>
      <c r="AJ248" s="433"/>
      <c r="AK248" s="433"/>
      <c r="AL248" s="433"/>
      <c r="AM248" s="433"/>
      <c r="AN248" s="433"/>
      <c r="AO248" s="433"/>
      <c r="AP248" s="433"/>
      <c r="AQ248" s="433"/>
      <c r="AR248" s="433"/>
      <c r="AS248" s="433"/>
      <c r="AT248" s="433"/>
      <c r="AU248" s="433"/>
      <c r="AV248" s="433"/>
      <c r="AW248" s="433"/>
      <c r="AX248" s="433"/>
      <c r="AY248" s="433"/>
      <c r="AZ248" s="433"/>
      <c r="BA248" s="433"/>
      <c r="BB248" s="433"/>
      <c r="BC248" s="433"/>
      <c r="BD248" s="433"/>
      <c r="BE248" s="433"/>
      <c r="BF248" s="433"/>
      <c r="BG248" s="433"/>
      <c r="BH248" s="433"/>
      <c r="BI248" s="433"/>
      <c r="BJ248" s="433"/>
      <c r="BK248" s="433"/>
      <c r="BL248" s="433"/>
      <c r="BM248" s="433"/>
      <c r="BN248" s="433"/>
      <c r="BO248" s="433"/>
      <c r="BP248" s="433"/>
      <c r="BQ248" s="433"/>
      <c r="BR248" s="433"/>
      <c r="BS248" s="433"/>
      <c r="BT248" s="433"/>
      <c r="BU248" s="433"/>
    </row>
    <row r="249" spans="31:73" x14ac:dyDescent="0.2">
      <c r="AE249" s="433"/>
      <c r="AF249" s="433"/>
      <c r="AG249" s="433"/>
      <c r="AH249" s="433"/>
      <c r="AI249" s="433"/>
      <c r="AJ249" s="433"/>
      <c r="AK249" s="433"/>
      <c r="AL249" s="433"/>
      <c r="AM249" s="433"/>
      <c r="AN249" s="433"/>
      <c r="AO249" s="433"/>
      <c r="AP249" s="433"/>
      <c r="AQ249" s="433"/>
      <c r="AR249" s="433"/>
      <c r="AS249" s="433"/>
      <c r="AT249" s="433"/>
      <c r="AU249" s="433"/>
      <c r="AV249" s="433"/>
      <c r="AW249" s="433"/>
      <c r="AX249" s="433"/>
      <c r="AY249" s="433"/>
      <c r="AZ249" s="433"/>
      <c r="BA249" s="433"/>
      <c r="BB249" s="433"/>
      <c r="BC249" s="433"/>
      <c r="BD249" s="433"/>
      <c r="BE249" s="433"/>
      <c r="BF249" s="433"/>
      <c r="BG249" s="433"/>
      <c r="BH249" s="433"/>
      <c r="BI249" s="433"/>
      <c r="BJ249" s="433"/>
      <c r="BK249" s="433"/>
      <c r="BL249" s="433"/>
      <c r="BM249" s="433"/>
      <c r="BN249" s="433"/>
      <c r="BO249" s="433"/>
      <c r="BP249" s="433"/>
      <c r="BQ249" s="433"/>
      <c r="BR249" s="433"/>
      <c r="BS249" s="433"/>
      <c r="BT249" s="433"/>
      <c r="BU249" s="433"/>
    </row>
    <row r="250" spans="31:73" x14ac:dyDescent="0.2">
      <c r="AE250" s="433"/>
      <c r="AF250" s="433"/>
      <c r="AG250" s="433"/>
      <c r="AH250" s="433"/>
      <c r="AI250" s="433"/>
      <c r="AJ250" s="433"/>
      <c r="AK250" s="433"/>
      <c r="AL250" s="433"/>
      <c r="AM250" s="433"/>
      <c r="AN250" s="433"/>
      <c r="AO250" s="433"/>
      <c r="AP250" s="433"/>
      <c r="AQ250" s="433"/>
      <c r="AR250" s="433"/>
      <c r="AS250" s="433"/>
      <c r="AT250" s="433"/>
      <c r="AU250" s="433"/>
      <c r="AV250" s="433"/>
      <c r="AW250" s="433"/>
      <c r="AX250" s="433"/>
      <c r="AY250" s="433"/>
      <c r="AZ250" s="433"/>
      <c r="BA250" s="433"/>
      <c r="BB250" s="433"/>
      <c r="BC250" s="433"/>
      <c r="BD250" s="433"/>
      <c r="BE250" s="433"/>
      <c r="BF250" s="433"/>
      <c r="BG250" s="433"/>
      <c r="BH250" s="433"/>
      <c r="BI250" s="433"/>
      <c r="BJ250" s="433"/>
      <c r="BK250" s="433"/>
      <c r="BL250" s="433"/>
      <c r="BM250" s="433"/>
      <c r="BN250" s="433"/>
      <c r="BO250" s="433"/>
      <c r="BP250" s="433"/>
      <c r="BQ250" s="433"/>
      <c r="BR250" s="433"/>
      <c r="BS250" s="433"/>
      <c r="BT250" s="433"/>
      <c r="BU250" s="433"/>
    </row>
    <row r="251" spans="31:73" x14ac:dyDescent="0.2">
      <c r="AE251" s="433"/>
      <c r="AF251" s="433"/>
      <c r="AG251" s="433"/>
      <c r="AH251" s="433"/>
      <c r="AI251" s="433"/>
      <c r="AJ251" s="433"/>
      <c r="AK251" s="433"/>
      <c r="AL251" s="433"/>
      <c r="AM251" s="433"/>
      <c r="AN251" s="433"/>
      <c r="AO251" s="433"/>
      <c r="AP251" s="433"/>
      <c r="AQ251" s="433"/>
      <c r="AR251" s="433"/>
      <c r="AS251" s="433"/>
      <c r="AT251" s="433"/>
      <c r="AU251" s="433"/>
      <c r="AV251" s="433"/>
      <c r="AW251" s="433"/>
      <c r="AX251" s="433"/>
      <c r="AY251" s="433"/>
      <c r="AZ251" s="433"/>
      <c r="BA251" s="433"/>
      <c r="BB251" s="433"/>
      <c r="BC251" s="433"/>
      <c r="BD251" s="433"/>
      <c r="BE251" s="433"/>
      <c r="BF251" s="433"/>
      <c r="BG251" s="433"/>
      <c r="BH251" s="433"/>
      <c r="BI251" s="433"/>
      <c r="BJ251" s="433"/>
      <c r="BK251" s="433"/>
      <c r="BL251" s="433"/>
      <c r="BM251" s="433"/>
      <c r="BN251" s="433"/>
      <c r="BO251" s="433"/>
      <c r="BP251" s="433"/>
      <c r="BQ251" s="433"/>
      <c r="BR251" s="433"/>
      <c r="BS251" s="433"/>
      <c r="BT251" s="433"/>
      <c r="BU251" s="433"/>
    </row>
    <row r="252" spans="31:73" x14ac:dyDescent="0.2">
      <c r="AE252" s="433"/>
      <c r="AF252" s="433"/>
      <c r="AG252" s="433"/>
      <c r="AH252" s="433"/>
      <c r="AI252" s="433"/>
      <c r="AJ252" s="433"/>
      <c r="AK252" s="433"/>
      <c r="AL252" s="433"/>
      <c r="AM252" s="433"/>
      <c r="AN252" s="433"/>
      <c r="AO252" s="433"/>
      <c r="AP252" s="433"/>
      <c r="AQ252" s="433"/>
      <c r="AR252" s="433"/>
      <c r="AS252" s="433"/>
      <c r="AT252" s="433"/>
      <c r="AU252" s="433"/>
      <c r="AV252" s="433"/>
      <c r="AW252" s="433"/>
      <c r="AX252" s="433"/>
      <c r="AY252" s="433"/>
      <c r="AZ252" s="433"/>
      <c r="BA252" s="433"/>
      <c r="BB252" s="433"/>
      <c r="BC252" s="433"/>
      <c r="BD252" s="433"/>
      <c r="BE252" s="433"/>
      <c r="BF252" s="433"/>
      <c r="BG252" s="433"/>
      <c r="BH252" s="433"/>
      <c r="BI252" s="433"/>
      <c r="BJ252" s="433"/>
      <c r="BK252" s="433"/>
      <c r="BL252" s="433"/>
      <c r="BM252" s="433"/>
      <c r="BN252" s="433"/>
      <c r="BO252" s="433"/>
      <c r="BP252" s="433"/>
      <c r="BQ252" s="433"/>
      <c r="BR252" s="433"/>
      <c r="BS252" s="433"/>
      <c r="BT252" s="433"/>
      <c r="BU252" s="433"/>
    </row>
    <row r="253" spans="31:73" x14ac:dyDescent="0.2">
      <c r="AE253" s="433"/>
      <c r="AF253" s="433"/>
      <c r="AG253" s="433"/>
      <c r="AH253" s="433"/>
      <c r="AI253" s="433"/>
      <c r="AJ253" s="433"/>
      <c r="AK253" s="433"/>
      <c r="AL253" s="433"/>
      <c r="AM253" s="433"/>
      <c r="AN253" s="433"/>
      <c r="AO253" s="433"/>
      <c r="AP253" s="433"/>
      <c r="AQ253" s="433"/>
      <c r="AR253" s="433"/>
      <c r="AS253" s="433"/>
      <c r="AT253" s="433"/>
      <c r="AU253" s="433"/>
      <c r="AV253" s="433"/>
      <c r="AW253" s="433"/>
      <c r="AX253" s="433"/>
      <c r="AY253" s="433"/>
      <c r="AZ253" s="433"/>
      <c r="BA253" s="433"/>
      <c r="BB253" s="433"/>
      <c r="BC253" s="433"/>
      <c r="BD253" s="433"/>
      <c r="BE253" s="433"/>
      <c r="BF253" s="433"/>
      <c r="BG253" s="433"/>
      <c r="BH253" s="433"/>
      <c r="BI253" s="433"/>
      <c r="BJ253" s="433"/>
      <c r="BK253" s="433"/>
      <c r="BL253" s="433"/>
      <c r="BM253" s="433"/>
      <c r="BN253" s="433"/>
      <c r="BO253" s="433"/>
      <c r="BP253" s="433"/>
      <c r="BQ253" s="433"/>
      <c r="BR253" s="433"/>
      <c r="BS253" s="433"/>
      <c r="BT253" s="433"/>
      <c r="BU253" s="433"/>
    </row>
    <row r="254" spans="31:73" x14ac:dyDescent="0.2">
      <c r="AE254" s="433"/>
      <c r="AF254" s="433"/>
      <c r="AG254" s="433"/>
      <c r="AH254" s="433"/>
      <c r="AI254" s="433"/>
      <c r="AJ254" s="433"/>
      <c r="AK254" s="433"/>
      <c r="AL254" s="433"/>
      <c r="AM254" s="433"/>
      <c r="AN254" s="433"/>
      <c r="AO254" s="433"/>
      <c r="AP254" s="433"/>
      <c r="AQ254" s="433"/>
      <c r="AR254" s="433"/>
      <c r="AS254" s="433"/>
      <c r="AT254" s="433"/>
      <c r="AU254" s="433"/>
      <c r="AV254" s="433"/>
      <c r="AW254" s="433"/>
      <c r="AX254" s="433"/>
      <c r="AY254" s="433"/>
      <c r="AZ254" s="433"/>
      <c r="BA254" s="433"/>
      <c r="BB254" s="433"/>
      <c r="BC254" s="433"/>
      <c r="BD254" s="433"/>
      <c r="BE254" s="433"/>
      <c r="BF254" s="433"/>
      <c r="BG254" s="433"/>
      <c r="BH254" s="433"/>
      <c r="BI254" s="433"/>
      <c r="BJ254" s="433"/>
      <c r="BK254" s="433"/>
      <c r="BL254" s="433"/>
      <c r="BM254" s="433"/>
      <c r="BN254" s="433"/>
      <c r="BO254" s="433"/>
      <c r="BP254" s="433"/>
      <c r="BQ254" s="433"/>
      <c r="BR254" s="433"/>
      <c r="BS254" s="433"/>
      <c r="BT254" s="433"/>
      <c r="BU254" s="433"/>
    </row>
    <row r="255" spans="31:73" x14ac:dyDescent="0.2">
      <c r="AE255" s="433"/>
      <c r="AF255" s="433"/>
      <c r="AG255" s="433"/>
      <c r="AH255" s="433"/>
      <c r="AI255" s="433"/>
      <c r="AJ255" s="433"/>
      <c r="AK255" s="433"/>
      <c r="AL255" s="433"/>
      <c r="AM255" s="433"/>
      <c r="AN255" s="433"/>
      <c r="AO255" s="433"/>
      <c r="AP255" s="433"/>
      <c r="AQ255" s="433"/>
      <c r="AR255" s="433"/>
      <c r="AS255" s="433"/>
      <c r="AT255" s="433"/>
      <c r="AU255" s="433"/>
      <c r="AV255" s="433"/>
      <c r="AW255" s="433"/>
      <c r="AX255" s="433"/>
      <c r="AY255" s="433"/>
      <c r="AZ255" s="433"/>
      <c r="BA255" s="433"/>
      <c r="BB255" s="433"/>
      <c r="BC255" s="433"/>
      <c r="BD255" s="433"/>
      <c r="BE255" s="433"/>
      <c r="BF255" s="433"/>
      <c r="BG255" s="433"/>
      <c r="BH255" s="433"/>
      <c r="BI255" s="433"/>
      <c r="BJ255" s="433"/>
      <c r="BK255" s="433"/>
      <c r="BL255" s="433"/>
      <c r="BM255" s="433"/>
      <c r="BN255" s="433"/>
      <c r="BO255" s="433"/>
      <c r="BP255" s="433"/>
      <c r="BQ255" s="433"/>
      <c r="BR255" s="433"/>
      <c r="BS255" s="433"/>
      <c r="BT255" s="433"/>
      <c r="BU255" s="433"/>
    </row>
    <row r="256" spans="31:73" x14ac:dyDescent="0.2">
      <c r="AE256" s="433"/>
      <c r="AF256" s="433"/>
      <c r="AG256" s="433"/>
      <c r="AH256" s="433"/>
      <c r="AI256" s="433"/>
      <c r="AJ256" s="433"/>
      <c r="AK256" s="433"/>
      <c r="AL256" s="433"/>
      <c r="AM256" s="433"/>
      <c r="AN256" s="433"/>
      <c r="AO256" s="433"/>
      <c r="AP256" s="433"/>
      <c r="AQ256" s="433"/>
      <c r="AR256" s="433"/>
      <c r="AS256" s="433"/>
      <c r="AT256" s="433"/>
      <c r="AU256" s="433"/>
      <c r="AV256" s="433"/>
      <c r="AW256" s="433"/>
      <c r="AX256" s="433"/>
      <c r="AY256" s="433"/>
      <c r="AZ256" s="433"/>
      <c r="BA256" s="433"/>
      <c r="BB256" s="433"/>
      <c r="BC256" s="433"/>
      <c r="BD256" s="433"/>
      <c r="BE256" s="433"/>
      <c r="BF256" s="433"/>
      <c r="BG256" s="433"/>
      <c r="BH256" s="433"/>
      <c r="BI256" s="433"/>
      <c r="BJ256" s="433"/>
      <c r="BK256" s="433"/>
      <c r="BL256" s="433"/>
      <c r="BM256" s="433"/>
      <c r="BN256" s="433"/>
      <c r="BO256" s="433"/>
      <c r="BP256" s="433"/>
      <c r="BQ256" s="433"/>
      <c r="BR256" s="433"/>
      <c r="BS256" s="433"/>
      <c r="BT256" s="433"/>
      <c r="BU256" s="433"/>
    </row>
    <row r="257" spans="31:73" x14ac:dyDescent="0.2">
      <c r="AE257" s="433"/>
      <c r="AF257" s="433"/>
      <c r="AG257" s="433"/>
      <c r="AH257" s="433"/>
      <c r="AI257" s="433"/>
      <c r="AJ257" s="433"/>
      <c r="AK257" s="433"/>
      <c r="AL257" s="433"/>
      <c r="AM257" s="433"/>
      <c r="AN257" s="433"/>
      <c r="AO257" s="433"/>
      <c r="AP257" s="433"/>
      <c r="AQ257" s="433"/>
      <c r="AR257" s="433"/>
      <c r="AS257" s="433"/>
      <c r="AT257" s="433"/>
      <c r="AU257" s="433"/>
      <c r="AV257" s="433"/>
      <c r="AW257" s="433"/>
      <c r="AX257" s="433"/>
      <c r="AY257" s="433"/>
      <c r="AZ257" s="433"/>
      <c r="BA257" s="433"/>
      <c r="BB257" s="433"/>
      <c r="BC257" s="433"/>
      <c r="BD257" s="433"/>
      <c r="BE257" s="433"/>
      <c r="BF257" s="433"/>
      <c r="BG257" s="433"/>
      <c r="BH257" s="433"/>
      <c r="BI257" s="433"/>
      <c r="BJ257" s="433"/>
      <c r="BK257" s="433"/>
      <c r="BL257" s="433"/>
      <c r="BM257" s="433"/>
      <c r="BN257" s="433"/>
      <c r="BO257" s="433"/>
      <c r="BP257" s="433"/>
      <c r="BQ257" s="433"/>
      <c r="BR257" s="433"/>
      <c r="BS257" s="433"/>
      <c r="BT257" s="433"/>
      <c r="BU257" s="433"/>
    </row>
    <row r="258" spans="31:73" x14ac:dyDescent="0.2">
      <c r="AE258" s="433"/>
      <c r="AF258" s="433"/>
      <c r="AG258" s="433"/>
      <c r="AH258" s="433"/>
      <c r="AI258" s="433"/>
      <c r="AJ258" s="433"/>
      <c r="AK258" s="433"/>
      <c r="AL258" s="433"/>
      <c r="AM258" s="433"/>
      <c r="AN258" s="433"/>
      <c r="AO258" s="433"/>
      <c r="AP258" s="433"/>
      <c r="AQ258" s="433"/>
      <c r="AR258" s="433"/>
      <c r="AS258" s="433"/>
      <c r="AT258" s="433"/>
      <c r="AU258" s="433"/>
      <c r="AV258" s="433"/>
      <c r="AW258" s="433"/>
      <c r="AX258" s="433"/>
      <c r="AY258" s="433"/>
      <c r="AZ258" s="433"/>
      <c r="BA258" s="433"/>
      <c r="BB258" s="433"/>
      <c r="BC258" s="433"/>
      <c r="BD258" s="433"/>
      <c r="BE258" s="433"/>
      <c r="BF258" s="433"/>
      <c r="BG258" s="433"/>
      <c r="BH258" s="433"/>
      <c r="BI258" s="433"/>
      <c r="BJ258" s="433"/>
      <c r="BK258" s="433"/>
      <c r="BL258" s="433"/>
      <c r="BM258" s="433"/>
      <c r="BN258" s="433"/>
      <c r="BO258" s="433"/>
      <c r="BP258" s="433"/>
      <c r="BQ258" s="433"/>
      <c r="BR258" s="433"/>
      <c r="BS258" s="433"/>
      <c r="BT258" s="433"/>
      <c r="BU258" s="433"/>
    </row>
    <row r="259" spans="31:73" x14ac:dyDescent="0.2">
      <c r="AE259" s="433"/>
      <c r="AF259" s="433"/>
      <c r="AG259" s="433"/>
      <c r="AH259" s="433"/>
      <c r="AI259" s="433"/>
      <c r="AJ259" s="433"/>
      <c r="AK259" s="433"/>
      <c r="AL259" s="433"/>
      <c r="AM259" s="433"/>
      <c r="AN259" s="433"/>
      <c r="AO259" s="433"/>
      <c r="AP259" s="433"/>
      <c r="AQ259" s="433"/>
      <c r="AR259" s="433"/>
      <c r="AS259" s="433"/>
      <c r="AT259" s="433"/>
      <c r="AU259" s="433"/>
      <c r="AV259" s="433"/>
      <c r="AW259" s="433"/>
      <c r="AX259" s="433"/>
      <c r="AY259" s="433"/>
      <c r="AZ259" s="433"/>
      <c r="BA259" s="433"/>
      <c r="BB259" s="433"/>
      <c r="BC259" s="433"/>
      <c r="BD259" s="433"/>
      <c r="BE259" s="433"/>
      <c r="BF259" s="433"/>
      <c r="BG259" s="433"/>
      <c r="BH259" s="433"/>
      <c r="BI259" s="433"/>
      <c r="BJ259" s="433"/>
      <c r="BK259" s="433"/>
      <c r="BL259" s="433"/>
      <c r="BM259" s="433"/>
      <c r="BN259" s="433"/>
      <c r="BO259" s="433"/>
      <c r="BP259" s="433"/>
      <c r="BQ259" s="433"/>
      <c r="BR259" s="433"/>
      <c r="BS259" s="433"/>
      <c r="BT259" s="433"/>
      <c r="BU259" s="433"/>
    </row>
    <row r="260" spans="31:73" x14ac:dyDescent="0.2">
      <c r="AE260" s="433"/>
      <c r="AF260" s="433"/>
      <c r="AG260" s="433"/>
      <c r="AH260" s="433"/>
      <c r="AI260" s="433"/>
      <c r="AJ260" s="433"/>
      <c r="AK260" s="433"/>
      <c r="AL260" s="433"/>
      <c r="AM260" s="433"/>
      <c r="AN260" s="433"/>
      <c r="AO260" s="433"/>
      <c r="AP260" s="433"/>
      <c r="AQ260" s="433"/>
      <c r="AR260" s="433"/>
      <c r="AS260" s="433"/>
      <c r="AT260" s="433"/>
      <c r="AU260" s="433"/>
      <c r="AV260" s="433"/>
      <c r="AW260" s="433"/>
      <c r="AX260" s="433"/>
      <c r="AY260" s="433"/>
      <c r="AZ260" s="433"/>
      <c r="BA260" s="433"/>
      <c r="BB260" s="433"/>
      <c r="BC260" s="433"/>
      <c r="BD260" s="433"/>
      <c r="BE260" s="433"/>
      <c r="BF260" s="433"/>
      <c r="BG260" s="433"/>
      <c r="BH260" s="433"/>
      <c r="BI260" s="433"/>
      <c r="BJ260" s="433"/>
      <c r="BK260" s="433"/>
      <c r="BL260" s="433"/>
      <c r="BM260" s="433"/>
      <c r="BN260" s="433"/>
      <c r="BO260" s="433"/>
      <c r="BP260" s="433"/>
      <c r="BQ260" s="433"/>
      <c r="BR260" s="433"/>
      <c r="BS260" s="433"/>
      <c r="BT260" s="433"/>
      <c r="BU260" s="433"/>
    </row>
    <row r="261" spans="31:73" s="359" customFormat="1" x14ac:dyDescent="0.2">
      <c r="AE261" s="440"/>
      <c r="AF261" s="440"/>
      <c r="AG261" s="440"/>
      <c r="AH261" s="440"/>
      <c r="AI261" s="440"/>
      <c r="AJ261" s="440"/>
      <c r="AK261" s="440"/>
      <c r="AL261" s="440"/>
      <c r="AM261" s="440"/>
      <c r="AN261" s="440"/>
      <c r="AO261" s="440"/>
      <c r="AP261" s="440"/>
      <c r="AQ261" s="440"/>
      <c r="AR261" s="440"/>
      <c r="AS261" s="440"/>
      <c r="AT261" s="440"/>
      <c r="AU261" s="440"/>
      <c r="AV261" s="440"/>
      <c r="AW261" s="440"/>
      <c r="AX261" s="440"/>
      <c r="AY261" s="440"/>
      <c r="AZ261" s="440"/>
      <c r="BA261" s="440"/>
      <c r="BB261" s="440"/>
      <c r="BC261" s="440"/>
      <c r="BD261" s="440"/>
      <c r="BE261" s="440"/>
      <c r="BF261" s="440"/>
      <c r="BG261" s="440"/>
      <c r="BH261" s="440"/>
      <c r="BI261" s="440"/>
      <c r="BJ261" s="440"/>
      <c r="BK261" s="440"/>
      <c r="BL261" s="440"/>
      <c r="BM261" s="440"/>
      <c r="BN261" s="440"/>
      <c r="BO261" s="440"/>
      <c r="BP261" s="440"/>
      <c r="BQ261" s="440"/>
      <c r="BR261" s="440"/>
      <c r="BS261" s="440"/>
      <c r="BT261" s="440"/>
      <c r="BU261" s="440"/>
    </row>
    <row r="262" spans="31:73" s="359" customFormat="1" x14ac:dyDescent="0.2">
      <c r="AE262" s="440"/>
      <c r="AF262" s="440"/>
      <c r="AG262" s="440"/>
      <c r="AH262" s="440"/>
      <c r="AI262" s="440"/>
      <c r="AJ262" s="440"/>
      <c r="AK262" s="440"/>
      <c r="AL262" s="440"/>
      <c r="AM262" s="440"/>
      <c r="AN262" s="440"/>
      <c r="AO262" s="440"/>
      <c r="AP262" s="440"/>
      <c r="AQ262" s="440"/>
      <c r="AR262" s="440"/>
      <c r="AS262" s="440"/>
      <c r="AT262" s="440"/>
      <c r="AU262" s="440"/>
      <c r="AV262" s="440"/>
      <c r="AW262" s="440"/>
      <c r="AX262" s="440"/>
      <c r="AY262" s="440"/>
      <c r="AZ262" s="440"/>
      <c r="BA262" s="440"/>
      <c r="BB262" s="440"/>
      <c r="BC262" s="440"/>
      <c r="BD262" s="440"/>
      <c r="BE262" s="440"/>
      <c r="BF262" s="440"/>
      <c r="BG262" s="440"/>
      <c r="BH262" s="440"/>
      <c r="BI262" s="440"/>
      <c r="BJ262" s="440"/>
      <c r="BK262" s="440"/>
      <c r="BL262" s="440"/>
      <c r="BM262" s="440"/>
      <c r="BN262" s="440"/>
      <c r="BO262" s="440"/>
      <c r="BP262" s="440"/>
      <c r="BQ262" s="440"/>
      <c r="BR262" s="440"/>
      <c r="BS262" s="440"/>
      <c r="BT262" s="440"/>
      <c r="BU262" s="440"/>
    </row>
    <row r="263" spans="31:73" s="359" customFormat="1" x14ac:dyDescent="0.2">
      <c r="AE263" s="440"/>
      <c r="AF263" s="440"/>
      <c r="AG263" s="440"/>
      <c r="AH263" s="440"/>
      <c r="AI263" s="440"/>
      <c r="AJ263" s="440"/>
      <c r="AK263" s="440"/>
      <c r="AL263" s="440"/>
      <c r="AM263" s="440"/>
      <c r="AN263" s="440"/>
      <c r="AO263" s="440"/>
      <c r="AP263" s="440"/>
      <c r="AQ263" s="440"/>
      <c r="AR263" s="440"/>
      <c r="AS263" s="440"/>
      <c r="AT263" s="440"/>
      <c r="AU263" s="440"/>
      <c r="AV263" s="440"/>
      <c r="AW263" s="440"/>
      <c r="AX263" s="440"/>
      <c r="AY263" s="440"/>
      <c r="AZ263" s="440"/>
      <c r="BA263" s="440"/>
      <c r="BB263" s="440"/>
      <c r="BC263" s="440"/>
      <c r="BD263" s="440"/>
      <c r="BE263" s="440"/>
      <c r="BF263" s="440"/>
      <c r="BG263" s="440"/>
      <c r="BH263" s="440"/>
      <c r="BI263" s="440"/>
      <c r="BJ263" s="440"/>
      <c r="BK263" s="440"/>
      <c r="BL263" s="440"/>
      <c r="BM263" s="440"/>
      <c r="BN263" s="440"/>
      <c r="BO263" s="440"/>
      <c r="BP263" s="440"/>
      <c r="BQ263" s="440"/>
      <c r="BR263" s="440"/>
      <c r="BS263" s="440"/>
      <c r="BT263" s="440"/>
      <c r="BU263" s="440"/>
    </row>
    <row r="264" spans="31:73" s="359" customFormat="1" x14ac:dyDescent="0.2">
      <c r="AE264" s="440"/>
      <c r="AF264" s="440"/>
      <c r="AG264" s="440"/>
      <c r="AH264" s="440"/>
      <c r="AI264" s="440"/>
      <c r="AJ264" s="440"/>
      <c r="AK264" s="440"/>
      <c r="AL264" s="440"/>
      <c r="AM264" s="440"/>
      <c r="AN264" s="440"/>
      <c r="AO264" s="440"/>
      <c r="AP264" s="440"/>
      <c r="AQ264" s="440"/>
      <c r="AR264" s="440"/>
      <c r="AS264" s="440"/>
      <c r="AT264" s="440"/>
      <c r="AU264" s="440"/>
      <c r="AV264" s="440"/>
      <c r="AW264" s="440"/>
      <c r="AX264" s="440"/>
      <c r="AY264" s="440"/>
      <c r="AZ264" s="440"/>
      <c r="BA264" s="440"/>
      <c r="BB264" s="440"/>
      <c r="BC264" s="440"/>
      <c r="BD264" s="440"/>
      <c r="BE264" s="440"/>
      <c r="BF264" s="440"/>
      <c r="BG264" s="440"/>
      <c r="BH264" s="440"/>
      <c r="BI264" s="440"/>
      <c r="BJ264" s="440"/>
      <c r="BK264" s="440"/>
      <c r="BL264" s="440"/>
      <c r="BM264" s="440"/>
      <c r="BN264" s="440"/>
      <c r="BO264" s="440"/>
      <c r="BP264" s="440"/>
      <c r="BQ264" s="440"/>
      <c r="BR264" s="440"/>
      <c r="BS264" s="440"/>
      <c r="BT264" s="440"/>
      <c r="BU264" s="440"/>
    </row>
    <row r="265" spans="31:73" s="359" customFormat="1" x14ac:dyDescent="0.2">
      <c r="AE265" s="440"/>
      <c r="AF265" s="440"/>
      <c r="AG265" s="440"/>
      <c r="AH265" s="440"/>
      <c r="AI265" s="440"/>
      <c r="AJ265" s="440"/>
      <c r="AK265" s="440"/>
      <c r="AL265" s="440"/>
      <c r="AM265" s="440"/>
      <c r="AN265" s="440"/>
      <c r="AO265" s="440"/>
      <c r="AP265" s="440"/>
      <c r="AQ265" s="440"/>
      <c r="AR265" s="440"/>
      <c r="AS265" s="440"/>
      <c r="AT265" s="440"/>
      <c r="AU265" s="440"/>
      <c r="AV265" s="440"/>
      <c r="AW265" s="440"/>
      <c r="AX265" s="440"/>
      <c r="AY265" s="440"/>
      <c r="AZ265" s="440"/>
      <c r="BA265" s="440"/>
      <c r="BB265" s="440"/>
      <c r="BC265" s="440"/>
      <c r="BD265" s="440"/>
      <c r="BE265" s="440"/>
      <c r="BF265" s="440"/>
      <c r="BG265" s="440"/>
      <c r="BH265" s="440"/>
      <c r="BI265" s="440"/>
      <c r="BJ265" s="440"/>
      <c r="BK265" s="440"/>
      <c r="BL265" s="440"/>
      <c r="BM265" s="440"/>
      <c r="BN265" s="440"/>
      <c r="BO265" s="440"/>
      <c r="BP265" s="440"/>
      <c r="BQ265" s="440"/>
      <c r="BR265" s="440"/>
      <c r="BS265" s="440"/>
      <c r="BT265" s="440"/>
      <c r="BU265" s="440"/>
    </row>
    <row r="266" spans="31:73" x14ac:dyDescent="0.2">
      <c r="AE266" s="433"/>
      <c r="AF266" s="433"/>
      <c r="AG266" s="433"/>
      <c r="AH266" s="433"/>
      <c r="AI266" s="433"/>
      <c r="AJ266" s="433"/>
      <c r="AK266" s="433"/>
      <c r="AL266" s="433"/>
      <c r="AM266" s="433"/>
      <c r="AN266" s="433"/>
      <c r="AO266" s="433"/>
      <c r="AP266" s="433"/>
      <c r="AQ266" s="433"/>
      <c r="AR266" s="433"/>
      <c r="AS266" s="433"/>
      <c r="AT266" s="433"/>
      <c r="AU266" s="433"/>
      <c r="AV266" s="433"/>
      <c r="AW266" s="433"/>
      <c r="AX266" s="433"/>
      <c r="AY266" s="433"/>
      <c r="AZ266" s="433"/>
      <c r="BA266" s="433"/>
      <c r="BB266" s="433"/>
      <c r="BC266" s="433"/>
      <c r="BD266" s="433"/>
      <c r="BE266" s="433"/>
      <c r="BF266" s="433"/>
      <c r="BG266" s="433"/>
      <c r="BH266" s="433"/>
      <c r="BI266" s="433"/>
      <c r="BJ266" s="433"/>
      <c r="BK266" s="433"/>
      <c r="BL266" s="433"/>
      <c r="BM266" s="433"/>
      <c r="BN266" s="433"/>
      <c r="BO266" s="433"/>
      <c r="BP266" s="433"/>
      <c r="BQ266" s="433"/>
      <c r="BR266" s="433"/>
      <c r="BS266" s="433"/>
      <c r="BT266" s="433"/>
      <c r="BU266" s="433"/>
    </row>
    <row r="267" spans="31:73" x14ac:dyDescent="0.2">
      <c r="AE267" s="433"/>
      <c r="AF267" s="433"/>
      <c r="AG267" s="433"/>
      <c r="AH267" s="433"/>
      <c r="AI267" s="433"/>
      <c r="AJ267" s="433"/>
      <c r="AK267" s="433"/>
      <c r="AL267" s="433"/>
      <c r="AM267" s="433"/>
      <c r="AN267" s="433"/>
      <c r="AO267" s="433"/>
      <c r="AP267" s="433"/>
      <c r="AQ267" s="433"/>
      <c r="AR267" s="433"/>
      <c r="AS267" s="433"/>
      <c r="AT267" s="433"/>
      <c r="AU267" s="433"/>
      <c r="AV267" s="433"/>
      <c r="AW267" s="433"/>
      <c r="AX267" s="433"/>
      <c r="AY267" s="433"/>
      <c r="AZ267" s="433"/>
      <c r="BA267" s="433"/>
      <c r="BB267" s="433"/>
      <c r="BC267" s="433"/>
      <c r="BD267" s="433"/>
      <c r="BE267" s="433"/>
      <c r="BF267" s="433"/>
      <c r="BG267" s="433"/>
      <c r="BH267" s="433"/>
      <c r="BI267" s="433"/>
      <c r="BJ267" s="433"/>
      <c r="BK267" s="433"/>
      <c r="BL267" s="433"/>
      <c r="BM267" s="433"/>
      <c r="BN267" s="433"/>
      <c r="BO267" s="433"/>
      <c r="BP267" s="433"/>
      <c r="BQ267" s="433"/>
      <c r="BR267" s="433"/>
      <c r="BS267" s="433"/>
      <c r="BT267" s="433"/>
      <c r="BU267" s="433"/>
    </row>
    <row r="268" spans="31:73" x14ac:dyDescent="0.2">
      <c r="AE268" s="433"/>
      <c r="AF268" s="433"/>
      <c r="AG268" s="433"/>
      <c r="AH268" s="433"/>
      <c r="AI268" s="433"/>
      <c r="AJ268" s="433"/>
      <c r="AK268" s="433"/>
      <c r="AL268" s="433"/>
      <c r="AM268" s="433"/>
      <c r="AN268" s="433"/>
      <c r="AO268" s="433"/>
      <c r="AP268" s="433"/>
      <c r="AQ268" s="433"/>
      <c r="AR268" s="433"/>
      <c r="AS268" s="433"/>
      <c r="AT268" s="433"/>
      <c r="AU268" s="433"/>
      <c r="AV268" s="433"/>
      <c r="AW268" s="433"/>
      <c r="AX268" s="433"/>
      <c r="AY268" s="433"/>
      <c r="AZ268" s="433"/>
      <c r="BA268" s="433"/>
      <c r="BB268" s="433"/>
      <c r="BC268" s="433"/>
      <c r="BD268" s="433"/>
      <c r="BE268" s="433"/>
      <c r="BF268" s="433"/>
      <c r="BG268" s="433"/>
      <c r="BH268" s="433"/>
      <c r="BI268" s="433"/>
      <c r="BJ268" s="433"/>
      <c r="BK268" s="433"/>
      <c r="BL268" s="433"/>
      <c r="BM268" s="433"/>
      <c r="BN268" s="433"/>
      <c r="BO268" s="433"/>
      <c r="BP268" s="433"/>
      <c r="BQ268" s="433"/>
      <c r="BR268" s="433"/>
      <c r="BS268" s="433"/>
      <c r="BT268" s="433"/>
      <c r="BU268" s="433"/>
    </row>
    <row r="269" spans="31:73" x14ac:dyDescent="0.2">
      <c r="AE269" s="433"/>
      <c r="AF269" s="433"/>
      <c r="AG269" s="433"/>
      <c r="AH269" s="433"/>
      <c r="AI269" s="433"/>
      <c r="AJ269" s="433"/>
      <c r="AK269" s="433"/>
      <c r="AL269" s="433"/>
      <c r="AM269" s="433"/>
      <c r="AN269" s="433"/>
      <c r="AO269" s="433"/>
      <c r="AP269" s="433"/>
      <c r="AQ269" s="433"/>
      <c r="AR269" s="433"/>
      <c r="AS269" s="433"/>
      <c r="AT269" s="433"/>
      <c r="AU269" s="433"/>
      <c r="AV269" s="433"/>
      <c r="AW269" s="433"/>
      <c r="AX269" s="433"/>
      <c r="AY269" s="433"/>
      <c r="AZ269" s="433"/>
      <c r="BA269" s="433"/>
      <c r="BB269" s="433"/>
      <c r="BC269" s="433"/>
      <c r="BD269" s="433"/>
      <c r="BE269" s="433"/>
      <c r="BF269" s="433"/>
      <c r="BG269" s="433"/>
      <c r="BH269" s="433"/>
      <c r="BI269" s="433"/>
      <c r="BJ269" s="433"/>
      <c r="BK269" s="433"/>
      <c r="BL269" s="433"/>
      <c r="BM269" s="433"/>
      <c r="BN269" s="433"/>
      <c r="BO269" s="433"/>
      <c r="BP269" s="433"/>
      <c r="BQ269" s="433"/>
      <c r="BR269" s="433"/>
      <c r="BS269" s="433"/>
      <c r="BT269" s="433"/>
      <c r="BU269" s="433"/>
    </row>
    <row r="270" spans="31:73" x14ac:dyDescent="0.2">
      <c r="AE270" s="433"/>
      <c r="AF270" s="433"/>
      <c r="AG270" s="433"/>
      <c r="AH270" s="433"/>
      <c r="AI270" s="433"/>
      <c r="AJ270" s="433"/>
      <c r="AK270" s="433"/>
      <c r="AL270" s="433"/>
      <c r="AM270" s="433"/>
      <c r="AN270" s="433"/>
      <c r="AO270" s="433"/>
      <c r="AP270" s="433"/>
      <c r="AQ270" s="433"/>
      <c r="AR270" s="433"/>
      <c r="AS270" s="433"/>
      <c r="AT270" s="433"/>
      <c r="AU270" s="433"/>
      <c r="AV270" s="433"/>
      <c r="AW270" s="433"/>
      <c r="AX270" s="433"/>
      <c r="AY270" s="433"/>
      <c r="AZ270" s="433"/>
      <c r="BA270" s="433"/>
      <c r="BB270" s="433"/>
      <c r="BC270" s="433"/>
      <c r="BD270" s="433"/>
      <c r="BE270" s="433"/>
      <c r="BF270" s="433"/>
      <c r="BG270" s="433"/>
      <c r="BH270" s="433"/>
      <c r="BI270" s="433"/>
      <c r="BJ270" s="433"/>
      <c r="BK270" s="433"/>
      <c r="BL270" s="433"/>
      <c r="BM270" s="433"/>
      <c r="BN270" s="433"/>
      <c r="BO270" s="433"/>
      <c r="BP270" s="433"/>
      <c r="BQ270" s="433"/>
      <c r="BR270" s="433"/>
      <c r="BS270" s="433"/>
      <c r="BT270" s="433"/>
      <c r="BU270" s="433"/>
    </row>
    <row r="271" spans="31:73" x14ac:dyDescent="0.2">
      <c r="AE271" s="433"/>
      <c r="AF271" s="433"/>
      <c r="AG271" s="433"/>
      <c r="AH271" s="433"/>
      <c r="AI271" s="433"/>
      <c r="AJ271" s="433"/>
      <c r="AK271" s="433"/>
      <c r="AL271" s="433"/>
      <c r="AM271" s="433"/>
      <c r="AN271" s="433"/>
      <c r="AO271" s="433"/>
      <c r="AP271" s="433"/>
      <c r="AQ271" s="433"/>
      <c r="AR271" s="433"/>
      <c r="AS271" s="433"/>
      <c r="AT271" s="433"/>
      <c r="AU271" s="433"/>
      <c r="AV271" s="433"/>
      <c r="AW271" s="433"/>
      <c r="AX271" s="433"/>
      <c r="AY271" s="433"/>
      <c r="AZ271" s="433"/>
      <c r="BA271" s="433"/>
      <c r="BB271" s="433"/>
      <c r="BC271" s="433"/>
      <c r="BD271" s="433"/>
      <c r="BE271" s="433"/>
      <c r="BF271" s="433"/>
      <c r="BG271" s="433"/>
      <c r="BH271" s="433"/>
      <c r="BI271" s="433"/>
      <c r="BJ271" s="433"/>
      <c r="BK271" s="433"/>
      <c r="BL271" s="433"/>
      <c r="BM271" s="433"/>
      <c r="BN271" s="433"/>
      <c r="BO271" s="433"/>
      <c r="BP271" s="433"/>
      <c r="BQ271" s="433"/>
      <c r="BR271" s="433"/>
      <c r="BS271" s="433"/>
      <c r="BT271" s="433"/>
      <c r="BU271" s="433"/>
    </row>
    <row r="272" spans="31:73" x14ac:dyDescent="0.2">
      <c r="AE272" s="433"/>
      <c r="AF272" s="433"/>
      <c r="AG272" s="433"/>
      <c r="AH272" s="433"/>
      <c r="AI272" s="433"/>
      <c r="AJ272" s="433"/>
      <c r="AK272" s="433"/>
      <c r="AL272" s="433"/>
      <c r="AM272" s="433"/>
      <c r="AN272" s="433"/>
      <c r="AO272" s="433"/>
      <c r="AP272" s="433"/>
      <c r="AQ272" s="433"/>
      <c r="AR272" s="433"/>
      <c r="AS272" s="433"/>
      <c r="AT272" s="433"/>
      <c r="AU272" s="433"/>
      <c r="AV272" s="433"/>
      <c r="AW272" s="433"/>
      <c r="AX272" s="433"/>
      <c r="AY272" s="433"/>
      <c r="AZ272" s="433"/>
      <c r="BA272" s="433"/>
      <c r="BB272" s="433"/>
      <c r="BC272" s="433"/>
      <c r="BD272" s="433"/>
      <c r="BE272" s="433"/>
      <c r="BF272" s="433"/>
      <c r="BG272" s="433"/>
      <c r="BH272" s="433"/>
      <c r="BI272" s="433"/>
      <c r="BJ272" s="433"/>
      <c r="BK272" s="433"/>
      <c r="BL272" s="433"/>
      <c r="BM272" s="433"/>
      <c r="BN272" s="433"/>
      <c r="BO272" s="433"/>
      <c r="BP272" s="433"/>
      <c r="BQ272" s="433"/>
      <c r="BR272" s="433"/>
      <c r="BS272" s="433"/>
      <c r="BT272" s="433"/>
      <c r="BU272" s="433"/>
    </row>
    <row r="273" spans="31:73" x14ac:dyDescent="0.2">
      <c r="AE273" s="433"/>
      <c r="AF273" s="433"/>
      <c r="AG273" s="433"/>
      <c r="AH273" s="433"/>
      <c r="AI273" s="433"/>
      <c r="AJ273" s="433"/>
      <c r="AK273" s="433"/>
      <c r="AL273" s="433"/>
      <c r="AM273" s="433"/>
      <c r="AN273" s="433"/>
      <c r="AO273" s="433"/>
      <c r="AP273" s="433"/>
      <c r="AQ273" s="433"/>
      <c r="AR273" s="433"/>
      <c r="AS273" s="433"/>
      <c r="AT273" s="433"/>
      <c r="AU273" s="433"/>
      <c r="AV273" s="433"/>
      <c r="AW273" s="433"/>
      <c r="AX273" s="433"/>
      <c r="AY273" s="433"/>
      <c r="AZ273" s="433"/>
      <c r="BA273" s="433"/>
      <c r="BB273" s="433"/>
      <c r="BC273" s="433"/>
      <c r="BD273" s="433"/>
      <c r="BE273" s="433"/>
      <c r="BF273" s="433"/>
      <c r="BG273" s="433"/>
      <c r="BH273" s="433"/>
      <c r="BI273" s="433"/>
      <c r="BJ273" s="433"/>
      <c r="BK273" s="433"/>
      <c r="BL273" s="433"/>
      <c r="BM273" s="433"/>
      <c r="BN273" s="433"/>
      <c r="BO273" s="433"/>
      <c r="BP273" s="433"/>
      <c r="BQ273" s="433"/>
      <c r="BR273" s="433"/>
      <c r="BS273" s="433"/>
      <c r="BT273" s="433"/>
      <c r="BU273" s="433"/>
    </row>
    <row r="274" spans="31:73" x14ac:dyDescent="0.2">
      <c r="AE274" s="433"/>
      <c r="AF274" s="433"/>
      <c r="AG274" s="433"/>
      <c r="AH274" s="433"/>
      <c r="AI274" s="433"/>
      <c r="AJ274" s="433"/>
      <c r="AK274" s="433"/>
      <c r="AL274" s="433"/>
      <c r="AM274" s="433"/>
      <c r="AN274" s="433"/>
      <c r="AO274" s="433"/>
      <c r="AP274" s="433"/>
      <c r="AQ274" s="433"/>
      <c r="AR274" s="433"/>
      <c r="AS274" s="433"/>
      <c r="AT274" s="433"/>
      <c r="AU274" s="433"/>
      <c r="AV274" s="433"/>
      <c r="AW274" s="433"/>
      <c r="AX274" s="433"/>
      <c r="AY274" s="433"/>
      <c r="AZ274" s="433"/>
      <c r="BA274" s="433"/>
      <c r="BB274" s="433"/>
      <c r="BC274" s="433"/>
      <c r="BD274" s="433"/>
      <c r="BE274" s="433"/>
      <c r="BF274" s="433"/>
      <c r="BG274" s="433"/>
      <c r="BH274" s="433"/>
      <c r="BI274" s="433"/>
      <c r="BJ274" s="433"/>
      <c r="BK274" s="433"/>
      <c r="BL274" s="433"/>
      <c r="BM274" s="433"/>
      <c r="BN274" s="433"/>
      <c r="BO274" s="433"/>
      <c r="BP274" s="433"/>
      <c r="BQ274" s="433"/>
      <c r="BR274" s="433"/>
      <c r="BS274" s="433"/>
      <c r="BT274" s="433"/>
      <c r="BU274" s="433"/>
    </row>
    <row r="275" spans="31:73" x14ac:dyDescent="0.2">
      <c r="AE275" s="433"/>
      <c r="AF275" s="433"/>
      <c r="AG275" s="433"/>
      <c r="AH275" s="433"/>
      <c r="AI275" s="433"/>
      <c r="AJ275" s="433"/>
      <c r="AK275" s="433"/>
      <c r="AL275" s="433"/>
      <c r="AM275" s="433"/>
      <c r="AN275" s="433"/>
      <c r="AO275" s="433"/>
      <c r="AP275" s="433"/>
      <c r="AQ275" s="433"/>
      <c r="AR275" s="433"/>
      <c r="AS275" s="433"/>
      <c r="AT275" s="433"/>
      <c r="AU275" s="433"/>
      <c r="AV275" s="433"/>
      <c r="AW275" s="433"/>
      <c r="AX275" s="433"/>
      <c r="AY275" s="433"/>
      <c r="AZ275" s="433"/>
      <c r="BA275" s="433"/>
      <c r="BB275" s="433"/>
      <c r="BC275" s="433"/>
      <c r="BD275" s="433"/>
      <c r="BE275" s="433"/>
      <c r="BF275" s="433"/>
      <c r="BG275" s="433"/>
      <c r="BH275" s="433"/>
      <c r="BI275" s="433"/>
      <c r="BJ275" s="433"/>
      <c r="BK275" s="433"/>
      <c r="BL275" s="433"/>
      <c r="BM275" s="433"/>
      <c r="BN275" s="433"/>
      <c r="BO275" s="433"/>
      <c r="BP275" s="433"/>
      <c r="BQ275" s="433"/>
      <c r="BR275" s="433"/>
      <c r="BS275" s="433"/>
      <c r="BT275" s="433"/>
      <c r="BU275" s="433"/>
    </row>
    <row r="276" spans="31:73" x14ac:dyDescent="0.2">
      <c r="AE276" s="433"/>
      <c r="AF276" s="433"/>
      <c r="AG276" s="433"/>
      <c r="AH276" s="433"/>
      <c r="AI276" s="433"/>
      <c r="AJ276" s="433"/>
      <c r="AK276" s="433"/>
      <c r="AL276" s="433"/>
      <c r="AM276" s="433"/>
      <c r="AN276" s="433"/>
      <c r="AO276" s="433"/>
      <c r="AP276" s="433"/>
      <c r="AQ276" s="433"/>
      <c r="AR276" s="433"/>
      <c r="AS276" s="433"/>
      <c r="AT276" s="433"/>
      <c r="AU276" s="433"/>
      <c r="AV276" s="433"/>
      <c r="AW276" s="433"/>
      <c r="AX276" s="433"/>
      <c r="AY276" s="433"/>
      <c r="AZ276" s="433"/>
      <c r="BA276" s="433"/>
      <c r="BB276" s="433"/>
      <c r="BC276" s="433"/>
      <c r="BD276" s="433"/>
      <c r="BE276" s="433"/>
      <c r="BF276" s="433"/>
      <c r="BG276" s="433"/>
      <c r="BH276" s="433"/>
      <c r="BI276" s="433"/>
      <c r="BJ276" s="433"/>
      <c r="BK276" s="433"/>
      <c r="BL276" s="433"/>
      <c r="BM276" s="433"/>
      <c r="BN276" s="433"/>
      <c r="BO276" s="433"/>
      <c r="BP276" s="433"/>
      <c r="BQ276" s="433"/>
      <c r="BR276" s="433"/>
      <c r="BS276" s="433"/>
      <c r="BT276" s="433"/>
      <c r="BU276" s="433"/>
    </row>
    <row r="277" spans="31:73" x14ac:dyDescent="0.2">
      <c r="AE277" s="433"/>
      <c r="AF277" s="433"/>
      <c r="AG277" s="433"/>
      <c r="AH277" s="433"/>
      <c r="AI277" s="433"/>
      <c r="AJ277" s="433"/>
      <c r="AK277" s="433"/>
      <c r="AL277" s="433"/>
      <c r="AM277" s="433"/>
      <c r="AN277" s="433"/>
      <c r="AO277" s="433"/>
      <c r="AP277" s="433"/>
      <c r="AQ277" s="433"/>
      <c r="AR277" s="433"/>
      <c r="AS277" s="433"/>
      <c r="AT277" s="433"/>
      <c r="AU277" s="433"/>
      <c r="AV277" s="433"/>
      <c r="AW277" s="433"/>
      <c r="AX277" s="433"/>
      <c r="AY277" s="433"/>
      <c r="AZ277" s="433"/>
      <c r="BA277" s="433"/>
      <c r="BB277" s="433"/>
      <c r="BC277" s="433"/>
      <c r="BD277" s="433"/>
      <c r="BE277" s="433"/>
      <c r="BF277" s="433"/>
      <c r="BG277" s="433"/>
      <c r="BH277" s="433"/>
      <c r="BI277" s="433"/>
      <c r="BJ277" s="433"/>
      <c r="BK277" s="433"/>
      <c r="BL277" s="433"/>
      <c r="BM277" s="433"/>
      <c r="BN277" s="433"/>
      <c r="BO277" s="433"/>
      <c r="BP277" s="433"/>
      <c r="BQ277" s="433"/>
      <c r="BR277" s="433"/>
      <c r="BS277" s="433"/>
      <c r="BT277" s="433"/>
      <c r="BU277" s="433"/>
    </row>
    <row r="278" spans="31:73" x14ac:dyDescent="0.2">
      <c r="AE278" s="433"/>
      <c r="AF278" s="433"/>
      <c r="AG278" s="433"/>
      <c r="AH278" s="433"/>
      <c r="AI278" s="433"/>
      <c r="AJ278" s="433"/>
      <c r="AK278" s="433"/>
      <c r="AL278" s="433"/>
      <c r="AM278" s="433"/>
      <c r="AN278" s="433"/>
      <c r="AO278" s="433"/>
      <c r="AP278" s="433"/>
      <c r="AQ278" s="433"/>
      <c r="AR278" s="433"/>
      <c r="AS278" s="433"/>
      <c r="AT278" s="433"/>
      <c r="AU278" s="433"/>
      <c r="AV278" s="433"/>
      <c r="AW278" s="433"/>
      <c r="AX278" s="433"/>
      <c r="AY278" s="433"/>
      <c r="AZ278" s="433"/>
      <c r="BA278" s="433"/>
      <c r="BB278" s="433"/>
      <c r="BC278" s="433"/>
      <c r="BD278" s="433"/>
      <c r="BE278" s="433"/>
      <c r="BF278" s="433"/>
      <c r="BG278" s="433"/>
      <c r="BH278" s="433"/>
      <c r="BI278" s="433"/>
      <c r="BJ278" s="433"/>
      <c r="BK278" s="433"/>
      <c r="BL278" s="433"/>
      <c r="BM278" s="433"/>
      <c r="BN278" s="433"/>
      <c r="BO278" s="433"/>
      <c r="BP278" s="433"/>
      <c r="BQ278" s="433"/>
      <c r="BR278" s="433"/>
      <c r="BS278" s="433"/>
      <c r="BT278" s="433"/>
      <c r="BU278" s="433"/>
    </row>
    <row r="279" spans="31:73" x14ac:dyDescent="0.2">
      <c r="AE279" s="433"/>
      <c r="AF279" s="433"/>
      <c r="AG279" s="433"/>
      <c r="AH279" s="433"/>
      <c r="AI279" s="433"/>
      <c r="AJ279" s="433"/>
      <c r="AK279" s="433"/>
      <c r="AL279" s="433"/>
      <c r="AM279" s="433"/>
      <c r="AN279" s="433"/>
      <c r="AO279" s="433"/>
      <c r="AP279" s="433"/>
      <c r="AQ279" s="433"/>
      <c r="AR279" s="433"/>
      <c r="AS279" s="433"/>
      <c r="AT279" s="433"/>
      <c r="AU279" s="433"/>
      <c r="AV279" s="433"/>
      <c r="AW279" s="433"/>
      <c r="AX279" s="433"/>
      <c r="AY279" s="433"/>
      <c r="AZ279" s="433"/>
      <c r="BA279" s="433"/>
      <c r="BB279" s="433"/>
      <c r="BC279" s="433"/>
      <c r="BD279" s="433"/>
      <c r="BE279" s="433"/>
      <c r="BF279" s="433"/>
      <c r="BG279" s="433"/>
      <c r="BH279" s="433"/>
      <c r="BI279" s="433"/>
      <c r="BJ279" s="433"/>
      <c r="BK279" s="433"/>
      <c r="BL279" s="433"/>
      <c r="BM279" s="433"/>
      <c r="BN279" s="433"/>
      <c r="BO279" s="433"/>
      <c r="BP279" s="433"/>
      <c r="BQ279" s="433"/>
      <c r="BR279" s="433"/>
      <c r="BS279" s="433"/>
      <c r="BT279" s="433"/>
      <c r="BU279" s="433"/>
    </row>
    <row r="280" spans="31:73" x14ac:dyDescent="0.2">
      <c r="AE280" s="433"/>
      <c r="AF280" s="433"/>
      <c r="AG280" s="433"/>
      <c r="AH280" s="433"/>
      <c r="AI280" s="433"/>
      <c r="AJ280" s="433"/>
      <c r="AK280" s="433"/>
      <c r="AL280" s="433"/>
      <c r="AM280" s="433"/>
      <c r="AN280" s="433"/>
      <c r="AO280" s="433"/>
      <c r="AP280" s="433"/>
      <c r="AQ280" s="433"/>
      <c r="AR280" s="433"/>
      <c r="AS280" s="433"/>
      <c r="AT280" s="433"/>
      <c r="AU280" s="433"/>
      <c r="AV280" s="433"/>
      <c r="AW280" s="433"/>
      <c r="AX280" s="433"/>
      <c r="AY280" s="433"/>
      <c r="AZ280" s="433"/>
      <c r="BA280" s="433"/>
      <c r="BB280" s="433"/>
      <c r="BC280" s="433"/>
      <c r="BD280" s="433"/>
      <c r="BE280" s="433"/>
      <c r="BF280" s="433"/>
      <c r="BG280" s="433"/>
      <c r="BH280" s="433"/>
      <c r="BI280" s="433"/>
      <c r="BJ280" s="433"/>
      <c r="BK280" s="433"/>
      <c r="BL280" s="433"/>
      <c r="BM280" s="433"/>
      <c r="BN280" s="433"/>
      <c r="BO280" s="433"/>
      <c r="BP280" s="433"/>
      <c r="BQ280" s="433"/>
      <c r="BR280" s="433"/>
      <c r="BS280" s="433"/>
      <c r="BT280" s="433"/>
      <c r="BU280" s="433"/>
    </row>
    <row r="281" spans="31:73" x14ac:dyDescent="0.2">
      <c r="AE281" s="433"/>
      <c r="AF281" s="433"/>
      <c r="AG281" s="433"/>
      <c r="AH281" s="433"/>
      <c r="AI281" s="433"/>
      <c r="AJ281" s="433"/>
      <c r="AK281" s="433"/>
      <c r="AL281" s="433"/>
      <c r="AM281" s="433"/>
      <c r="AN281" s="433"/>
      <c r="AO281" s="433"/>
      <c r="AP281" s="433"/>
      <c r="AQ281" s="433"/>
      <c r="AR281" s="433"/>
      <c r="AS281" s="433"/>
      <c r="AT281" s="433"/>
      <c r="AU281" s="433"/>
      <c r="AV281" s="433"/>
      <c r="AW281" s="433"/>
      <c r="AX281" s="433"/>
      <c r="AY281" s="433"/>
      <c r="AZ281" s="433"/>
      <c r="BA281" s="433"/>
      <c r="BB281" s="433"/>
      <c r="BC281" s="433"/>
      <c r="BD281" s="433"/>
      <c r="BE281" s="433"/>
      <c r="BF281" s="433"/>
      <c r="BG281" s="433"/>
      <c r="BH281" s="433"/>
      <c r="BI281" s="433"/>
      <c r="BJ281" s="433"/>
      <c r="BK281" s="433"/>
      <c r="BL281" s="433"/>
      <c r="BM281" s="433"/>
      <c r="BN281" s="433"/>
      <c r="BO281" s="433"/>
      <c r="BP281" s="433"/>
      <c r="BQ281" s="433"/>
      <c r="BR281" s="433"/>
      <c r="BS281" s="433"/>
      <c r="BT281" s="433"/>
      <c r="BU281" s="433"/>
    </row>
    <row r="282" spans="31:73" x14ac:dyDescent="0.2">
      <c r="AE282" s="433"/>
      <c r="AF282" s="433"/>
      <c r="AG282" s="433"/>
      <c r="AH282" s="433"/>
      <c r="AI282" s="433"/>
      <c r="AJ282" s="433"/>
      <c r="AK282" s="433"/>
      <c r="AL282" s="433"/>
      <c r="AM282" s="433"/>
      <c r="AN282" s="433"/>
      <c r="AO282" s="433"/>
      <c r="AP282" s="433"/>
      <c r="AQ282" s="433"/>
      <c r="AR282" s="433"/>
      <c r="AS282" s="433"/>
      <c r="AT282" s="433"/>
      <c r="AU282" s="433"/>
      <c r="AV282" s="433"/>
      <c r="AW282" s="433"/>
      <c r="AX282" s="433"/>
      <c r="AY282" s="433"/>
      <c r="AZ282" s="433"/>
      <c r="BA282" s="433"/>
      <c r="BB282" s="433"/>
      <c r="BC282" s="433"/>
      <c r="BD282" s="433"/>
      <c r="BE282" s="433"/>
      <c r="BF282" s="433"/>
      <c r="BG282" s="433"/>
      <c r="BH282" s="433"/>
      <c r="BI282" s="433"/>
      <c r="BJ282" s="433"/>
      <c r="BK282" s="433"/>
      <c r="BL282" s="433"/>
      <c r="BM282" s="433"/>
      <c r="BN282" s="433"/>
      <c r="BO282" s="433"/>
      <c r="BP282" s="433"/>
      <c r="BQ282" s="433"/>
      <c r="BR282" s="433"/>
      <c r="BS282" s="433"/>
      <c r="BT282" s="433"/>
      <c r="BU282" s="433"/>
    </row>
    <row r="283" spans="31:73" s="359" customFormat="1" x14ac:dyDescent="0.2">
      <c r="AE283" s="440"/>
      <c r="AF283" s="440"/>
      <c r="AG283" s="440"/>
      <c r="AH283" s="440"/>
      <c r="AI283" s="440"/>
      <c r="AJ283" s="440"/>
      <c r="AK283" s="440"/>
      <c r="AL283" s="440"/>
      <c r="AM283" s="440"/>
      <c r="AN283" s="440"/>
      <c r="AO283" s="440"/>
      <c r="AP283" s="440"/>
      <c r="AQ283" s="440"/>
      <c r="AR283" s="440"/>
      <c r="AS283" s="440"/>
      <c r="AT283" s="440"/>
      <c r="AU283" s="440"/>
      <c r="AV283" s="440"/>
      <c r="AW283" s="440"/>
      <c r="AX283" s="440"/>
      <c r="AY283" s="440"/>
      <c r="AZ283" s="440"/>
      <c r="BA283" s="440"/>
      <c r="BB283" s="440"/>
      <c r="BC283" s="440"/>
      <c r="BD283" s="440"/>
      <c r="BE283" s="440"/>
      <c r="BF283" s="440"/>
      <c r="BG283" s="440"/>
      <c r="BH283" s="440"/>
      <c r="BI283" s="440"/>
      <c r="BJ283" s="440"/>
      <c r="BK283" s="440"/>
      <c r="BL283" s="440"/>
      <c r="BM283" s="440"/>
      <c r="BN283" s="440"/>
      <c r="BO283" s="440"/>
      <c r="BP283" s="440"/>
      <c r="BQ283" s="440"/>
      <c r="BR283" s="440"/>
      <c r="BS283" s="440"/>
      <c r="BT283" s="440"/>
      <c r="BU283" s="440"/>
    </row>
    <row r="284" spans="31:73" x14ac:dyDescent="0.2">
      <c r="AE284" s="433"/>
      <c r="AF284" s="433"/>
      <c r="AG284" s="433"/>
      <c r="AH284" s="433"/>
      <c r="AI284" s="433"/>
      <c r="AJ284" s="433"/>
      <c r="AK284" s="433"/>
      <c r="AL284" s="433"/>
      <c r="AM284" s="433"/>
      <c r="AN284" s="433"/>
      <c r="AO284" s="433"/>
      <c r="AP284" s="433"/>
      <c r="AQ284" s="433"/>
      <c r="AR284" s="433"/>
      <c r="AS284" s="433"/>
      <c r="AT284" s="433"/>
      <c r="AU284" s="433"/>
      <c r="AV284" s="433"/>
      <c r="AW284" s="433"/>
      <c r="AX284" s="433"/>
      <c r="AY284" s="433"/>
      <c r="AZ284" s="433"/>
      <c r="BA284" s="433"/>
      <c r="BB284" s="433"/>
      <c r="BC284" s="433"/>
      <c r="BD284" s="433"/>
      <c r="BE284" s="433"/>
      <c r="BF284" s="433"/>
      <c r="BG284" s="433"/>
      <c r="BH284" s="433"/>
      <c r="BI284" s="433"/>
      <c r="BJ284" s="433"/>
      <c r="BK284" s="433"/>
      <c r="BL284" s="433"/>
      <c r="BM284" s="433"/>
      <c r="BN284" s="433"/>
      <c r="BO284" s="433"/>
      <c r="BP284" s="433"/>
      <c r="BQ284" s="433"/>
      <c r="BR284" s="433"/>
      <c r="BS284" s="433"/>
      <c r="BT284" s="433"/>
      <c r="BU284" s="433"/>
    </row>
    <row r="285" spans="31:73" x14ac:dyDescent="0.2">
      <c r="AE285" s="433"/>
      <c r="AF285" s="433"/>
      <c r="AG285" s="433"/>
      <c r="AH285" s="433"/>
      <c r="AI285" s="433"/>
      <c r="AJ285" s="433"/>
      <c r="AK285" s="433"/>
      <c r="AL285" s="433"/>
      <c r="AM285" s="433"/>
      <c r="AN285" s="433"/>
      <c r="AO285" s="433"/>
      <c r="AP285" s="433"/>
      <c r="AQ285" s="433"/>
      <c r="AR285" s="433"/>
      <c r="AS285" s="433"/>
      <c r="AT285" s="433"/>
      <c r="AU285" s="433"/>
      <c r="AV285" s="433"/>
      <c r="AW285" s="433"/>
      <c r="AX285" s="433"/>
      <c r="AY285" s="433"/>
      <c r="AZ285" s="433"/>
      <c r="BA285" s="433"/>
      <c r="BB285" s="433"/>
      <c r="BC285" s="433"/>
      <c r="BD285" s="433"/>
      <c r="BE285" s="433"/>
      <c r="BF285" s="433"/>
      <c r="BG285" s="433"/>
      <c r="BH285" s="433"/>
      <c r="BI285" s="433"/>
      <c r="BJ285" s="433"/>
      <c r="BK285" s="433"/>
      <c r="BL285" s="433"/>
      <c r="BM285" s="433"/>
      <c r="BN285" s="433"/>
      <c r="BO285" s="433"/>
      <c r="BP285" s="433"/>
      <c r="BQ285" s="433"/>
      <c r="BR285" s="433"/>
      <c r="BS285" s="433"/>
      <c r="BT285" s="433"/>
      <c r="BU285" s="433"/>
    </row>
    <row r="286" spans="31:73" x14ac:dyDescent="0.2">
      <c r="AE286" s="433"/>
      <c r="AF286" s="433"/>
      <c r="AG286" s="433"/>
      <c r="AH286" s="433"/>
      <c r="AI286" s="433"/>
      <c r="AJ286" s="433"/>
      <c r="AK286" s="433"/>
      <c r="AL286" s="433"/>
      <c r="AM286" s="433"/>
      <c r="AN286" s="433"/>
      <c r="AO286" s="433"/>
      <c r="AP286" s="433"/>
      <c r="AQ286" s="433"/>
      <c r="AR286" s="433"/>
      <c r="AS286" s="433"/>
      <c r="AT286" s="433"/>
      <c r="AU286" s="433"/>
      <c r="AV286" s="433"/>
      <c r="AW286" s="433"/>
      <c r="AX286" s="433"/>
      <c r="AY286" s="433"/>
      <c r="AZ286" s="433"/>
      <c r="BA286" s="433"/>
      <c r="BB286" s="433"/>
      <c r="BC286" s="433"/>
      <c r="BD286" s="433"/>
      <c r="BE286" s="433"/>
      <c r="BF286" s="433"/>
      <c r="BG286" s="433"/>
      <c r="BH286" s="433"/>
      <c r="BI286" s="433"/>
      <c r="BJ286" s="433"/>
      <c r="BK286" s="433"/>
      <c r="BL286" s="433"/>
      <c r="BM286" s="433"/>
      <c r="BN286" s="433"/>
      <c r="BO286" s="433"/>
      <c r="BP286" s="433"/>
      <c r="BQ286" s="433"/>
      <c r="BR286" s="433"/>
      <c r="BS286" s="433"/>
      <c r="BT286" s="433"/>
      <c r="BU286" s="433"/>
    </row>
    <row r="287" spans="31:73" s="359" customFormat="1" x14ac:dyDescent="0.2">
      <c r="AE287" s="440"/>
      <c r="AF287" s="440"/>
      <c r="AG287" s="440"/>
      <c r="AH287" s="440"/>
      <c r="AI287" s="440"/>
      <c r="AJ287" s="440"/>
      <c r="AK287" s="440"/>
      <c r="AL287" s="440"/>
      <c r="AM287" s="440"/>
      <c r="AN287" s="440"/>
      <c r="AO287" s="440"/>
      <c r="AP287" s="440"/>
      <c r="AQ287" s="440"/>
      <c r="AR287" s="440"/>
      <c r="AS287" s="440"/>
      <c r="AT287" s="440"/>
      <c r="AU287" s="440"/>
      <c r="AV287" s="440"/>
      <c r="AW287" s="440"/>
      <c r="AX287" s="440"/>
      <c r="AY287" s="440"/>
      <c r="AZ287" s="440"/>
      <c r="BA287" s="440"/>
      <c r="BB287" s="440"/>
      <c r="BC287" s="440"/>
      <c r="BD287" s="440"/>
      <c r="BE287" s="440"/>
      <c r="BF287" s="440"/>
      <c r="BG287" s="440"/>
      <c r="BH287" s="440"/>
      <c r="BI287" s="440"/>
      <c r="BJ287" s="440"/>
      <c r="BK287" s="440"/>
      <c r="BL287" s="440"/>
      <c r="BM287" s="440"/>
      <c r="BN287" s="440"/>
      <c r="BO287" s="440"/>
      <c r="BP287" s="440"/>
      <c r="BQ287" s="440"/>
      <c r="BR287" s="440"/>
      <c r="BS287" s="440"/>
      <c r="BT287" s="440"/>
      <c r="BU287" s="440"/>
    </row>
    <row r="288" spans="31:73" x14ac:dyDescent="0.2">
      <c r="AE288" s="433"/>
      <c r="AF288" s="433"/>
      <c r="AG288" s="433"/>
      <c r="AH288" s="433"/>
      <c r="AI288" s="433"/>
      <c r="AJ288" s="433"/>
      <c r="AK288" s="433"/>
      <c r="AL288" s="433"/>
      <c r="AM288" s="433"/>
      <c r="AN288" s="433"/>
      <c r="AO288" s="433"/>
      <c r="AP288" s="433"/>
      <c r="AQ288" s="433"/>
      <c r="AR288" s="433"/>
      <c r="AS288" s="433"/>
      <c r="AT288" s="433"/>
      <c r="AU288" s="433"/>
      <c r="AV288" s="433"/>
      <c r="AW288" s="433"/>
      <c r="AX288" s="433"/>
      <c r="AY288" s="433"/>
      <c r="AZ288" s="433"/>
      <c r="BA288" s="433"/>
      <c r="BB288" s="433"/>
      <c r="BC288" s="433"/>
      <c r="BD288" s="433"/>
      <c r="BE288" s="433"/>
      <c r="BF288" s="433"/>
      <c r="BG288" s="433"/>
      <c r="BH288" s="433"/>
      <c r="BI288" s="433"/>
      <c r="BJ288" s="433"/>
      <c r="BK288" s="433"/>
      <c r="BL288" s="433"/>
      <c r="BM288" s="433"/>
      <c r="BN288" s="433"/>
      <c r="BO288" s="433"/>
      <c r="BP288" s="433"/>
      <c r="BQ288" s="433"/>
      <c r="BR288" s="433"/>
      <c r="BS288" s="433"/>
      <c r="BT288" s="433"/>
      <c r="BU288" s="433"/>
    </row>
    <row r="289" spans="31:73" x14ac:dyDescent="0.2">
      <c r="AE289" s="433"/>
      <c r="AF289" s="433"/>
      <c r="AG289" s="433"/>
      <c r="AH289" s="433"/>
      <c r="AI289" s="433"/>
      <c r="AJ289" s="433"/>
      <c r="AK289" s="433"/>
      <c r="AL289" s="433"/>
      <c r="AM289" s="433"/>
      <c r="AN289" s="433"/>
      <c r="AO289" s="433"/>
      <c r="AP289" s="433"/>
      <c r="AQ289" s="433"/>
      <c r="AR289" s="433"/>
      <c r="AS289" s="433"/>
      <c r="AT289" s="433"/>
      <c r="AU289" s="433"/>
      <c r="AV289" s="433"/>
      <c r="AW289" s="433"/>
      <c r="AX289" s="433"/>
      <c r="AY289" s="433"/>
      <c r="AZ289" s="433"/>
      <c r="BA289" s="433"/>
      <c r="BB289" s="433"/>
      <c r="BC289" s="433"/>
      <c r="BD289" s="433"/>
      <c r="BE289" s="433"/>
      <c r="BF289" s="433"/>
      <c r="BG289" s="433"/>
      <c r="BH289" s="433"/>
      <c r="BI289" s="433"/>
      <c r="BJ289" s="433"/>
      <c r="BK289" s="433"/>
      <c r="BL289" s="433"/>
      <c r="BM289" s="433"/>
      <c r="BN289" s="433"/>
      <c r="BO289" s="433"/>
      <c r="BP289" s="433"/>
      <c r="BQ289" s="433"/>
      <c r="BR289" s="433"/>
      <c r="BS289" s="433"/>
      <c r="BT289" s="433"/>
      <c r="BU289" s="433"/>
    </row>
    <row r="290" spans="31:73" x14ac:dyDescent="0.2">
      <c r="AE290" s="433"/>
      <c r="AF290" s="433"/>
      <c r="AG290" s="433"/>
      <c r="AH290" s="433"/>
      <c r="AI290" s="433"/>
      <c r="AJ290" s="433"/>
      <c r="AK290" s="433"/>
      <c r="AL290" s="433"/>
      <c r="AM290" s="433"/>
      <c r="AN290" s="433"/>
      <c r="AO290" s="433"/>
      <c r="AP290" s="433"/>
      <c r="AQ290" s="433"/>
      <c r="AR290" s="433"/>
      <c r="AS290" s="433"/>
      <c r="AT290" s="433"/>
      <c r="AU290" s="433"/>
      <c r="AV290" s="433"/>
      <c r="AW290" s="433"/>
      <c r="AX290" s="433"/>
      <c r="AY290" s="433"/>
      <c r="AZ290" s="433"/>
      <c r="BA290" s="433"/>
      <c r="BB290" s="433"/>
      <c r="BC290" s="433"/>
      <c r="BD290" s="433"/>
      <c r="BE290" s="433"/>
      <c r="BF290" s="433"/>
      <c r="BG290" s="433"/>
      <c r="BH290" s="433"/>
      <c r="BI290" s="433"/>
      <c r="BJ290" s="433"/>
      <c r="BK290" s="433"/>
      <c r="BL290" s="433"/>
      <c r="BM290" s="433"/>
      <c r="BN290" s="433"/>
      <c r="BO290" s="433"/>
      <c r="BP290" s="433"/>
      <c r="BQ290" s="433"/>
      <c r="BR290" s="433"/>
      <c r="BS290" s="433"/>
      <c r="BT290" s="433"/>
      <c r="BU290" s="433"/>
    </row>
    <row r="291" spans="31:73" x14ac:dyDescent="0.2">
      <c r="AE291" s="433"/>
      <c r="AF291" s="433"/>
      <c r="AG291" s="433"/>
      <c r="AH291" s="433"/>
      <c r="AI291" s="433"/>
      <c r="AJ291" s="433"/>
      <c r="AK291" s="433"/>
      <c r="AL291" s="433"/>
      <c r="AM291" s="433"/>
      <c r="AN291" s="433"/>
      <c r="AO291" s="433"/>
      <c r="AP291" s="433"/>
      <c r="AQ291" s="433"/>
      <c r="AR291" s="433"/>
      <c r="AS291" s="433"/>
      <c r="AT291" s="433"/>
      <c r="AU291" s="433"/>
      <c r="AV291" s="433"/>
      <c r="AW291" s="433"/>
      <c r="AX291" s="433"/>
      <c r="AY291" s="433"/>
      <c r="AZ291" s="433"/>
      <c r="BA291" s="433"/>
      <c r="BB291" s="433"/>
      <c r="BC291" s="433"/>
      <c r="BD291" s="433"/>
      <c r="BE291" s="433"/>
      <c r="BF291" s="433"/>
      <c r="BG291" s="433"/>
      <c r="BH291" s="433"/>
      <c r="BI291" s="433"/>
      <c r="BJ291" s="433"/>
      <c r="BK291" s="433"/>
      <c r="BL291" s="433"/>
      <c r="BM291" s="433"/>
      <c r="BN291" s="433"/>
      <c r="BO291" s="433"/>
      <c r="BP291" s="433"/>
      <c r="BQ291" s="433"/>
      <c r="BR291" s="433"/>
      <c r="BS291" s="433"/>
      <c r="BT291" s="433"/>
      <c r="BU291" s="433"/>
    </row>
    <row r="292" spans="31:73" x14ac:dyDescent="0.2">
      <c r="AE292" s="433"/>
      <c r="AF292" s="433"/>
      <c r="AG292" s="433"/>
      <c r="AH292" s="433"/>
      <c r="AI292" s="433"/>
      <c r="AJ292" s="433"/>
      <c r="AK292" s="433"/>
      <c r="AL292" s="433"/>
      <c r="AM292" s="433"/>
      <c r="AN292" s="433"/>
      <c r="AO292" s="433"/>
      <c r="AP292" s="433"/>
      <c r="AQ292" s="433"/>
      <c r="AR292" s="433"/>
      <c r="AS292" s="433"/>
      <c r="AT292" s="433"/>
      <c r="AU292" s="433"/>
      <c r="AV292" s="433"/>
      <c r="AW292" s="433"/>
      <c r="AX292" s="433"/>
      <c r="AY292" s="433"/>
      <c r="AZ292" s="433"/>
      <c r="BA292" s="433"/>
      <c r="BB292" s="433"/>
      <c r="BC292" s="433"/>
      <c r="BD292" s="433"/>
      <c r="BE292" s="433"/>
      <c r="BF292" s="433"/>
      <c r="BG292" s="433"/>
      <c r="BH292" s="433"/>
      <c r="BI292" s="433"/>
      <c r="BJ292" s="433"/>
      <c r="BK292" s="433"/>
      <c r="BL292" s="433"/>
      <c r="BM292" s="433"/>
      <c r="BN292" s="433"/>
      <c r="BO292" s="433"/>
      <c r="BP292" s="433"/>
      <c r="BQ292" s="433"/>
      <c r="BR292" s="433"/>
      <c r="BS292" s="433"/>
      <c r="BT292" s="433"/>
      <c r="BU292" s="433"/>
    </row>
    <row r="293" spans="31:73" x14ac:dyDescent="0.2">
      <c r="AE293" s="433"/>
      <c r="AF293" s="433"/>
      <c r="AG293" s="433"/>
      <c r="AH293" s="433"/>
      <c r="AI293" s="433"/>
      <c r="AJ293" s="433"/>
      <c r="AK293" s="433"/>
      <c r="AL293" s="433"/>
      <c r="AM293" s="433"/>
      <c r="AN293" s="433"/>
      <c r="AO293" s="433"/>
      <c r="AP293" s="433"/>
      <c r="AQ293" s="433"/>
      <c r="AR293" s="433"/>
      <c r="AS293" s="433"/>
      <c r="AT293" s="433"/>
      <c r="AU293" s="433"/>
      <c r="AV293" s="433"/>
      <c r="AW293" s="433"/>
      <c r="AX293" s="433"/>
      <c r="AY293" s="433"/>
      <c r="AZ293" s="433"/>
      <c r="BA293" s="433"/>
      <c r="BB293" s="433"/>
      <c r="BC293" s="433"/>
      <c r="BD293" s="433"/>
      <c r="BE293" s="433"/>
      <c r="BF293" s="433"/>
      <c r="BG293" s="433"/>
      <c r="BH293" s="433"/>
      <c r="BI293" s="433"/>
      <c r="BJ293" s="433"/>
      <c r="BK293" s="433"/>
      <c r="BL293" s="433"/>
      <c r="BM293" s="433"/>
      <c r="BN293" s="433"/>
      <c r="BO293" s="433"/>
      <c r="BP293" s="433"/>
      <c r="BQ293" s="433"/>
      <c r="BR293" s="433"/>
      <c r="BS293" s="433"/>
      <c r="BT293" s="433"/>
      <c r="BU293" s="433"/>
    </row>
    <row r="294" spans="31:73" x14ac:dyDescent="0.2">
      <c r="AE294" s="433"/>
      <c r="AF294" s="433"/>
      <c r="AG294" s="433"/>
      <c r="AH294" s="433"/>
      <c r="AI294" s="433"/>
      <c r="AJ294" s="433"/>
      <c r="AK294" s="433"/>
      <c r="AL294" s="433"/>
      <c r="AM294" s="433"/>
      <c r="AN294" s="433"/>
      <c r="AO294" s="433"/>
      <c r="AP294" s="433"/>
      <c r="AQ294" s="433"/>
      <c r="AR294" s="433"/>
      <c r="AS294" s="433"/>
      <c r="AT294" s="433"/>
      <c r="AU294" s="433"/>
      <c r="AV294" s="433"/>
      <c r="AW294" s="433"/>
      <c r="AX294" s="433"/>
      <c r="AY294" s="433"/>
      <c r="AZ294" s="433"/>
      <c r="BA294" s="433"/>
      <c r="BB294" s="433"/>
      <c r="BC294" s="433"/>
      <c r="BD294" s="433"/>
      <c r="BE294" s="433"/>
      <c r="BF294" s="433"/>
      <c r="BG294" s="433"/>
      <c r="BH294" s="433"/>
      <c r="BI294" s="433"/>
      <c r="BJ294" s="433"/>
      <c r="BK294" s="433"/>
      <c r="BL294" s="433"/>
      <c r="BM294" s="433"/>
      <c r="BN294" s="433"/>
      <c r="BO294" s="433"/>
      <c r="BP294" s="433"/>
      <c r="BQ294" s="433"/>
      <c r="BR294" s="433"/>
      <c r="BS294" s="433"/>
      <c r="BT294" s="433"/>
      <c r="BU294" s="433"/>
    </row>
    <row r="295" spans="31:73" x14ac:dyDescent="0.2">
      <c r="AE295" s="433"/>
      <c r="AF295" s="433"/>
      <c r="AG295" s="433"/>
      <c r="AH295" s="433"/>
      <c r="AI295" s="433"/>
      <c r="AJ295" s="433"/>
      <c r="AK295" s="433"/>
      <c r="AL295" s="433"/>
      <c r="AM295" s="433"/>
      <c r="AN295" s="433"/>
      <c r="AO295" s="433"/>
      <c r="AP295" s="433"/>
      <c r="AQ295" s="433"/>
      <c r="AR295" s="433"/>
      <c r="AS295" s="433"/>
      <c r="AT295" s="433"/>
      <c r="AU295" s="433"/>
      <c r="AV295" s="433"/>
      <c r="AW295" s="433"/>
      <c r="AX295" s="433"/>
      <c r="AY295" s="433"/>
      <c r="AZ295" s="433"/>
      <c r="BA295" s="433"/>
      <c r="BB295" s="433"/>
      <c r="BC295" s="433"/>
      <c r="BD295" s="433"/>
      <c r="BE295" s="433"/>
      <c r="BF295" s="433"/>
      <c r="BG295" s="433"/>
      <c r="BH295" s="433"/>
      <c r="BI295" s="433"/>
      <c r="BJ295" s="433"/>
      <c r="BK295" s="433"/>
      <c r="BL295" s="433"/>
      <c r="BM295" s="433"/>
      <c r="BN295" s="433"/>
      <c r="BO295" s="433"/>
      <c r="BP295" s="433"/>
      <c r="BQ295" s="433"/>
      <c r="BR295" s="433"/>
      <c r="BS295" s="433"/>
      <c r="BT295" s="433"/>
      <c r="BU295" s="433"/>
    </row>
    <row r="296" spans="31:73" x14ac:dyDescent="0.2">
      <c r="AE296" s="433"/>
      <c r="AF296" s="433"/>
      <c r="AG296" s="433"/>
      <c r="AH296" s="433"/>
      <c r="AI296" s="433"/>
      <c r="AJ296" s="433"/>
      <c r="AK296" s="433"/>
      <c r="AL296" s="433"/>
      <c r="AM296" s="433"/>
      <c r="AN296" s="433"/>
      <c r="AO296" s="433"/>
      <c r="AP296" s="433"/>
      <c r="AQ296" s="433"/>
      <c r="AR296" s="433"/>
      <c r="AS296" s="433"/>
      <c r="AT296" s="433"/>
      <c r="AU296" s="433"/>
      <c r="AV296" s="433"/>
      <c r="AW296" s="433"/>
      <c r="AX296" s="433"/>
      <c r="AY296" s="433"/>
      <c r="AZ296" s="433"/>
      <c r="BA296" s="433"/>
      <c r="BB296" s="433"/>
      <c r="BC296" s="433"/>
      <c r="BD296" s="433"/>
      <c r="BE296" s="433"/>
      <c r="BF296" s="433"/>
      <c r="BG296" s="433"/>
      <c r="BH296" s="433"/>
      <c r="BI296" s="433"/>
      <c r="BJ296" s="433"/>
      <c r="BK296" s="433"/>
      <c r="BL296" s="433"/>
      <c r="BM296" s="433"/>
      <c r="BN296" s="433"/>
      <c r="BO296" s="433"/>
      <c r="BP296" s="433"/>
      <c r="BQ296" s="433"/>
      <c r="BR296" s="433"/>
      <c r="BS296" s="433"/>
      <c r="BT296" s="433"/>
      <c r="BU296" s="433"/>
    </row>
    <row r="297" spans="31:73" x14ac:dyDescent="0.2">
      <c r="AE297" s="433"/>
      <c r="AF297" s="433"/>
      <c r="AG297" s="433"/>
      <c r="AH297" s="433"/>
      <c r="AI297" s="433"/>
      <c r="AJ297" s="433"/>
      <c r="AK297" s="433"/>
      <c r="AL297" s="433"/>
      <c r="AM297" s="433"/>
      <c r="AN297" s="433"/>
      <c r="AO297" s="433"/>
      <c r="AP297" s="433"/>
      <c r="AQ297" s="433"/>
      <c r="AR297" s="433"/>
      <c r="AS297" s="433"/>
      <c r="AT297" s="433"/>
      <c r="AU297" s="433"/>
      <c r="AV297" s="433"/>
      <c r="AW297" s="433"/>
      <c r="AX297" s="433"/>
      <c r="AY297" s="433"/>
      <c r="AZ297" s="433"/>
      <c r="BA297" s="433"/>
      <c r="BB297" s="433"/>
      <c r="BC297" s="433"/>
      <c r="BD297" s="433"/>
      <c r="BE297" s="433"/>
      <c r="BF297" s="433"/>
      <c r="BG297" s="433"/>
      <c r="BH297" s="433"/>
      <c r="BI297" s="433"/>
      <c r="BJ297" s="433"/>
      <c r="BK297" s="433"/>
      <c r="BL297" s="433"/>
      <c r="BM297" s="433"/>
      <c r="BN297" s="433"/>
      <c r="BO297" s="433"/>
      <c r="BP297" s="433"/>
      <c r="BQ297" s="433"/>
      <c r="BR297" s="433"/>
      <c r="BS297" s="433"/>
      <c r="BT297" s="433"/>
      <c r="BU297" s="433"/>
    </row>
    <row r="298" spans="31:73" x14ac:dyDescent="0.2">
      <c r="AE298" s="433"/>
      <c r="AF298" s="433"/>
      <c r="AG298" s="433"/>
      <c r="AH298" s="433"/>
      <c r="AI298" s="433"/>
      <c r="AJ298" s="433"/>
      <c r="AK298" s="433"/>
      <c r="AL298" s="433"/>
      <c r="AM298" s="433"/>
      <c r="AN298" s="433"/>
      <c r="AO298" s="433"/>
      <c r="AP298" s="433"/>
      <c r="AQ298" s="433"/>
      <c r="AR298" s="433"/>
      <c r="AS298" s="433"/>
      <c r="AT298" s="433"/>
      <c r="AU298" s="433"/>
      <c r="AV298" s="433"/>
      <c r="AW298" s="433"/>
      <c r="AX298" s="433"/>
      <c r="AY298" s="433"/>
      <c r="AZ298" s="433"/>
      <c r="BA298" s="433"/>
      <c r="BB298" s="433"/>
      <c r="BC298" s="433"/>
      <c r="BD298" s="433"/>
      <c r="BE298" s="433"/>
      <c r="BF298" s="433"/>
      <c r="BG298" s="433"/>
      <c r="BH298" s="433"/>
      <c r="BI298" s="433"/>
      <c r="BJ298" s="433"/>
      <c r="BK298" s="433"/>
      <c r="BL298" s="433"/>
      <c r="BM298" s="433"/>
      <c r="BN298" s="433"/>
      <c r="BO298" s="433"/>
      <c r="BP298" s="433"/>
      <c r="BQ298" s="433"/>
      <c r="BR298" s="433"/>
      <c r="BS298" s="433"/>
      <c r="BT298" s="433"/>
      <c r="BU298" s="433"/>
    </row>
    <row r="299" spans="31:73" x14ac:dyDescent="0.2">
      <c r="AE299" s="433"/>
      <c r="AF299" s="433"/>
      <c r="AG299" s="433"/>
      <c r="AH299" s="433"/>
      <c r="AI299" s="433"/>
      <c r="AJ299" s="433"/>
      <c r="AK299" s="433"/>
      <c r="AL299" s="433"/>
      <c r="AM299" s="433"/>
      <c r="AN299" s="433"/>
      <c r="AO299" s="433"/>
      <c r="AP299" s="433"/>
      <c r="AQ299" s="433"/>
      <c r="AR299" s="433"/>
      <c r="AS299" s="433"/>
      <c r="AT299" s="433"/>
      <c r="AU299" s="433"/>
      <c r="AV299" s="433"/>
      <c r="AW299" s="433"/>
      <c r="AX299" s="433"/>
      <c r="AY299" s="433"/>
      <c r="AZ299" s="433"/>
      <c r="BA299" s="433"/>
      <c r="BB299" s="433"/>
      <c r="BC299" s="433"/>
      <c r="BD299" s="433"/>
      <c r="BE299" s="433"/>
      <c r="BF299" s="433"/>
      <c r="BG299" s="433"/>
      <c r="BH299" s="433"/>
      <c r="BI299" s="433"/>
      <c r="BJ299" s="433"/>
      <c r="BK299" s="433"/>
      <c r="BL299" s="433"/>
      <c r="BM299" s="433"/>
      <c r="BN299" s="433"/>
      <c r="BO299" s="433"/>
      <c r="BP299" s="433"/>
      <c r="BQ299" s="433"/>
      <c r="BR299" s="433"/>
      <c r="BS299" s="433"/>
      <c r="BT299" s="433"/>
      <c r="BU299" s="433"/>
    </row>
    <row r="300" spans="31:73" x14ac:dyDescent="0.2">
      <c r="AE300" s="433"/>
      <c r="AF300" s="433"/>
      <c r="AG300" s="433"/>
      <c r="AH300" s="433"/>
      <c r="AI300" s="433"/>
      <c r="AJ300" s="433"/>
      <c r="AK300" s="433"/>
      <c r="AL300" s="433"/>
      <c r="AM300" s="433"/>
      <c r="AN300" s="433"/>
      <c r="AO300" s="433"/>
      <c r="AP300" s="433"/>
      <c r="AQ300" s="433"/>
      <c r="AR300" s="433"/>
      <c r="AS300" s="433"/>
      <c r="AT300" s="433"/>
      <c r="AU300" s="433"/>
      <c r="AV300" s="433"/>
      <c r="AW300" s="433"/>
      <c r="AX300" s="433"/>
      <c r="AY300" s="433"/>
      <c r="AZ300" s="433"/>
      <c r="BA300" s="433"/>
      <c r="BB300" s="433"/>
      <c r="BC300" s="433"/>
      <c r="BD300" s="433"/>
      <c r="BE300" s="433"/>
      <c r="BF300" s="433"/>
      <c r="BG300" s="433"/>
      <c r="BH300" s="433"/>
      <c r="BI300" s="433"/>
      <c r="BJ300" s="433"/>
      <c r="BK300" s="433"/>
      <c r="BL300" s="433"/>
      <c r="BM300" s="433"/>
      <c r="BN300" s="433"/>
      <c r="BO300" s="433"/>
      <c r="BP300" s="433"/>
      <c r="BQ300" s="433"/>
      <c r="BR300" s="433"/>
      <c r="BS300" s="433"/>
      <c r="BT300" s="433"/>
      <c r="BU300" s="433"/>
    </row>
    <row r="301" spans="31:73" s="359" customFormat="1" x14ac:dyDescent="0.2">
      <c r="AE301" s="440"/>
      <c r="AF301" s="440"/>
      <c r="AG301" s="440"/>
      <c r="AH301" s="440"/>
      <c r="AI301" s="440"/>
      <c r="AJ301" s="440"/>
      <c r="AK301" s="440"/>
      <c r="AL301" s="440"/>
      <c r="AM301" s="440"/>
      <c r="AN301" s="440"/>
      <c r="AO301" s="440"/>
      <c r="AP301" s="440"/>
      <c r="AQ301" s="440"/>
      <c r="AR301" s="440"/>
      <c r="AS301" s="440"/>
      <c r="AT301" s="440"/>
      <c r="AU301" s="440"/>
      <c r="AV301" s="440"/>
      <c r="AW301" s="440"/>
      <c r="AX301" s="440"/>
      <c r="AY301" s="440"/>
      <c r="AZ301" s="440"/>
      <c r="BA301" s="440"/>
      <c r="BB301" s="440"/>
      <c r="BC301" s="440"/>
      <c r="BD301" s="440"/>
      <c r="BE301" s="440"/>
      <c r="BF301" s="440"/>
      <c r="BG301" s="440"/>
      <c r="BH301" s="440"/>
      <c r="BI301" s="440"/>
      <c r="BJ301" s="440"/>
      <c r="BK301" s="440"/>
      <c r="BL301" s="440"/>
      <c r="BM301" s="440"/>
      <c r="BN301" s="440"/>
      <c r="BO301" s="440"/>
      <c r="BP301" s="440"/>
      <c r="BQ301" s="440"/>
      <c r="BR301" s="440"/>
      <c r="BS301" s="440"/>
      <c r="BT301" s="440"/>
      <c r="BU301" s="440"/>
    </row>
    <row r="302" spans="31:73" x14ac:dyDescent="0.2">
      <c r="AE302" s="433"/>
      <c r="AF302" s="433"/>
      <c r="AG302" s="433"/>
      <c r="AH302" s="433"/>
      <c r="AI302" s="433"/>
      <c r="AJ302" s="433"/>
      <c r="AK302" s="433"/>
      <c r="AL302" s="433"/>
      <c r="AM302" s="433"/>
      <c r="AN302" s="433"/>
      <c r="AO302" s="433"/>
      <c r="AP302" s="433"/>
      <c r="AQ302" s="433"/>
      <c r="AR302" s="433"/>
      <c r="AS302" s="433"/>
      <c r="AT302" s="433"/>
      <c r="AU302" s="433"/>
      <c r="AV302" s="433"/>
      <c r="AW302" s="433"/>
      <c r="AX302" s="433"/>
      <c r="AY302" s="433"/>
      <c r="AZ302" s="433"/>
      <c r="BA302" s="433"/>
      <c r="BB302" s="433"/>
      <c r="BC302" s="433"/>
      <c r="BD302" s="433"/>
      <c r="BE302" s="433"/>
      <c r="BF302" s="433"/>
      <c r="BG302" s="433"/>
      <c r="BH302" s="433"/>
      <c r="BI302" s="433"/>
      <c r="BJ302" s="433"/>
      <c r="BK302" s="433"/>
      <c r="BL302" s="433"/>
      <c r="BM302" s="433"/>
      <c r="BN302" s="433"/>
      <c r="BO302" s="433"/>
      <c r="BP302" s="433"/>
      <c r="BQ302" s="433"/>
      <c r="BR302" s="433"/>
      <c r="BS302" s="433"/>
      <c r="BT302" s="433"/>
      <c r="BU302" s="433"/>
    </row>
    <row r="303" spans="31:73" x14ac:dyDescent="0.2">
      <c r="AE303" s="433"/>
      <c r="AF303" s="433"/>
      <c r="AG303" s="433"/>
      <c r="AH303" s="433"/>
      <c r="AI303" s="433"/>
      <c r="AJ303" s="433"/>
      <c r="AK303" s="433"/>
      <c r="AL303" s="433"/>
      <c r="AM303" s="433"/>
      <c r="AN303" s="433"/>
      <c r="AO303" s="433"/>
      <c r="AP303" s="433"/>
      <c r="AQ303" s="433"/>
      <c r="AR303" s="433"/>
      <c r="AS303" s="433"/>
      <c r="AT303" s="433"/>
      <c r="AU303" s="433"/>
      <c r="AV303" s="433"/>
      <c r="AW303" s="433"/>
      <c r="AX303" s="433"/>
      <c r="AY303" s="433"/>
      <c r="AZ303" s="433"/>
      <c r="BA303" s="433"/>
      <c r="BB303" s="433"/>
      <c r="BC303" s="433"/>
      <c r="BD303" s="433"/>
      <c r="BE303" s="433"/>
      <c r="BF303" s="433"/>
      <c r="BG303" s="433"/>
      <c r="BH303" s="433"/>
      <c r="BI303" s="433"/>
      <c r="BJ303" s="433"/>
      <c r="BK303" s="433"/>
      <c r="BL303" s="433"/>
      <c r="BM303" s="433"/>
      <c r="BN303" s="433"/>
      <c r="BO303" s="433"/>
      <c r="BP303" s="433"/>
      <c r="BQ303" s="433"/>
      <c r="BR303" s="433"/>
      <c r="BS303" s="433"/>
      <c r="BT303" s="433"/>
      <c r="BU303" s="433"/>
    </row>
    <row r="304" spans="31:73" x14ac:dyDescent="0.2">
      <c r="AE304" s="433"/>
      <c r="AF304" s="433"/>
      <c r="AG304" s="433"/>
      <c r="AH304" s="433"/>
      <c r="AI304" s="433"/>
      <c r="AJ304" s="433"/>
      <c r="AK304" s="433"/>
      <c r="AL304" s="433"/>
      <c r="AM304" s="433"/>
      <c r="AN304" s="433"/>
      <c r="AO304" s="433"/>
      <c r="AP304" s="433"/>
      <c r="AQ304" s="433"/>
      <c r="AR304" s="433"/>
      <c r="AS304" s="433"/>
      <c r="AT304" s="433"/>
      <c r="AU304" s="433"/>
      <c r="AV304" s="433"/>
      <c r="AW304" s="433"/>
      <c r="AX304" s="433"/>
      <c r="AY304" s="433"/>
      <c r="AZ304" s="433"/>
      <c r="BA304" s="433"/>
      <c r="BB304" s="433"/>
      <c r="BC304" s="433"/>
      <c r="BD304" s="433"/>
      <c r="BE304" s="433"/>
      <c r="BF304" s="433"/>
      <c r="BG304" s="433"/>
      <c r="BH304" s="433"/>
      <c r="BI304" s="433"/>
      <c r="BJ304" s="433"/>
      <c r="BK304" s="433"/>
      <c r="BL304" s="433"/>
      <c r="BM304" s="433"/>
      <c r="BN304" s="433"/>
      <c r="BO304" s="433"/>
      <c r="BP304" s="433"/>
      <c r="BQ304" s="433"/>
      <c r="BR304" s="433"/>
      <c r="BS304" s="433"/>
      <c r="BT304" s="433"/>
      <c r="BU304" s="433"/>
    </row>
    <row r="305" spans="31:73" x14ac:dyDescent="0.2">
      <c r="AE305" s="433"/>
      <c r="AF305" s="433"/>
      <c r="AG305" s="433"/>
      <c r="AH305" s="433"/>
      <c r="AI305" s="433"/>
      <c r="AJ305" s="433"/>
      <c r="AK305" s="433"/>
      <c r="AL305" s="433"/>
      <c r="AM305" s="433"/>
      <c r="AN305" s="433"/>
      <c r="AO305" s="433"/>
      <c r="AP305" s="433"/>
      <c r="AQ305" s="433"/>
      <c r="AR305" s="433"/>
      <c r="AS305" s="433"/>
      <c r="AT305" s="433"/>
      <c r="AU305" s="433"/>
      <c r="AV305" s="433"/>
      <c r="AW305" s="433"/>
      <c r="AX305" s="433"/>
      <c r="AY305" s="433"/>
      <c r="AZ305" s="433"/>
      <c r="BA305" s="433"/>
      <c r="BB305" s="433"/>
      <c r="BC305" s="433"/>
      <c r="BD305" s="433"/>
      <c r="BE305" s="433"/>
      <c r="BF305" s="433"/>
      <c r="BG305" s="433"/>
      <c r="BH305" s="433"/>
      <c r="BI305" s="433"/>
      <c r="BJ305" s="433"/>
      <c r="BK305" s="433"/>
      <c r="BL305" s="433"/>
      <c r="BM305" s="433"/>
      <c r="BN305" s="433"/>
      <c r="BO305" s="433"/>
      <c r="BP305" s="433"/>
      <c r="BQ305" s="433"/>
      <c r="BR305" s="433"/>
      <c r="BS305" s="433"/>
      <c r="BT305" s="433"/>
      <c r="BU305" s="433"/>
    </row>
    <row r="306" spans="31:73" x14ac:dyDescent="0.2">
      <c r="AE306" s="433"/>
      <c r="AF306" s="433"/>
      <c r="AG306" s="433"/>
      <c r="AH306" s="433"/>
      <c r="AI306" s="433"/>
      <c r="AJ306" s="433"/>
      <c r="AK306" s="433"/>
      <c r="AL306" s="433"/>
      <c r="AM306" s="433"/>
      <c r="AN306" s="433"/>
      <c r="AO306" s="433"/>
      <c r="AP306" s="433"/>
      <c r="AQ306" s="433"/>
      <c r="AR306" s="433"/>
      <c r="AS306" s="433"/>
      <c r="AT306" s="433"/>
      <c r="AU306" s="433"/>
      <c r="AV306" s="433"/>
      <c r="AW306" s="433"/>
      <c r="AX306" s="433"/>
      <c r="AY306" s="433"/>
      <c r="AZ306" s="433"/>
      <c r="BA306" s="433"/>
      <c r="BB306" s="433"/>
      <c r="BC306" s="433"/>
      <c r="BD306" s="433"/>
      <c r="BE306" s="433"/>
      <c r="BF306" s="433"/>
      <c r="BG306" s="433"/>
      <c r="BH306" s="433"/>
      <c r="BI306" s="433"/>
      <c r="BJ306" s="433"/>
      <c r="BK306" s="433"/>
      <c r="BL306" s="433"/>
      <c r="BM306" s="433"/>
      <c r="BN306" s="433"/>
      <c r="BO306" s="433"/>
      <c r="BP306" s="433"/>
      <c r="BQ306" s="433"/>
      <c r="BR306" s="433"/>
      <c r="BS306" s="433"/>
      <c r="BT306" s="433"/>
      <c r="BU306" s="433"/>
    </row>
    <row r="307" spans="31:73" x14ac:dyDescent="0.2">
      <c r="AE307" s="433"/>
      <c r="AF307" s="433"/>
      <c r="AG307" s="433"/>
      <c r="AH307" s="433"/>
      <c r="AI307" s="433"/>
      <c r="AJ307" s="433"/>
      <c r="AK307" s="433"/>
      <c r="AL307" s="433"/>
      <c r="AM307" s="433"/>
      <c r="AN307" s="433"/>
      <c r="AO307" s="433"/>
      <c r="AP307" s="433"/>
      <c r="AQ307" s="433"/>
      <c r="AR307" s="433"/>
      <c r="AS307" s="433"/>
      <c r="AT307" s="433"/>
      <c r="AU307" s="433"/>
      <c r="AV307" s="433"/>
      <c r="AW307" s="433"/>
      <c r="AX307" s="433"/>
      <c r="AY307" s="433"/>
      <c r="AZ307" s="433"/>
      <c r="BA307" s="433"/>
      <c r="BB307" s="433"/>
      <c r="BC307" s="433"/>
      <c r="BD307" s="433"/>
      <c r="BE307" s="433"/>
      <c r="BF307" s="433"/>
      <c r="BG307" s="433"/>
      <c r="BH307" s="433"/>
      <c r="BI307" s="433"/>
      <c r="BJ307" s="433"/>
      <c r="BK307" s="433"/>
      <c r="BL307" s="433"/>
      <c r="BM307" s="433"/>
      <c r="BN307" s="433"/>
      <c r="BO307" s="433"/>
      <c r="BP307" s="433"/>
      <c r="BQ307" s="433"/>
      <c r="BR307" s="433"/>
      <c r="BS307" s="433"/>
      <c r="BT307" s="433"/>
      <c r="BU307" s="433"/>
    </row>
    <row r="308" spans="31:73" x14ac:dyDescent="0.2">
      <c r="AE308" s="433"/>
      <c r="AF308" s="433"/>
      <c r="AG308" s="433"/>
      <c r="AH308" s="433"/>
      <c r="AI308" s="433"/>
      <c r="AJ308" s="433"/>
      <c r="AK308" s="433"/>
      <c r="AL308" s="433"/>
      <c r="AM308" s="433"/>
      <c r="AN308" s="433"/>
      <c r="AO308" s="433"/>
      <c r="AP308" s="433"/>
      <c r="AQ308" s="433"/>
      <c r="AR308" s="433"/>
      <c r="AS308" s="433"/>
      <c r="AT308" s="433"/>
      <c r="AU308" s="433"/>
      <c r="AV308" s="433"/>
      <c r="AW308" s="433"/>
      <c r="AX308" s="433"/>
      <c r="AY308" s="433"/>
      <c r="AZ308" s="433"/>
      <c r="BA308" s="433"/>
      <c r="BB308" s="433"/>
      <c r="BC308" s="433"/>
      <c r="BD308" s="433"/>
      <c r="BE308" s="433"/>
      <c r="BF308" s="433"/>
      <c r="BG308" s="433"/>
      <c r="BH308" s="433"/>
      <c r="BI308" s="433"/>
      <c r="BJ308" s="433"/>
      <c r="BK308" s="433"/>
      <c r="BL308" s="433"/>
      <c r="BM308" s="433"/>
      <c r="BN308" s="433"/>
      <c r="BO308" s="433"/>
      <c r="BP308" s="433"/>
      <c r="BQ308" s="433"/>
      <c r="BR308" s="433"/>
      <c r="BS308" s="433"/>
      <c r="BT308" s="433"/>
      <c r="BU308" s="433"/>
    </row>
    <row r="309" spans="31:73" x14ac:dyDescent="0.2">
      <c r="AE309" s="433"/>
      <c r="AF309" s="433"/>
      <c r="AG309" s="433"/>
      <c r="AH309" s="433"/>
      <c r="AI309" s="433"/>
      <c r="AJ309" s="433"/>
      <c r="AK309" s="433"/>
      <c r="AL309" s="433"/>
      <c r="AM309" s="433"/>
      <c r="AN309" s="433"/>
      <c r="AO309" s="433"/>
      <c r="AP309" s="433"/>
      <c r="AQ309" s="433"/>
      <c r="AR309" s="433"/>
      <c r="AS309" s="433"/>
      <c r="AT309" s="433"/>
      <c r="AU309" s="433"/>
      <c r="AV309" s="433"/>
      <c r="AW309" s="433"/>
      <c r="AX309" s="433"/>
      <c r="AY309" s="433"/>
      <c r="AZ309" s="433"/>
      <c r="BA309" s="433"/>
      <c r="BB309" s="433"/>
      <c r="BC309" s="433"/>
      <c r="BD309" s="433"/>
      <c r="BE309" s="433"/>
      <c r="BF309" s="433"/>
      <c r="BG309" s="433"/>
      <c r="BH309" s="433"/>
      <c r="BI309" s="433"/>
      <c r="BJ309" s="433"/>
      <c r="BK309" s="433"/>
      <c r="BL309" s="433"/>
      <c r="BM309" s="433"/>
      <c r="BN309" s="433"/>
      <c r="BO309" s="433"/>
      <c r="BP309" s="433"/>
      <c r="BQ309" s="433"/>
      <c r="BR309" s="433"/>
      <c r="BS309" s="433"/>
      <c r="BT309" s="433"/>
      <c r="BU309" s="433"/>
    </row>
    <row r="310" spans="31:73" x14ac:dyDescent="0.2">
      <c r="AE310" s="433"/>
      <c r="AF310" s="433"/>
      <c r="AG310" s="433"/>
      <c r="AH310" s="433"/>
      <c r="AI310" s="433"/>
      <c r="AJ310" s="433"/>
      <c r="AK310" s="433"/>
      <c r="AL310" s="433"/>
      <c r="AM310" s="433"/>
      <c r="AN310" s="433"/>
      <c r="AO310" s="433"/>
      <c r="AP310" s="433"/>
      <c r="AQ310" s="433"/>
      <c r="AR310" s="433"/>
      <c r="AS310" s="433"/>
      <c r="AT310" s="433"/>
      <c r="AU310" s="433"/>
      <c r="AV310" s="433"/>
      <c r="AW310" s="433"/>
      <c r="AX310" s="433"/>
      <c r="AY310" s="433"/>
      <c r="AZ310" s="433"/>
      <c r="BA310" s="433"/>
      <c r="BB310" s="433"/>
      <c r="BC310" s="433"/>
      <c r="BD310" s="433"/>
      <c r="BE310" s="433"/>
      <c r="BF310" s="433"/>
      <c r="BG310" s="433"/>
      <c r="BH310" s="433"/>
      <c r="BI310" s="433"/>
      <c r="BJ310" s="433"/>
      <c r="BK310" s="433"/>
      <c r="BL310" s="433"/>
      <c r="BM310" s="433"/>
      <c r="BN310" s="433"/>
      <c r="BO310" s="433"/>
      <c r="BP310" s="433"/>
      <c r="BQ310" s="433"/>
      <c r="BR310" s="433"/>
      <c r="BS310" s="433"/>
      <c r="BT310" s="433"/>
      <c r="BU310" s="433"/>
    </row>
    <row r="311" spans="31:73" s="359" customFormat="1" x14ac:dyDescent="0.2">
      <c r="AE311" s="440"/>
      <c r="AF311" s="440"/>
      <c r="AG311" s="440"/>
      <c r="AH311" s="440"/>
      <c r="AI311" s="440"/>
      <c r="AJ311" s="440"/>
      <c r="AK311" s="440"/>
      <c r="AL311" s="440"/>
      <c r="AM311" s="440"/>
      <c r="AN311" s="440"/>
      <c r="AO311" s="440"/>
      <c r="AP311" s="440"/>
      <c r="AQ311" s="440"/>
      <c r="AR311" s="440"/>
      <c r="AS311" s="440"/>
      <c r="AT311" s="440"/>
      <c r="AU311" s="440"/>
      <c r="AV311" s="440"/>
      <c r="AW311" s="440"/>
      <c r="AX311" s="440"/>
      <c r="AY311" s="440"/>
      <c r="AZ311" s="440"/>
      <c r="BA311" s="440"/>
      <c r="BB311" s="440"/>
      <c r="BC311" s="440"/>
      <c r="BD311" s="440"/>
      <c r="BE311" s="440"/>
      <c r="BF311" s="440"/>
      <c r="BG311" s="440"/>
      <c r="BH311" s="440"/>
      <c r="BI311" s="440"/>
      <c r="BJ311" s="440"/>
      <c r="BK311" s="440"/>
      <c r="BL311" s="440"/>
      <c r="BM311" s="440"/>
      <c r="BN311" s="440"/>
      <c r="BO311" s="440"/>
      <c r="BP311" s="440"/>
      <c r="BQ311" s="440"/>
      <c r="BR311" s="440"/>
      <c r="BS311" s="440"/>
      <c r="BT311" s="440"/>
      <c r="BU311" s="440"/>
    </row>
    <row r="312" spans="31:73" s="359" customFormat="1" x14ac:dyDescent="0.2">
      <c r="AE312" s="440"/>
      <c r="AF312" s="440"/>
      <c r="AG312" s="440"/>
      <c r="AH312" s="440"/>
      <c r="AI312" s="440"/>
      <c r="AJ312" s="440"/>
      <c r="AK312" s="440"/>
      <c r="AL312" s="440"/>
      <c r="AM312" s="440"/>
      <c r="AN312" s="440"/>
      <c r="AO312" s="440"/>
      <c r="AP312" s="440"/>
      <c r="AQ312" s="440"/>
      <c r="AR312" s="440"/>
      <c r="AS312" s="440"/>
      <c r="AT312" s="440"/>
      <c r="AU312" s="440"/>
      <c r="AV312" s="440"/>
      <c r="AW312" s="440"/>
      <c r="AX312" s="440"/>
      <c r="AY312" s="440"/>
      <c r="AZ312" s="440"/>
      <c r="BA312" s="440"/>
      <c r="BB312" s="440"/>
      <c r="BC312" s="440"/>
      <c r="BD312" s="440"/>
      <c r="BE312" s="440"/>
      <c r="BF312" s="440"/>
      <c r="BG312" s="440"/>
      <c r="BH312" s="440"/>
      <c r="BI312" s="440"/>
      <c r="BJ312" s="440"/>
      <c r="BK312" s="440"/>
      <c r="BL312" s="440"/>
      <c r="BM312" s="440"/>
      <c r="BN312" s="440"/>
      <c r="BO312" s="440"/>
      <c r="BP312" s="440"/>
      <c r="BQ312" s="440"/>
      <c r="BR312" s="440"/>
      <c r="BS312" s="440"/>
      <c r="BT312" s="440"/>
      <c r="BU312" s="440"/>
    </row>
    <row r="313" spans="31:73" s="359" customFormat="1" x14ac:dyDescent="0.2">
      <c r="AE313" s="440"/>
      <c r="AF313" s="440"/>
      <c r="AG313" s="440"/>
      <c r="AH313" s="440"/>
      <c r="AI313" s="440"/>
      <c r="AJ313" s="440"/>
      <c r="AK313" s="440"/>
      <c r="AL313" s="440"/>
      <c r="AM313" s="440"/>
      <c r="AN313" s="440"/>
      <c r="AO313" s="440"/>
      <c r="AP313" s="440"/>
      <c r="AQ313" s="440"/>
      <c r="AR313" s="440"/>
      <c r="AS313" s="440"/>
      <c r="AT313" s="440"/>
      <c r="AU313" s="440"/>
      <c r="AV313" s="440"/>
      <c r="AW313" s="440"/>
      <c r="AX313" s="440"/>
      <c r="AY313" s="440"/>
      <c r="AZ313" s="440"/>
      <c r="BA313" s="440"/>
      <c r="BB313" s="440"/>
      <c r="BC313" s="440"/>
      <c r="BD313" s="440"/>
      <c r="BE313" s="440"/>
      <c r="BF313" s="440"/>
      <c r="BG313" s="440"/>
      <c r="BH313" s="440"/>
      <c r="BI313" s="440"/>
      <c r="BJ313" s="440"/>
      <c r="BK313" s="440"/>
      <c r="BL313" s="440"/>
      <c r="BM313" s="440"/>
      <c r="BN313" s="440"/>
      <c r="BO313" s="440"/>
      <c r="BP313" s="440"/>
      <c r="BQ313" s="440"/>
      <c r="BR313" s="440"/>
      <c r="BS313" s="440"/>
      <c r="BT313" s="440"/>
      <c r="BU313" s="440"/>
    </row>
    <row r="314" spans="31:73" s="359" customFormat="1" x14ac:dyDescent="0.2">
      <c r="AE314" s="440"/>
      <c r="AF314" s="440"/>
      <c r="AG314" s="440"/>
      <c r="AH314" s="440"/>
      <c r="AI314" s="440"/>
      <c r="AJ314" s="440"/>
      <c r="AK314" s="440"/>
      <c r="AL314" s="440"/>
      <c r="AM314" s="440"/>
      <c r="AN314" s="440"/>
      <c r="AO314" s="440"/>
      <c r="AP314" s="440"/>
      <c r="AQ314" s="440"/>
      <c r="AR314" s="440"/>
      <c r="AS314" s="440"/>
      <c r="AT314" s="440"/>
      <c r="AU314" s="440"/>
      <c r="AV314" s="440"/>
      <c r="AW314" s="440"/>
      <c r="AX314" s="440"/>
      <c r="AY314" s="440"/>
      <c r="AZ314" s="440"/>
      <c r="BA314" s="440"/>
      <c r="BB314" s="440"/>
      <c r="BC314" s="440"/>
      <c r="BD314" s="440"/>
      <c r="BE314" s="440"/>
      <c r="BF314" s="440"/>
      <c r="BG314" s="440"/>
      <c r="BH314" s="440"/>
      <c r="BI314" s="440"/>
      <c r="BJ314" s="440"/>
      <c r="BK314" s="440"/>
      <c r="BL314" s="440"/>
      <c r="BM314" s="440"/>
      <c r="BN314" s="440"/>
      <c r="BO314" s="440"/>
      <c r="BP314" s="440"/>
      <c r="BQ314" s="440"/>
      <c r="BR314" s="440"/>
      <c r="BS314" s="440"/>
      <c r="BT314" s="440"/>
      <c r="BU314" s="440"/>
    </row>
    <row r="315" spans="31:73" s="359" customFormat="1" x14ac:dyDescent="0.2">
      <c r="AE315" s="440"/>
      <c r="AF315" s="440"/>
      <c r="AG315" s="440"/>
      <c r="AH315" s="440"/>
      <c r="AI315" s="440"/>
      <c r="AJ315" s="440"/>
      <c r="AK315" s="440"/>
      <c r="AL315" s="440"/>
      <c r="AM315" s="440"/>
      <c r="AN315" s="440"/>
      <c r="AO315" s="440"/>
      <c r="AP315" s="440"/>
      <c r="AQ315" s="440"/>
      <c r="AR315" s="440"/>
      <c r="AS315" s="440"/>
      <c r="AT315" s="440"/>
      <c r="AU315" s="440"/>
      <c r="AV315" s="440"/>
      <c r="AW315" s="440"/>
      <c r="AX315" s="440"/>
      <c r="AY315" s="440"/>
      <c r="AZ315" s="440"/>
      <c r="BA315" s="440"/>
      <c r="BB315" s="440"/>
      <c r="BC315" s="440"/>
      <c r="BD315" s="440"/>
      <c r="BE315" s="440"/>
      <c r="BF315" s="440"/>
      <c r="BG315" s="440"/>
      <c r="BH315" s="440"/>
      <c r="BI315" s="440"/>
      <c r="BJ315" s="440"/>
      <c r="BK315" s="440"/>
      <c r="BL315" s="440"/>
      <c r="BM315" s="440"/>
      <c r="BN315" s="440"/>
      <c r="BO315" s="440"/>
      <c r="BP315" s="440"/>
      <c r="BQ315" s="440"/>
      <c r="BR315" s="440"/>
      <c r="BS315" s="440"/>
      <c r="BT315" s="440"/>
      <c r="BU315" s="440"/>
    </row>
    <row r="316" spans="31:73" s="359" customFormat="1" x14ac:dyDescent="0.2">
      <c r="AE316" s="440"/>
      <c r="AF316" s="440"/>
      <c r="AG316" s="440"/>
      <c r="AH316" s="440"/>
      <c r="AI316" s="440"/>
      <c r="AJ316" s="440"/>
      <c r="AK316" s="440"/>
      <c r="AL316" s="440"/>
      <c r="AM316" s="440"/>
      <c r="AN316" s="440"/>
      <c r="AO316" s="440"/>
      <c r="AP316" s="440"/>
      <c r="AQ316" s="440"/>
      <c r="AR316" s="440"/>
      <c r="AS316" s="440"/>
      <c r="AT316" s="440"/>
      <c r="AU316" s="440"/>
      <c r="AV316" s="440"/>
      <c r="AW316" s="440"/>
      <c r="AX316" s="440"/>
      <c r="AY316" s="440"/>
      <c r="AZ316" s="440"/>
      <c r="BA316" s="440"/>
      <c r="BB316" s="440"/>
      <c r="BC316" s="440"/>
      <c r="BD316" s="440"/>
      <c r="BE316" s="440"/>
      <c r="BF316" s="440"/>
      <c r="BG316" s="440"/>
      <c r="BH316" s="440"/>
      <c r="BI316" s="440"/>
      <c r="BJ316" s="440"/>
      <c r="BK316" s="440"/>
      <c r="BL316" s="440"/>
      <c r="BM316" s="440"/>
      <c r="BN316" s="440"/>
      <c r="BO316" s="440"/>
      <c r="BP316" s="440"/>
      <c r="BQ316" s="440"/>
      <c r="BR316" s="440"/>
      <c r="BS316" s="440"/>
      <c r="BT316" s="440"/>
      <c r="BU316" s="440"/>
    </row>
    <row r="317" spans="31:73" s="359" customFormat="1" x14ac:dyDescent="0.2">
      <c r="AE317" s="440"/>
      <c r="AF317" s="440"/>
      <c r="AG317" s="440"/>
      <c r="AH317" s="440"/>
      <c r="AI317" s="440"/>
      <c r="AJ317" s="440"/>
      <c r="AK317" s="440"/>
      <c r="AL317" s="440"/>
      <c r="AM317" s="440"/>
      <c r="AN317" s="440"/>
      <c r="AO317" s="440"/>
      <c r="AP317" s="440"/>
      <c r="AQ317" s="440"/>
      <c r="AR317" s="440"/>
      <c r="AS317" s="440"/>
      <c r="AT317" s="440"/>
      <c r="AU317" s="440"/>
      <c r="AV317" s="440"/>
      <c r="AW317" s="440"/>
      <c r="AX317" s="440"/>
      <c r="AY317" s="440"/>
      <c r="AZ317" s="440"/>
      <c r="BA317" s="440"/>
      <c r="BB317" s="440"/>
      <c r="BC317" s="440"/>
      <c r="BD317" s="440"/>
      <c r="BE317" s="440"/>
      <c r="BF317" s="440"/>
      <c r="BG317" s="440"/>
      <c r="BH317" s="440"/>
      <c r="BI317" s="440"/>
      <c r="BJ317" s="440"/>
      <c r="BK317" s="440"/>
      <c r="BL317" s="440"/>
      <c r="BM317" s="440"/>
      <c r="BN317" s="440"/>
      <c r="BO317" s="440"/>
      <c r="BP317" s="440"/>
      <c r="BQ317" s="440"/>
      <c r="BR317" s="440"/>
      <c r="BS317" s="440"/>
      <c r="BT317" s="440"/>
      <c r="BU317" s="440"/>
    </row>
    <row r="318" spans="31:73" x14ac:dyDescent="0.2">
      <c r="AE318" s="433"/>
      <c r="AF318" s="433"/>
      <c r="AG318" s="433"/>
      <c r="AH318" s="433"/>
      <c r="AI318" s="433"/>
      <c r="AJ318" s="433"/>
      <c r="AK318" s="433"/>
      <c r="AL318" s="433"/>
      <c r="AM318" s="433"/>
      <c r="AN318" s="433"/>
      <c r="AO318" s="433"/>
      <c r="AP318" s="433"/>
      <c r="AQ318" s="433"/>
      <c r="AR318" s="433"/>
      <c r="AS318" s="433"/>
      <c r="AT318" s="433"/>
      <c r="AU318" s="433"/>
      <c r="AV318" s="433"/>
      <c r="AW318" s="433"/>
      <c r="AX318" s="433"/>
      <c r="AY318" s="433"/>
      <c r="AZ318" s="433"/>
      <c r="BA318" s="433"/>
      <c r="BB318" s="433"/>
      <c r="BC318" s="433"/>
      <c r="BD318" s="433"/>
      <c r="BE318" s="433"/>
      <c r="BF318" s="433"/>
      <c r="BG318" s="433"/>
      <c r="BH318" s="433"/>
      <c r="BI318" s="433"/>
      <c r="BJ318" s="433"/>
      <c r="BK318" s="433"/>
      <c r="BL318" s="433"/>
      <c r="BM318" s="433"/>
      <c r="BN318" s="433"/>
      <c r="BO318" s="433"/>
      <c r="BP318" s="433"/>
      <c r="BQ318" s="433"/>
      <c r="BR318" s="433"/>
      <c r="BS318" s="433"/>
      <c r="BT318" s="433"/>
      <c r="BU318" s="433"/>
    </row>
    <row r="319" spans="31:73" s="359" customFormat="1" x14ac:dyDescent="0.2">
      <c r="AE319" s="440"/>
      <c r="AF319" s="440"/>
      <c r="AG319" s="440"/>
      <c r="AH319" s="440"/>
      <c r="AI319" s="440"/>
      <c r="AJ319" s="440"/>
      <c r="AK319" s="440"/>
      <c r="AL319" s="440"/>
      <c r="AM319" s="440"/>
      <c r="AN319" s="440"/>
      <c r="AO319" s="440"/>
      <c r="AP319" s="440"/>
      <c r="AQ319" s="440"/>
      <c r="AR319" s="440"/>
      <c r="AS319" s="440"/>
      <c r="AT319" s="440"/>
      <c r="AU319" s="440"/>
      <c r="AV319" s="440"/>
      <c r="AW319" s="440"/>
      <c r="AX319" s="440"/>
      <c r="AY319" s="440"/>
      <c r="AZ319" s="440"/>
      <c r="BA319" s="440"/>
      <c r="BB319" s="440"/>
      <c r="BC319" s="440"/>
      <c r="BD319" s="440"/>
      <c r="BE319" s="440"/>
      <c r="BF319" s="440"/>
      <c r="BG319" s="440"/>
      <c r="BH319" s="440"/>
      <c r="BI319" s="440"/>
      <c r="BJ319" s="440"/>
      <c r="BK319" s="440"/>
      <c r="BL319" s="440"/>
      <c r="BM319" s="440"/>
      <c r="BN319" s="440"/>
      <c r="BO319" s="440"/>
      <c r="BP319" s="440"/>
      <c r="BQ319" s="440"/>
      <c r="BR319" s="440"/>
      <c r="BS319" s="440"/>
      <c r="BT319" s="440"/>
      <c r="BU319" s="440"/>
    </row>
    <row r="320" spans="31:73" s="359" customFormat="1" x14ac:dyDescent="0.2">
      <c r="AE320" s="440"/>
      <c r="AF320" s="440"/>
      <c r="AG320" s="440"/>
      <c r="AH320" s="440"/>
      <c r="AI320" s="440"/>
      <c r="AJ320" s="440"/>
      <c r="AK320" s="440"/>
      <c r="AL320" s="440"/>
      <c r="AM320" s="440"/>
      <c r="AN320" s="440"/>
      <c r="AO320" s="440"/>
      <c r="AP320" s="440"/>
      <c r="AQ320" s="440"/>
      <c r="AR320" s="440"/>
      <c r="AS320" s="440"/>
      <c r="AT320" s="440"/>
      <c r="AU320" s="440"/>
      <c r="AV320" s="440"/>
      <c r="AW320" s="440"/>
      <c r="AX320" s="440"/>
      <c r="AY320" s="440"/>
      <c r="AZ320" s="440"/>
      <c r="BA320" s="440"/>
      <c r="BB320" s="440"/>
      <c r="BC320" s="440"/>
      <c r="BD320" s="440"/>
      <c r="BE320" s="440"/>
      <c r="BF320" s="440"/>
      <c r="BG320" s="440"/>
      <c r="BH320" s="440"/>
      <c r="BI320" s="440"/>
      <c r="BJ320" s="440"/>
      <c r="BK320" s="440"/>
      <c r="BL320" s="440"/>
      <c r="BM320" s="440"/>
      <c r="BN320" s="440"/>
      <c r="BO320" s="440"/>
      <c r="BP320" s="440"/>
      <c r="BQ320" s="440"/>
      <c r="BR320" s="440"/>
      <c r="BS320" s="440"/>
      <c r="BT320" s="440"/>
      <c r="BU320" s="440"/>
    </row>
    <row r="321" spans="15:73" s="359" customFormat="1" x14ac:dyDescent="0.2">
      <c r="AE321" s="440"/>
      <c r="AF321" s="440"/>
      <c r="AG321" s="440"/>
      <c r="AH321" s="440"/>
      <c r="AI321" s="440"/>
      <c r="AJ321" s="440"/>
      <c r="AK321" s="440"/>
      <c r="AL321" s="440"/>
      <c r="AM321" s="440"/>
      <c r="AN321" s="440"/>
      <c r="AO321" s="440"/>
      <c r="AP321" s="440"/>
      <c r="AQ321" s="440"/>
      <c r="AR321" s="440"/>
      <c r="AS321" s="440"/>
      <c r="AT321" s="440"/>
      <c r="AU321" s="440"/>
      <c r="AV321" s="440"/>
      <c r="AW321" s="440"/>
      <c r="AX321" s="440"/>
      <c r="AY321" s="440"/>
      <c r="AZ321" s="440"/>
      <c r="BA321" s="440"/>
      <c r="BB321" s="440"/>
      <c r="BC321" s="440"/>
      <c r="BD321" s="440"/>
      <c r="BE321" s="440"/>
      <c r="BF321" s="440"/>
      <c r="BG321" s="440"/>
      <c r="BH321" s="440"/>
      <c r="BI321" s="440"/>
      <c r="BJ321" s="440"/>
      <c r="BK321" s="440"/>
      <c r="BL321" s="440"/>
      <c r="BM321" s="440"/>
      <c r="BN321" s="440"/>
      <c r="BO321" s="440"/>
      <c r="BP321" s="440"/>
      <c r="BQ321" s="440"/>
      <c r="BR321" s="440"/>
      <c r="BS321" s="440"/>
      <c r="BT321" s="440"/>
      <c r="BU321" s="440"/>
    </row>
    <row r="322" spans="15:73" s="359" customFormat="1" x14ac:dyDescent="0.2">
      <c r="AE322" s="440"/>
      <c r="AF322" s="440"/>
      <c r="AG322" s="440"/>
      <c r="AH322" s="440"/>
      <c r="AI322" s="440"/>
      <c r="AJ322" s="440"/>
      <c r="AK322" s="440"/>
      <c r="AL322" s="440"/>
      <c r="AM322" s="440"/>
      <c r="AN322" s="440"/>
      <c r="AO322" s="440"/>
      <c r="AP322" s="440"/>
      <c r="AQ322" s="440"/>
      <c r="AR322" s="440"/>
      <c r="AS322" s="440"/>
      <c r="AT322" s="440"/>
      <c r="AU322" s="440"/>
      <c r="AV322" s="440"/>
      <c r="AW322" s="440"/>
      <c r="AX322" s="440"/>
      <c r="AY322" s="440"/>
      <c r="AZ322" s="440"/>
      <c r="BA322" s="440"/>
      <c r="BB322" s="440"/>
      <c r="BC322" s="440"/>
      <c r="BD322" s="440"/>
      <c r="BE322" s="440"/>
      <c r="BF322" s="440"/>
      <c r="BG322" s="440"/>
      <c r="BH322" s="440"/>
      <c r="BI322" s="440"/>
      <c r="BJ322" s="440"/>
      <c r="BK322" s="440"/>
      <c r="BL322" s="440"/>
      <c r="BM322" s="440"/>
      <c r="BN322" s="440"/>
      <c r="BO322" s="440"/>
      <c r="BP322" s="440"/>
      <c r="BQ322" s="440"/>
      <c r="BR322" s="440"/>
      <c r="BS322" s="440"/>
      <c r="BT322" s="440"/>
      <c r="BU322" s="440"/>
    </row>
    <row r="323" spans="15:73" s="359" customFormat="1" x14ac:dyDescent="0.2">
      <c r="AE323" s="440"/>
      <c r="AF323" s="440"/>
      <c r="AG323" s="440"/>
      <c r="AH323" s="440"/>
      <c r="AI323" s="440"/>
      <c r="AJ323" s="440"/>
      <c r="AK323" s="440"/>
      <c r="AL323" s="440"/>
      <c r="AM323" s="440"/>
      <c r="AN323" s="440"/>
      <c r="AO323" s="440"/>
      <c r="AP323" s="440"/>
      <c r="AQ323" s="440"/>
      <c r="AR323" s="440"/>
      <c r="AS323" s="440"/>
      <c r="AT323" s="440"/>
      <c r="AU323" s="440"/>
      <c r="AV323" s="440"/>
      <c r="AW323" s="440"/>
      <c r="AX323" s="440"/>
      <c r="AY323" s="440"/>
      <c r="AZ323" s="440"/>
      <c r="BA323" s="440"/>
      <c r="BB323" s="440"/>
      <c r="BC323" s="440"/>
      <c r="BD323" s="440"/>
      <c r="BE323" s="440"/>
      <c r="BF323" s="440"/>
      <c r="BG323" s="440"/>
      <c r="BH323" s="440"/>
      <c r="BI323" s="440"/>
      <c r="BJ323" s="440"/>
      <c r="BK323" s="440"/>
      <c r="BL323" s="440"/>
      <c r="BM323" s="440"/>
      <c r="BN323" s="440"/>
      <c r="BO323" s="440"/>
      <c r="BP323" s="440"/>
      <c r="BQ323" s="440"/>
      <c r="BR323" s="440"/>
      <c r="BS323" s="440"/>
      <c r="BT323" s="440"/>
      <c r="BU323" s="440"/>
    </row>
    <row r="324" spans="15:73" s="359" customFormat="1" x14ac:dyDescent="0.2">
      <c r="AE324" s="440"/>
      <c r="AF324" s="440"/>
      <c r="AG324" s="440"/>
      <c r="AH324" s="440"/>
      <c r="AI324" s="440"/>
      <c r="AJ324" s="440"/>
      <c r="AK324" s="440"/>
      <c r="AL324" s="440"/>
      <c r="AM324" s="440"/>
      <c r="AN324" s="440"/>
      <c r="AO324" s="440"/>
      <c r="AP324" s="440"/>
      <c r="AQ324" s="440"/>
      <c r="AR324" s="440"/>
      <c r="AS324" s="440"/>
      <c r="AT324" s="440"/>
      <c r="AU324" s="440"/>
      <c r="AV324" s="440"/>
      <c r="AW324" s="440"/>
      <c r="AX324" s="440"/>
      <c r="AY324" s="440"/>
      <c r="AZ324" s="440"/>
      <c r="BA324" s="440"/>
      <c r="BB324" s="440"/>
      <c r="BC324" s="440"/>
      <c r="BD324" s="440"/>
      <c r="BE324" s="440"/>
      <c r="BF324" s="440"/>
      <c r="BG324" s="440"/>
      <c r="BH324" s="440"/>
      <c r="BI324" s="440"/>
      <c r="BJ324" s="440"/>
      <c r="BK324" s="440"/>
      <c r="BL324" s="440"/>
      <c r="BM324" s="440"/>
      <c r="BN324" s="440"/>
      <c r="BO324" s="440"/>
      <c r="BP324" s="440"/>
      <c r="BQ324" s="440"/>
      <c r="BR324" s="440"/>
      <c r="BS324" s="440"/>
      <c r="BT324" s="440"/>
      <c r="BU324" s="440"/>
    </row>
    <row r="325" spans="15:73" x14ac:dyDescent="0.2">
      <c r="AE325" s="433"/>
      <c r="AF325" s="433"/>
      <c r="AG325" s="433"/>
      <c r="AH325" s="433"/>
      <c r="AI325" s="433"/>
      <c r="AJ325" s="433"/>
      <c r="AK325" s="433"/>
      <c r="AL325" s="433"/>
      <c r="AM325" s="433"/>
      <c r="AN325" s="433"/>
      <c r="AO325" s="433"/>
      <c r="AP325" s="433"/>
      <c r="AQ325" s="433"/>
      <c r="AR325" s="433"/>
      <c r="AS325" s="433"/>
      <c r="AT325" s="433"/>
      <c r="AU325" s="433"/>
      <c r="AV325" s="433"/>
      <c r="AW325" s="433"/>
      <c r="AX325" s="433"/>
      <c r="AY325" s="433"/>
      <c r="AZ325" s="433"/>
      <c r="BA325" s="433"/>
      <c r="BB325" s="433"/>
      <c r="BC325" s="433"/>
      <c r="BD325" s="433"/>
      <c r="BE325" s="433"/>
      <c r="BF325" s="433"/>
      <c r="BG325" s="433"/>
      <c r="BH325" s="433"/>
      <c r="BI325" s="433"/>
      <c r="BJ325" s="433"/>
      <c r="BK325" s="433"/>
      <c r="BL325" s="433"/>
      <c r="BM325" s="433"/>
      <c r="BN325" s="433"/>
      <c r="BO325" s="433"/>
      <c r="BP325" s="433"/>
      <c r="BQ325" s="433"/>
      <c r="BR325" s="433"/>
      <c r="BS325" s="433"/>
      <c r="BT325" s="433"/>
      <c r="BU325" s="433"/>
    </row>
    <row r="326" spans="15:73" x14ac:dyDescent="0.2">
      <c r="AE326" s="433"/>
      <c r="AF326" s="433"/>
      <c r="AG326" s="433"/>
      <c r="AH326" s="433"/>
      <c r="AI326" s="433"/>
      <c r="AJ326" s="433"/>
      <c r="AK326" s="433"/>
      <c r="AL326" s="433"/>
      <c r="AM326" s="433"/>
      <c r="AN326" s="433"/>
      <c r="AO326" s="433"/>
      <c r="AP326" s="433"/>
      <c r="AQ326" s="433"/>
      <c r="AR326" s="433"/>
      <c r="AS326" s="433"/>
      <c r="AT326" s="433"/>
      <c r="AU326" s="433"/>
      <c r="AV326" s="433"/>
      <c r="AW326" s="433"/>
      <c r="AX326" s="433"/>
      <c r="AY326" s="433"/>
      <c r="AZ326" s="433"/>
      <c r="BA326" s="433"/>
      <c r="BB326" s="433"/>
      <c r="BC326" s="433"/>
      <c r="BD326" s="433"/>
      <c r="BE326" s="433"/>
      <c r="BF326" s="433"/>
      <c r="BG326" s="433"/>
      <c r="BH326" s="433"/>
      <c r="BI326" s="433"/>
      <c r="BJ326" s="433"/>
      <c r="BK326" s="433"/>
      <c r="BL326" s="433"/>
      <c r="BM326" s="433"/>
      <c r="BN326" s="433"/>
      <c r="BO326" s="433"/>
      <c r="BP326" s="433"/>
      <c r="BQ326" s="433"/>
      <c r="BR326" s="433"/>
      <c r="BS326" s="433"/>
      <c r="BT326" s="433"/>
      <c r="BU326" s="433"/>
    </row>
    <row r="327" spans="15:73" x14ac:dyDescent="0.2">
      <c r="AE327" s="433"/>
      <c r="AF327" s="433"/>
      <c r="AG327" s="433"/>
      <c r="AH327" s="433"/>
      <c r="AI327" s="433"/>
      <c r="AJ327" s="433"/>
      <c r="AK327" s="433"/>
      <c r="AL327" s="433"/>
      <c r="AM327" s="433"/>
      <c r="AN327" s="433"/>
      <c r="AO327" s="433"/>
      <c r="AP327" s="433"/>
      <c r="AQ327" s="433"/>
      <c r="AR327" s="433"/>
      <c r="AS327" s="433"/>
      <c r="AT327" s="433"/>
      <c r="AU327" s="433"/>
      <c r="AV327" s="433"/>
      <c r="AW327" s="433"/>
      <c r="AX327" s="433"/>
      <c r="AY327" s="433"/>
      <c r="AZ327" s="433"/>
      <c r="BA327" s="433"/>
      <c r="BB327" s="433"/>
      <c r="BC327" s="433"/>
      <c r="BD327" s="433"/>
      <c r="BE327" s="433"/>
      <c r="BF327" s="433"/>
      <c r="BG327" s="433"/>
      <c r="BH327" s="433"/>
      <c r="BI327" s="433"/>
      <c r="BJ327" s="433"/>
      <c r="BK327" s="433"/>
      <c r="BL327" s="433"/>
      <c r="BM327" s="433"/>
      <c r="BN327" s="433"/>
      <c r="BO327" s="433"/>
      <c r="BP327" s="433"/>
      <c r="BQ327" s="433"/>
      <c r="BR327" s="433"/>
      <c r="BS327" s="433"/>
      <c r="BT327" s="433"/>
      <c r="BU327" s="433"/>
    </row>
    <row r="328" spans="15:73" x14ac:dyDescent="0.2">
      <c r="AE328" s="433"/>
      <c r="AF328" s="433"/>
      <c r="AG328" s="433"/>
      <c r="AH328" s="433"/>
      <c r="AI328" s="433"/>
      <c r="AJ328" s="433"/>
      <c r="AK328" s="433"/>
      <c r="AL328" s="433"/>
      <c r="AM328" s="433"/>
      <c r="AN328" s="433"/>
      <c r="AO328" s="433"/>
      <c r="AP328" s="433"/>
      <c r="AQ328" s="433"/>
      <c r="AR328" s="433"/>
      <c r="AS328" s="433"/>
      <c r="AT328" s="433"/>
      <c r="AU328" s="433"/>
      <c r="AV328" s="433"/>
      <c r="AW328" s="433"/>
      <c r="AX328" s="433"/>
      <c r="AY328" s="433"/>
      <c r="AZ328" s="433"/>
      <c r="BA328" s="433"/>
      <c r="BB328" s="433"/>
      <c r="BC328" s="433"/>
      <c r="BD328" s="433"/>
      <c r="BE328" s="433"/>
      <c r="BF328" s="433"/>
      <c r="BG328" s="433"/>
      <c r="BH328" s="433"/>
      <c r="BI328" s="433"/>
      <c r="BJ328" s="433"/>
      <c r="BK328" s="433"/>
      <c r="BL328" s="433"/>
      <c r="BM328" s="433"/>
      <c r="BN328" s="433"/>
      <c r="BO328" s="433"/>
      <c r="BP328" s="433"/>
      <c r="BQ328" s="433"/>
      <c r="BR328" s="433"/>
      <c r="BS328" s="433"/>
      <c r="BT328" s="433"/>
      <c r="BU328" s="433"/>
    </row>
    <row r="329" spans="15:73" x14ac:dyDescent="0.2">
      <c r="AE329" s="433"/>
      <c r="AF329" s="433"/>
      <c r="AG329" s="433"/>
      <c r="AH329" s="433"/>
      <c r="AI329" s="433"/>
      <c r="AJ329" s="433"/>
      <c r="AK329" s="433"/>
      <c r="AL329" s="433"/>
      <c r="AM329" s="433"/>
      <c r="AN329" s="433"/>
      <c r="AO329" s="433"/>
      <c r="AP329" s="433"/>
      <c r="AQ329" s="433"/>
      <c r="AR329" s="433"/>
      <c r="AS329" s="433"/>
      <c r="AT329" s="433"/>
      <c r="AU329" s="433"/>
      <c r="AV329" s="433"/>
      <c r="AW329" s="433"/>
      <c r="AX329" s="433"/>
      <c r="AY329" s="433"/>
      <c r="AZ329" s="433"/>
      <c r="BA329" s="433"/>
      <c r="BB329" s="433"/>
      <c r="BC329" s="433"/>
      <c r="BD329" s="433"/>
      <c r="BE329" s="433"/>
      <c r="BF329" s="433"/>
      <c r="BG329" s="433"/>
      <c r="BH329" s="433"/>
      <c r="BI329" s="433"/>
      <c r="BJ329" s="433"/>
      <c r="BK329" s="433"/>
      <c r="BL329" s="433"/>
      <c r="BM329" s="433"/>
      <c r="BN329" s="433"/>
      <c r="BO329" s="433"/>
      <c r="BP329" s="433"/>
      <c r="BQ329" s="433"/>
      <c r="BR329" s="433"/>
      <c r="BS329" s="433"/>
      <c r="BT329" s="433"/>
      <c r="BU329" s="433"/>
    </row>
    <row r="330" spans="15:73" x14ac:dyDescent="0.2">
      <c r="AE330" s="433"/>
      <c r="AF330" s="433"/>
      <c r="AG330" s="433"/>
      <c r="AH330" s="433"/>
      <c r="AI330" s="433"/>
      <c r="AJ330" s="433"/>
      <c r="AK330" s="433"/>
      <c r="AL330" s="433"/>
      <c r="AM330" s="433"/>
      <c r="AN330" s="433"/>
      <c r="AO330" s="433"/>
      <c r="AP330" s="433"/>
      <c r="AQ330" s="433"/>
      <c r="AR330" s="433"/>
      <c r="AS330" s="433"/>
      <c r="AT330" s="433"/>
      <c r="AU330" s="433"/>
      <c r="AV330" s="433"/>
      <c r="AW330" s="433"/>
      <c r="AX330" s="433"/>
      <c r="AY330" s="433"/>
      <c r="AZ330" s="433"/>
      <c r="BA330" s="433"/>
      <c r="BB330" s="433"/>
      <c r="BC330" s="433"/>
      <c r="BD330" s="433"/>
      <c r="BE330" s="433"/>
      <c r="BF330" s="433"/>
      <c r="BG330" s="433"/>
      <c r="BH330" s="433"/>
      <c r="BI330" s="433"/>
      <c r="BJ330" s="433"/>
      <c r="BK330" s="433"/>
      <c r="BL330" s="433"/>
      <c r="BM330" s="433"/>
      <c r="BN330" s="433"/>
      <c r="BO330" s="433"/>
      <c r="BP330" s="433"/>
      <c r="BQ330" s="433"/>
      <c r="BR330" s="433"/>
      <c r="BS330" s="433"/>
      <c r="BT330" s="433"/>
      <c r="BU330" s="433"/>
    </row>
    <row r="331" spans="15:73" x14ac:dyDescent="0.2">
      <c r="AE331" s="433"/>
      <c r="AF331" s="433"/>
      <c r="AG331" s="433"/>
      <c r="AH331" s="433"/>
      <c r="AI331" s="433"/>
      <c r="AJ331" s="433"/>
      <c r="AK331" s="433"/>
      <c r="AL331" s="433"/>
      <c r="AM331" s="433"/>
      <c r="AN331" s="433"/>
      <c r="AO331" s="433"/>
      <c r="AP331" s="433"/>
      <c r="AQ331" s="433"/>
      <c r="AR331" s="433"/>
      <c r="AS331" s="433"/>
      <c r="AT331" s="433"/>
      <c r="AU331" s="433"/>
      <c r="AV331" s="433"/>
      <c r="AW331" s="433"/>
      <c r="AX331" s="433"/>
      <c r="AY331" s="433"/>
      <c r="AZ331" s="433"/>
      <c r="BA331" s="433"/>
      <c r="BB331" s="433"/>
      <c r="BC331" s="433"/>
      <c r="BD331" s="433"/>
      <c r="BE331" s="433"/>
      <c r="BF331" s="433"/>
      <c r="BG331" s="433"/>
      <c r="BH331" s="433"/>
      <c r="BI331" s="433"/>
      <c r="BJ331" s="433"/>
      <c r="BK331" s="433"/>
      <c r="BL331" s="433"/>
      <c r="BM331" s="433"/>
      <c r="BN331" s="433"/>
      <c r="BO331" s="433"/>
      <c r="BP331" s="433"/>
      <c r="BQ331" s="433"/>
      <c r="BR331" s="433"/>
      <c r="BS331" s="433"/>
      <c r="BT331" s="433"/>
      <c r="BU331" s="433"/>
    </row>
    <row r="332" spans="15:73" x14ac:dyDescent="0.2">
      <c r="AE332" s="433"/>
      <c r="AF332" s="433"/>
      <c r="AG332" s="433"/>
      <c r="AH332" s="433"/>
      <c r="AI332" s="433"/>
      <c r="AJ332" s="433"/>
      <c r="AK332" s="433"/>
      <c r="AL332" s="433"/>
      <c r="AM332" s="433"/>
      <c r="AN332" s="433"/>
      <c r="AO332" s="433"/>
      <c r="AP332" s="433"/>
      <c r="AQ332" s="433"/>
      <c r="AR332" s="433"/>
      <c r="AS332" s="433"/>
      <c r="AT332" s="433"/>
      <c r="AU332" s="433"/>
      <c r="AV332" s="433"/>
      <c r="AW332" s="433"/>
      <c r="AX332" s="433"/>
      <c r="AY332" s="433"/>
      <c r="AZ332" s="433"/>
      <c r="BA332" s="433"/>
      <c r="BB332" s="433"/>
      <c r="BC332" s="433"/>
      <c r="BD332" s="433"/>
      <c r="BE332" s="433"/>
      <c r="BF332" s="433"/>
      <c r="BG332" s="433"/>
      <c r="BH332" s="433"/>
      <c r="BI332" s="433"/>
      <c r="BJ332" s="433"/>
      <c r="BK332" s="433"/>
      <c r="BL332" s="433"/>
      <c r="BM332" s="433"/>
      <c r="BN332" s="433"/>
      <c r="BO332" s="433"/>
      <c r="BP332" s="433"/>
      <c r="BQ332" s="433"/>
      <c r="BR332" s="433"/>
      <c r="BS332" s="433"/>
      <c r="BT332" s="433"/>
      <c r="BU332" s="433"/>
    </row>
    <row r="333" spans="15:73" x14ac:dyDescent="0.2">
      <c r="AE333" s="433"/>
      <c r="AF333" s="433"/>
      <c r="AG333" s="433"/>
      <c r="AH333" s="433"/>
      <c r="AI333" s="433"/>
      <c r="AJ333" s="433"/>
      <c r="AK333" s="433"/>
      <c r="AL333" s="433"/>
      <c r="AM333" s="433"/>
      <c r="AN333" s="433"/>
      <c r="AO333" s="433"/>
      <c r="AP333" s="433"/>
      <c r="AQ333" s="433"/>
      <c r="AR333" s="433"/>
      <c r="AS333" s="433"/>
      <c r="AT333" s="433"/>
      <c r="AU333" s="433"/>
      <c r="AV333" s="433"/>
      <c r="AW333" s="433"/>
      <c r="AX333" s="433"/>
      <c r="AY333" s="433"/>
      <c r="AZ333" s="433"/>
      <c r="BA333" s="433"/>
      <c r="BB333" s="433"/>
      <c r="BC333" s="433"/>
      <c r="BD333" s="433"/>
      <c r="BE333" s="433"/>
      <c r="BF333" s="433"/>
      <c r="BG333" s="433"/>
      <c r="BH333" s="433"/>
      <c r="BI333" s="433"/>
      <c r="BJ333" s="433"/>
      <c r="BK333" s="433"/>
      <c r="BL333" s="433"/>
      <c r="BM333" s="433"/>
      <c r="BN333" s="433"/>
      <c r="BO333" s="433"/>
      <c r="BP333" s="433"/>
      <c r="BQ333" s="433"/>
      <c r="BR333" s="433"/>
      <c r="BS333" s="433"/>
      <c r="BT333" s="433"/>
      <c r="BU333" s="433"/>
    </row>
    <row r="334" spans="15:73" x14ac:dyDescent="0.2">
      <c r="AE334" s="433"/>
      <c r="AF334" s="433"/>
      <c r="AG334" s="433"/>
      <c r="AH334" s="433"/>
      <c r="AI334" s="433"/>
      <c r="AJ334" s="433"/>
      <c r="AK334" s="433"/>
      <c r="AL334" s="433"/>
      <c r="AM334" s="433"/>
      <c r="AN334" s="433"/>
      <c r="AO334" s="433"/>
      <c r="AP334" s="433"/>
      <c r="AQ334" s="433"/>
      <c r="AR334" s="433"/>
      <c r="AS334" s="433"/>
      <c r="AT334" s="433"/>
      <c r="AU334" s="433"/>
      <c r="AV334" s="433"/>
      <c r="AW334" s="433"/>
      <c r="AX334" s="433"/>
      <c r="AY334" s="433"/>
      <c r="AZ334" s="433"/>
      <c r="BA334" s="433"/>
      <c r="BB334" s="433"/>
      <c r="BC334" s="433"/>
      <c r="BD334" s="433"/>
      <c r="BE334" s="433"/>
      <c r="BF334" s="433"/>
      <c r="BG334" s="433"/>
      <c r="BH334" s="433"/>
      <c r="BI334" s="433"/>
      <c r="BJ334" s="433"/>
      <c r="BK334" s="433"/>
      <c r="BL334" s="433"/>
      <c r="BM334" s="433"/>
      <c r="BN334" s="433"/>
      <c r="BO334" s="433"/>
      <c r="BP334" s="433"/>
      <c r="BQ334" s="433"/>
      <c r="BR334" s="433"/>
      <c r="BS334" s="433"/>
      <c r="BT334" s="433"/>
      <c r="BU334" s="433"/>
    </row>
    <row r="335" spans="15:73" x14ac:dyDescent="0.2">
      <c r="AE335" s="433"/>
      <c r="AF335" s="433"/>
      <c r="AG335" s="433"/>
      <c r="AH335" s="433"/>
      <c r="AI335" s="433"/>
      <c r="AJ335" s="433"/>
      <c r="AK335" s="433"/>
      <c r="AL335" s="433"/>
      <c r="AM335" s="433"/>
      <c r="AN335" s="433"/>
      <c r="AO335" s="433"/>
      <c r="AP335" s="433"/>
      <c r="AQ335" s="433"/>
      <c r="AR335" s="433"/>
      <c r="AS335" s="433"/>
      <c r="AT335" s="433"/>
      <c r="AU335" s="433"/>
      <c r="AV335" s="433"/>
      <c r="AW335" s="433"/>
      <c r="AX335" s="433"/>
      <c r="AY335" s="433"/>
      <c r="AZ335" s="433"/>
      <c r="BA335" s="433"/>
      <c r="BB335" s="433"/>
      <c r="BC335" s="433"/>
      <c r="BD335" s="433"/>
      <c r="BE335" s="433"/>
      <c r="BF335" s="433"/>
      <c r="BG335" s="433"/>
      <c r="BH335" s="433"/>
      <c r="BI335" s="433"/>
      <c r="BJ335" s="433"/>
      <c r="BK335" s="433"/>
      <c r="BL335" s="433"/>
      <c r="BM335" s="433"/>
      <c r="BN335" s="433"/>
      <c r="BO335" s="433"/>
      <c r="BP335" s="433"/>
      <c r="BQ335" s="433"/>
      <c r="BR335" s="433"/>
      <c r="BS335" s="433"/>
      <c r="BT335" s="433"/>
      <c r="BU335" s="433"/>
    </row>
    <row r="336" spans="15:73" x14ac:dyDescent="0.2"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  <c r="AB336" s="433"/>
      <c r="AC336" s="433"/>
      <c r="AD336" s="433"/>
      <c r="AE336" s="433"/>
      <c r="AF336" s="433"/>
      <c r="AG336" s="433"/>
      <c r="AH336" s="433"/>
      <c r="AI336" s="433"/>
      <c r="AJ336" s="433"/>
      <c r="AK336" s="433"/>
      <c r="AL336" s="433"/>
      <c r="AM336" s="433"/>
      <c r="AN336" s="433"/>
      <c r="AO336" s="433"/>
      <c r="AP336" s="433"/>
      <c r="AQ336" s="433"/>
      <c r="AR336" s="433"/>
      <c r="AS336" s="433"/>
      <c r="AT336" s="433"/>
      <c r="AU336" s="433"/>
      <c r="AV336" s="433"/>
      <c r="AW336" s="433"/>
      <c r="AX336" s="433"/>
      <c r="AY336" s="433"/>
      <c r="AZ336" s="433"/>
      <c r="BA336" s="433"/>
      <c r="BB336" s="433"/>
      <c r="BC336" s="433"/>
      <c r="BD336" s="433"/>
      <c r="BE336" s="433"/>
      <c r="BF336" s="433"/>
      <c r="BG336" s="433"/>
      <c r="BH336" s="433"/>
      <c r="BI336" s="433"/>
      <c r="BJ336" s="433"/>
      <c r="BK336" s="433"/>
      <c r="BL336" s="433"/>
      <c r="BM336" s="433"/>
      <c r="BN336" s="433"/>
      <c r="BO336" s="433"/>
      <c r="BP336" s="433"/>
      <c r="BQ336" s="433"/>
      <c r="BR336" s="433"/>
      <c r="BS336" s="433"/>
      <c r="BT336" s="433"/>
      <c r="BU336" s="433"/>
    </row>
    <row r="337" spans="15:73" x14ac:dyDescent="0.2"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  <c r="AB337" s="433"/>
      <c r="AC337" s="433"/>
      <c r="AD337" s="433"/>
      <c r="AE337" s="433"/>
      <c r="AF337" s="433"/>
      <c r="AG337" s="433"/>
      <c r="AH337" s="433"/>
      <c r="AI337" s="433"/>
      <c r="AJ337" s="433"/>
      <c r="AK337" s="433"/>
      <c r="AL337" s="433"/>
      <c r="AM337" s="433"/>
      <c r="AN337" s="433"/>
      <c r="AO337" s="433"/>
      <c r="AP337" s="433"/>
      <c r="AQ337" s="433"/>
      <c r="AR337" s="433"/>
      <c r="AS337" s="433"/>
      <c r="AT337" s="433"/>
      <c r="AU337" s="433"/>
      <c r="AV337" s="433"/>
      <c r="AW337" s="433"/>
      <c r="AX337" s="433"/>
      <c r="AY337" s="433"/>
      <c r="AZ337" s="433"/>
      <c r="BA337" s="433"/>
      <c r="BB337" s="433"/>
      <c r="BC337" s="433"/>
      <c r="BD337" s="433"/>
      <c r="BE337" s="433"/>
      <c r="BF337" s="433"/>
      <c r="BG337" s="433"/>
      <c r="BH337" s="433"/>
      <c r="BI337" s="433"/>
      <c r="BJ337" s="433"/>
      <c r="BK337" s="433"/>
      <c r="BL337" s="433"/>
      <c r="BM337" s="433"/>
      <c r="BN337" s="433"/>
      <c r="BO337" s="433"/>
      <c r="BP337" s="433"/>
      <c r="BQ337" s="433"/>
      <c r="BR337" s="433"/>
      <c r="BS337" s="433"/>
      <c r="BT337" s="433"/>
      <c r="BU337" s="433"/>
    </row>
    <row r="338" spans="15:73" x14ac:dyDescent="0.2"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  <c r="AB338" s="433"/>
      <c r="AC338" s="433"/>
      <c r="AD338" s="433"/>
      <c r="AE338" s="433"/>
      <c r="AF338" s="433"/>
      <c r="AG338" s="433"/>
      <c r="AH338" s="433"/>
      <c r="AI338" s="433"/>
      <c r="AJ338" s="433"/>
      <c r="AK338" s="433"/>
      <c r="AL338" s="433"/>
      <c r="AM338" s="433"/>
      <c r="AN338" s="433"/>
      <c r="AO338" s="433"/>
      <c r="AP338" s="433"/>
      <c r="AQ338" s="433"/>
      <c r="AR338" s="433"/>
      <c r="AS338" s="433"/>
      <c r="AT338" s="433"/>
      <c r="AU338" s="433"/>
      <c r="AV338" s="433"/>
      <c r="AW338" s="433"/>
      <c r="AX338" s="433"/>
      <c r="AY338" s="433"/>
      <c r="AZ338" s="433"/>
      <c r="BA338" s="433"/>
      <c r="BB338" s="433"/>
      <c r="BC338" s="433"/>
      <c r="BD338" s="433"/>
      <c r="BE338" s="433"/>
      <c r="BF338" s="433"/>
      <c r="BG338" s="433"/>
      <c r="BH338" s="433"/>
      <c r="BI338" s="433"/>
      <c r="BJ338" s="433"/>
      <c r="BK338" s="433"/>
      <c r="BL338" s="433"/>
      <c r="BM338" s="433"/>
      <c r="BN338" s="433"/>
      <c r="BO338" s="433"/>
      <c r="BP338" s="433"/>
      <c r="BQ338" s="433"/>
      <c r="BR338" s="433"/>
      <c r="BS338" s="433"/>
      <c r="BT338" s="433"/>
      <c r="BU338" s="433"/>
    </row>
    <row r="339" spans="15:73" x14ac:dyDescent="0.2"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  <c r="AB339" s="433"/>
      <c r="AC339" s="433"/>
      <c r="AD339" s="433"/>
      <c r="AE339" s="433"/>
      <c r="AF339" s="433"/>
      <c r="AG339" s="433"/>
      <c r="AH339" s="433"/>
      <c r="AI339" s="433"/>
      <c r="AJ339" s="433"/>
      <c r="AK339" s="433"/>
      <c r="AL339" s="433"/>
      <c r="AM339" s="433"/>
      <c r="AN339" s="433"/>
      <c r="AO339" s="433"/>
      <c r="AP339" s="433"/>
      <c r="AQ339" s="433"/>
      <c r="AR339" s="433"/>
      <c r="AS339" s="433"/>
      <c r="AT339" s="433"/>
      <c r="AU339" s="433"/>
      <c r="AV339" s="433"/>
      <c r="AW339" s="433"/>
      <c r="AX339" s="433"/>
      <c r="AY339" s="433"/>
      <c r="AZ339" s="433"/>
      <c r="BA339" s="433"/>
      <c r="BB339" s="433"/>
      <c r="BC339" s="433"/>
      <c r="BD339" s="433"/>
      <c r="BE339" s="433"/>
      <c r="BF339" s="433"/>
      <c r="BG339" s="433"/>
      <c r="BH339" s="433"/>
      <c r="BI339" s="433"/>
      <c r="BJ339" s="433"/>
      <c r="BK339" s="433"/>
      <c r="BL339" s="433"/>
      <c r="BM339" s="433"/>
      <c r="BN339" s="433"/>
      <c r="BO339" s="433"/>
      <c r="BP339" s="433"/>
      <c r="BQ339" s="433"/>
      <c r="BR339" s="433"/>
      <c r="BS339" s="433"/>
      <c r="BT339" s="433"/>
      <c r="BU339" s="433"/>
    </row>
    <row r="340" spans="15:73" x14ac:dyDescent="0.2"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  <c r="AB340" s="433"/>
      <c r="AC340" s="433"/>
      <c r="AD340" s="433"/>
      <c r="AE340" s="433"/>
      <c r="AF340" s="433"/>
      <c r="AG340" s="433"/>
      <c r="AH340" s="433"/>
      <c r="AI340" s="433"/>
      <c r="AJ340" s="433"/>
      <c r="AK340" s="433"/>
      <c r="AL340" s="433"/>
      <c r="AM340" s="433"/>
      <c r="AN340" s="433"/>
      <c r="AO340" s="433"/>
      <c r="AP340" s="433"/>
      <c r="AQ340" s="433"/>
      <c r="AR340" s="433"/>
      <c r="AS340" s="433"/>
      <c r="AT340" s="433"/>
      <c r="AU340" s="433"/>
      <c r="AV340" s="433"/>
      <c r="AW340" s="433"/>
      <c r="AX340" s="433"/>
      <c r="AY340" s="433"/>
      <c r="AZ340" s="433"/>
      <c r="BA340" s="433"/>
      <c r="BB340" s="433"/>
      <c r="BC340" s="433"/>
      <c r="BD340" s="433"/>
      <c r="BE340" s="433"/>
      <c r="BF340" s="433"/>
      <c r="BG340" s="433"/>
      <c r="BH340" s="433"/>
      <c r="BI340" s="433"/>
      <c r="BJ340" s="433"/>
      <c r="BK340" s="433"/>
      <c r="BL340" s="433"/>
      <c r="BM340" s="433"/>
      <c r="BN340" s="433"/>
      <c r="BO340" s="433"/>
      <c r="BP340" s="433"/>
      <c r="BQ340" s="433"/>
      <c r="BR340" s="433"/>
      <c r="BS340" s="433"/>
      <c r="BT340" s="433"/>
      <c r="BU340" s="433"/>
    </row>
    <row r="341" spans="15:73" x14ac:dyDescent="0.2"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  <c r="AB341" s="433"/>
      <c r="AC341" s="433"/>
      <c r="AD341" s="433"/>
      <c r="AE341" s="433"/>
      <c r="AF341" s="433"/>
      <c r="AG341" s="433"/>
      <c r="AH341" s="433"/>
      <c r="AI341" s="433"/>
      <c r="AJ341" s="433"/>
      <c r="AK341" s="433"/>
      <c r="AL341" s="433"/>
      <c r="AM341" s="433"/>
      <c r="AN341" s="433"/>
      <c r="AO341" s="433"/>
      <c r="AP341" s="433"/>
      <c r="AQ341" s="433"/>
      <c r="AR341" s="433"/>
      <c r="AS341" s="433"/>
      <c r="AT341" s="433"/>
      <c r="AU341" s="433"/>
      <c r="AV341" s="433"/>
      <c r="AW341" s="433"/>
      <c r="AX341" s="433"/>
      <c r="AY341" s="433"/>
      <c r="AZ341" s="433"/>
      <c r="BA341" s="433"/>
      <c r="BB341" s="433"/>
      <c r="BC341" s="433"/>
      <c r="BD341" s="433"/>
      <c r="BE341" s="433"/>
      <c r="BF341" s="433"/>
      <c r="BG341" s="433"/>
      <c r="BH341" s="433"/>
      <c r="BI341" s="433"/>
      <c r="BJ341" s="433"/>
      <c r="BK341" s="433"/>
      <c r="BL341" s="433"/>
      <c r="BM341" s="433"/>
      <c r="BN341" s="433"/>
      <c r="BO341" s="433"/>
      <c r="BP341" s="433"/>
      <c r="BQ341" s="433"/>
      <c r="BR341" s="433"/>
      <c r="BS341" s="433"/>
      <c r="BT341" s="433"/>
      <c r="BU341" s="433"/>
    </row>
    <row r="342" spans="15:73" x14ac:dyDescent="0.2"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  <c r="AB342" s="433"/>
      <c r="AC342" s="433"/>
      <c r="AD342" s="433"/>
      <c r="AE342" s="433"/>
      <c r="AF342" s="433"/>
      <c r="AG342" s="433"/>
      <c r="AH342" s="433"/>
      <c r="AI342" s="433"/>
      <c r="AJ342" s="433"/>
      <c r="AK342" s="433"/>
      <c r="AL342" s="433"/>
      <c r="AM342" s="433"/>
      <c r="AN342" s="433"/>
      <c r="AO342" s="433"/>
      <c r="AP342" s="433"/>
      <c r="AQ342" s="433"/>
      <c r="AR342" s="433"/>
      <c r="AS342" s="433"/>
      <c r="AT342" s="433"/>
      <c r="AU342" s="433"/>
      <c r="AV342" s="433"/>
      <c r="AW342" s="433"/>
      <c r="AX342" s="433"/>
      <c r="AY342" s="433"/>
      <c r="AZ342" s="433"/>
      <c r="BA342" s="433"/>
      <c r="BB342" s="433"/>
      <c r="BC342" s="433"/>
      <c r="BD342" s="433"/>
      <c r="BE342" s="433"/>
      <c r="BF342" s="433"/>
      <c r="BG342" s="433"/>
      <c r="BH342" s="433"/>
      <c r="BI342" s="433"/>
      <c r="BJ342" s="433"/>
      <c r="BK342" s="433"/>
      <c r="BL342" s="433"/>
      <c r="BM342" s="433"/>
      <c r="BN342" s="433"/>
      <c r="BO342" s="433"/>
      <c r="BP342" s="433"/>
      <c r="BQ342" s="433"/>
      <c r="BR342" s="433"/>
      <c r="BS342" s="433"/>
      <c r="BT342" s="433"/>
      <c r="BU342" s="433"/>
    </row>
    <row r="343" spans="15:73" x14ac:dyDescent="0.2"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  <c r="AB343" s="433"/>
      <c r="AC343" s="433"/>
      <c r="AD343" s="433"/>
      <c r="AE343" s="433"/>
      <c r="AF343" s="433"/>
      <c r="AG343" s="433"/>
      <c r="AH343" s="433"/>
      <c r="AI343" s="433"/>
      <c r="AJ343" s="433"/>
      <c r="AK343" s="433"/>
      <c r="AL343" s="433"/>
      <c r="AM343" s="433"/>
      <c r="AN343" s="433"/>
      <c r="AO343" s="433"/>
      <c r="AP343" s="433"/>
      <c r="AQ343" s="433"/>
      <c r="AR343" s="433"/>
      <c r="AS343" s="433"/>
      <c r="AT343" s="433"/>
      <c r="AU343" s="433"/>
      <c r="AV343" s="433"/>
      <c r="AW343" s="433"/>
      <c r="AX343" s="433"/>
      <c r="AY343" s="433"/>
      <c r="AZ343" s="433"/>
      <c r="BA343" s="433"/>
      <c r="BB343" s="433"/>
      <c r="BC343" s="433"/>
      <c r="BD343" s="433"/>
      <c r="BE343" s="433"/>
      <c r="BF343" s="433"/>
      <c r="BG343" s="433"/>
      <c r="BH343" s="433"/>
      <c r="BI343" s="433"/>
      <c r="BJ343" s="433"/>
      <c r="BK343" s="433"/>
      <c r="BL343" s="433"/>
      <c r="BM343" s="433"/>
      <c r="BN343" s="433"/>
      <c r="BO343" s="433"/>
      <c r="BP343" s="433"/>
      <c r="BQ343" s="433"/>
      <c r="BR343" s="433"/>
      <c r="BS343" s="433"/>
      <c r="BT343" s="433"/>
      <c r="BU343" s="433"/>
    </row>
    <row r="344" spans="15:73" x14ac:dyDescent="0.2"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  <c r="AB344" s="433"/>
      <c r="AC344" s="433"/>
      <c r="AD344" s="433"/>
      <c r="AE344" s="433"/>
      <c r="AF344" s="433"/>
      <c r="AG344" s="433"/>
      <c r="AH344" s="433"/>
      <c r="AI344" s="433"/>
      <c r="AJ344" s="433"/>
      <c r="AK344" s="433"/>
      <c r="AL344" s="433"/>
      <c r="AM344" s="433"/>
      <c r="AN344" s="433"/>
      <c r="AO344" s="433"/>
      <c r="AP344" s="433"/>
      <c r="AQ344" s="433"/>
      <c r="AR344" s="433"/>
      <c r="AS344" s="433"/>
      <c r="AT344" s="433"/>
      <c r="AU344" s="433"/>
      <c r="AV344" s="433"/>
      <c r="AW344" s="433"/>
      <c r="AX344" s="433"/>
      <c r="AY344" s="433"/>
      <c r="AZ344" s="433"/>
      <c r="BA344" s="433"/>
      <c r="BB344" s="433"/>
      <c r="BC344" s="433"/>
      <c r="BD344" s="433"/>
      <c r="BE344" s="433"/>
      <c r="BF344" s="433"/>
      <c r="BG344" s="433"/>
      <c r="BH344" s="433"/>
      <c r="BI344" s="433"/>
      <c r="BJ344" s="433"/>
      <c r="BK344" s="433"/>
      <c r="BL344" s="433"/>
      <c r="BM344" s="433"/>
      <c r="BN344" s="433"/>
      <c r="BO344" s="433"/>
      <c r="BP344" s="433"/>
      <c r="BQ344" s="433"/>
      <c r="BR344" s="433"/>
      <c r="BS344" s="433"/>
      <c r="BT344" s="433"/>
      <c r="BU344" s="433"/>
    </row>
    <row r="345" spans="15:73" s="359" customFormat="1" x14ac:dyDescent="0.2">
      <c r="O345" s="440"/>
      <c r="P345" s="440"/>
      <c r="Q345" s="440"/>
      <c r="R345" s="440"/>
      <c r="S345" s="440"/>
      <c r="T345" s="440"/>
      <c r="U345" s="440"/>
      <c r="V345" s="440"/>
      <c r="W345" s="440"/>
      <c r="X345" s="440"/>
      <c r="Y345" s="440"/>
      <c r="Z345" s="440"/>
      <c r="AA345" s="440"/>
      <c r="AB345" s="440"/>
      <c r="AC345" s="440"/>
      <c r="AD345" s="440"/>
      <c r="AE345" s="440"/>
      <c r="AF345" s="440"/>
      <c r="AG345" s="440"/>
      <c r="AH345" s="440"/>
      <c r="AI345" s="440"/>
      <c r="AJ345" s="440"/>
      <c r="AK345" s="440"/>
      <c r="AL345" s="440"/>
      <c r="AM345" s="440"/>
      <c r="AN345" s="440"/>
      <c r="AO345" s="440"/>
      <c r="AP345" s="440"/>
      <c r="AQ345" s="440"/>
      <c r="AR345" s="440"/>
      <c r="AS345" s="440"/>
      <c r="AT345" s="440"/>
      <c r="AU345" s="440"/>
      <c r="AV345" s="440"/>
      <c r="AW345" s="440"/>
      <c r="AX345" s="440"/>
      <c r="AY345" s="440"/>
      <c r="AZ345" s="440"/>
      <c r="BA345" s="440"/>
      <c r="BB345" s="440"/>
      <c r="BC345" s="440"/>
      <c r="BD345" s="440"/>
      <c r="BE345" s="440"/>
      <c r="BF345" s="440"/>
      <c r="BG345" s="440"/>
      <c r="BH345" s="440"/>
      <c r="BI345" s="440"/>
      <c r="BJ345" s="440"/>
      <c r="BK345" s="440"/>
      <c r="BL345" s="440"/>
      <c r="BM345" s="440"/>
      <c r="BN345" s="440"/>
      <c r="BO345" s="440"/>
      <c r="BP345" s="440"/>
      <c r="BQ345" s="440"/>
      <c r="BR345" s="440"/>
      <c r="BS345" s="440"/>
      <c r="BT345" s="440"/>
      <c r="BU345" s="440"/>
    </row>
    <row r="346" spans="15:73" s="359" customFormat="1" x14ac:dyDescent="0.2">
      <c r="O346" s="440"/>
      <c r="P346" s="440"/>
      <c r="Q346" s="440"/>
      <c r="R346" s="440"/>
      <c r="S346" s="440"/>
      <c r="T346" s="440"/>
      <c r="U346" s="440"/>
      <c r="V346" s="440"/>
      <c r="W346" s="440"/>
      <c r="X346" s="440"/>
      <c r="Y346" s="440"/>
      <c r="Z346" s="440"/>
      <c r="AA346" s="440"/>
      <c r="AB346" s="440"/>
      <c r="AC346" s="440"/>
      <c r="AD346" s="440"/>
      <c r="AE346" s="440"/>
      <c r="AF346" s="440"/>
      <c r="AG346" s="440"/>
      <c r="AH346" s="440"/>
      <c r="AI346" s="440"/>
      <c r="AJ346" s="440"/>
      <c r="AK346" s="440"/>
      <c r="AL346" s="440"/>
      <c r="AM346" s="440"/>
      <c r="AN346" s="440"/>
      <c r="AO346" s="440"/>
      <c r="AP346" s="440"/>
      <c r="AQ346" s="440"/>
      <c r="AR346" s="440"/>
      <c r="AS346" s="440"/>
      <c r="AT346" s="440"/>
      <c r="AU346" s="440"/>
      <c r="AV346" s="440"/>
      <c r="AW346" s="440"/>
      <c r="AX346" s="440"/>
      <c r="AY346" s="440"/>
      <c r="AZ346" s="440"/>
      <c r="BA346" s="440"/>
      <c r="BB346" s="440"/>
      <c r="BC346" s="440"/>
      <c r="BD346" s="440"/>
      <c r="BE346" s="440"/>
      <c r="BF346" s="440"/>
      <c r="BG346" s="440"/>
      <c r="BH346" s="440"/>
      <c r="BI346" s="440"/>
      <c r="BJ346" s="440"/>
      <c r="BK346" s="440"/>
      <c r="BL346" s="440"/>
      <c r="BM346" s="440"/>
      <c r="BN346" s="440"/>
      <c r="BO346" s="440"/>
      <c r="BP346" s="440"/>
      <c r="BQ346" s="440"/>
      <c r="BR346" s="440"/>
      <c r="BS346" s="440"/>
      <c r="BT346" s="440"/>
      <c r="BU346" s="440"/>
    </row>
    <row r="347" spans="15:73" s="359" customFormat="1" x14ac:dyDescent="0.2">
      <c r="O347" s="440"/>
      <c r="P347" s="440"/>
      <c r="Q347" s="440"/>
      <c r="R347" s="440"/>
      <c r="S347" s="440"/>
      <c r="T347" s="440"/>
      <c r="U347" s="440"/>
      <c r="V347" s="440"/>
      <c r="W347" s="440"/>
      <c r="X347" s="440"/>
      <c r="Y347" s="440"/>
      <c r="Z347" s="440"/>
      <c r="AA347" s="440"/>
      <c r="AB347" s="440"/>
      <c r="AC347" s="440"/>
      <c r="AD347" s="440"/>
      <c r="AE347" s="440"/>
      <c r="AF347" s="440"/>
      <c r="AG347" s="440"/>
      <c r="AH347" s="440"/>
      <c r="AI347" s="440"/>
      <c r="AJ347" s="440"/>
      <c r="AK347" s="440"/>
      <c r="AL347" s="440"/>
      <c r="AM347" s="440"/>
      <c r="AN347" s="440"/>
      <c r="AO347" s="440"/>
      <c r="AP347" s="440"/>
      <c r="AQ347" s="440"/>
      <c r="AR347" s="440"/>
      <c r="AS347" s="440"/>
      <c r="AT347" s="440"/>
      <c r="AU347" s="440"/>
      <c r="AV347" s="440"/>
      <c r="AW347" s="440"/>
      <c r="AX347" s="440"/>
      <c r="AY347" s="440"/>
      <c r="AZ347" s="440"/>
      <c r="BA347" s="440"/>
      <c r="BB347" s="440"/>
      <c r="BC347" s="440"/>
      <c r="BD347" s="440"/>
      <c r="BE347" s="440"/>
      <c r="BF347" s="440"/>
      <c r="BG347" s="440"/>
      <c r="BH347" s="440"/>
      <c r="BI347" s="440"/>
      <c r="BJ347" s="440"/>
      <c r="BK347" s="440"/>
      <c r="BL347" s="440"/>
      <c r="BM347" s="440"/>
      <c r="BN347" s="440"/>
      <c r="BO347" s="440"/>
      <c r="BP347" s="440"/>
      <c r="BQ347" s="440"/>
      <c r="BR347" s="440"/>
      <c r="BS347" s="440"/>
      <c r="BT347" s="440"/>
      <c r="BU347" s="440"/>
    </row>
    <row r="348" spans="15:73" s="359" customFormat="1" x14ac:dyDescent="0.2">
      <c r="O348" s="440"/>
      <c r="P348" s="440"/>
      <c r="Q348" s="440"/>
      <c r="R348" s="440"/>
      <c r="S348" s="440"/>
      <c r="T348" s="440"/>
      <c r="U348" s="440"/>
      <c r="V348" s="440"/>
      <c r="W348" s="440"/>
      <c r="X348" s="440"/>
      <c r="Y348" s="440"/>
      <c r="Z348" s="440"/>
      <c r="AA348" s="440"/>
      <c r="AB348" s="440"/>
      <c r="AC348" s="440"/>
      <c r="AD348" s="440"/>
      <c r="AE348" s="440"/>
      <c r="AF348" s="440"/>
      <c r="AG348" s="440"/>
      <c r="AH348" s="440"/>
      <c r="AI348" s="440"/>
      <c r="AJ348" s="440"/>
      <c r="AK348" s="440"/>
      <c r="AL348" s="440"/>
      <c r="AM348" s="440"/>
      <c r="AN348" s="440"/>
      <c r="AO348" s="440"/>
      <c r="AP348" s="440"/>
      <c r="AQ348" s="440"/>
      <c r="AR348" s="440"/>
      <c r="AS348" s="440"/>
      <c r="AT348" s="440"/>
      <c r="AU348" s="440"/>
      <c r="AV348" s="440"/>
      <c r="AW348" s="440"/>
      <c r="AX348" s="440"/>
      <c r="AY348" s="440"/>
      <c r="AZ348" s="440"/>
      <c r="BA348" s="440"/>
      <c r="BB348" s="440"/>
      <c r="BC348" s="440"/>
      <c r="BD348" s="440"/>
      <c r="BE348" s="440"/>
      <c r="BF348" s="440"/>
      <c r="BG348" s="440"/>
      <c r="BH348" s="440"/>
      <c r="BI348" s="440"/>
      <c r="BJ348" s="440"/>
      <c r="BK348" s="440"/>
      <c r="BL348" s="440"/>
      <c r="BM348" s="440"/>
      <c r="BN348" s="440"/>
      <c r="BO348" s="440"/>
      <c r="BP348" s="440"/>
      <c r="BQ348" s="440"/>
      <c r="BR348" s="440"/>
      <c r="BS348" s="440"/>
      <c r="BT348" s="440"/>
      <c r="BU348" s="440"/>
    </row>
    <row r="349" spans="15:73" s="359" customFormat="1" x14ac:dyDescent="0.2">
      <c r="O349" s="440"/>
      <c r="P349" s="440"/>
      <c r="Q349" s="440"/>
      <c r="R349" s="440"/>
      <c r="S349" s="440"/>
      <c r="T349" s="440"/>
      <c r="U349" s="440"/>
      <c r="V349" s="440"/>
      <c r="W349" s="440"/>
      <c r="X349" s="440"/>
      <c r="Y349" s="440"/>
      <c r="Z349" s="440"/>
      <c r="AA349" s="440"/>
      <c r="AB349" s="440"/>
      <c r="AC349" s="440"/>
      <c r="AD349" s="440"/>
      <c r="AE349" s="440"/>
      <c r="AF349" s="440"/>
      <c r="AG349" s="440"/>
      <c r="AH349" s="440"/>
      <c r="AI349" s="440"/>
      <c r="AJ349" s="440"/>
      <c r="AK349" s="440"/>
      <c r="AL349" s="440"/>
      <c r="AM349" s="440"/>
      <c r="AN349" s="440"/>
      <c r="AO349" s="440"/>
      <c r="AP349" s="440"/>
      <c r="AQ349" s="440"/>
      <c r="AR349" s="440"/>
      <c r="AS349" s="440"/>
      <c r="AT349" s="440"/>
      <c r="AU349" s="440"/>
      <c r="AV349" s="440"/>
      <c r="AW349" s="440"/>
      <c r="AX349" s="440"/>
      <c r="AY349" s="440"/>
      <c r="AZ349" s="440"/>
      <c r="BA349" s="440"/>
      <c r="BB349" s="440"/>
      <c r="BC349" s="440"/>
      <c r="BD349" s="440"/>
      <c r="BE349" s="440"/>
      <c r="BF349" s="440"/>
      <c r="BG349" s="440"/>
      <c r="BH349" s="440"/>
      <c r="BI349" s="440"/>
      <c r="BJ349" s="440"/>
      <c r="BK349" s="440"/>
      <c r="BL349" s="440"/>
      <c r="BM349" s="440"/>
      <c r="BN349" s="440"/>
      <c r="BO349" s="440"/>
      <c r="BP349" s="440"/>
      <c r="BQ349" s="440"/>
      <c r="BR349" s="440"/>
      <c r="BS349" s="440"/>
      <c r="BT349" s="440"/>
      <c r="BU349" s="440"/>
    </row>
    <row r="350" spans="15:73" x14ac:dyDescent="0.2"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  <c r="AB350" s="433"/>
      <c r="AC350" s="433"/>
      <c r="AD350" s="433"/>
      <c r="AE350" s="433"/>
      <c r="AF350" s="433"/>
      <c r="AG350" s="433"/>
      <c r="AH350" s="433"/>
      <c r="AI350" s="433"/>
      <c r="AJ350" s="433"/>
      <c r="AK350" s="433"/>
      <c r="AL350" s="433"/>
      <c r="AM350" s="433"/>
      <c r="AN350" s="433"/>
      <c r="AO350" s="433"/>
      <c r="AP350" s="433"/>
      <c r="AQ350" s="433"/>
      <c r="AR350" s="433"/>
      <c r="AS350" s="433"/>
      <c r="AT350" s="433"/>
      <c r="AU350" s="433"/>
      <c r="AV350" s="433"/>
      <c r="AW350" s="433"/>
      <c r="AX350" s="433"/>
      <c r="AY350" s="433"/>
      <c r="AZ350" s="433"/>
      <c r="BA350" s="433"/>
      <c r="BB350" s="433"/>
      <c r="BC350" s="433"/>
      <c r="BD350" s="433"/>
      <c r="BE350" s="433"/>
      <c r="BF350" s="433"/>
      <c r="BG350" s="433"/>
      <c r="BH350" s="433"/>
      <c r="BI350" s="433"/>
      <c r="BJ350" s="433"/>
      <c r="BK350" s="433"/>
      <c r="BL350" s="433"/>
      <c r="BM350" s="433"/>
      <c r="BN350" s="433"/>
      <c r="BO350" s="433"/>
      <c r="BP350" s="433"/>
      <c r="BQ350" s="433"/>
      <c r="BR350" s="433"/>
      <c r="BS350" s="433"/>
      <c r="BT350" s="433"/>
      <c r="BU350" s="433"/>
    </row>
    <row r="351" spans="15:73" x14ac:dyDescent="0.2"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  <c r="AB351" s="433"/>
      <c r="AC351" s="433"/>
      <c r="AD351" s="433"/>
      <c r="AE351" s="433"/>
      <c r="AF351" s="433"/>
      <c r="AG351" s="433"/>
      <c r="AH351" s="433"/>
      <c r="AI351" s="433"/>
      <c r="AJ351" s="433"/>
      <c r="AK351" s="433"/>
      <c r="AL351" s="433"/>
      <c r="AM351" s="433"/>
      <c r="AN351" s="433"/>
      <c r="AO351" s="433"/>
      <c r="AP351" s="433"/>
      <c r="AQ351" s="433"/>
      <c r="AR351" s="433"/>
      <c r="AS351" s="433"/>
      <c r="AT351" s="433"/>
      <c r="AU351" s="433"/>
      <c r="AV351" s="433"/>
      <c r="AW351" s="433"/>
      <c r="AX351" s="433"/>
      <c r="AY351" s="433"/>
      <c r="AZ351" s="433"/>
      <c r="BA351" s="433"/>
      <c r="BB351" s="433"/>
      <c r="BC351" s="433"/>
      <c r="BD351" s="433"/>
      <c r="BE351" s="433"/>
      <c r="BF351" s="433"/>
      <c r="BG351" s="433"/>
      <c r="BH351" s="433"/>
      <c r="BI351" s="433"/>
      <c r="BJ351" s="433"/>
      <c r="BK351" s="433"/>
      <c r="BL351" s="433"/>
      <c r="BM351" s="433"/>
      <c r="BN351" s="433"/>
      <c r="BO351" s="433"/>
      <c r="BP351" s="433"/>
      <c r="BQ351" s="433"/>
      <c r="BR351" s="433"/>
      <c r="BS351" s="433"/>
      <c r="BT351" s="433"/>
      <c r="BU351" s="433"/>
    </row>
    <row r="352" spans="15:73" x14ac:dyDescent="0.2"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  <c r="AB352" s="433"/>
      <c r="AC352" s="433"/>
      <c r="AD352" s="433"/>
      <c r="AE352" s="433"/>
      <c r="AF352" s="433"/>
      <c r="AG352" s="433"/>
      <c r="AH352" s="433"/>
      <c r="AI352" s="433"/>
      <c r="AJ352" s="433"/>
      <c r="AK352" s="433"/>
      <c r="AL352" s="433"/>
      <c r="AM352" s="433"/>
      <c r="AN352" s="433"/>
      <c r="AO352" s="433"/>
      <c r="AP352" s="433"/>
      <c r="AQ352" s="433"/>
      <c r="AR352" s="433"/>
      <c r="AS352" s="433"/>
      <c r="AT352" s="433"/>
      <c r="AU352" s="433"/>
      <c r="AV352" s="433"/>
      <c r="AW352" s="433"/>
      <c r="AX352" s="433"/>
      <c r="AY352" s="433"/>
      <c r="AZ352" s="433"/>
      <c r="BA352" s="433"/>
      <c r="BB352" s="433"/>
      <c r="BC352" s="433"/>
      <c r="BD352" s="433"/>
      <c r="BE352" s="433"/>
      <c r="BF352" s="433"/>
      <c r="BG352" s="433"/>
      <c r="BH352" s="433"/>
      <c r="BI352" s="433"/>
      <c r="BJ352" s="433"/>
      <c r="BK352" s="433"/>
      <c r="BL352" s="433"/>
      <c r="BM352" s="433"/>
      <c r="BN352" s="433"/>
      <c r="BO352" s="433"/>
      <c r="BP352" s="433"/>
      <c r="BQ352" s="433"/>
      <c r="BR352" s="433"/>
      <c r="BS352" s="433"/>
      <c r="BT352" s="433"/>
      <c r="BU352" s="433"/>
    </row>
    <row r="353" spans="15:73" x14ac:dyDescent="0.2"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  <c r="AB353" s="433"/>
      <c r="AC353" s="433"/>
      <c r="AD353" s="433"/>
      <c r="AE353" s="433"/>
      <c r="AF353" s="433"/>
      <c r="AG353" s="433"/>
      <c r="AH353" s="433"/>
      <c r="AI353" s="433"/>
      <c r="AJ353" s="433"/>
      <c r="AK353" s="433"/>
      <c r="AL353" s="433"/>
      <c r="AM353" s="433"/>
      <c r="AN353" s="433"/>
      <c r="AO353" s="433"/>
      <c r="AP353" s="433"/>
      <c r="AQ353" s="433"/>
      <c r="AR353" s="433"/>
      <c r="AS353" s="433"/>
      <c r="AT353" s="433"/>
      <c r="AU353" s="433"/>
      <c r="AV353" s="433"/>
      <c r="AW353" s="433"/>
      <c r="AX353" s="433"/>
      <c r="AY353" s="433"/>
      <c r="AZ353" s="433"/>
      <c r="BA353" s="433"/>
      <c r="BB353" s="433"/>
      <c r="BC353" s="433"/>
      <c r="BD353" s="433"/>
      <c r="BE353" s="433"/>
      <c r="BF353" s="433"/>
      <c r="BG353" s="433"/>
      <c r="BH353" s="433"/>
      <c r="BI353" s="433"/>
      <c r="BJ353" s="433"/>
      <c r="BK353" s="433"/>
      <c r="BL353" s="433"/>
      <c r="BM353" s="433"/>
      <c r="BN353" s="433"/>
      <c r="BO353" s="433"/>
      <c r="BP353" s="433"/>
      <c r="BQ353" s="433"/>
      <c r="BR353" s="433"/>
      <c r="BS353" s="433"/>
      <c r="BT353" s="433"/>
      <c r="BU353" s="433"/>
    </row>
    <row r="354" spans="15:73" x14ac:dyDescent="0.2"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  <c r="AB354" s="433"/>
      <c r="AC354" s="433"/>
      <c r="AD354" s="433"/>
      <c r="AE354" s="433"/>
      <c r="AF354" s="433"/>
      <c r="AG354" s="433"/>
      <c r="AH354" s="433"/>
      <c r="AI354" s="433"/>
      <c r="AJ354" s="433"/>
      <c r="AK354" s="433"/>
      <c r="AL354" s="433"/>
      <c r="AM354" s="433"/>
      <c r="AN354" s="433"/>
      <c r="AO354" s="433"/>
      <c r="AP354" s="433"/>
      <c r="AQ354" s="433"/>
      <c r="AR354" s="433"/>
      <c r="AS354" s="433"/>
      <c r="AT354" s="433"/>
      <c r="AU354" s="433"/>
      <c r="AV354" s="433"/>
      <c r="AW354" s="433"/>
      <c r="AX354" s="433"/>
      <c r="AY354" s="433"/>
      <c r="AZ354" s="433"/>
      <c r="BA354" s="433"/>
      <c r="BB354" s="433"/>
      <c r="BC354" s="433"/>
      <c r="BD354" s="433"/>
      <c r="BE354" s="433"/>
      <c r="BF354" s="433"/>
      <c r="BG354" s="433"/>
      <c r="BH354" s="433"/>
      <c r="BI354" s="433"/>
      <c r="BJ354" s="433"/>
      <c r="BK354" s="433"/>
      <c r="BL354" s="433"/>
      <c r="BM354" s="433"/>
      <c r="BN354" s="433"/>
      <c r="BO354" s="433"/>
      <c r="BP354" s="433"/>
      <c r="BQ354" s="433"/>
      <c r="BR354" s="433"/>
      <c r="BS354" s="433"/>
      <c r="BT354" s="433"/>
      <c r="BU354" s="433"/>
    </row>
    <row r="355" spans="15:73" x14ac:dyDescent="0.2"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  <c r="AB355" s="433"/>
      <c r="AC355" s="433"/>
      <c r="AD355" s="433"/>
      <c r="AE355" s="433"/>
      <c r="AF355" s="433"/>
      <c r="AG355" s="433"/>
      <c r="AH355" s="433"/>
      <c r="AI355" s="433"/>
      <c r="AJ355" s="433"/>
      <c r="AK355" s="433"/>
      <c r="AL355" s="433"/>
      <c r="AM355" s="433"/>
      <c r="AN355" s="433"/>
      <c r="AO355" s="433"/>
      <c r="AP355" s="433"/>
      <c r="AQ355" s="433"/>
      <c r="AR355" s="433"/>
      <c r="AS355" s="433"/>
      <c r="AT355" s="433"/>
      <c r="AU355" s="433"/>
      <c r="AV355" s="433"/>
      <c r="AW355" s="433"/>
      <c r="AX355" s="433"/>
      <c r="AY355" s="433"/>
      <c r="AZ355" s="433"/>
      <c r="BA355" s="433"/>
      <c r="BB355" s="433"/>
      <c r="BC355" s="433"/>
      <c r="BD355" s="433"/>
      <c r="BE355" s="433"/>
      <c r="BF355" s="433"/>
      <c r="BG355" s="433"/>
      <c r="BH355" s="433"/>
      <c r="BI355" s="433"/>
      <c r="BJ355" s="433"/>
      <c r="BK355" s="433"/>
      <c r="BL355" s="433"/>
      <c r="BM355" s="433"/>
      <c r="BN355" s="433"/>
      <c r="BO355" s="433"/>
      <c r="BP355" s="433"/>
      <c r="BQ355" s="433"/>
      <c r="BR355" s="433"/>
      <c r="BS355" s="433"/>
      <c r="BT355" s="433"/>
      <c r="BU355" s="433"/>
    </row>
    <row r="356" spans="15:73" s="359" customFormat="1" x14ac:dyDescent="0.2">
      <c r="O356" s="440"/>
      <c r="P356" s="440"/>
      <c r="Q356" s="440"/>
      <c r="R356" s="440"/>
      <c r="S356" s="440"/>
      <c r="T356" s="440"/>
      <c r="U356" s="440"/>
      <c r="V356" s="440"/>
      <c r="W356" s="440"/>
      <c r="X356" s="440"/>
      <c r="Y356" s="440"/>
      <c r="Z356" s="440"/>
      <c r="AA356" s="440"/>
      <c r="AB356" s="440"/>
      <c r="AC356" s="440"/>
      <c r="AD356" s="440"/>
      <c r="AE356" s="440"/>
      <c r="AF356" s="440"/>
      <c r="AG356" s="440"/>
      <c r="AH356" s="440"/>
      <c r="AI356" s="440"/>
      <c r="AJ356" s="440"/>
      <c r="AK356" s="440"/>
      <c r="AL356" s="440"/>
      <c r="AM356" s="440"/>
      <c r="AN356" s="440"/>
      <c r="AO356" s="440"/>
      <c r="AP356" s="440"/>
      <c r="AQ356" s="440"/>
      <c r="AR356" s="440"/>
      <c r="AS356" s="440"/>
      <c r="AT356" s="440"/>
      <c r="AU356" s="440"/>
      <c r="AV356" s="440"/>
      <c r="AW356" s="440"/>
      <c r="AX356" s="440"/>
      <c r="AY356" s="440"/>
      <c r="AZ356" s="440"/>
      <c r="BA356" s="440"/>
      <c r="BB356" s="440"/>
      <c r="BC356" s="440"/>
      <c r="BD356" s="440"/>
      <c r="BE356" s="440"/>
      <c r="BF356" s="440"/>
      <c r="BG356" s="440"/>
      <c r="BH356" s="440"/>
      <c r="BI356" s="440"/>
      <c r="BJ356" s="440"/>
      <c r="BK356" s="440"/>
      <c r="BL356" s="440"/>
      <c r="BM356" s="440"/>
      <c r="BN356" s="440"/>
      <c r="BO356" s="440"/>
      <c r="BP356" s="440"/>
      <c r="BQ356" s="440"/>
      <c r="BR356" s="440"/>
      <c r="BS356" s="440"/>
      <c r="BT356" s="440"/>
      <c r="BU356" s="440"/>
    </row>
    <row r="357" spans="15:73" s="359" customFormat="1" x14ac:dyDescent="0.2">
      <c r="O357" s="440"/>
      <c r="P357" s="440"/>
      <c r="Q357" s="440"/>
      <c r="R357" s="440"/>
      <c r="S357" s="440"/>
      <c r="T357" s="440"/>
      <c r="U357" s="440"/>
      <c r="V357" s="440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  <c r="AY357" s="440"/>
      <c r="AZ357" s="440"/>
      <c r="BA357" s="440"/>
      <c r="BB357" s="440"/>
      <c r="BC357" s="440"/>
      <c r="BD357" s="440"/>
      <c r="BE357" s="440"/>
      <c r="BF357" s="440"/>
      <c r="BG357" s="440"/>
      <c r="BH357" s="440"/>
      <c r="BI357" s="440"/>
      <c r="BJ357" s="440"/>
      <c r="BK357" s="440"/>
      <c r="BL357" s="440"/>
      <c r="BM357" s="440"/>
      <c r="BN357" s="440"/>
      <c r="BO357" s="440"/>
      <c r="BP357" s="440"/>
      <c r="BQ357" s="440"/>
      <c r="BR357" s="440"/>
      <c r="BS357" s="440"/>
      <c r="BT357" s="440"/>
      <c r="BU357" s="440"/>
    </row>
    <row r="358" spans="15:73" s="359" customFormat="1" x14ac:dyDescent="0.2">
      <c r="O358" s="440"/>
      <c r="P358" s="440"/>
      <c r="Q358" s="440"/>
      <c r="R358" s="440"/>
      <c r="S358" s="440"/>
      <c r="T358" s="440"/>
      <c r="U358" s="440"/>
      <c r="V358" s="440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  <c r="AY358" s="440"/>
      <c r="AZ358" s="440"/>
      <c r="BA358" s="440"/>
      <c r="BB358" s="440"/>
      <c r="BC358" s="440"/>
      <c r="BD358" s="440"/>
      <c r="BE358" s="440"/>
      <c r="BF358" s="440"/>
      <c r="BG358" s="440"/>
      <c r="BH358" s="440"/>
      <c r="BI358" s="440"/>
      <c r="BJ358" s="440"/>
      <c r="BK358" s="440"/>
      <c r="BL358" s="440"/>
      <c r="BM358" s="440"/>
      <c r="BN358" s="440"/>
      <c r="BO358" s="440"/>
      <c r="BP358" s="440"/>
      <c r="BQ358" s="440"/>
      <c r="BR358" s="440"/>
      <c r="BS358" s="440"/>
      <c r="BT358" s="440"/>
      <c r="BU358" s="440"/>
    </row>
    <row r="359" spans="15:73" s="359" customFormat="1" x14ac:dyDescent="0.2">
      <c r="O359" s="440"/>
      <c r="P359" s="440"/>
      <c r="Q359" s="440"/>
      <c r="R359" s="440"/>
      <c r="S359" s="440"/>
      <c r="T359" s="440"/>
      <c r="U359" s="440"/>
      <c r="V359" s="440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  <c r="AY359" s="440"/>
      <c r="AZ359" s="440"/>
      <c r="BA359" s="440"/>
      <c r="BB359" s="440"/>
      <c r="BC359" s="440"/>
      <c r="BD359" s="440"/>
      <c r="BE359" s="440"/>
      <c r="BF359" s="440"/>
      <c r="BG359" s="440"/>
      <c r="BH359" s="440"/>
      <c r="BI359" s="440"/>
      <c r="BJ359" s="440"/>
      <c r="BK359" s="440"/>
      <c r="BL359" s="440"/>
      <c r="BM359" s="440"/>
      <c r="BN359" s="440"/>
      <c r="BO359" s="440"/>
      <c r="BP359" s="440"/>
      <c r="BQ359" s="440"/>
      <c r="BR359" s="440"/>
      <c r="BS359" s="440"/>
      <c r="BT359" s="440"/>
      <c r="BU359" s="440"/>
    </row>
    <row r="360" spans="15:73" s="359" customFormat="1" x14ac:dyDescent="0.2">
      <c r="O360" s="440"/>
      <c r="P360" s="440"/>
      <c r="Q360" s="440"/>
      <c r="R360" s="440"/>
      <c r="S360" s="440"/>
      <c r="T360" s="440"/>
      <c r="U360" s="440"/>
      <c r="V360" s="440"/>
      <c r="W360" s="440"/>
      <c r="X360" s="440"/>
      <c r="Y360" s="440"/>
      <c r="Z360" s="440"/>
      <c r="AA360" s="440"/>
      <c r="AB360" s="440"/>
      <c r="AC360" s="440"/>
      <c r="AD360" s="440"/>
      <c r="AE360" s="440"/>
      <c r="AF360" s="440"/>
      <c r="AG360" s="440"/>
      <c r="AH360" s="440"/>
      <c r="AI360" s="440"/>
      <c r="AJ360" s="440"/>
      <c r="AK360" s="440"/>
      <c r="AL360" s="440"/>
      <c r="AM360" s="440"/>
      <c r="AN360" s="440"/>
      <c r="AO360" s="440"/>
      <c r="AP360" s="440"/>
      <c r="AQ360" s="440"/>
      <c r="AR360" s="440"/>
      <c r="AS360" s="440"/>
      <c r="AT360" s="440"/>
      <c r="AU360" s="440"/>
      <c r="AV360" s="440"/>
      <c r="AW360" s="440"/>
      <c r="AX360" s="440"/>
      <c r="AY360" s="440"/>
      <c r="AZ360" s="440"/>
      <c r="BA360" s="440"/>
      <c r="BB360" s="440"/>
      <c r="BC360" s="440"/>
      <c r="BD360" s="440"/>
      <c r="BE360" s="440"/>
      <c r="BF360" s="440"/>
      <c r="BG360" s="440"/>
      <c r="BH360" s="440"/>
      <c r="BI360" s="440"/>
      <c r="BJ360" s="440"/>
      <c r="BK360" s="440"/>
      <c r="BL360" s="440"/>
      <c r="BM360" s="440"/>
      <c r="BN360" s="440"/>
      <c r="BO360" s="440"/>
      <c r="BP360" s="440"/>
      <c r="BQ360" s="440"/>
      <c r="BR360" s="440"/>
      <c r="BS360" s="440"/>
      <c r="BT360" s="440"/>
      <c r="BU360" s="440"/>
    </row>
    <row r="361" spans="15:73" s="359" customFormat="1" x14ac:dyDescent="0.2">
      <c r="O361" s="440"/>
      <c r="P361" s="440"/>
      <c r="Q361" s="440"/>
      <c r="R361" s="440"/>
      <c r="S361" s="440"/>
      <c r="T361" s="440"/>
      <c r="U361" s="440"/>
      <c r="V361" s="440"/>
      <c r="W361" s="440"/>
      <c r="X361" s="440"/>
      <c r="Y361" s="440"/>
      <c r="Z361" s="440"/>
      <c r="AA361" s="440"/>
      <c r="AB361" s="440"/>
      <c r="AC361" s="440"/>
      <c r="AD361" s="440"/>
      <c r="AE361" s="440"/>
      <c r="AF361" s="440"/>
      <c r="AG361" s="440"/>
      <c r="AH361" s="440"/>
      <c r="AI361" s="440"/>
      <c r="AJ361" s="440"/>
      <c r="AK361" s="440"/>
      <c r="AL361" s="440"/>
      <c r="AM361" s="440"/>
      <c r="AN361" s="440"/>
      <c r="AO361" s="440"/>
      <c r="AP361" s="440"/>
      <c r="AQ361" s="440"/>
      <c r="AR361" s="440"/>
      <c r="AS361" s="440"/>
      <c r="AT361" s="440"/>
      <c r="AU361" s="440"/>
      <c r="AV361" s="440"/>
      <c r="AW361" s="440"/>
      <c r="AX361" s="440"/>
      <c r="AY361" s="440"/>
      <c r="AZ361" s="440"/>
      <c r="BA361" s="440"/>
      <c r="BB361" s="440"/>
      <c r="BC361" s="440"/>
      <c r="BD361" s="440"/>
      <c r="BE361" s="440"/>
      <c r="BF361" s="440"/>
      <c r="BG361" s="440"/>
      <c r="BH361" s="440"/>
      <c r="BI361" s="440"/>
      <c r="BJ361" s="440"/>
      <c r="BK361" s="440"/>
      <c r="BL361" s="440"/>
      <c r="BM361" s="440"/>
      <c r="BN361" s="440"/>
      <c r="BO361" s="440"/>
      <c r="BP361" s="440"/>
      <c r="BQ361" s="440"/>
      <c r="BR361" s="440"/>
      <c r="BS361" s="440"/>
      <c r="BT361" s="440"/>
      <c r="BU361" s="440"/>
    </row>
    <row r="362" spans="15:73" s="359" customFormat="1" x14ac:dyDescent="0.2">
      <c r="O362" s="440"/>
      <c r="P362" s="440"/>
      <c r="Q362" s="440"/>
      <c r="R362" s="440"/>
      <c r="S362" s="440"/>
      <c r="T362" s="440"/>
      <c r="U362" s="440"/>
      <c r="V362" s="440"/>
      <c r="W362" s="440"/>
      <c r="X362" s="440"/>
      <c r="Y362" s="440"/>
      <c r="Z362" s="440"/>
      <c r="AA362" s="440"/>
      <c r="AB362" s="440"/>
      <c r="AC362" s="440"/>
      <c r="AD362" s="440"/>
      <c r="AE362" s="440"/>
      <c r="AF362" s="440"/>
      <c r="AG362" s="440"/>
      <c r="AH362" s="440"/>
      <c r="AI362" s="440"/>
      <c r="AJ362" s="440"/>
      <c r="AK362" s="440"/>
      <c r="AL362" s="440"/>
      <c r="AM362" s="440"/>
      <c r="AN362" s="440"/>
      <c r="AO362" s="440"/>
      <c r="AP362" s="440"/>
      <c r="AQ362" s="440"/>
      <c r="AR362" s="440"/>
      <c r="AS362" s="440"/>
      <c r="AT362" s="440"/>
      <c r="AU362" s="440"/>
      <c r="AV362" s="440"/>
      <c r="AW362" s="440"/>
      <c r="AX362" s="440"/>
      <c r="AY362" s="440"/>
      <c r="AZ362" s="440"/>
      <c r="BA362" s="440"/>
      <c r="BB362" s="440"/>
      <c r="BC362" s="440"/>
      <c r="BD362" s="440"/>
      <c r="BE362" s="440"/>
      <c r="BF362" s="440"/>
      <c r="BG362" s="440"/>
      <c r="BH362" s="440"/>
      <c r="BI362" s="440"/>
      <c r="BJ362" s="440"/>
      <c r="BK362" s="440"/>
      <c r="BL362" s="440"/>
      <c r="BM362" s="440"/>
      <c r="BN362" s="440"/>
      <c r="BO362" s="440"/>
      <c r="BP362" s="440"/>
      <c r="BQ362" s="440"/>
      <c r="BR362" s="440"/>
      <c r="BS362" s="440"/>
      <c r="BT362" s="440"/>
      <c r="BU362" s="440"/>
    </row>
    <row r="363" spans="15:73" x14ac:dyDescent="0.2">
      <c r="O363" s="433"/>
      <c r="P363" s="433"/>
      <c r="Q363" s="433"/>
      <c r="R363" s="433"/>
      <c r="S363" s="433"/>
      <c r="T363" s="433"/>
      <c r="U363" s="433"/>
      <c r="V363" s="433"/>
      <c r="W363" s="433"/>
      <c r="X363" s="433"/>
      <c r="Y363" s="433"/>
      <c r="Z363" s="433"/>
      <c r="AA363" s="433"/>
      <c r="AB363" s="433"/>
      <c r="AC363" s="433"/>
      <c r="AD363" s="433"/>
      <c r="AE363" s="433"/>
      <c r="AF363" s="433"/>
      <c r="AG363" s="433"/>
      <c r="AH363" s="433"/>
      <c r="AI363" s="433"/>
      <c r="AJ363" s="433"/>
      <c r="AK363" s="433"/>
      <c r="AL363" s="433"/>
      <c r="AM363" s="433"/>
      <c r="AN363" s="433"/>
      <c r="AO363" s="433"/>
      <c r="AP363" s="433"/>
      <c r="AQ363" s="433"/>
      <c r="AR363" s="433"/>
      <c r="AS363" s="433"/>
      <c r="AT363" s="433"/>
      <c r="AU363" s="433"/>
      <c r="AV363" s="433"/>
      <c r="AW363" s="433"/>
      <c r="AX363" s="433"/>
      <c r="AY363" s="433"/>
      <c r="AZ363" s="433"/>
      <c r="BA363" s="433"/>
      <c r="BB363" s="433"/>
      <c r="BC363" s="433"/>
      <c r="BD363" s="433"/>
      <c r="BE363" s="433"/>
      <c r="BF363" s="433"/>
      <c r="BG363" s="433"/>
      <c r="BH363" s="433"/>
      <c r="BI363" s="433"/>
      <c r="BJ363" s="433"/>
      <c r="BK363" s="433"/>
      <c r="BL363" s="433"/>
      <c r="BM363" s="433"/>
      <c r="BN363" s="433"/>
      <c r="BO363" s="433"/>
      <c r="BP363" s="433"/>
      <c r="BQ363" s="433"/>
      <c r="BR363" s="433"/>
      <c r="BS363" s="433"/>
      <c r="BT363" s="433"/>
      <c r="BU363" s="433"/>
    </row>
    <row r="364" spans="15:73" s="359" customFormat="1" x14ac:dyDescent="0.2">
      <c r="O364" s="440"/>
      <c r="P364" s="440"/>
      <c r="Q364" s="440"/>
      <c r="R364" s="440"/>
      <c r="S364" s="440"/>
      <c r="T364" s="440"/>
      <c r="U364" s="440"/>
      <c r="V364" s="440"/>
      <c r="W364" s="440"/>
      <c r="X364" s="440"/>
      <c r="Y364" s="440"/>
      <c r="Z364" s="440"/>
      <c r="AA364" s="440"/>
      <c r="AB364" s="440"/>
      <c r="AC364" s="440"/>
      <c r="AD364" s="440"/>
      <c r="AE364" s="440"/>
      <c r="AF364" s="440"/>
      <c r="AG364" s="440"/>
      <c r="AH364" s="440"/>
      <c r="AI364" s="440"/>
      <c r="AJ364" s="440"/>
      <c r="AK364" s="440"/>
      <c r="AL364" s="440"/>
      <c r="AM364" s="440"/>
      <c r="AN364" s="440"/>
      <c r="AO364" s="440"/>
      <c r="AP364" s="440"/>
      <c r="AQ364" s="440"/>
      <c r="AR364" s="440"/>
      <c r="AS364" s="440"/>
      <c r="AT364" s="440"/>
      <c r="AU364" s="440"/>
      <c r="AV364" s="440"/>
      <c r="AW364" s="440"/>
      <c r="AX364" s="440"/>
      <c r="AY364" s="440"/>
      <c r="AZ364" s="440"/>
      <c r="BA364" s="440"/>
      <c r="BB364" s="440"/>
      <c r="BC364" s="440"/>
      <c r="BD364" s="440"/>
      <c r="BE364" s="440"/>
      <c r="BF364" s="440"/>
      <c r="BG364" s="440"/>
      <c r="BH364" s="440"/>
      <c r="BI364" s="440"/>
      <c r="BJ364" s="440"/>
      <c r="BK364" s="440"/>
      <c r="BL364" s="440"/>
      <c r="BM364" s="440"/>
      <c r="BN364" s="440"/>
      <c r="BO364" s="440"/>
      <c r="BP364" s="440"/>
      <c r="BQ364" s="440"/>
      <c r="BR364" s="440"/>
      <c r="BS364" s="440"/>
      <c r="BT364" s="440"/>
      <c r="BU364" s="440"/>
    </row>
    <row r="365" spans="15:73" s="359" customFormat="1" x14ac:dyDescent="0.2">
      <c r="O365" s="440"/>
      <c r="P365" s="440"/>
      <c r="Q365" s="440"/>
      <c r="R365" s="440"/>
      <c r="S365" s="440"/>
      <c r="T365" s="440"/>
      <c r="U365" s="440"/>
      <c r="V365" s="440"/>
      <c r="W365" s="440"/>
      <c r="X365" s="440"/>
      <c r="Y365" s="440"/>
      <c r="Z365" s="440"/>
      <c r="AA365" s="440"/>
      <c r="AB365" s="440"/>
      <c r="AC365" s="440"/>
      <c r="AD365" s="440"/>
      <c r="AE365" s="440"/>
      <c r="AF365" s="440"/>
      <c r="AG365" s="440"/>
      <c r="AH365" s="440"/>
      <c r="AI365" s="440"/>
      <c r="AJ365" s="440"/>
      <c r="AK365" s="440"/>
      <c r="AL365" s="440"/>
      <c r="AM365" s="440"/>
      <c r="AN365" s="440"/>
      <c r="AO365" s="440"/>
      <c r="AP365" s="440"/>
      <c r="AQ365" s="440"/>
      <c r="AR365" s="440"/>
      <c r="AS365" s="440"/>
      <c r="AT365" s="440"/>
      <c r="AU365" s="440"/>
      <c r="AV365" s="440"/>
      <c r="AW365" s="440"/>
      <c r="AX365" s="440"/>
      <c r="AY365" s="440"/>
      <c r="AZ365" s="440"/>
      <c r="BA365" s="440"/>
      <c r="BB365" s="440"/>
      <c r="BC365" s="440"/>
      <c r="BD365" s="440"/>
      <c r="BE365" s="440"/>
      <c r="BF365" s="440"/>
      <c r="BG365" s="440"/>
      <c r="BH365" s="440"/>
      <c r="BI365" s="440"/>
      <c r="BJ365" s="440"/>
      <c r="BK365" s="440"/>
      <c r="BL365" s="440"/>
      <c r="BM365" s="440"/>
      <c r="BN365" s="440"/>
      <c r="BO365" s="440"/>
      <c r="BP365" s="440"/>
      <c r="BQ365" s="440"/>
      <c r="BR365" s="440"/>
      <c r="BS365" s="440"/>
      <c r="BT365" s="440"/>
      <c r="BU365" s="440"/>
    </row>
    <row r="366" spans="15:73" x14ac:dyDescent="0.2">
      <c r="O366" s="433"/>
      <c r="P366" s="433"/>
      <c r="Q366" s="433"/>
      <c r="R366" s="433"/>
      <c r="S366" s="433"/>
      <c r="T366" s="433"/>
      <c r="U366" s="433"/>
      <c r="V366" s="433"/>
      <c r="W366" s="433"/>
      <c r="X366" s="433"/>
      <c r="Y366" s="433"/>
      <c r="Z366" s="433"/>
      <c r="AA366" s="433"/>
      <c r="AB366" s="433"/>
      <c r="AC366" s="433"/>
      <c r="AD366" s="433"/>
      <c r="AE366" s="433"/>
      <c r="AF366" s="433"/>
      <c r="AG366" s="433"/>
      <c r="AH366" s="433"/>
      <c r="AI366" s="433"/>
      <c r="AJ366" s="433"/>
      <c r="AK366" s="433"/>
      <c r="AL366" s="433"/>
      <c r="AM366" s="433"/>
      <c r="AN366" s="433"/>
      <c r="AO366" s="433"/>
      <c r="AP366" s="433"/>
      <c r="AQ366" s="433"/>
      <c r="AR366" s="433"/>
      <c r="AS366" s="433"/>
      <c r="AT366" s="433"/>
      <c r="AU366" s="433"/>
      <c r="AV366" s="433"/>
      <c r="AW366" s="433"/>
      <c r="AX366" s="433"/>
      <c r="AY366" s="433"/>
      <c r="AZ366" s="433"/>
      <c r="BA366" s="433"/>
      <c r="BB366" s="433"/>
      <c r="BC366" s="433"/>
      <c r="BD366" s="433"/>
      <c r="BE366" s="433"/>
      <c r="BF366" s="433"/>
      <c r="BG366" s="433"/>
      <c r="BH366" s="433"/>
      <c r="BI366" s="433"/>
      <c r="BJ366" s="433"/>
      <c r="BK366" s="433"/>
      <c r="BL366" s="433"/>
      <c r="BM366" s="433"/>
      <c r="BN366" s="433"/>
      <c r="BO366" s="433"/>
      <c r="BP366" s="433"/>
      <c r="BQ366" s="433"/>
      <c r="BR366" s="433"/>
      <c r="BS366" s="433"/>
      <c r="BT366" s="433"/>
      <c r="BU366" s="433"/>
    </row>
    <row r="367" spans="15:73" x14ac:dyDescent="0.2">
      <c r="O367" s="433"/>
      <c r="P367" s="433"/>
      <c r="Q367" s="433"/>
      <c r="R367" s="433"/>
      <c r="S367" s="433"/>
      <c r="T367" s="433"/>
      <c r="U367" s="433"/>
      <c r="V367" s="433"/>
      <c r="W367" s="433"/>
      <c r="X367" s="433"/>
      <c r="Y367" s="433"/>
      <c r="Z367" s="433"/>
      <c r="AA367" s="433"/>
      <c r="AB367" s="433"/>
      <c r="AC367" s="433"/>
      <c r="AD367" s="433"/>
      <c r="AE367" s="433"/>
      <c r="AF367" s="433"/>
      <c r="AG367" s="433"/>
      <c r="AH367" s="433"/>
      <c r="AI367" s="433"/>
      <c r="AJ367" s="433"/>
      <c r="AK367" s="433"/>
      <c r="AL367" s="433"/>
      <c r="AM367" s="433"/>
      <c r="AN367" s="433"/>
      <c r="AO367" s="433"/>
      <c r="AP367" s="433"/>
      <c r="AQ367" s="433"/>
      <c r="AR367" s="433"/>
      <c r="AS367" s="433"/>
      <c r="AT367" s="433"/>
      <c r="AU367" s="433"/>
      <c r="AV367" s="433"/>
      <c r="AW367" s="433"/>
      <c r="AX367" s="433"/>
      <c r="AY367" s="433"/>
      <c r="AZ367" s="433"/>
      <c r="BA367" s="433"/>
      <c r="BB367" s="433"/>
      <c r="BC367" s="433"/>
      <c r="BD367" s="433"/>
      <c r="BE367" s="433"/>
      <c r="BF367" s="433"/>
      <c r="BG367" s="433"/>
      <c r="BH367" s="433"/>
      <c r="BI367" s="433"/>
      <c r="BJ367" s="433"/>
      <c r="BK367" s="433"/>
      <c r="BL367" s="433"/>
      <c r="BM367" s="433"/>
      <c r="BN367" s="433"/>
      <c r="BO367" s="433"/>
      <c r="BP367" s="433"/>
      <c r="BQ367" s="433"/>
      <c r="BR367" s="433"/>
      <c r="BS367" s="433"/>
      <c r="BT367" s="433"/>
      <c r="BU367" s="433"/>
    </row>
    <row r="368" spans="15:73" x14ac:dyDescent="0.2">
      <c r="O368" s="433"/>
      <c r="P368" s="433"/>
      <c r="Q368" s="433"/>
      <c r="R368" s="433"/>
      <c r="S368" s="433"/>
      <c r="T368" s="433"/>
      <c r="U368" s="433"/>
      <c r="V368" s="433"/>
      <c r="W368" s="433"/>
      <c r="X368" s="433"/>
      <c r="Y368" s="433"/>
      <c r="Z368" s="433"/>
      <c r="AA368" s="433"/>
      <c r="AB368" s="433"/>
      <c r="AC368" s="433"/>
      <c r="AD368" s="433"/>
      <c r="AE368" s="433"/>
      <c r="AF368" s="433"/>
      <c r="AG368" s="433"/>
      <c r="AH368" s="433"/>
      <c r="AI368" s="433"/>
      <c r="AJ368" s="433"/>
      <c r="AK368" s="433"/>
      <c r="AL368" s="433"/>
      <c r="AM368" s="433"/>
      <c r="AN368" s="433"/>
      <c r="AO368" s="433"/>
      <c r="AP368" s="433"/>
      <c r="AQ368" s="433"/>
      <c r="AR368" s="433"/>
      <c r="AS368" s="433"/>
      <c r="AT368" s="433"/>
      <c r="AU368" s="433"/>
      <c r="AV368" s="433"/>
      <c r="AW368" s="433"/>
      <c r="AX368" s="433"/>
      <c r="AY368" s="433"/>
      <c r="AZ368" s="433"/>
      <c r="BA368" s="433"/>
      <c r="BB368" s="433"/>
      <c r="BC368" s="433"/>
      <c r="BD368" s="433"/>
      <c r="BE368" s="433"/>
      <c r="BF368" s="433"/>
      <c r="BG368" s="433"/>
      <c r="BH368" s="433"/>
      <c r="BI368" s="433"/>
      <c r="BJ368" s="433"/>
      <c r="BK368" s="433"/>
      <c r="BL368" s="433"/>
      <c r="BM368" s="433"/>
      <c r="BN368" s="433"/>
      <c r="BO368" s="433"/>
      <c r="BP368" s="433"/>
      <c r="BQ368" s="433"/>
      <c r="BR368" s="433"/>
      <c r="BS368" s="433"/>
      <c r="BT368" s="433"/>
      <c r="BU368" s="433"/>
    </row>
    <row r="369" spans="15:73" x14ac:dyDescent="0.2">
      <c r="O369" s="433"/>
      <c r="P369" s="433"/>
      <c r="Q369" s="433"/>
      <c r="R369" s="433"/>
      <c r="S369" s="433"/>
      <c r="T369" s="433"/>
      <c r="U369" s="433"/>
      <c r="V369" s="433"/>
      <c r="W369" s="433"/>
      <c r="X369" s="433"/>
      <c r="Y369" s="433"/>
      <c r="Z369" s="433"/>
      <c r="AA369" s="433"/>
      <c r="AB369" s="433"/>
      <c r="AC369" s="433"/>
      <c r="AD369" s="433"/>
      <c r="AE369" s="433"/>
      <c r="AF369" s="433"/>
      <c r="AG369" s="433"/>
      <c r="AH369" s="433"/>
      <c r="AI369" s="433"/>
      <c r="AJ369" s="433"/>
      <c r="AK369" s="433"/>
      <c r="AL369" s="433"/>
      <c r="AM369" s="433"/>
      <c r="AN369" s="433"/>
      <c r="AO369" s="433"/>
      <c r="AP369" s="433"/>
      <c r="AQ369" s="433"/>
      <c r="AR369" s="433"/>
      <c r="AS369" s="433"/>
      <c r="AT369" s="433"/>
      <c r="AU369" s="433"/>
      <c r="AV369" s="433"/>
      <c r="AW369" s="433"/>
      <c r="AX369" s="433"/>
      <c r="AY369" s="433"/>
      <c r="AZ369" s="433"/>
      <c r="BA369" s="433"/>
      <c r="BB369" s="433"/>
      <c r="BC369" s="433"/>
      <c r="BD369" s="433"/>
      <c r="BE369" s="433"/>
      <c r="BF369" s="433"/>
      <c r="BG369" s="433"/>
      <c r="BH369" s="433"/>
      <c r="BI369" s="433"/>
      <c r="BJ369" s="433"/>
      <c r="BK369" s="433"/>
      <c r="BL369" s="433"/>
      <c r="BM369" s="433"/>
      <c r="BN369" s="433"/>
      <c r="BO369" s="433"/>
      <c r="BP369" s="433"/>
      <c r="BQ369" s="433"/>
      <c r="BR369" s="433"/>
      <c r="BS369" s="433"/>
      <c r="BT369" s="433"/>
      <c r="BU369" s="433"/>
    </row>
    <row r="370" spans="15:73" x14ac:dyDescent="0.2">
      <c r="O370" s="433"/>
      <c r="P370" s="433"/>
      <c r="Q370" s="433"/>
      <c r="R370" s="433"/>
      <c r="S370" s="433"/>
      <c r="T370" s="433"/>
      <c r="U370" s="433"/>
      <c r="V370" s="433"/>
      <c r="W370" s="433"/>
      <c r="X370" s="433"/>
      <c r="Y370" s="433"/>
      <c r="Z370" s="433"/>
      <c r="AA370" s="433"/>
      <c r="AB370" s="433"/>
      <c r="AC370" s="433"/>
      <c r="AD370" s="433"/>
      <c r="AE370" s="433"/>
      <c r="AF370" s="433"/>
      <c r="AG370" s="433"/>
      <c r="AH370" s="433"/>
      <c r="AI370" s="433"/>
      <c r="AJ370" s="433"/>
      <c r="AK370" s="433"/>
      <c r="AL370" s="433"/>
      <c r="AM370" s="433"/>
      <c r="AN370" s="433"/>
      <c r="AO370" s="433"/>
      <c r="AP370" s="433"/>
      <c r="AQ370" s="433"/>
      <c r="AR370" s="433"/>
      <c r="AS370" s="433"/>
      <c r="AT370" s="433"/>
      <c r="AU370" s="433"/>
      <c r="AV370" s="433"/>
      <c r="AW370" s="433"/>
      <c r="AX370" s="433"/>
      <c r="AY370" s="433"/>
      <c r="AZ370" s="433"/>
      <c r="BA370" s="433"/>
      <c r="BB370" s="433"/>
      <c r="BC370" s="433"/>
      <c r="BD370" s="433"/>
      <c r="BE370" s="433"/>
      <c r="BF370" s="433"/>
      <c r="BG370" s="433"/>
      <c r="BH370" s="433"/>
      <c r="BI370" s="433"/>
      <c r="BJ370" s="433"/>
      <c r="BK370" s="433"/>
      <c r="BL370" s="433"/>
      <c r="BM370" s="433"/>
      <c r="BN370" s="433"/>
      <c r="BO370" s="433"/>
      <c r="BP370" s="433"/>
      <c r="BQ370" s="433"/>
      <c r="BR370" s="433"/>
      <c r="BS370" s="433"/>
      <c r="BT370" s="433"/>
      <c r="BU370" s="433"/>
    </row>
    <row r="371" spans="15:73" x14ac:dyDescent="0.2">
      <c r="O371" s="433"/>
      <c r="P371" s="433"/>
      <c r="Q371" s="433"/>
      <c r="R371" s="433"/>
      <c r="S371" s="433"/>
      <c r="T371" s="433"/>
      <c r="U371" s="433"/>
      <c r="V371" s="433"/>
      <c r="W371" s="433"/>
      <c r="X371" s="433"/>
      <c r="Y371" s="433"/>
      <c r="Z371" s="433"/>
      <c r="AA371" s="433"/>
      <c r="AB371" s="433"/>
      <c r="AC371" s="433"/>
      <c r="AD371" s="433"/>
      <c r="AE371" s="433"/>
      <c r="AF371" s="433"/>
      <c r="AG371" s="433"/>
      <c r="AH371" s="433"/>
      <c r="AI371" s="433"/>
      <c r="AJ371" s="433"/>
      <c r="AK371" s="433"/>
      <c r="AL371" s="433"/>
      <c r="AM371" s="433"/>
      <c r="AN371" s="433"/>
      <c r="AO371" s="433"/>
      <c r="AP371" s="433"/>
      <c r="AQ371" s="433"/>
      <c r="AR371" s="433"/>
      <c r="AS371" s="433"/>
      <c r="AT371" s="433"/>
      <c r="AU371" s="433"/>
      <c r="AV371" s="433"/>
      <c r="AW371" s="433"/>
      <c r="AX371" s="433"/>
      <c r="AY371" s="433"/>
      <c r="AZ371" s="433"/>
      <c r="BA371" s="433"/>
      <c r="BB371" s="433"/>
      <c r="BC371" s="433"/>
      <c r="BD371" s="433"/>
      <c r="BE371" s="433"/>
      <c r="BF371" s="433"/>
      <c r="BG371" s="433"/>
      <c r="BH371" s="433"/>
      <c r="BI371" s="433"/>
      <c r="BJ371" s="433"/>
      <c r="BK371" s="433"/>
      <c r="BL371" s="433"/>
      <c r="BM371" s="433"/>
      <c r="BN371" s="433"/>
      <c r="BO371" s="433"/>
      <c r="BP371" s="433"/>
      <c r="BQ371" s="433"/>
      <c r="BR371" s="433"/>
      <c r="BS371" s="433"/>
      <c r="BT371" s="433"/>
      <c r="BU371" s="433"/>
    </row>
    <row r="372" spans="15:73" x14ac:dyDescent="0.2">
      <c r="O372" s="433"/>
      <c r="P372" s="433"/>
      <c r="Q372" s="433"/>
      <c r="R372" s="433"/>
      <c r="S372" s="433"/>
      <c r="T372" s="433"/>
      <c r="U372" s="433"/>
      <c r="V372" s="433"/>
      <c r="W372" s="433"/>
      <c r="X372" s="433"/>
      <c r="Y372" s="433"/>
      <c r="Z372" s="433"/>
      <c r="AA372" s="433"/>
      <c r="AB372" s="433"/>
      <c r="AC372" s="433"/>
      <c r="AD372" s="433"/>
      <c r="AE372" s="433"/>
      <c r="AF372" s="433"/>
      <c r="AG372" s="433"/>
      <c r="AH372" s="433"/>
      <c r="AI372" s="433"/>
      <c r="AJ372" s="433"/>
      <c r="AK372" s="433"/>
      <c r="AL372" s="433"/>
      <c r="AM372" s="433"/>
      <c r="AN372" s="433"/>
      <c r="AO372" s="433"/>
      <c r="AP372" s="433"/>
      <c r="AQ372" s="433"/>
      <c r="AR372" s="433"/>
      <c r="AS372" s="433"/>
      <c r="AT372" s="433"/>
      <c r="AU372" s="433"/>
      <c r="AV372" s="433"/>
      <c r="AW372" s="433"/>
      <c r="AX372" s="433"/>
      <c r="AY372" s="433"/>
      <c r="AZ372" s="433"/>
      <c r="BA372" s="433"/>
      <c r="BB372" s="433"/>
      <c r="BC372" s="433"/>
      <c r="BD372" s="433"/>
      <c r="BE372" s="433"/>
      <c r="BF372" s="433"/>
      <c r="BG372" s="433"/>
      <c r="BH372" s="433"/>
      <c r="BI372" s="433"/>
      <c r="BJ372" s="433"/>
      <c r="BK372" s="433"/>
      <c r="BL372" s="433"/>
      <c r="BM372" s="433"/>
      <c r="BN372" s="433"/>
      <c r="BO372" s="433"/>
      <c r="BP372" s="433"/>
      <c r="BQ372" s="433"/>
      <c r="BR372" s="433"/>
      <c r="BS372" s="433"/>
      <c r="BT372" s="433"/>
      <c r="BU372" s="433"/>
    </row>
    <row r="373" spans="15:73" s="359" customFormat="1" x14ac:dyDescent="0.2">
      <c r="O373" s="440"/>
      <c r="P373" s="440"/>
      <c r="Q373" s="440"/>
      <c r="R373" s="440"/>
      <c r="S373" s="440"/>
      <c r="T373" s="440"/>
      <c r="U373" s="440"/>
      <c r="V373" s="440"/>
      <c r="W373" s="440"/>
      <c r="X373" s="440"/>
      <c r="Y373" s="440"/>
      <c r="Z373" s="440"/>
      <c r="AA373" s="440"/>
      <c r="AB373" s="440"/>
      <c r="AC373" s="440"/>
      <c r="AD373" s="440"/>
      <c r="AE373" s="440"/>
      <c r="AF373" s="440"/>
      <c r="AG373" s="440"/>
      <c r="AH373" s="440"/>
      <c r="AI373" s="440"/>
      <c r="AJ373" s="440"/>
      <c r="AK373" s="440"/>
      <c r="AL373" s="440"/>
      <c r="AM373" s="440"/>
      <c r="AN373" s="440"/>
      <c r="AO373" s="440"/>
      <c r="AP373" s="440"/>
      <c r="AQ373" s="440"/>
      <c r="AR373" s="440"/>
      <c r="AS373" s="440"/>
      <c r="AT373" s="440"/>
      <c r="AU373" s="440"/>
      <c r="AV373" s="440"/>
      <c r="AW373" s="440"/>
      <c r="AX373" s="440"/>
      <c r="AY373" s="440"/>
      <c r="AZ373" s="440"/>
      <c r="BA373" s="440"/>
      <c r="BB373" s="440"/>
      <c r="BC373" s="440"/>
      <c r="BD373" s="440"/>
      <c r="BE373" s="440"/>
      <c r="BF373" s="440"/>
      <c r="BG373" s="440"/>
      <c r="BH373" s="440"/>
      <c r="BI373" s="440"/>
      <c r="BJ373" s="440"/>
      <c r="BK373" s="440"/>
      <c r="BL373" s="440"/>
      <c r="BM373" s="440"/>
      <c r="BN373" s="440"/>
      <c r="BO373" s="440"/>
      <c r="BP373" s="440"/>
      <c r="BQ373" s="440"/>
      <c r="BR373" s="440"/>
      <c r="BS373" s="440"/>
      <c r="BT373" s="440"/>
      <c r="BU373" s="440"/>
    </row>
    <row r="374" spans="15:73" x14ac:dyDescent="0.2">
      <c r="O374" s="433"/>
      <c r="P374" s="433"/>
      <c r="Q374" s="433"/>
      <c r="R374" s="433"/>
      <c r="S374" s="433"/>
      <c r="T374" s="433"/>
      <c r="U374" s="433"/>
      <c r="V374" s="433"/>
      <c r="W374" s="433"/>
      <c r="X374" s="433"/>
      <c r="Y374" s="433"/>
      <c r="Z374" s="433"/>
      <c r="AA374" s="433"/>
      <c r="AB374" s="433"/>
      <c r="AC374" s="433"/>
      <c r="AD374" s="433"/>
      <c r="AE374" s="433"/>
      <c r="AF374" s="433"/>
      <c r="AG374" s="433"/>
      <c r="AH374" s="433"/>
      <c r="AI374" s="433"/>
      <c r="AJ374" s="433"/>
      <c r="AK374" s="433"/>
      <c r="AL374" s="433"/>
      <c r="AM374" s="433"/>
      <c r="AN374" s="433"/>
      <c r="AO374" s="433"/>
      <c r="AP374" s="433"/>
      <c r="AQ374" s="433"/>
      <c r="AR374" s="433"/>
      <c r="AS374" s="433"/>
      <c r="AT374" s="433"/>
      <c r="AU374" s="433"/>
      <c r="AV374" s="433"/>
      <c r="AW374" s="433"/>
      <c r="AX374" s="433"/>
      <c r="AY374" s="433"/>
      <c r="AZ374" s="433"/>
      <c r="BA374" s="433"/>
      <c r="BB374" s="433"/>
      <c r="BC374" s="433"/>
      <c r="BD374" s="433"/>
      <c r="BE374" s="433"/>
      <c r="BF374" s="433"/>
      <c r="BG374" s="433"/>
      <c r="BH374" s="433"/>
      <c r="BI374" s="433"/>
      <c r="BJ374" s="433"/>
      <c r="BK374" s="433"/>
      <c r="BL374" s="433"/>
      <c r="BM374" s="433"/>
      <c r="BN374" s="433"/>
      <c r="BO374" s="433"/>
      <c r="BP374" s="433"/>
      <c r="BQ374" s="433"/>
      <c r="BR374" s="433"/>
      <c r="BS374" s="433"/>
      <c r="BT374" s="433"/>
      <c r="BU374" s="433"/>
    </row>
    <row r="375" spans="15:73" x14ac:dyDescent="0.2">
      <c r="O375" s="433"/>
      <c r="P375" s="433"/>
      <c r="Q375" s="433"/>
      <c r="R375" s="433"/>
      <c r="S375" s="433"/>
      <c r="T375" s="433"/>
      <c r="U375" s="433"/>
      <c r="V375" s="433"/>
      <c r="W375" s="433"/>
      <c r="X375" s="433"/>
      <c r="Y375" s="433"/>
      <c r="Z375" s="433"/>
      <c r="AA375" s="433"/>
      <c r="AB375" s="433"/>
      <c r="AC375" s="433"/>
      <c r="AD375" s="433"/>
      <c r="AE375" s="433"/>
      <c r="AF375" s="433"/>
      <c r="AG375" s="433"/>
      <c r="AH375" s="433"/>
      <c r="AI375" s="433"/>
      <c r="AJ375" s="433"/>
      <c r="AK375" s="433"/>
      <c r="AL375" s="433"/>
      <c r="AM375" s="433"/>
      <c r="AN375" s="433"/>
      <c r="AO375" s="433"/>
      <c r="AP375" s="433"/>
      <c r="AQ375" s="433"/>
      <c r="AR375" s="433"/>
      <c r="AS375" s="433"/>
      <c r="AT375" s="433"/>
      <c r="AU375" s="433"/>
      <c r="AV375" s="433"/>
      <c r="AW375" s="433"/>
      <c r="AX375" s="433"/>
      <c r="AY375" s="433"/>
      <c r="AZ375" s="433"/>
      <c r="BA375" s="433"/>
      <c r="BB375" s="433"/>
      <c r="BC375" s="433"/>
      <c r="BD375" s="433"/>
      <c r="BE375" s="433"/>
      <c r="BF375" s="433"/>
      <c r="BG375" s="433"/>
      <c r="BH375" s="433"/>
      <c r="BI375" s="433"/>
      <c r="BJ375" s="433"/>
      <c r="BK375" s="433"/>
      <c r="BL375" s="433"/>
      <c r="BM375" s="433"/>
      <c r="BN375" s="433"/>
      <c r="BO375" s="433"/>
      <c r="BP375" s="433"/>
      <c r="BQ375" s="433"/>
      <c r="BR375" s="433"/>
      <c r="BS375" s="433"/>
      <c r="BT375" s="433"/>
      <c r="BU375" s="433"/>
    </row>
    <row r="376" spans="15:73" x14ac:dyDescent="0.2">
      <c r="O376" s="433"/>
      <c r="P376" s="433"/>
      <c r="Q376" s="433"/>
      <c r="R376" s="433"/>
      <c r="S376" s="433"/>
      <c r="T376" s="433"/>
      <c r="U376" s="433"/>
      <c r="V376" s="433"/>
      <c r="W376" s="433"/>
      <c r="X376" s="433"/>
      <c r="Y376" s="433"/>
      <c r="Z376" s="433"/>
      <c r="AA376" s="433"/>
      <c r="AB376" s="433"/>
      <c r="AC376" s="433"/>
      <c r="AD376" s="433"/>
      <c r="AE376" s="433"/>
      <c r="AF376" s="433"/>
      <c r="AG376" s="433"/>
      <c r="AH376" s="433"/>
      <c r="AI376" s="433"/>
      <c r="AJ376" s="433"/>
      <c r="AK376" s="433"/>
      <c r="AL376" s="433"/>
      <c r="AM376" s="433"/>
      <c r="AN376" s="433"/>
      <c r="AO376" s="433"/>
      <c r="AP376" s="433"/>
      <c r="AQ376" s="433"/>
      <c r="AR376" s="433"/>
      <c r="AS376" s="433"/>
      <c r="AT376" s="433"/>
      <c r="AU376" s="433"/>
      <c r="AV376" s="433"/>
      <c r="AW376" s="433"/>
      <c r="AX376" s="433"/>
      <c r="AY376" s="433"/>
      <c r="AZ376" s="433"/>
      <c r="BA376" s="433"/>
      <c r="BB376" s="433"/>
      <c r="BC376" s="433"/>
      <c r="BD376" s="433"/>
      <c r="BE376" s="433"/>
      <c r="BF376" s="433"/>
      <c r="BG376" s="433"/>
      <c r="BH376" s="433"/>
      <c r="BI376" s="433"/>
      <c r="BJ376" s="433"/>
      <c r="BK376" s="433"/>
      <c r="BL376" s="433"/>
      <c r="BM376" s="433"/>
      <c r="BN376" s="433"/>
      <c r="BO376" s="433"/>
      <c r="BP376" s="433"/>
      <c r="BQ376" s="433"/>
      <c r="BR376" s="433"/>
      <c r="BS376" s="433"/>
      <c r="BT376" s="433"/>
      <c r="BU376" s="433"/>
    </row>
    <row r="377" spans="15:73" s="359" customFormat="1" x14ac:dyDescent="0.2">
      <c r="O377" s="440"/>
      <c r="P377" s="440"/>
      <c r="Q377" s="440"/>
      <c r="R377" s="440"/>
      <c r="S377" s="440"/>
      <c r="T377" s="440"/>
      <c r="U377" s="440"/>
      <c r="V377" s="440"/>
      <c r="W377" s="440"/>
      <c r="X377" s="440"/>
      <c r="Y377" s="440"/>
      <c r="Z377" s="440"/>
      <c r="AA377" s="440"/>
      <c r="AB377" s="440"/>
      <c r="AC377" s="440"/>
      <c r="AD377" s="440"/>
      <c r="AE377" s="440"/>
      <c r="AF377" s="440"/>
      <c r="AG377" s="440"/>
      <c r="AH377" s="440"/>
      <c r="AI377" s="440"/>
      <c r="AJ377" s="440"/>
      <c r="AK377" s="440"/>
      <c r="AL377" s="440"/>
      <c r="AM377" s="440"/>
      <c r="AN377" s="440"/>
      <c r="AO377" s="440"/>
      <c r="AP377" s="440"/>
      <c r="AQ377" s="440"/>
      <c r="AR377" s="440"/>
      <c r="AS377" s="440"/>
      <c r="AT377" s="440"/>
      <c r="AU377" s="440"/>
      <c r="AV377" s="440"/>
      <c r="AW377" s="440"/>
      <c r="AX377" s="440"/>
      <c r="AY377" s="440"/>
      <c r="AZ377" s="440"/>
      <c r="BA377" s="440"/>
      <c r="BB377" s="440"/>
      <c r="BC377" s="440"/>
      <c r="BD377" s="440"/>
      <c r="BE377" s="440"/>
      <c r="BF377" s="440"/>
      <c r="BG377" s="440"/>
      <c r="BH377" s="440"/>
      <c r="BI377" s="440"/>
      <c r="BJ377" s="440"/>
      <c r="BK377" s="440"/>
      <c r="BL377" s="440"/>
      <c r="BM377" s="440"/>
      <c r="BN377" s="440"/>
      <c r="BO377" s="440"/>
      <c r="BP377" s="440"/>
      <c r="BQ377" s="440"/>
      <c r="BR377" s="440"/>
      <c r="BS377" s="440"/>
      <c r="BT377" s="440"/>
      <c r="BU377" s="440"/>
    </row>
    <row r="378" spans="15:73" x14ac:dyDescent="0.2">
      <c r="O378" s="433"/>
      <c r="P378" s="433"/>
      <c r="Q378" s="433"/>
      <c r="R378" s="433"/>
      <c r="S378" s="433"/>
      <c r="T378" s="433"/>
      <c r="U378" s="433"/>
      <c r="V378" s="433"/>
      <c r="W378" s="433"/>
      <c r="X378" s="433"/>
      <c r="Y378" s="433"/>
      <c r="Z378" s="433"/>
      <c r="AA378" s="433"/>
      <c r="AB378" s="433"/>
      <c r="AC378" s="433"/>
      <c r="AD378" s="433"/>
      <c r="AE378" s="433"/>
      <c r="AF378" s="433"/>
      <c r="AG378" s="433"/>
      <c r="AH378" s="433"/>
      <c r="AI378" s="433"/>
      <c r="AJ378" s="433"/>
      <c r="AK378" s="433"/>
      <c r="AL378" s="433"/>
      <c r="AM378" s="433"/>
      <c r="AN378" s="433"/>
      <c r="AO378" s="433"/>
      <c r="AP378" s="433"/>
      <c r="AQ378" s="433"/>
      <c r="AR378" s="433"/>
      <c r="AS378" s="433"/>
      <c r="AT378" s="433"/>
      <c r="AU378" s="433"/>
      <c r="AV378" s="433"/>
      <c r="AW378" s="433"/>
      <c r="AX378" s="433"/>
      <c r="AY378" s="433"/>
      <c r="AZ378" s="433"/>
      <c r="BA378" s="433"/>
      <c r="BB378" s="433"/>
      <c r="BC378" s="433"/>
      <c r="BD378" s="433"/>
      <c r="BE378" s="433"/>
      <c r="BF378" s="433"/>
      <c r="BG378" s="433"/>
      <c r="BH378" s="433"/>
      <c r="BI378" s="433"/>
      <c r="BJ378" s="433"/>
      <c r="BK378" s="433"/>
      <c r="BL378" s="433"/>
      <c r="BM378" s="433"/>
      <c r="BN378" s="433"/>
      <c r="BO378" s="433"/>
      <c r="BP378" s="433"/>
      <c r="BQ378" s="433"/>
      <c r="BR378" s="433"/>
      <c r="BS378" s="433"/>
      <c r="BT378" s="433"/>
      <c r="BU378" s="433"/>
    </row>
    <row r="379" spans="15:73" x14ac:dyDescent="0.2">
      <c r="O379" s="433"/>
      <c r="P379" s="433"/>
      <c r="Q379" s="433"/>
      <c r="R379" s="433"/>
      <c r="S379" s="433"/>
      <c r="T379" s="433"/>
      <c r="U379" s="433"/>
      <c r="V379" s="433"/>
      <c r="W379" s="433"/>
      <c r="X379" s="433"/>
      <c r="Y379" s="433"/>
      <c r="Z379" s="433"/>
      <c r="AA379" s="433"/>
      <c r="AB379" s="433"/>
      <c r="AC379" s="433"/>
      <c r="AD379" s="433"/>
      <c r="AE379" s="433"/>
      <c r="AF379" s="433"/>
      <c r="AG379" s="433"/>
      <c r="AH379" s="433"/>
      <c r="AI379" s="433"/>
      <c r="AJ379" s="433"/>
      <c r="AK379" s="433"/>
      <c r="AL379" s="433"/>
      <c r="AM379" s="433"/>
      <c r="AN379" s="433"/>
      <c r="AO379" s="433"/>
      <c r="AP379" s="433"/>
      <c r="AQ379" s="433"/>
      <c r="AR379" s="433"/>
      <c r="AS379" s="433"/>
      <c r="AT379" s="433"/>
      <c r="AU379" s="433"/>
      <c r="AV379" s="433"/>
      <c r="AW379" s="433"/>
      <c r="AX379" s="433"/>
      <c r="AY379" s="433"/>
      <c r="AZ379" s="433"/>
      <c r="BA379" s="433"/>
      <c r="BB379" s="433"/>
      <c r="BC379" s="433"/>
      <c r="BD379" s="433"/>
      <c r="BE379" s="433"/>
      <c r="BF379" s="433"/>
      <c r="BG379" s="433"/>
      <c r="BH379" s="433"/>
      <c r="BI379" s="433"/>
      <c r="BJ379" s="433"/>
      <c r="BK379" s="433"/>
      <c r="BL379" s="433"/>
      <c r="BM379" s="433"/>
      <c r="BN379" s="433"/>
      <c r="BO379" s="433"/>
      <c r="BP379" s="433"/>
      <c r="BQ379" s="433"/>
      <c r="BR379" s="433"/>
      <c r="BS379" s="433"/>
      <c r="BT379" s="433"/>
      <c r="BU379" s="433"/>
    </row>
    <row r="380" spans="15:73" x14ac:dyDescent="0.2">
      <c r="O380" s="433"/>
      <c r="P380" s="433"/>
      <c r="Q380" s="433"/>
      <c r="R380" s="433"/>
      <c r="S380" s="433"/>
      <c r="T380" s="433"/>
      <c r="U380" s="433"/>
      <c r="V380" s="433"/>
      <c r="W380" s="433"/>
      <c r="X380" s="433"/>
      <c r="Y380" s="433"/>
      <c r="Z380" s="433"/>
      <c r="AA380" s="433"/>
      <c r="AB380" s="433"/>
      <c r="AC380" s="433"/>
      <c r="AD380" s="433"/>
      <c r="AE380" s="433"/>
      <c r="AF380" s="433"/>
      <c r="AG380" s="433"/>
      <c r="AH380" s="433"/>
      <c r="AI380" s="433"/>
      <c r="AJ380" s="433"/>
      <c r="AK380" s="433"/>
      <c r="AL380" s="433"/>
      <c r="AM380" s="433"/>
      <c r="AN380" s="433"/>
      <c r="AO380" s="433"/>
      <c r="AP380" s="433"/>
      <c r="AQ380" s="433"/>
      <c r="AR380" s="433"/>
      <c r="AS380" s="433"/>
      <c r="AT380" s="433"/>
      <c r="AU380" s="433"/>
      <c r="AV380" s="433"/>
      <c r="AW380" s="433"/>
      <c r="AX380" s="433"/>
      <c r="AY380" s="433"/>
      <c r="AZ380" s="433"/>
      <c r="BA380" s="433"/>
      <c r="BB380" s="433"/>
      <c r="BC380" s="433"/>
      <c r="BD380" s="433"/>
      <c r="BE380" s="433"/>
      <c r="BF380" s="433"/>
      <c r="BG380" s="433"/>
      <c r="BH380" s="433"/>
      <c r="BI380" s="433"/>
      <c r="BJ380" s="433"/>
      <c r="BK380" s="433"/>
      <c r="BL380" s="433"/>
      <c r="BM380" s="433"/>
      <c r="BN380" s="433"/>
      <c r="BO380" s="433"/>
      <c r="BP380" s="433"/>
      <c r="BQ380" s="433"/>
      <c r="BR380" s="433"/>
      <c r="BS380" s="433"/>
      <c r="BT380" s="433"/>
      <c r="BU380" s="433"/>
    </row>
    <row r="381" spans="15:73" s="359" customFormat="1" x14ac:dyDescent="0.2">
      <c r="O381" s="440"/>
      <c r="P381" s="440"/>
      <c r="Q381" s="440"/>
      <c r="R381" s="440"/>
      <c r="S381" s="440"/>
      <c r="T381" s="440"/>
      <c r="U381" s="440"/>
      <c r="V381" s="440"/>
      <c r="W381" s="440"/>
      <c r="X381" s="440"/>
      <c r="Y381" s="440"/>
      <c r="Z381" s="440"/>
      <c r="AA381" s="440"/>
      <c r="AB381" s="440"/>
      <c r="AC381" s="440"/>
      <c r="AD381" s="440"/>
      <c r="AE381" s="440"/>
      <c r="AF381" s="440"/>
      <c r="AG381" s="440"/>
      <c r="AH381" s="440"/>
      <c r="AI381" s="440"/>
      <c r="AJ381" s="440"/>
      <c r="AK381" s="440"/>
      <c r="AL381" s="440"/>
      <c r="AM381" s="440"/>
      <c r="AN381" s="440"/>
      <c r="AO381" s="440"/>
      <c r="AP381" s="440"/>
      <c r="AQ381" s="440"/>
      <c r="AR381" s="440"/>
      <c r="AS381" s="440"/>
      <c r="AT381" s="440"/>
      <c r="AU381" s="440"/>
      <c r="AV381" s="440"/>
      <c r="AW381" s="440"/>
      <c r="AX381" s="440"/>
      <c r="AY381" s="440"/>
      <c r="AZ381" s="440"/>
      <c r="BA381" s="440"/>
      <c r="BB381" s="440"/>
      <c r="BC381" s="440"/>
      <c r="BD381" s="440"/>
      <c r="BE381" s="440"/>
      <c r="BF381" s="440"/>
      <c r="BG381" s="440"/>
      <c r="BH381" s="440"/>
      <c r="BI381" s="440"/>
      <c r="BJ381" s="440"/>
      <c r="BK381" s="440"/>
      <c r="BL381" s="440"/>
      <c r="BM381" s="440"/>
      <c r="BN381" s="440"/>
      <c r="BO381" s="440"/>
      <c r="BP381" s="440"/>
      <c r="BQ381" s="440"/>
      <c r="BR381" s="440"/>
      <c r="BS381" s="440"/>
      <c r="BT381" s="440"/>
      <c r="BU381" s="440"/>
    </row>
    <row r="382" spans="15:73" s="359" customFormat="1" x14ac:dyDescent="0.2">
      <c r="O382" s="440"/>
      <c r="P382" s="440"/>
      <c r="Q382" s="440"/>
      <c r="R382" s="440"/>
      <c r="S382" s="440"/>
      <c r="T382" s="440"/>
      <c r="U382" s="440"/>
      <c r="V382" s="440"/>
      <c r="W382" s="440"/>
      <c r="X382" s="440"/>
      <c r="Y382" s="440"/>
      <c r="Z382" s="440"/>
      <c r="AA382" s="440"/>
      <c r="AB382" s="440"/>
      <c r="AC382" s="440"/>
      <c r="AD382" s="440"/>
      <c r="AE382" s="440"/>
      <c r="AF382" s="440"/>
      <c r="AG382" s="440"/>
      <c r="AH382" s="440"/>
      <c r="AI382" s="440"/>
      <c r="AJ382" s="440"/>
      <c r="AK382" s="440"/>
      <c r="AL382" s="440"/>
      <c r="AM382" s="440"/>
      <c r="AN382" s="440"/>
      <c r="AO382" s="440"/>
      <c r="AP382" s="440"/>
      <c r="AQ382" s="440"/>
      <c r="AR382" s="440"/>
      <c r="AS382" s="440"/>
      <c r="AT382" s="440"/>
      <c r="AU382" s="440"/>
      <c r="AV382" s="440"/>
      <c r="AW382" s="440"/>
      <c r="AX382" s="440"/>
      <c r="AY382" s="440"/>
      <c r="AZ382" s="440"/>
      <c r="BA382" s="440"/>
      <c r="BB382" s="440"/>
      <c r="BC382" s="440"/>
      <c r="BD382" s="440"/>
      <c r="BE382" s="440"/>
      <c r="BF382" s="440"/>
      <c r="BG382" s="440"/>
      <c r="BH382" s="440"/>
      <c r="BI382" s="440"/>
      <c r="BJ382" s="440"/>
      <c r="BK382" s="440"/>
      <c r="BL382" s="440"/>
      <c r="BM382" s="440"/>
      <c r="BN382" s="440"/>
      <c r="BO382" s="440"/>
      <c r="BP382" s="440"/>
      <c r="BQ382" s="440"/>
      <c r="BR382" s="440"/>
      <c r="BS382" s="440"/>
      <c r="BT382" s="440"/>
      <c r="BU382" s="440"/>
    </row>
    <row r="383" spans="15:73" s="359" customFormat="1" x14ac:dyDescent="0.2">
      <c r="O383" s="440"/>
      <c r="P383" s="440"/>
      <c r="Q383" s="440"/>
      <c r="R383" s="440"/>
      <c r="S383" s="440"/>
      <c r="T383" s="440"/>
      <c r="U383" s="440"/>
      <c r="V383" s="440"/>
      <c r="W383" s="440"/>
      <c r="X383" s="440"/>
      <c r="Y383" s="440"/>
      <c r="Z383" s="440"/>
      <c r="AA383" s="440"/>
      <c r="AB383" s="440"/>
      <c r="AC383" s="440"/>
      <c r="AD383" s="440"/>
      <c r="AE383" s="440"/>
      <c r="AF383" s="440"/>
      <c r="AG383" s="440"/>
      <c r="AH383" s="440"/>
      <c r="AI383" s="440"/>
      <c r="AJ383" s="440"/>
      <c r="AK383" s="440"/>
      <c r="AL383" s="440"/>
      <c r="AM383" s="440"/>
      <c r="AN383" s="440"/>
      <c r="AO383" s="440"/>
      <c r="AP383" s="440"/>
      <c r="AQ383" s="440"/>
      <c r="AR383" s="440"/>
      <c r="AS383" s="440"/>
      <c r="AT383" s="440"/>
      <c r="AU383" s="440"/>
      <c r="AV383" s="440"/>
      <c r="AW383" s="440"/>
      <c r="AX383" s="440"/>
      <c r="AY383" s="440"/>
      <c r="AZ383" s="440"/>
      <c r="BA383" s="440"/>
      <c r="BB383" s="440"/>
      <c r="BC383" s="440"/>
      <c r="BD383" s="440"/>
      <c r="BE383" s="440"/>
      <c r="BF383" s="440"/>
      <c r="BG383" s="440"/>
      <c r="BH383" s="440"/>
      <c r="BI383" s="440"/>
      <c r="BJ383" s="440"/>
      <c r="BK383" s="440"/>
      <c r="BL383" s="440"/>
      <c r="BM383" s="440"/>
      <c r="BN383" s="440"/>
      <c r="BO383" s="440"/>
      <c r="BP383" s="440"/>
      <c r="BQ383" s="440"/>
      <c r="BR383" s="440"/>
      <c r="BS383" s="440"/>
      <c r="BT383" s="440"/>
      <c r="BU383" s="440"/>
    </row>
    <row r="384" spans="15:73" s="359" customFormat="1" x14ac:dyDescent="0.2">
      <c r="O384" s="440"/>
      <c r="P384" s="440"/>
      <c r="Q384" s="440"/>
      <c r="R384" s="440"/>
      <c r="S384" s="440"/>
      <c r="T384" s="440"/>
      <c r="U384" s="440"/>
      <c r="V384" s="440"/>
      <c r="W384" s="440"/>
      <c r="X384" s="440"/>
      <c r="Y384" s="440"/>
      <c r="Z384" s="440"/>
      <c r="AA384" s="440"/>
      <c r="AB384" s="440"/>
      <c r="AC384" s="440"/>
      <c r="AD384" s="440"/>
      <c r="AE384" s="440"/>
      <c r="AF384" s="440"/>
      <c r="AG384" s="440"/>
      <c r="AH384" s="440"/>
      <c r="AI384" s="440"/>
      <c r="AJ384" s="440"/>
      <c r="AK384" s="440"/>
      <c r="AL384" s="440"/>
      <c r="AM384" s="440"/>
      <c r="AN384" s="440"/>
      <c r="AO384" s="440"/>
      <c r="AP384" s="440"/>
      <c r="AQ384" s="440"/>
      <c r="AR384" s="440"/>
      <c r="AS384" s="440"/>
      <c r="AT384" s="440"/>
      <c r="AU384" s="440"/>
      <c r="AV384" s="440"/>
      <c r="AW384" s="440"/>
      <c r="AX384" s="440"/>
      <c r="AY384" s="440"/>
      <c r="AZ384" s="440"/>
      <c r="BA384" s="440"/>
      <c r="BB384" s="440"/>
      <c r="BC384" s="440"/>
      <c r="BD384" s="440"/>
      <c r="BE384" s="440"/>
      <c r="BF384" s="440"/>
      <c r="BG384" s="440"/>
      <c r="BH384" s="440"/>
      <c r="BI384" s="440"/>
      <c r="BJ384" s="440"/>
      <c r="BK384" s="440"/>
      <c r="BL384" s="440"/>
      <c r="BM384" s="440"/>
      <c r="BN384" s="440"/>
      <c r="BO384" s="440"/>
      <c r="BP384" s="440"/>
      <c r="BQ384" s="440"/>
      <c r="BR384" s="440"/>
      <c r="BS384" s="440"/>
      <c r="BT384" s="440"/>
      <c r="BU384" s="440"/>
    </row>
    <row r="385" spans="15:73" s="359" customFormat="1" x14ac:dyDescent="0.2">
      <c r="O385" s="440"/>
      <c r="P385" s="440"/>
      <c r="Q385" s="440"/>
      <c r="R385" s="440"/>
      <c r="S385" s="440"/>
      <c r="T385" s="440"/>
      <c r="U385" s="440"/>
      <c r="V385" s="440"/>
      <c r="W385" s="440"/>
      <c r="X385" s="440"/>
      <c r="Y385" s="440"/>
      <c r="Z385" s="440"/>
      <c r="AA385" s="440"/>
      <c r="AB385" s="440"/>
      <c r="AC385" s="440"/>
      <c r="AD385" s="440"/>
      <c r="AE385" s="440"/>
      <c r="AF385" s="440"/>
      <c r="AG385" s="440"/>
      <c r="AH385" s="440"/>
      <c r="AI385" s="440"/>
      <c r="AJ385" s="440"/>
      <c r="AK385" s="440"/>
      <c r="AL385" s="440"/>
      <c r="AM385" s="440"/>
      <c r="AN385" s="440"/>
      <c r="AO385" s="440"/>
      <c r="AP385" s="440"/>
      <c r="AQ385" s="440"/>
      <c r="AR385" s="440"/>
      <c r="AS385" s="440"/>
      <c r="AT385" s="440"/>
      <c r="AU385" s="440"/>
      <c r="AV385" s="440"/>
      <c r="AW385" s="440"/>
      <c r="AX385" s="440"/>
      <c r="AY385" s="440"/>
      <c r="AZ385" s="440"/>
      <c r="BA385" s="440"/>
      <c r="BB385" s="440"/>
      <c r="BC385" s="440"/>
      <c r="BD385" s="440"/>
      <c r="BE385" s="440"/>
      <c r="BF385" s="440"/>
      <c r="BG385" s="440"/>
      <c r="BH385" s="440"/>
      <c r="BI385" s="440"/>
      <c r="BJ385" s="440"/>
      <c r="BK385" s="440"/>
      <c r="BL385" s="440"/>
      <c r="BM385" s="440"/>
      <c r="BN385" s="440"/>
      <c r="BO385" s="440"/>
      <c r="BP385" s="440"/>
      <c r="BQ385" s="440"/>
      <c r="BR385" s="440"/>
      <c r="BS385" s="440"/>
      <c r="BT385" s="440"/>
      <c r="BU385" s="440"/>
    </row>
    <row r="386" spans="15:73" s="359" customFormat="1" x14ac:dyDescent="0.2">
      <c r="O386" s="440"/>
      <c r="P386" s="440"/>
      <c r="Q386" s="440"/>
      <c r="R386" s="440"/>
      <c r="S386" s="440"/>
      <c r="T386" s="440"/>
      <c r="U386" s="440"/>
      <c r="V386" s="440"/>
      <c r="W386" s="440"/>
      <c r="X386" s="440"/>
      <c r="Y386" s="440"/>
      <c r="Z386" s="440"/>
      <c r="AA386" s="440"/>
      <c r="AB386" s="440"/>
      <c r="AC386" s="440"/>
      <c r="AD386" s="440"/>
      <c r="AE386" s="440"/>
      <c r="AF386" s="440"/>
      <c r="AG386" s="440"/>
      <c r="AH386" s="440"/>
      <c r="AI386" s="440"/>
      <c r="AJ386" s="440"/>
      <c r="AK386" s="440"/>
      <c r="AL386" s="440"/>
      <c r="AM386" s="440"/>
      <c r="AN386" s="440"/>
      <c r="AO386" s="440"/>
      <c r="AP386" s="440"/>
      <c r="AQ386" s="440"/>
      <c r="AR386" s="440"/>
      <c r="AS386" s="440"/>
      <c r="AT386" s="440"/>
      <c r="AU386" s="440"/>
      <c r="AV386" s="440"/>
      <c r="AW386" s="440"/>
      <c r="AX386" s="440"/>
      <c r="AY386" s="440"/>
      <c r="AZ386" s="440"/>
      <c r="BA386" s="440"/>
      <c r="BB386" s="440"/>
      <c r="BC386" s="440"/>
      <c r="BD386" s="440"/>
      <c r="BE386" s="440"/>
      <c r="BF386" s="440"/>
      <c r="BG386" s="440"/>
      <c r="BH386" s="440"/>
      <c r="BI386" s="440"/>
      <c r="BJ386" s="440"/>
      <c r="BK386" s="440"/>
      <c r="BL386" s="440"/>
      <c r="BM386" s="440"/>
      <c r="BN386" s="440"/>
      <c r="BO386" s="440"/>
      <c r="BP386" s="440"/>
      <c r="BQ386" s="440"/>
      <c r="BR386" s="440"/>
      <c r="BS386" s="440"/>
      <c r="BT386" s="440"/>
      <c r="BU386" s="440"/>
    </row>
    <row r="387" spans="15:73" x14ac:dyDescent="0.2">
      <c r="O387" s="433"/>
      <c r="P387" s="433"/>
      <c r="Q387" s="433"/>
      <c r="R387" s="433"/>
      <c r="S387" s="433"/>
      <c r="T387" s="433"/>
      <c r="U387" s="433"/>
      <c r="V387" s="433"/>
      <c r="W387" s="433"/>
      <c r="X387" s="433"/>
      <c r="Y387" s="433"/>
      <c r="Z387" s="433"/>
      <c r="AA387" s="433"/>
      <c r="AB387" s="433"/>
      <c r="AC387" s="433"/>
      <c r="AD387" s="433"/>
      <c r="AE387" s="433"/>
      <c r="AF387" s="433"/>
      <c r="AG387" s="433"/>
      <c r="AH387" s="433"/>
      <c r="AI387" s="433"/>
      <c r="AJ387" s="433"/>
      <c r="AK387" s="433"/>
      <c r="AL387" s="433"/>
      <c r="AM387" s="433"/>
      <c r="AN387" s="433"/>
      <c r="AO387" s="433"/>
      <c r="AP387" s="433"/>
      <c r="AQ387" s="433"/>
      <c r="AR387" s="433"/>
      <c r="AS387" s="433"/>
      <c r="AT387" s="433"/>
      <c r="AU387" s="433"/>
      <c r="AV387" s="433"/>
      <c r="AW387" s="433"/>
      <c r="AX387" s="433"/>
      <c r="AY387" s="433"/>
      <c r="AZ387" s="433"/>
      <c r="BA387" s="433"/>
      <c r="BB387" s="433"/>
      <c r="BC387" s="433"/>
      <c r="BD387" s="433"/>
      <c r="BE387" s="433"/>
      <c r="BF387" s="433"/>
      <c r="BG387" s="433"/>
      <c r="BH387" s="433"/>
      <c r="BI387" s="433"/>
      <c r="BJ387" s="433"/>
      <c r="BK387" s="433"/>
      <c r="BL387" s="433"/>
      <c r="BM387" s="433"/>
      <c r="BN387" s="433"/>
      <c r="BO387" s="433"/>
      <c r="BP387" s="433"/>
      <c r="BQ387" s="433"/>
      <c r="BR387" s="433"/>
      <c r="BS387" s="433"/>
      <c r="BT387" s="433"/>
      <c r="BU387" s="433"/>
    </row>
    <row r="388" spans="15:73" s="359" customFormat="1" x14ac:dyDescent="0.2">
      <c r="O388" s="440"/>
      <c r="P388" s="440"/>
      <c r="Q388" s="440"/>
      <c r="R388" s="440"/>
      <c r="S388" s="440"/>
      <c r="T388" s="440"/>
      <c r="U388" s="440"/>
      <c r="V388" s="440"/>
      <c r="W388" s="440"/>
      <c r="X388" s="440"/>
      <c r="Y388" s="440"/>
      <c r="Z388" s="440"/>
      <c r="AA388" s="440"/>
      <c r="AB388" s="440"/>
      <c r="AC388" s="440"/>
      <c r="AD388" s="440"/>
      <c r="AE388" s="440"/>
      <c r="AF388" s="440"/>
      <c r="AG388" s="440"/>
      <c r="AH388" s="440"/>
      <c r="AI388" s="440"/>
      <c r="AJ388" s="440"/>
      <c r="AK388" s="440"/>
      <c r="AL388" s="440"/>
      <c r="AM388" s="440"/>
      <c r="AN388" s="440"/>
      <c r="AO388" s="440"/>
      <c r="AP388" s="440"/>
      <c r="AQ388" s="440"/>
      <c r="AR388" s="440"/>
      <c r="AS388" s="440"/>
      <c r="AT388" s="440"/>
      <c r="AU388" s="440"/>
      <c r="AV388" s="440"/>
      <c r="AW388" s="440"/>
      <c r="AX388" s="440"/>
      <c r="AY388" s="440"/>
      <c r="AZ388" s="440"/>
      <c r="BA388" s="440"/>
      <c r="BB388" s="440"/>
      <c r="BC388" s="440"/>
      <c r="BD388" s="440"/>
      <c r="BE388" s="440"/>
      <c r="BF388" s="440"/>
      <c r="BG388" s="440"/>
      <c r="BH388" s="440"/>
      <c r="BI388" s="440"/>
      <c r="BJ388" s="440"/>
      <c r="BK388" s="440"/>
      <c r="BL388" s="440"/>
      <c r="BM388" s="440"/>
      <c r="BN388" s="440"/>
      <c r="BO388" s="440"/>
      <c r="BP388" s="440"/>
      <c r="BQ388" s="440"/>
      <c r="BR388" s="440"/>
      <c r="BS388" s="440"/>
      <c r="BT388" s="440"/>
      <c r="BU388" s="440"/>
    </row>
    <row r="389" spans="15:73" s="359" customFormat="1" x14ac:dyDescent="0.2">
      <c r="O389" s="440"/>
      <c r="P389" s="440"/>
      <c r="Q389" s="440"/>
      <c r="R389" s="440"/>
      <c r="S389" s="440"/>
      <c r="T389" s="440"/>
      <c r="U389" s="440"/>
      <c r="V389" s="440"/>
      <c r="W389" s="440"/>
      <c r="X389" s="440"/>
      <c r="Y389" s="440"/>
      <c r="Z389" s="440"/>
      <c r="AA389" s="440"/>
      <c r="AB389" s="440"/>
      <c r="AC389" s="440"/>
      <c r="AD389" s="440"/>
      <c r="AE389" s="440"/>
      <c r="AF389" s="440"/>
      <c r="AG389" s="440"/>
      <c r="AH389" s="440"/>
      <c r="AI389" s="440"/>
      <c r="AJ389" s="440"/>
      <c r="AK389" s="440"/>
      <c r="AL389" s="440"/>
      <c r="AM389" s="440"/>
      <c r="AN389" s="440"/>
      <c r="AO389" s="440"/>
      <c r="AP389" s="440"/>
      <c r="AQ389" s="440"/>
      <c r="AR389" s="440"/>
      <c r="AS389" s="440"/>
      <c r="AT389" s="440"/>
      <c r="AU389" s="440"/>
      <c r="AV389" s="440"/>
      <c r="AW389" s="440"/>
      <c r="AX389" s="440"/>
      <c r="AY389" s="440"/>
      <c r="AZ389" s="440"/>
      <c r="BA389" s="440"/>
      <c r="BB389" s="440"/>
      <c r="BC389" s="440"/>
      <c r="BD389" s="440"/>
      <c r="BE389" s="440"/>
      <c r="BF389" s="440"/>
      <c r="BG389" s="440"/>
      <c r="BH389" s="440"/>
      <c r="BI389" s="440"/>
      <c r="BJ389" s="440"/>
      <c r="BK389" s="440"/>
      <c r="BL389" s="440"/>
      <c r="BM389" s="440"/>
      <c r="BN389" s="440"/>
      <c r="BO389" s="440"/>
      <c r="BP389" s="440"/>
      <c r="BQ389" s="440"/>
      <c r="BR389" s="440"/>
      <c r="BS389" s="440"/>
      <c r="BT389" s="440"/>
      <c r="BU389" s="440"/>
    </row>
    <row r="390" spans="15:73" s="359" customFormat="1" x14ac:dyDescent="0.2">
      <c r="O390" s="440"/>
      <c r="P390" s="440"/>
      <c r="Q390" s="440"/>
      <c r="R390" s="440"/>
      <c r="S390" s="440"/>
      <c r="T390" s="440"/>
      <c r="U390" s="440"/>
      <c r="V390" s="440"/>
      <c r="W390" s="440"/>
      <c r="X390" s="440"/>
      <c r="Y390" s="440"/>
      <c r="Z390" s="440"/>
      <c r="AA390" s="440"/>
      <c r="AB390" s="440"/>
      <c r="AC390" s="440"/>
      <c r="AD390" s="440"/>
      <c r="AE390" s="440"/>
      <c r="AF390" s="440"/>
      <c r="AG390" s="440"/>
      <c r="AH390" s="440"/>
      <c r="AI390" s="440"/>
      <c r="AJ390" s="440"/>
      <c r="AK390" s="440"/>
      <c r="AL390" s="440"/>
      <c r="AM390" s="440"/>
      <c r="AN390" s="440"/>
      <c r="AO390" s="440"/>
      <c r="AP390" s="440"/>
      <c r="AQ390" s="440"/>
      <c r="AR390" s="440"/>
      <c r="AS390" s="440"/>
      <c r="AT390" s="440"/>
      <c r="AU390" s="440"/>
      <c r="AV390" s="440"/>
      <c r="AW390" s="440"/>
      <c r="AX390" s="440"/>
      <c r="AY390" s="440"/>
      <c r="AZ390" s="440"/>
      <c r="BA390" s="440"/>
      <c r="BB390" s="440"/>
      <c r="BC390" s="440"/>
      <c r="BD390" s="440"/>
      <c r="BE390" s="440"/>
      <c r="BF390" s="440"/>
      <c r="BG390" s="440"/>
      <c r="BH390" s="440"/>
      <c r="BI390" s="440"/>
      <c r="BJ390" s="440"/>
      <c r="BK390" s="440"/>
      <c r="BL390" s="440"/>
      <c r="BM390" s="440"/>
      <c r="BN390" s="440"/>
      <c r="BO390" s="440"/>
      <c r="BP390" s="440"/>
      <c r="BQ390" s="440"/>
      <c r="BR390" s="440"/>
      <c r="BS390" s="440"/>
      <c r="BT390" s="440"/>
      <c r="BU390" s="440"/>
    </row>
    <row r="391" spans="15:73" x14ac:dyDescent="0.2">
      <c r="O391" s="433"/>
      <c r="P391" s="433"/>
      <c r="Q391" s="433"/>
      <c r="R391" s="433"/>
      <c r="S391" s="433"/>
      <c r="T391" s="433"/>
      <c r="U391" s="433"/>
      <c r="V391" s="433"/>
      <c r="W391" s="433"/>
      <c r="X391" s="433"/>
      <c r="Y391" s="433"/>
      <c r="Z391" s="433"/>
      <c r="AA391" s="433"/>
      <c r="AB391" s="433"/>
      <c r="AC391" s="433"/>
      <c r="AD391" s="433"/>
      <c r="AE391" s="433"/>
      <c r="AF391" s="433"/>
      <c r="AG391" s="433"/>
      <c r="AH391" s="433"/>
      <c r="AI391" s="433"/>
      <c r="AJ391" s="433"/>
      <c r="AK391" s="433"/>
      <c r="AL391" s="433"/>
      <c r="AM391" s="433"/>
      <c r="AN391" s="433"/>
      <c r="AO391" s="433"/>
      <c r="AP391" s="433"/>
      <c r="AQ391" s="433"/>
      <c r="AR391" s="433"/>
      <c r="AS391" s="433"/>
      <c r="AT391" s="433"/>
      <c r="AU391" s="433"/>
      <c r="AV391" s="433"/>
      <c r="AW391" s="433"/>
      <c r="AX391" s="433"/>
      <c r="AY391" s="433"/>
      <c r="AZ391" s="433"/>
      <c r="BA391" s="433"/>
      <c r="BB391" s="433"/>
      <c r="BC391" s="433"/>
      <c r="BD391" s="433"/>
      <c r="BE391" s="433"/>
      <c r="BF391" s="433"/>
      <c r="BG391" s="433"/>
      <c r="BH391" s="433"/>
      <c r="BI391" s="433"/>
      <c r="BJ391" s="433"/>
      <c r="BK391" s="433"/>
      <c r="BL391" s="433"/>
      <c r="BM391" s="433"/>
      <c r="BN391" s="433"/>
      <c r="BO391" s="433"/>
      <c r="BP391" s="433"/>
      <c r="BQ391" s="433"/>
      <c r="BR391" s="433"/>
      <c r="BS391" s="433"/>
      <c r="BT391" s="433"/>
      <c r="BU391" s="433"/>
    </row>
    <row r="392" spans="15:73" x14ac:dyDescent="0.2">
      <c r="O392" s="433"/>
      <c r="P392" s="433"/>
      <c r="Q392" s="433"/>
      <c r="R392" s="433"/>
      <c r="S392" s="433"/>
      <c r="T392" s="433"/>
      <c r="U392" s="433"/>
      <c r="V392" s="433"/>
      <c r="W392" s="433"/>
      <c r="X392" s="433"/>
      <c r="Y392" s="433"/>
      <c r="Z392" s="433"/>
      <c r="AA392" s="433"/>
      <c r="AB392" s="433"/>
      <c r="AC392" s="433"/>
      <c r="AD392" s="433"/>
      <c r="AE392" s="433"/>
      <c r="AF392" s="433"/>
      <c r="AG392" s="433"/>
      <c r="AH392" s="433"/>
      <c r="AI392" s="433"/>
      <c r="AJ392" s="433"/>
      <c r="AK392" s="433"/>
      <c r="AL392" s="433"/>
      <c r="AM392" s="433"/>
      <c r="AN392" s="433"/>
      <c r="AO392" s="433"/>
      <c r="AP392" s="433"/>
      <c r="AQ392" s="433"/>
      <c r="AR392" s="433"/>
      <c r="AS392" s="433"/>
      <c r="AT392" s="433"/>
      <c r="AU392" s="433"/>
      <c r="AV392" s="433"/>
      <c r="AW392" s="433"/>
      <c r="AX392" s="433"/>
      <c r="AY392" s="433"/>
      <c r="AZ392" s="433"/>
      <c r="BA392" s="433"/>
      <c r="BB392" s="433"/>
      <c r="BC392" s="433"/>
      <c r="BD392" s="433"/>
      <c r="BE392" s="433"/>
      <c r="BF392" s="433"/>
      <c r="BG392" s="433"/>
      <c r="BH392" s="433"/>
      <c r="BI392" s="433"/>
      <c r="BJ392" s="433"/>
      <c r="BK392" s="433"/>
      <c r="BL392" s="433"/>
      <c r="BM392" s="433"/>
      <c r="BN392" s="433"/>
      <c r="BO392" s="433"/>
      <c r="BP392" s="433"/>
      <c r="BQ392" s="433"/>
      <c r="BR392" s="433"/>
      <c r="BS392" s="433"/>
      <c r="BT392" s="433"/>
      <c r="BU392" s="433"/>
    </row>
    <row r="393" spans="15:73" x14ac:dyDescent="0.2">
      <c r="O393" s="433"/>
      <c r="P393" s="433"/>
      <c r="Q393" s="433"/>
      <c r="R393" s="433"/>
      <c r="S393" s="433"/>
      <c r="T393" s="433"/>
      <c r="U393" s="433"/>
      <c r="V393" s="433"/>
      <c r="W393" s="433"/>
      <c r="X393" s="433"/>
      <c r="Y393" s="433"/>
      <c r="Z393" s="433"/>
      <c r="AA393" s="433"/>
      <c r="AB393" s="433"/>
      <c r="AC393" s="433"/>
      <c r="AD393" s="433"/>
      <c r="AE393" s="433"/>
      <c r="AF393" s="433"/>
      <c r="AG393" s="433"/>
      <c r="AH393" s="433"/>
      <c r="AI393" s="433"/>
      <c r="AJ393" s="433"/>
      <c r="AK393" s="433"/>
      <c r="AL393" s="433"/>
      <c r="AM393" s="433"/>
      <c r="AN393" s="433"/>
      <c r="AO393" s="433"/>
      <c r="AP393" s="433"/>
      <c r="AQ393" s="433"/>
      <c r="AR393" s="433"/>
      <c r="AS393" s="433"/>
      <c r="AT393" s="433"/>
      <c r="AU393" s="433"/>
      <c r="AV393" s="433"/>
      <c r="AW393" s="433"/>
      <c r="AX393" s="433"/>
      <c r="AY393" s="433"/>
      <c r="AZ393" s="433"/>
      <c r="BA393" s="433"/>
      <c r="BB393" s="433"/>
      <c r="BC393" s="433"/>
      <c r="BD393" s="433"/>
      <c r="BE393" s="433"/>
      <c r="BF393" s="433"/>
      <c r="BG393" s="433"/>
      <c r="BH393" s="433"/>
      <c r="BI393" s="433"/>
      <c r="BJ393" s="433"/>
      <c r="BK393" s="433"/>
      <c r="BL393" s="433"/>
      <c r="BM393" s="433"/>
      <c r="BN393" s="433"/>
      <c r="BO393" s="433"/>
      <c r="BP393" s="433"/>
      <c r="BQ393" s="433"/>
      <c r="BR393" s="433"/>
      <c r="BS393" s="433"/>
      <c r="BT393" s="433"/>
      <c r="BU393" s="433"/>
    </row>
    <row r="394" spans="15:73" x14ac:dyDescent="0.2">
      <c r="O394" s="433"/>
      <c r="P394" s="433"/>
      <c r="Q394" s="433"/>
      <c r="R394" s="433"/>
      <c r="S394" s="433"/>
      <c r="T394" s="433"/>
      <c r="U394" s="433"/>
      <c r="V394" s="433"/>
      <c r="W394" s="433"/>
      <c r="X394" s="433"/>
      <c r="Y394" s="433"/>
      <c r="Z394" s="433"/>
      <c r="AA394" s="433"/>
      <c r="AB394" s="433"/>
      <c r="AC394" s="433"/>
      <c r="AD394" s="433"/>
      <c r="AE394" s="433"/>
      <c r="AF394" s="433"/>
      <c r="AG394" s="433"/>
      <c r="AH394" s="433"/>
      <c r="AI394" s="433"/>
      <c r="AJ394" s="433"/>
      <c r="AK394" s="433"/>
      <c r="AL394" s="433"/>
      <c r="AM394" s="433"/>
      <c r="AN394" s="433"/>
      <c r="AO394" s="433"/>
      <c r="AP394" s="433"/>
      <c r="AQ394" s="433"/>
      <c r="AR394" s="433"/>
      <c r="AS394" s="433"/>
      <c r="AT394" s="433"/>
      <c r="AU394" s="433"/>
      <c r="AV394" s="433"/>
      <c r="AW394" s="433"/>
      <c r="AX394" s="433"/>
      <c r="AY394" s="433"/>
      <c r="AZ394" s="433"/>
      <c r="BA394" s="433"/>
      <c r="BB394" s="433"/>
      <c r="BC394" s="433"/>
      <c r="BD394" s="433"/>
      <c r="BE394" s="433"/>
      <c r="BF394" s="433"/>
      <c r="BG394" s="433"/>
      <c r="BH394" s="433"/>
      <c r="BI394" s="433"/>
      <c r="BJ394" s="433"/>
      <c r="BK394" s="433"/>
      <c r="BL394" s="433"/>
      <c r="BM394" s="433"/>
      <c r="BN394" s="433"/>
      <c r="BO394" s="433"/>
      <c r="BP394" s="433"/>
      <c r="BQ394" s="433"/>
      <c r="BR394" s="433"/>
      <c r="BS394" s="433"/>
      <c r="BT394" s="433"/>
      <c r="BU394" s="433"/>
    </row>
    <row r="395" spans="15:73" x14ac:dyDescent="0.2">
      <c r="O395" s="433"/>
      <c r="P395" s="433"/>
      <c r="Q395" s="433"/>
      <c r="R395" s="433"/>
      <c r="S395" s="433"/>
      <c r="T395" s="433"/>
      <c r="U395" s="433"/>
      <c r="V395" s="433"/>
      <c r="W395" s="433"/>
      <c r="X395" s="433"/>
      <c r="Y395" s="433"/>
      <c r="Z395" s="433"/>
      <c r="AA395" s="433"/>
      <c r="AB395" s="433"/>
      <c r="AC395" s="433"/>
      <c r="AD395" s="433"/>
      <c r="AE395" s="433"/>
      <c r="AF395" s="433"/>
      <c r="AG395" s="433"/>
      <c r="AH395" s="433"/>
      <c r="AI395" s="433"/>
      <c r="AJ395" s="433"/>
      <c r="AK395" s="433"/>
      <c r="AL395" s="433"/>
      <c r="AM395" s="433"/>
      <c r="AN395" s="433"/>
      <c r="AO395" s="433"/>
      <c r="AP395" s="433"/>
      <c r="AQ395" s="433"/>
      <c r="AR395" s="433"/>
      <c r="AS395" s="433"/>
      <c r="AT395" s="433"/>
      <c r="AU395" s="433"/>
      <c r="AV395" s="433"/>
      <c r="AW395" s="433"/>
      <c r="AX395" s="433"/>
      <c r="AY395" s="433"/>
      <c r="AZ395" s="433"/>
      <c r="BA395" s="433"/>
      <c r="BB395" s="433"/>
      <c r="BC395" s="433"/>
      <c r="BD395" s="433"/>
      <c r="BE395" s="433"/>
      <c r="BF395" s="433"/>
      <c r="BG395" s="433"/>
      <c r="BH395" s="433"/>
      <c r="BI395" s="433"/>
      <c r="BJ395" s="433"/>
      <c r="BK395" s="433"/>
      <c r="BL395" s="433"/>
      <c r="BM395" s="433"/>
      <c r="BN395" s="433"/>
      <c r="BO395" s="433"/>
      <c r="BP395" s="433"/>
      <c r="BQ395" s="433"/>
      <c r="BR395" s="433"/>
      <c r="BS395" s="433"/>
      <c r="BT395" s="433"/>
      <c r="BU395" s="433"/>
    </row>
    <row r="396" spans="15:73" x14ac:dyDescent="0.2">
      <c r="O396" s="433"/>
      <c r="P396" s="433"/>
      <c r="Q396" s="433"/>
      <c r="R396" s="433"/>
      <c r="S396" s="433"/>
      <c r="T396" s="433"/>
      <c r="U396" s="433"/>
      <c r="V396" s="433"/>
      <c r="W396" s="433"/>
      <c r="X396" s="433"/>
      <c r="Y396" s="433"/>
      <c r="Z396" s="433"/>
      <c r="AA396" s="433"/>
      <c r="AB396" s="433"/>
      <c r="AC396" s="433"/>
      <c r="AD396" s="433"/>
      <c r="AE396" s="433"/>
      <c r="AF396" s="433"/>
      <c r="AG396" s="433"/>
      <c r="AH396" s="433"/>
      <c r="AI396" s="433"/>
      <c r="AJ396" s="433"/>
      <c r="AK396" s="433"/>
      <c r="AL396" s="433"/>
      <c r="AM396" s="433"/>
      <c r="AN396" s="433"/>
      <c r="AO396" s="433"/>
      <c r="AP396" s="433"/>
      <c r="AQ396" s="433"/>
      <c r="AR396" s="433"/>
      <c r="AS396" s="433"/>
      <c r="AT396" s="433"/>
      <c r="AU396" s="433"/>
      <c r="AV396" s="433"/>
      <c r="AW396" s="433"/>
      <c r="AX396" s="433"/>
      <c r="AY396" s="433"/>
      <c r="AZ396" s="433"/>
      <c r="BA396" s="433"/>
      <c r="BB396" s="433"/>
      <c r="BC396" s="433"/>
      <c r="BD396" s="433"/>
      <c r="BE396" s="433"/>
      <c r="BF396" s="433"/>
      <c r="BG396" s="433"/>
      <c r="BH396" s="433"/>
      <c r="BI396" s="433"/>
      <c r="BJ396" s="433"/>
      <c r="BK396" s="433"/>
      <c r="BL396" s="433"/>
      <c r="BM396" s="433"/>
      <c r="BN396" s="433"/>
      <c r="BO396" s="433"/>
      <c r="BP396" s="433"/>
      <c r="BQ396" s="433"/>
      <c r="BR396" s="433"/>
      <c r="BS396" s="433"/>
      <c r="BT396" s="433"/>
      <c r="BU396" s="433"/>
    </row>
    <row r="397" spans="15:73" x14ac:dyDescent="0.2">
      <c r="O397" s="433"/>
      <c r="P397" s="433"/>
      <c r="Q397" s="433"/>
      <c r="R397" s="433"/>
      <c r="S397" s="433"/>
      <c r="T397" s="433"/>
      <c r="U397" s="433"/>
      <c r="V397" s="433"/>
      <c r="W397" s="433"/>
      <c r="X397" s="433"/>
      <c r="Y397" s="433"/>
      <c r="Z397" s="433"/>
      <c r="AA397" s="433"/>
      <c r="AB397" s="433"/>
      <c r="AC397" s="433"/>
      <c r="AD397" s="433"/>
      <c r="AE397" s="433"/>
      <c r="AF397" s="433"/>
      <c r="AG397" s="433"/>
      <c r="AH397" s="433"/>
      <c r="AI397" s="433"/>
      <c r="AJ397" s="433"/>
      <c r="AK397" s="433"/>
      <c r="AL397" s="433"/>
      <c r="AM397" s="433"/>
      <c r="AN397" s="433"/>
      <c r="AO397" s="433"/>
      <c r="AP397" s="433"/>
      <c r="AQ397" s="433"/>
      <c r="AR397" s="433"/>
      <c r="AS397" s="433"/>
      <c r="AT397" s="433"/>
      <c r="AU397" s="433"/>
      <c r="AV397" s="433"/>
      <c r="AW397" s="433"/>
      <c r="AX397" s="433"/>
      <c r="AY397" s="433"/>
      <c r="AZ397" s="433"/>
      <c r="BA397" s="433"/>
      <c r="BB397" s="433"/>
      <c r="BC397" s="433"/>
      <c r="BD397" s="433"/>
      <c r="BE397" s="433"/>
      <c r="BF397" s="433"/>
      <c r="BG397" s="433"/>
      <c r="BH397" s="433"/>
      <c r="BI397" s="433"/>
      <c r="BJ397" s="433"/>
      <c r="BK397" s="433"/>
      <c r="BL397" s="433"/>
      <c r="BM397" s="433"/>
      <c r="BN397" s="433"/>
      <c r="BO397" s="433"/>
      <c r="BP397" s="433"/>
      <c r="BQ397" s="433"/>
      <c r="BR397" s="433"/>
      <c r="BS397" s="433"/>
      <c r="BT397" s="433"/>
      <c r="BU397" s="433"/>
    </row>
    <row r="398" spans="15:73" x14ac:dyDescent="0.2">
      <c r="O398" s="433"/>
      <c r="P398" s="433"/>
      <c r="Q398" s="433"/>
      <c r="R398" s="433"/>
      <c r="S398" s="433"/>
      <c r="T398" s="433"/>
      <c r="U398" s="433"/>
      <c r="V398" s="433"/>
      <c r="W398" s="433"/>
      <c r="X398" s="433"/>
      <c r="Y398" s="433"/>
      <c r="Z398" s="433"/>
      <c r="AA398" s="433"/>
      <c r="AB398" s="433"/>
      <c r="AC398" s="433"/>
      <c r="AD398" s="433"/>
      <c r="AE398" s="433"/>
      <c r="AF398" s="433"/>
      <c r="AG398" s="433"/>
      <c r="AH398" s="433"/>
      <c r="AI398" s="433"/>
      <c r="AJ398" s="433"/>
      <c r="AK398" s="433"/>
      <c r="AL398" s="433"/>
      <c r="AM398" s="433"/>
      <c r="AN398" s="433"/>
      <c r="AO398" s="433"/>
      <c r="AP398" s="433"/>
      <c r="AQ398" s="433"/>
      <c r="AR398" s="433"/>
      <c r="AS398" s="433"/>
      <c r="AT398" s="433"/>
      <c r="AU398" s="433"/>
      <c r="AV398" s="433"/>
      <c r="AW398" s="433"/>
      <c r="AX398" s="433"/>
      <c r="AY398" s="433"/>
      <c r="AZ398" s="433"/>
      <c r="BA398" s="433"/>
      <c r="BB398" s="433"/>
      <c r="BC398" s="433"/>
      <c r="BD398" s="433"/>
      <c r="BE398" s="433"/>
      <c r="BF398" s="433"/>
      <c r="BG398" s="433"/>
      <c r="BH398" s="433"/>
      <c r="BI398" s="433"/>
      <c r="BJ398" s="433"/>
      <c r="BK398" s="433"/>
      <c r="BL398" s="433"/>
      <c r="BM398" s="433"/>
      <c r="BN398" s="433"/>
      <c r="BO398" s="433"/>
      <c r="BP398" s="433"/>
      <c r="BQ398" s="433"/>
      <c r="BR398" s="433"/>
      <c r="BS398" s="433"/>
      <c r="BT398" s="433"/>
      <c r="BU398" s="433"/>
    </row>
    <row r="399" spans="15:73" x14ac:dyDescent="0.2"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  <c r="AB399" s="433"/>
      <c r="AC399" s="433"/>
      <c r="AD399" s="433"/>
      <c r="AE399" s="433"/>
      <c r="AF399" s="433"/>
      <c r="AG399" s="433"/>
      <c r="AH399" s="433"/>
      <c r="AI399" s="433"/>
      <c r="AJ399" s="433"/>
      <c r="AK399" s="433"/>
      <c r="AL399" s="433"/>
      <c r="AM399" s="433"/>
      <c r="AN399" s="433"/>
      <c r="AO399" s="433"/>
      <c r="AP399" s="433"/>
      <c r="AQ399" s="433"/>
      <c r="AR399" s="433"/>
      <c r="AS399" s="433"/>
      <c r="AT399" s="433"/>
      <c r="AU399" s="433"/>
      <c r="AV399" s="433"/>
      <c r="AW399" s="433"/>
      <c r="AX399" s="433"/>
      <c r="AY399" s="433"/>
      <c r="AZ399" s="433"/>
      <c r="BA399" s="433"/>
      <c r="BB399" s="433"/>
      <c r="BC399" s="433"/>
      <c r="BD399" s="433"/>
      <c r="BE399" s="433"/>
      <c r="BF399" s="433"/>
      <c r="BG399" s="433"/>
      <c r="BH399" s="433"/>
      <c r="BI399" s="433"/>
      <c r="BJ399" s="433"/>
      <c r="BK399" s="433"/>
      <c r="BL399" s="433"/>
      <c r="BM399" s="433"/>
      <c r="BN399" s="433"/>
      <c r="BO399" s="433"/>
      <c r="BP399" s="433"/>
      <c r="BQ399" s="433"/>
      <c r="BR399" s="433"/>
      <c r="BS399" s="433"/>
      <c r="BT399" s="433"/>
      <c r="BU399" s="433"/>
    </row>
    <row r="400" spans="15:73" x14ac:dyDescent="0.2">
      <c r="O400" s="433"/>
      <c r="P400" s="433"/>
      <c r="Q400" s="433"/>
      <c r="R400" s="433"/>
      <c r="S400" s="433"/>
      <c r="T400" s="433"/>
      <c r="U400" s="433"/>
      <c r="V400" s="433"/>
      <c r="W400" s="433"/>
      <c r="X400" s="433"/>
      <c r="Y400" s="433"/>
      <c r="Z400" s="433"/>
      <c r="AA400" s="433"/>
      <c r="AB400" s="433"/>
      <c r="AC400" s="433"/>
      <c r="AD400" s="433"/>
      <c r="AE400" s="433"/>
      <c r="AF400" s="433"/>
      <c r="AG400" s="433"/>
      <c r="AH400" s="433"/>
      <c r="AI400" s="433"/>
      <c r="AJ400" s="433"/>
      <c r="AK400" s="433"/>
      <c r="AL400" s="433"/>
      <c r="AM400" s="433"/>
      <c r="AN400" s="433"/>
      <c r="AO400" s="433"/>
      <c r="AP400" s="433"/>
      <c r="AQ400" s="433"/>
      <c r="AR400" s="433"/>
      <c r="AS400" s="433"/>
      <c r="AT400" s="433"/>
      <c r="AU400" s="433"/>
      <c r="AV400" s="433"/>
      <c r="AW400" s="433"/>
      <c r="AX400" s="433"/>
      <c r="AY400" s="433"/>
      <c r="AZ400" s="433"/>
      <c r="BA400" s="433"/>
      <c r="BB400" s="433"/>
      <c r="BC400" s="433"/>
      <c r="BD400" s="433"/>
      <c r="BE400" s="433"/>
      <c r="BF400" s="433"/>
      <c r="BG400" s="433"/>
      <c r="BH400" s="433"/>
      <c r="BI400" s="433"/>
      <c r="BJ400" s="433"/>
      <c r="BK400" s="433"/>
      <c r="BL400" s="433"/>
      <c r="BM400" s="433"/>
      <c r="BN400" s="433"/>
      <c r="BO400" s="433"/>
      <c r="BP400" s="433"/>
      <c r="BQ400" s="433"/>
      <c r="BR400" s="433"/>
      <c r="BS400" s="433"/>
      <c r="BT400" s="433"/>
      <c r="BU400" s="433"/>
    </row>
    <row r="401" spans="15:73" x14ac:dyDescent="0.2">
      <c r="O401" s="433"/>
      <c r="P401" s="433"/>
      <c r="Q401" s="433"/>
      <c r="R401" s="433"/>
      <c r="S401" s="433"/>
      <c r="T401" s="433"/>
      <c r="U401" s="433"/>
      <c r="V401" s="433"/>
      <c r="W401" s="433"/>
      <c r="X401" s="433"/>
      <c r="Y401" s="433"/>
      <c r="Z401" s="433"/>
      <c r="AA401" s="433"/>
      <c r="AB401" s="433"/>
      <c r="AC401" s="433"/>
      <c r="AD401" s="433"/>
      <c r="AE401" s="433"/>
      <c r="AF401" s="433"/>
      <c r="AG401" s="433"/>
      <c r="AH401" s="433"/>
      <c r="AI401" s="433"/>
      <c r="AJ401" s="433"/>
      <c r="AK401" s="433"/>
      <c r="AL401" s="433"/>
      <c r="AM401" s="433"/>
      <c r="AN401" s="433"/>
      <c r="AO401" s="433"/>
      <c r="AP401" s="433"/>
      <c r="AQ401" s="433"/>
      <c r="AR401" s="433"/>
      <c r="AS401" s="433"/>
      <c r="AT401" s="433"/>
      <c r="AU401" s="433"/>
      <c r="AV401" s="433"/>
      <c r="AW401" s="433"/>
      <c r="AX401" s="433"/>
      <c r="AY401" s="433"/>
      <c r="AZ401" s="433"/>
      <c r="BA401" s="433"/>
      <c r="BB401" s="433"/>
      <c r="BC401" s="433"/>
      <c r="BD401" s="433"/>
      <c r="BE401" s="433"/>
      <c r="BF401" s="433"/>
      <c r="BG401" s="433"/>
      <c r="BH401" s="433"/>
      <c r="BI401" s="433"/>
      <c r="BJ401" s="433"/>
      <c r="BK401" s="433"/>
      <c r="BL401" s="433"/>
      <c r="BM401" s="433"/>
      <c r="BN401" s="433"/>
      <c r="BO401" s="433"/>
      <c r="BP401" s="433"/>
      <c r="BQ401" s="433"/>
      <c r="BR401" s="433"/>
      <c r="BS401" s="433"/>
      <c r="BT401" s="433"/>
      <c r="BU401" s="433"/>
    </row>
    <row r="402" spans="15:73" x14ac:dyDescent="0.2">
      <c r="O402" s="433"/>
      <c r="P402" s="433"/>
      <c r="Q402" s="433"/>
      <c r="R402" s="433"/>
      <c r="S402" s="433"/>
      <c r="T402" s="433"/>
      <c r="U402" s="433"/>
      <c r="V402" s="433"/>
      <c r="W402" s="433"/>
      <c r="X402" s="433"/>
      <c r="Y402" s="433"/>
      <c r="Z402" s="433"/>
      <c r="AA402" s="433"/>
      <c r="AB402" s="433"/>
      <c r="AC402" s="433"/>
      <c r="AD402" s="433"/>
      <c r="AE402" s="433"/>
      <c r="AF402" s="433"/>
      <c r="AG402" s="433"/>
      <c r="AH402" s="433"/>
      <c r="AI402" s="433"/>
      <c r="AJ402" s="433"/>
      <c r="AK402" s="433"/>
      <c r="AL402" s="433"/>
      <c r="AM402" s="433"/>
      <c r="AN402" s="433"/>
      <c r="AO402" s="433"/>
      <c r="AP402" s="433"/>
      <c r="AQ402" s="433"/>
      <c r="AR402" s="433"/>
      <c r="AS402" s="433"/>
      <c r="AT402" s="433"/>
      <c r="AU402" s="433"/>
      <c r="AV402" s="433"/>
      <c r="AW402" s="433"/>
      <c r="AX402" s="433"/>
      <c r="AY402" s="433"/>
      <c r="AZ402" s="433"/>
      <c r="BA402" s="433"/>
      <c r="BB402" s="433"/>
      <c r="BC402" s="433"/>
      <c r="BD402" s="433"/>
      <c r="BE402" s="433"/>
      <c r="BF402" s="433"/>
      <c r="BG402" s="433"/>
      <c r="BH402" s="433"/>
      <c r="BI402" s="433"/>
      <c r="BJ402" s="433"/>
      <c r="BK402" s="433"/>
      <c r="BL402" s="433"/>
      <c r="BM402" s="433"/>
      <c r="BN402" s="433"/>
      <c r="BO402" s="433"/>
      <c r="BP402" s="433"/>
      <c r="BQ402" s="433"/>
      <c r="BR402" s="433"/>
      <c r="BS402" s="433"/>
      <c r="BT402" s="433"/>
      <c r="BU402" s="433"/>
    </row>
    <row r="403" spans="15:73" x14ac:dyDescent="0.2">
      <c r="O403" s="433"/>
      <c r="P403" s="433"/>
      <c r="Q403" s="433"/>
      <c r="R403" s="433"/>
      <c r="S403" s="433"/>
      <c r="T403" s="433"/>
      <c r="U403" s="433"/>
      <c r="V403" s="433"/>
      <c r="W403" s="433"/>
      <c r="X403" s="433"/>
      <c r="Y403" s="433"/>
      <c r="Z403" s="433"/>
      <c r="AA403" s="433"/>
      <c r="AB403" s="433"/>
      <c r="AC403" s="433"/>
      <c r="AD403" s="433"/>
      <c r="AE403" s="433"/>
      <c r="AF403" s="433"/>
      <c r="AG403" s="433"/>
      <c r="AH403" s="433"/>
      <c r="AI403" s="433"/>
      <c r="AJ403" s="433"/>
      <c r="AK403" s="433"/>
      <c r="AL403" s="433"/>
      <c r="AM403" s="433"/>
      <c r="AN403" s="433"/>
      <c r="AO403" s="433"/>
      <c r="AP403" s="433"/>
      <c r="AQ403" s="433"/>
      <c r="AR403" s="433"/>
      <c r="AS403" s="433"/>
      <c r="AT403" s="433"/>
      <c r="AU403" s="433"/>
      <c r="AV403" s="433"/>
      <c r="AW403" s="433"/>
      <c r="AX403" s="433"/>
      <c r="AY403" s="433"/>
      <c r="AZ403" s="433"/>
      <c r="BA403" s="433"/>
      <c r="BB403" s="433"/>
      <c r="BC403" s="433"/>
      <c r="BD403" s="433"/>
      <c r="BE403" s="433"/>
      <c r="BF403" s="433"/>
      <c r="BG403" s="433"/>
      <c r="BH403" s="433"/>
      <c r="BI403" s="433"/>
      <c r="BJ403" s="433"/>
      <c r="BK403" s="433"/>
      <c r="BL403" s="433"/>
      <c r="BM403" s="433"/>
      <c r="BN403" s="433"/>
      <c r="BO403" s="433"/>
      <c r="BP403" s="433"/>
      <c r="BQ403" s="433"/>
      <c r="BR403" s="433"/>
      <c r="BS403" s="433"/>
      <c r="BT403" s="433"/>
      <c r="BU403" s="433"/>
    </row>
    <row r="404" spans="15:73" x14ac:dyDescent="0.2">
      <c r="O404" s="433"/>
      <c r="P404" s="433"/>
      <c r="Q404" s="433"/>
      <c r="R404" s="433"/>
      <c r="S404" s="433"/>
      <c r="T404" s="433"/>
      <c r="U404" s="433"/>
      <c r="V404" s="433"/>
      <c r="W404" s="433"/>
      <c r="X404" s="433"/>
      <c r="Y404" s="433"/>
      <c r="Z404" s="433"/>
      <c r="AA404" s="433"/>
      <c r="AB404" s="433"/>
      <c r="AC404" s="433"/>
      <c r="AD404" s="433"/>
      <c r="AE404" s="433"/>
      <c r="AF404" s="433"/>
      <c r="AG404" s="433"/>
      <c r="AH404" s="433"/>
      <c r="AI404" s="433"/>
      <c r="AJ404" s="433"/>
      <c r="AK404" s="433"/>
      <c r="AL404" s="433"/>
      <c r="AM404" s="433"/>
      <c r="AN404" s="433"/>
      <c r="AO404" s="433"/>
      <c r="AP404" s="433"/>
      <c r="AQ404" s="433"/>
      <c r="AR404" s="433"/>
      <c r="AS404" s="433"/>
      <c r="AT404" s="433"/>
      <c r="AU404" s="433"/>
      <c r="AV404" s="433"/>
      <c r="AW404" s="433"/>
      <c r="AX404" s="433"/>
      <c r="AY404" s="433"/>
      <c r="AZ404" s="433"/>
      <c r="BA404" s="433"/>
      <c r="BB404" s="433"/>
      <c r="BC404" s="433"/>
      <c r="BD404" s="433"/>
      <c r="BE404" s="433"/>
      <c r="BF404" s="433"/>
      <c r="BG404" s="433"/>
      <c r="BH404" s="433"/>
      <c r="BI404" s="433"/>
      <c r="BJ404" s="433"/>
      <c r="BK404" s="433"/>
      <c r="BL404" s="433"/>
      <c r="BM404" s="433"/>
      <c r="BN404" s="433"/>
      <c r="BO404" s="433"/>
      <c r="BP404" s="433"/>
      <c r="BQ404" s="433"/>
      <c r="BR404" s="433"/>
      <c r="BS404" s="433"/>
      <c r="BT404" s="433"/>
      <c r="BU404" s="433"/>
    </row>
    <row r="405" spans="15:73" x14ac:dyDescent="0.2">
      <c r="O405" s="433"/>
      <c r="P405" s="433"/>
      <c r="Q405" s="433"/>
      <c r="R405" s="433"/>
      <c r="S405" s="433"/>
      <c r="T405" s="433"/>
      <c r="U405" s="433"/>
      <c r="V405" s="433"/>
      <c r="W405" s="433"/>
      <c r="X405" s="433"/>
      <c r="Y405" s="433"/>
      <c r="Z405" s="433"/>
      <c r="AA405" s="433"/>
      <c r="AB405" s="433"/>
      <c r="AC405" s="433"/>
      <c r="AD405" s="433"/>
      <c r="AE405" s="433"/>
      <c r="AF405" s="433"/>
      <c r="AG405" s="433"/>
      <c r="AH405" s="433"/>
      <c r="AI405" s="433"/>
      <c r="AJ405" s="433"/>
      <c r="AK405" s="433"/>
      <c r="AL405" s="433"/>
      <c r="AM405" s="433"/>
      <c r="AN405" s="433"/>
      <c r="AO405" s="433"/>
      <c r="AP405" s="433"/>
      <c r="AQ405" s="433"/>
      <c r="AR405" s="433"/>
      <c r="AS405" s="433"/>
      <c r="AT405" s="433"/>
      <c r="AU405" s="433"/>
      <c r="AV405" s="433"/>
      <c r="AW405" s="433"/>
      <c r="AX405" s="433"/>
      <c r="AY405" s="433"/>
      <c r="AZ405" s="433"/>
      <c r="BA405" s="433"/>
      <c r="BB405" s="433"/>
      <c r="BC405" s="433"/>
      <c r="BD405" s="433"/>
      <c r="BE405" s="433"/>
      <c r="BF405" s="433"/>
      <c r="BG405" s="433"/>
      <c r="BH405" s="433"/>
      <c r="BI405" s="433"/>
      <c r="BJ405" s="433"/>
      <c r="BK405" s="433"/>
      <c r="BL405" s="433"/>
      <c r="BM405" s="433"/>
      <c r="BN405" s="433"/>
      <c r="BO405" s="433"/>
      <c r="BP405" s="433"/>
      <c r="BQ405" s="433"/>
      <c r="BR405" s="433"/>
      <c r="BS405" s="433"/>
      <c r="BT405" s="433"/>
      <c r="BU405" s="433"/>
    </row>
    <row r="406" spans="15:73" x14ac:dyDescent="0.2">
      <c r="O406" s="433"/>
      <c r="P406" s="433"/>
      <c r="Q406" s="433"/>
      <c r="R406" s="433"/>
      <c r="S406" s="433"/>
      <c r="T406" s="433"/>
      <c r="U406" s="433"/>
      <c r="V406" s="433"/>
      <c r="W406" s="433"/>
      <c r="X406" s="433"/>
      <c r="Y406" s="433"/>
      <c r="Z406" s="433"/>
      <c r="AA406" s="433"/>
      <c r="AB406" s="433"/>
      <c r="AC406" s="433"/>
      <c r="AD406" s="433"/>
      <c r="AE406" s="433"/>
      <c r="AF406" s="433"/>
      <c r="AG406" s="433"/>
      <c r="AH406" s="433"/>
      <c r="AI406" s="433"/>
      <c r="AJ406" s="433"/>
      <c r="AK406" s="433"/>
      <c r="AL406" s="433"/>
      <c r="AM406" s="433"/>
      <c r="AN406" s="433"/>
      <c r="AO406" s="433"/>
      <c r="AP406" s="433"/>
      <c r="AQ406" s="433"/>
      <c r="AR406" s="433"/>
      <c r="AS406" s="433"/>
      <c r="AT406" s="433"/>
      <c r="AU406" s="433"/>
      <c r="AV406" s="433"/>
      <c r="AW406" s="433"/>
      <c r="AX406" s="433"/>
      <c r="AY406" s="433"/>
      <c r="AZ406" s="433"/>
      <c r="BA406" s="433"/>
      <c r="BB406" s="433"/>
      <c r="BC406" s="433"/>
      <c r="BD406" s="433"/>
      <c r="BE406" s="433"/>
      <c r="BF406" s="433"/>
      <c r="BG406" s="433"/>
      <c r="BH406" s="433"/>
      <c r="BI406" s="433"/>
      <c r="BJ406" s="433"/>
      <c r="BK406" s="433"/>
      <c r="BL406" s="433"/>
      <c r="BM406" s="433"/>
      <c r="BN406" s="433"/>
      <c r="BO406" s="433"/>
      <c r="BP406" s="433"/>
      <c r="BQ406" s="433"/>
      <c r="BR406" s="433"/>
      <c r="BS406" s="433"/>
      <c r="BT406" s="433"/>
      <c r="BU406" s="433"/>
    </row>
    <row r="407" spans="15:73" x14ac:dyDescent="0.2">
      <c r="O407" s="433"/>
      <c r="P407" s="433"/>
      <c r="Q407" s="433"/>
      <c r="R407" s="433"/>
      <c r="S407" s="433"/>
      <c r="T407" s="433"/>
      <c r="U407" s="433"/>
      <c r="V407" s="433"/>
      <c r="W407" s="433"/>
      <c r="X407" s="433"/>
      <c r="Y407" s="433"/>
      <c r="Z407" s="433"/>
      <c r="AA407" s="433"/>
      <c r="AB407" s="433"/>
      <c r="AC407" s="433"/>
      <c r="AD407" s="433"/>
      <c r="AE407" s="433"/>
      <c r="AF407" s="433"/>
      <c r="AG407" s="433"/>
      <c r="AH407" s="433"/>
      <c r="AI407" s="433"/>
      <c r="AJ407" s="433"/>
      <c r="AK407" s="433"/>
      <c r="AL407" s="433"/>
      <c r="AM407" s="433"/>
      <c r="AN407" s="433"/>
      <c r="AO407" s="433"/>
      <c r="AP407" s="433"/>
      <c r="AQ407" s="433"/>
      <c r="AR407" s="433"/>
      <c r="AS407" s="433"/>
      <c r="AT407" s="433"/>
      <c r="AU407" s="433"/>
      <c r="AV407" s="433"/>
      <c r="AW407" s="433"/>
      <c r="AX407" s="433"/>
      <c r="AY407" s="433"/>
      <c r="AZ407" s="433"/>
      <c r="BA407" s="433"/>
      <c r="BB407" s="433"/>
      <c r="BC407" s="433"/>
      <c r="BD407" s="433"/>
      <c r="BE407" s="433"/>
      <c r="BF407" s="433"/>
      <c r="BG407" s="433"/>
      <c r="BH407" s="433"/>
      <c r="BI407" s="433"/>
      <c r="BJ407" s="433"/>
      <c r="BK407" s="433"/>
      <c r="BL407" s="433"/>
      <c r="BM407" s="433"/>
      <c r="BN407" s="433"/>
      <c r="BO407" s="433"/>
      <c r="BP407" s="433"/>
      <c r="BQ407" s="433"/>
      <c r="BR407" s="433"/>
      <c r="BS407" s="433"/>
      <c r="BT407" s="433"/>
      <c r="BU407" s="433"/>
    </row>
    <row r="408" spans="15:73" s="359" customFormat="1" x14ac:dyDescent="0.2">
      <c r="O408" s="440"/>
      <c r="P408" s="440"/>
      <c r="Q408" s="440"/>
      <c r="R408" s="440"/>
      <c r="S408" s="440"/>
      <c r="T408" s="440"/>
      <c r="U408" s="440"/>
      <c r="V408" s="440"/>
      <c r="W408" s="440"/>
      <c r="X408" s="440"/>
      <c r="Y408" s="440"/>
      <c r="Z408" s="440"/>
      <c r="AA408" s="440"/>
      <c r="AB408" s="440"/>
      <c r="AC408" s="440"/>
      <c r="AD408" s="440"/>
      <c r="AE408" s="440"/>
      <c r="AF408" s="440"/>
      <c r="AG408" s="440"/>
      <c r="AH408" s="440"/>
      <c r="AI408" s="440"/>
      <c r="AJ408" s="440"/>
      <c r="AK408" s="440"/>
      <c r="AL408" s="440"/>
      <c r="AM408" s="440"/>
      <c r="AN408" s="440"/>
      <c r="AO408" s="440"/>
      <c r="AP408" s="440"/>
      <c r="AQ408" s="440"/>
      <c r="AR408" s="440"/>
      <c r="AS408" s="440"/>
      <c r="AT408" s="440"/>
      <c r="AU408" s="440"/>
      <c r="AV408" s="440"/>
      <c r="AW408" s="440"/>
      <c r="AX408" s="440"/>
      <c r="AY408" s="440"/>
      <c r="AZ408" s="440"/>
      <c r="BA408" s="440"/>
      <c r="BB408" s="440"/>
      <c r="BC408" s="440"/>
      <c r="BD408" s="440"/>
      <c r="BE408" s="440"/>
      <c r="BF408" s="440"/>
      <c r="BG408" s="440"/>
      <c r="BH408" s="440"/>
      <c r="BI408" s="440"/>
      <c r="BJ408" s="440"/>
      <c r="BK408" s="440"/>
      <c r="BL408" s="440"/>
      <c r="BM408" s="440"/>
      <c r="BN408" s="440"/>
      <c r="BO408" s="440"/>
      <c r="BP408" s="440"/>
      <c r="BQ408" s="440"/>
      <c r="BR408" s="440"/>
      <c r="BS408" s="440"/>
      <c r="BT408" s="440"/>
      <c r="BU408" s="440"/>
    </row>
    <row r="409" spans="15:73" x14ac:dyDescent="0.2">
      <c r="O409" s="433"/>
      <c r="P409" s="433"/>
      <c r="Q409" s="433"/>
      <c r="R409" s="433"/>
      <c r="S409" s="433"/>
      <c r="T409" s="433"/>
      <c r="U409" s="433"/>
      <c r="V409" s="433"/>
      <c r="W409" s="433"/>
      <c r="X409" s="433"/>
      <c r="Y409" s="433"/>
      <c r="Z409" s="433"/>
      <c r="AA409" s="433"/>
      <c r="AB409" s="433"/>
      <c r="AC409" s="433"/>
      <c r="AD409" s="433"/>
      <c r="AE409" s="433"/>
      <c r="AF409" s="433"/>
      <c r="AG409" s="433"/>
      <c r="AH409" s="433"/>
      <c r="AI409" s="433"/>
      <c r="AJ409" s="433"/>
      <c r="AK409" s="433"/>
      <c r="AL409" s="433"/>
      <c r="AM409" s="433"/>
      <c r="AN409" s="433"/>
      <c r="AO409" s="433"/>
      <c r="AP409" s="433"/>
      <c r="AQ409" s="433"/>
      <c r="AR409" s="433"/>
      <c r="AS409" s="433"/>
      <c r="AT409" s="433"/>
      <c r="AU409" s="433"/>
      <c r="AV409" s="433"/>
      <c r="AW409" s="433"/>
      <c r="AX409" s="433"/>
      <c r="AY409" s="433"/>
      <c r="AZ409" s="433"/>
      <c r="BA409" s="433"/>
      <c r="BB409" s="433"/>
      <c r="BC409" s="433"/>
      <c r="BD409" s="433"/>
      <c r="BE409" s="433"/>
      <c r="BF409" s="433"/>
      <c r="BG409" s="433"/>
      <c r="BH409" s="433"/>
      <c r="BI409" s="433"/>
      <c r="BJ409" s="433"/>
      <c r="BK409" s="433"/>
      <c r="BL409" s="433"/>
      <c r="BM409" s="433"/>
      <c r="BN409" s="433"/>
      <c r="BO409" s="433"/>
      <c r="BP409" s="433"/>
      <c r="BQ409" s="433"/>
      <c r="BR409" s="433"/>
      <c r="BS409" s="433"/>
      <c r="BT409" s="433"/>
      <c r="BU409" s="433"/>
    </row>
    <row r="410" spans="15:73" s="359" customFormat="1" x14ac:dyDescent="0.2">
      <c r="O410" s="440"/>
      <c r="P410" s="440"/>
      <c r="Q410" s="440"/>
      <c r="R410" s="440"/>
      <c r="S410" s="440"/>
      <c r="T410" s="440"/>
      <c r="U410" s="440"/>
      <c r="V410" s="440"/>
      <c r="W410" s="440"/>
      <c r="X410" s="440"/>
      <c r="Y410" s="440"/>
      <c r="Z410" s="440"/>
      <c r="AA410" s="440"/>
      <c r="AB410" s="440"/>
      <c r="AC410" s="440"/>
      <c r="AD410" s="440"/>
      <c r="AE410" s="440"/>
      <c r="AF410" s="440"/>
      <c r="AG410" s="440"/>
      <c r="AH410" s="440"/>
      <c r="AI410" s="440"/>
      <c r="AJ410" s="440"/>
      <c r="AK410" s="440"/>
      <c r="AL410" s="440"/>
      <c r="AM410" s="440"/>
      <c r="AN410" s="440"/>
      <c r="AO410" s="440"/>
      <c r="AP410" s="440"/>
      <c r="AQ410" s="440"/>
      <c r="AR410" s="440"/>
      <c r="AS410" s="440"/>
      <c r="AT410" s="440"/>
      <c r="AU410" s="440"/>
      <c r="AV410" s="440"/>
      <c r="AW410" s="440"/>
      <c r="AX410" s="440"/>
      <c r="AY410" s="440"/>
      <c r="AZ410" s="440"/>
      <c r="BA410" s="440"/>
      <c r="BB410" s="440"/>
      <c r="BC410" s="440"/>
      <c r="BD410" s="440"/>
      <c r="BE410" s="440"/>
      <c r="BF410" s="440"/>
      <c r="BG410" s="440"/>
      <c r="BH410" s="440"/>
      <c r="BI410" s="440"/>
      <c r="BJ410" s="440"/>
      <c r="BK410" s="440"/>
      <c r="BL410" s="440"/>
      <c r="BM410" s="440"/>
      <c r="BN410" s="440"/>
      <c r="BO410" s="440"/>
      <c r="BP410" s="440"/>
      <c r="BQ410" s="440"/>
      <c r="BR410" s="440"/>
      <c r="BS410" s="440"/>
      <c r="BT410" s="440"/>
      <c r="BU410" s="440"/>
    </row>
    <row r="411" spans="15:73" x14ac:dyDescent="0.2"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  <c r="AB411" s="433"/>
      <c r="AC411" s="433"/>
      <c r="AD411" s="433"/>
      <c r="AE411" s="433"/>
      <c r="AF411" s="433"/>
      <c r="AG411" s="433"/>
      <c r="AH411" s="433"/>
      <c r="AI411" s="433"/>
      <c r="AJ411" s="433"/>
      <c r="AK411" s="433"/>
      <c r="AL411" s="433"/>
      <c r="AM411" s="433"/>
      <c r="AN411" s="433"/>
      <c r="AO411" s="433"/>
      <c r="AP411" s="433"/>
      <c r="AQ411" s="433"/>
      <c r="AR411" s="433"/>
      <c r="AS411" s="433"/>
      <c r="AT411" s="433"/>
      <c r="AU411" s="433"/>
      <c r="AV411" s="433"/>
      <c r="AW411" s="433"/>
      <c r="AX411" s="433"/>
      <c r="AY411" s="433"/>
      <c r="AZ411" s="433"/>
      <c r="BA411" s="433"/>
      <c r="BB411" s="433"/>
      <c r="BC411" s="433"/>
      <c r="BD411" s="433"/>
      <c r="BE411" s="433"/>
      <c r="BF411" s="433"/>
      <c r="BG411" s="433"/>
      <c r="BH411" s="433"/>
      <c r="BI411" s="433"/>
      <c r="BJ411" s="433"/>
      <c r="BK411" s="433"/>
      <c r="BL411" s="433"/>
      <c r="BM411" s="433"/>
      <c r="BN411" s="433"/>
      <c r="BO411" s="433"/>
      <c r="BP411" s="433"/>
      <c r="BQ411" s="433"/>
      <c r="BR411" s="433"/>
      <c r="BS411" s="433"/>
      <c r="BT411" s="433"/>
      <c r="BU411" s="433"/>
    </row>
    <row r="412" spans="15:73" x14ac:dyDescent="0.2">
      <c r="O412" s="433"/>
      <c r="P412" s="433"/>
      <c r="Q412" s="433"/>
      <c r="R412" s="433"/>
      <c r="S412" s="433"/>
      <c r="T412" s="433"/>
      <c r="U412" s="433"/>
      <c r="V412" s="433"/>
      <c r="W412" s="433"/>
      <c r="X412" s="433"/>
      <c r="Y412" s="433"/>
      <c r="Z412" s="433"/>
      <c r="AA412" s="433"/>
      <c r="AB412" s="433"/>
      <c r="AC412" s="433"/>
      <c r="AD412" s="433"/>
      <c r="AE412" s="433"/>
      <c r="AF412" s="433"/>
      <c r="AG412" s="433"/>
      <c r="AH412" s="433"/>
      <c r="AI412" s="433"/>
      <c r="AJ412" s="433"/>
      <c r="AK412" s="433"/>
      <c r="AL412" s="433"/>
      <c r="AM412" s="433"/>
      <c r="AN412" s="433"/>
      <c r="AO412" s="433"/>
      <c r="AP412" s="433"/>
      <c r="AQ412" s="433"/>
      <c r="AR412" s="433"/>
      <c r="AS412" s="433"/>
      <c r="AT412" s="433"/>
      <c r="AU412" s="433"/>
      <c r="AV412" s="433"/>
      <c r="AW412" s="433"/>
      <c r="AX412" s="433"/>
      <c r="AY412" s="433"/>
      <c r="AZ412" s="433"/>
      <c r="BA412" s="433"/>
      <c r="BB412" s="433"/>
      <c r="BC412" s="433"/>
      <c r="BD412" s="433"/>
      <c r="BE412" s="433"/>
      <c r="BF412" s="433"/>
      <c r="BG412" s="433"/>
      <c r="BH412" s="433"/>
      <c r="BI412" s="433"/>
      <c r="BJ412" s="433"/>
      <c r="BK412" s="433"/>
      <c r="BL412" s="433"/>
      <c r="BM412" s="433"/>
      <c r="BN412" s="433"/>
      <c r="BO412" s="433"/>
      <c r="BP412" s="433"/>
      <c r="BQ412" s="433"/>
      <c r="BR412" s="433"/>
      <c r="BS412" s="433"/>
      <c r="BT412" s="433"/>
      <c r="BU412" s="433"/>
    </row>
    <row r="413" spans="15:73" x14ac:dyDescent="0.2">
      <c r="O413" s="433"/>
      <c r="P413" s="433"/>
      <c r="Q413" s="433"/>
      <c r="R413" s="433"/>
      <c r="S413" s="433"/>
      <c r="T413" s="433"/>
      <c r="U413" s="433"/>
      <c r="V413" s="433"/>
      <c r="W413" s="433"/>
      <c r="X413" s="433"/>
      <c r="Y413" s="433"/>
      <c r="Z413" s="433"/>
      <c r="AA413" s="433"/>
      <c r="AB413" s="433"/>
      <c r="AC413" s="433"/>
      <c r="AD413" s="433"/>
      <c r="AE413" s="433"/>
      <c r="AF413" s="433"/>
      <c r="AG413" s="433"/>
      <c r="AH413" s="433"/>
      <c r="AI413" s="433"/>
      <c r="AJ413" s="433"/>
      <c r="AK413" s="433"/>
      <c r="AL413" s="433"/>
      <c r="AM413" s="433"/>
      <c r="AN413" s="433"/>
      <c r="AO413" s="433"/>
      <c r="AP413" s="433"/>
      <c r="AQ413" s="433"/>
      <c r="AR413" s="433"/>
      <c r="AS413" s="433"/>
      <c r="AT413" s="433"/>
      <c r="AU413" s="433"/>
      <c r="AV413" s="433"/>
      <c r="AW413" s="433"/>
      <c r="AX413" s="433"/>
      <c r="AY413" s="433"/>
      <c r="AZ413" s="433"/>
      <c r="BA413" s="433"/>
      <c r="BB413" s="433"/>
      <c r="BC413" s="433"/>
      <c r="BD413" s="433"/>
      <c r="BE413" s="433"/>
      <c r="BF413" s="433"/>
      <c r="BG413" s="433"/>
      <c r="BH413" s="433"/>
      <c r="BI413" s="433"/>
      <c r="BJ413" s="433"/>
      <c r="BK413" s="433"/>
      <c r="BL413" s="433"/>
      <c r="BM413" s="433"/>
      <c r="BN413" s="433"/>
      <c r="BO413" s="433"/>
      <c r="BP413" s="433"/>
      <c r="BQ413" s="433"/>
      <c r="BR413" s="433"/>
      <c r="BS413" s="433"/>
      <c r="BT413" s="433"/>
      <c r="BU413" s="433"/>
    </row>
    <row r="414" spans="15:73" s="359" customFormat="1" x14ac:dyDescent="0.2">
      <c r="O414" s="440"/>
      <c r="P414" s="440"/>
      <c r="Q414" s="440"/>
      <c r="R414" s="440"/>
      <c r="S414" s="440"/>
      <c r="T414" s="440"/>
      <c r="U414" s="440"/>
      <c r="V414" s="440"/>
      <c r="W414" s="440"/>
      <c r="X414" s="440"/>
      <c r="Y414" s="440"/>
      <c r="Z414" s="440"/>
      <c r="AA414" s="440"/>
      <c r="AB414" s="440"/>
      <c r="AC414" s="440"/>
      <c r="AD414" s="440"/>
      <c r="AE414" s="440"/>
      <c r="AF414" s="440"/>
      <c r="AG414" s="440"/>
      <c r="AH414" s="440"/>
      <c r="AI414" s="440"/>
      <c r="AJ414" s="440"/>
      <c r="AK414" s="440"/>
      <c r="AL414" s="440"/>
      <c r="AM414" s="440"/>
      <c r="AN414" s="440"/>
      <c r="AO414" s="440"/>
      <c r="AP414" s="440"/>
      <c r="AQ414" s="440"/>
      <c r="AR414" s="440"/>
      <c r="AS414" s="440"/>
      <c r="AT414" s="440"/>
      <c r="AU414" s="440"/>
      <c r="AV414" s="440"/>
      <c r="AW414" s="440"/>
      <c r="AX414" s="440"/>
      <c r="AY414" s="440"/>
      <c r="AZ414" s="440"/>
      <c r="BA414" s="440"/>
      <c r="BB414" s="440"/>
      <c r="BC414" s="440"/>
      <c r="BD414" s="440"/>
      <c r="BE414" s="440"/>
      <c r="BF414" s="440"/>
      <c r="BG414" s="440"/>
      <c r="BH414" s="440"/>
      <c r="BI414" s="440"/>
      <c r="BJ414" s="440"/>
      <c r="BK414" s="440"/>
      <c r="BL414" s="440"/>
      <c r="BM414" s="440"/>
      <c r="BN414" s="440"/>
      <c r="BO414" s="440"/>
      <c r="BP414" s="440"/>
      <c r="BQ414" s="440"/>
      <c r="BR414" s="440"/>
      <c r="BS414" s="440"/>
      <c r="BT414" s="440"/>
      <c r="BU414" s="440"/>
    </row>
    <row r="415" spans="15:73" x14ac:dyDescent="0.2">
      <c r="O415" s="433"/>
      <c r="P415" s="433"/>
      <c r="Q415" s="433"/>
      <c r="R415" s="433"/>
      <c r="S415" s="433"/>
      <c r="T415" s="433"/>
      <c r="U415" s="433"/>
      <c r="V415" s="433"/>
      <c r="W415" s="433"/>
      <c r="X415" s="433"/>
      <c r="Y415" s="433"/>
      <c r="Z415" s="433"/>
      <c r="AA415" s="433"/>
      <c r="AB415" s="433"/>
      <c r="AC415" s="433"/>
      <c r="AD415" s="433"/>
      <c r="AE415" s="433"/>
      <c r="AF415" s="433"/>
      <c r="AG415" s="433"/>
      <c r="AH415" s="433"/>
      <c r="AI415" s="433"/>
      <c r="AJ415" s="433"/>
      <c r="AK415" s="433"/>
      <c r="AL415" s="433"/>
      <c r="AM415" s="433"/>
      <c r="AN415" s="433"/>
      <c r="AO415" s="433"/>
      <c r="AP415" s="433"/>
      <c r="AQ415" s="433"/>
      <c r="AR415" s="433"/>
      <c r="AS415" s="433"/>
      <c r="AT415" s="433"/>
      <c r="AU415" s="433"/>
      <c r="AV415" s="433"/>
      <c r="AW415" s="433"/>
      <c r="AX415" s="433"/>
      <c r="AY415" s="433"/>
      <c r="AZ415" s="433"/>
      <c r="BA415" s="433"/>
      <c r="BB415" s="433"/>
      <c r="BC415" s="433"/>
      <c r="BD415" s="433"/>
      <c r="BE415" s="433"/>
      <c r="BF415" s="433"/>
      <c r="BG415" s="433"/>
      <c r="BH415" s="433"/>
      <c r="BI415" s="433"/>
      <c r="BJ415" s="433"/>
      <c r="BK415" s="433"/>
      <c r="BL415" s="433"/>
      <c r="BM415" s="433"/>
      <c r="BN415" s="433"/>
      <c r="BO415" s="433"/>
      <c r="BP415" s="433"/>
      <c r="BQ415" s="433"/>
      <c r="BR415" s="433"/>
      <c r="BS415" s="433"/>
      <c r="BT415" s="433"/>
      <c r="BU415" s="433"/>
    </row>
    <row r="416" spans="15:73" x14ac:dyDescent="0.2">
      <c r="O416" s="433"/>
      <c r="P416" s="433"/>
      <c r="Q416" s="433"/>
      <c r="R416" s="433"/>
      <c r="S416" s="433"/>
      <c r="T416" s="433"/>
      <c r="U416" s="433"/>
      <c r="V416" s="433"/>
      <c r="W416" s="433"/>
      <c r="X416" s="433"/>
      <c r="Y416" s="433"/>
      <c r="Z416" s="433"/>
      <c r="AA416" s="433"/>
      <c r="AB416" s="433"/>
      <c r="AC416" s="433"/>
      <c r="AD416" s="433"/>
      <c r="AE416" s="433"/>
      <c r="AF416" s="433"/>
      <c r="AG416" s="433"/>
      <c r="AH416" s="433"/>
      <c r="AI416" s="433"/>
      <c r="AJ416" s="433"/>
      <c r="AK416" s="433"/>
      <c r="AL416" s="433"/>
      <c r="AM416" s="433"/>
      <c r="AN416" s="433"/>
      <c r="AO416" s="433"/>
      <c r="AP416" s="433"/>
      <c r="AQ416" s="433"/>
      <c r="AR416" s="433"/>
      <c r="AS416" s="433"/>
      <c r="AT416" s="433"/>
      <c r="AU416" s="433"/>
      <c r="AV416" s="433"/>
      <c r="AW416" s="433"/>
      <c r="AX416" s="433"/>
      <c r="AY416" s="433"/>
      <c r="AZ416" s="433"/>
      <c r="BA416" s="433"/>
      <c r="BB416" s="433"/>
      <c r="BC416" s="433"/>
      <c r="BD416" s="433"/>
      <c r="BE416" s="433"/>
      <c r="BF416" s="433"/>
      <c r="BG416" s="433"/>
      <c r="BH416" s="433"/>
      <c r="BI416" s="433"/>
      <c r="BJ416" s="433"/>
      <c r="BK416" s="433"/>
      <c r="BL416" s="433"/>
      <c r="BM416" s="433"/>
      <c r="BN416" s="433"/>
      <c r="BO416" s="433"/>
      <c r="BP416" s="433"/>
      <c r="BQ416" s="433"/>
      <c r="BR416" s="433"/>
      <c r="BS416" s="433"/>
      <c r="BT416" s="433"/>
      <c r="BU416" s="433"/>
    </row>
    <row r="417" spans="15:73" x14ac:dyDescent="0.2">
      <c r="O417" s="433"/>
      <c r="P417" s="433"/>
      <c r="Q417" s="433"/>
      <c r="R417" s="433"/>
      <c r="S417" s="433"/>
      <c r="T417" s="433"/>
      <c r="U417" s="433"/>
      <c r="V417" s="433"/>
      <c r="W417" s="433"/>
      <c r="X417" s="433"/>
      <c r="Y417" s="433"/>
      <c r="Z417" s="433"/>
      <c r="AA417" s="433"/>
      <c r="AB417" s="433"/>
      <c r="AC417" s="433"/>
      <c r="AD417" s="433"/>
      <c r="AE417" s="433"/>
      <c r="AF417" s="433"/>
      <c r="AG417" s="433"/>
      <c r="AH417" s="433"/>
      <c r="AI417" s="433"/>
      <c r="AJ417" s="433"/>
      <c r="AK417" s="433"/>
      <c r="AL417" s="433"/>
      <c r="AM417" s="433"/>
      <c r="AN417" s="433"/>
      <c r="AO417" s="433"/>
      <c r="AP417" s="433"/>
      <c r="AQ417" s="433"/>
      <c r="AR417" s="433"/>
      <c r="AS417" s="433"/>
      <c r="AT417" s="433"/>
      <c r="AU417" s="433"/>
      <c r="AV417" s="433"/>
      <c r="AW417" s="433"/>
      <c r="AX417" s="433"/>
      <c r="AY417" s="433"/>
      <c r="AZ417" s="433"/>
      <c r="BA417" s="433"/>
      <c r="BB417" s="433"/>
      <c r="BC417" s="433"/>
      <c r="BD417" s="433"/>
      <c r="BE417" s="433"/>
      <c r="BF417" s="433"/>
      <c r="BG417" s="433"/>
      <c r="BH417" s="433"/>
      <c r="BI417" s="433"/>
      <c r="BJ417" s="433"/>
      <c r="BK417" s="433"/>
      <c r="BL417" s="433"/>
      <c r="BM417" s="433"/>
      <c r="BN417" s="433"/>
      <c r="BO417" s="433"/>
      <c r="BP417" s="433"/>
      <c r="BQ417" s="433"/>
      <c r="BR417" s="433"/>
      <c r="BS417" s="433"/>
      <c r="BT417" s="433"/>
      <c r="BU417" s="433"/>
    </row>
    <row r="418" spans="15:73" x14ac:dyDescent="0.2">
      <c r="O418" s="433"/>
      <c r="P418" s="433"/>
      <c r="Q418" s="433"/>
      <c r="R418" s="433"/>
      <c r="S418" s="433"/>
      <c r="T418" s="433"/>
      <c r="U418" s="433"/>
      <c r="V418" s="433"/>
      <c r="W418" s="433"/>
      <c r="X418" s="433"/>
      <c r="Y418" s="433"/>
      <c r="Z418" s="433"/>
      <c r="AA418" s="433"/>
      <c r="AB418" s="433"/>
      <c r="AC418" s="433"/>
      <c r="AD418" s="433"/>
      <c r="AE418" s="433"/>
      <c r="AF418" s="433"/>
      <c r="AG418" s="433"/>
      <c r="AH418" s="433"/>
      <c r="AI418" s="433"/>
      <c r="AJ418" s="433"/>
      <c r="AK418" s="433"/>
      <c r="AL418" s="433"/>
      <c r="AM418" s="433"/>
      <c r="AN418" s="433"/>
      <c r="AO418" s="433"/>
      <c r="AP418" s="433"/>
      <c r="AQ418" s="433"/>
      <c r="AR418" s="433"/>
      <c r="AS418" s="433"/>
      <c r="AT418" s="433"/>
      <c r="AU418" s="433"/>
      <c r="AV418" s="433"/>
      <c r="AW418" s="433"/>
      <c r="AX418" s="433"/>
      <c r="AY418" s="433"/>
      <c r="AZ418" s="433"/>
      <c r="BA418" s="433"/>
      <c r="BB418" s="433"/>
      <c r="BC418" s="433"/>
      <c r="BD418" s="433"/>
      <c r="BE418" s="433"/>
      <c r="BF418" s="433"/>
      <c r="BG418" s="433"/>
      <c r="BH418" s="433"/>
      <c r="BI418" s="433"/>
      <c r="BJ418" s="433"/>
      <c r="BK418" s="433"/>
      <c r="BL418" s="433"/>
      <c r="BM418" s="433"/>
      <c r="BN418" s="433"/>
      <c r="BO418" s="433"/>
      <c r="BP418" s="433"/>
      <c r="BQ418" s="433"/>
      <c r="BR418" s="433"/>
      <c r="BS418" s="433"/>
      <c r="BT418" s="433"/>
      <c r="BU418" s="433"/>
    </row>
    <row r="419" spans="15:73" x14ac:dyDescent="0.2">
      <c r="O419" s="433"/>
      <c r="P419" s="433"/>
      <c r="Q419" s="433"/>
      <c r="R419" s="433"/>
      <c r="S419" s="433"/>
      <c r="T419" s="433"/>
      <c r="U419" s="433"/>
      <c r="V419" s="433"/>
      <c r="W419" s="433"/>
      <c r="X419" s="433"/>
      <c r="Y419" s="433"/>
      <c r="Z419" s="433"/>
      <c r="AA419" s="433"/>
      <c r="AB419" s="433"/>
      <c r="AC419" s="433"/>
      <c r="AD419" s="433"/>
      <c r="AE419" s="433"/>
      <c r="AF419" s="433"/>
      <c r="AG419" s="433"/>
      <c r="AH419" s="433"/>
      <c r="AI419" s="433"/>
      <c r="AJ419" s="433"/>
      <c r="AK419" s="433"/>
      <c r="AL419" s="433"/>
      <c r="AM419" s="433"/>
      <c r="AN419" s="433"/>
      <c r="AO419" s="433"/>
      <c r="AP419" s="433"/>
      <c r="AQ419" s="433"/>
      <c r="AR419" s="433"/>
      <c r="AS419" s="433"/>
      <c r="AT419" s="433"/>
      <c r="AU419" s="433"/>
      <c r="AV419" s="433"/>
      <c r="AW419" s="433"/>
      <c r="AX419" s="433"/>
      <c r="AY419" s="433"/>
      <c r="AZ419" s="433"/>
      <c r="BA419" s="433"/>
      <c r="BB419" s="433"/>
      <c r="BC419" s="433"/>
      <c r="BD419" s="433"/>
      <c r="BE419" s="433"/>
      <c r="BF419" s="433"/>
      <c r="BG419" s="433"/>
      <c r="BH419" s="433"/>
      <c r="BI419" s="433"/>
      <c r="BJ419" s="433"/>
      <c r="BK419" s="433"/>
      <c r="BL419" s="433"/>
      <c r="BM419" s="433"/>
      <c r="BN419" s="433"/>
      <c r="BO419" s="433"/>
      <c r="BP419" s="433"/>
      <c r="BQ419" s="433"/>
      <c r="BR419" s="433"/>
      <c r="BS419" s="433"/>
      <c r="BT419" s="433"/>
      <c r="BU419" s="433"/>
    </row>
    <row r="420" spans="15:73" s="359" customFormat="1" x14ac:dyDescent="0.2">
      <c r="O420" s="440"/>
      <c r="P420" s="440"/>
      <c r="Q420" s="440"/>
      <c r="R420" s="440"/>
      <c r="S420" s="440"/>
      <c r="T420" s="440"/>
      <c r="U420" s="440"/>
      <c r="V420" s="440"/>
      <c r="W420" s="440"/>
      <c r="X420" s="440"/>
      <c r="Y420" s="440"/>
      <c r="Z420" s="440"/>
      <c r="AA420" s="440"/>
      <c r="AB420" s="440"/>
      <c r="AC420" s="440"/>
      <c r="AD420" s="440"/>
      <c r="AE420" s="440"/>
      <c r="AF420" s="440"/>
      <c r="AG420" s="440"/>
      <c r="AH420" s="440"/>
      <c r="AI420" s="440"/>
      <c r="AJ420" s="440"/>
      <c r="AK420" s="440"/>
      <c r="AL420" s="440"/>
      <c r="AM420" s="440"/>
      <c r="AN420" s="440"/>
      <c r="AO420" s="440"/>
      <c r="AP420" s="440"/>
      <c r="AQ420" s="440"/>
      <c r="AR420" s="440"/>
      <c r="AS420" s="440"/>
      <c r="AT420" s="440"/>
      <c r="AU420" s="440"/>
      <c r="AV420" s="440"/>
      <c r="AW420" s="440"/>
      <c r="AX420" s="440"/>
      <c r="AY420" s="440"/>
      <c r="AZ420" s="440"/>
      <c r="BA420" s="440"/>
      <c r="BB420" s="440"/>
      <c r="BC420" s="440"/>
      <c r="BD420" s="440"/>
      <c r="BE420" s="440"/>
      <c r="BF420" s="440"/>
      <c r="BG420" s="440"/>
      <c r="BH420" s="440"/>
      <c r="BI420" s="440"/>
      <c r="BJ420" s="440"/>
      <c r="BK420" s="440"/>
      <c r="BL420" s="440"/>
      <c r="BM420" s="440"/>
      <c r="BN420" s="440"/>
      <c r="BO420" s="440"/>
      <c r="BP420" s="440"/>
      <c r="BQ420" s="440"/>
      <c r="BR420" s="440"/>
      <c r="BS420" s="440"/>
      <c r="BT420" s="440"/>
      <c r="BU420" s="440"/>
    </row>
    <row r="421" spans="15:73" x14ac:dyDescent="0.2">
      <c r="O421" s="433"/>
      <c r="P421" s="433"/>
      <c r="Q421" s="433"/>
      <c r="R421" s="433"/>
      <c r="S421" s="433"/>
      <c r="T421" s="433"/>
      <c r="U421" s="433"/>
      <c r="V421" s="433"/>
      <c r="W421" s="433"/>
      <c r="X421" s="433"/>
      <c r="Y421" s="433"/>
      <c r="Z421" s="433"/>
      <c r="AA421" s="433"/>
      <c r="AB421" s="433"/>
      <c r="AC421" s="433"/>
      <c r="AD421" s="433"/>
      <c r="AE421" s="433"/>
      <c r="AF421" s="433"/>
      <c r="AG421" s="433"/>
      <c r="AH421" s="433"/>
      <c r="AI421" s="433"/>
      <c r="AJ421" s="433"/>
      <c r="AK421" s="433"/>
      <c r="AL421" s="433"/>
      <c r="AM421" s="433"/>
      <c r="AN421" s="433"/>
      <c r="AO421" s="433"/>
      <c r="AP421" s="433"/>
      <c r="AQ421" s="433"/>
      <c r="AR421" s="433"/>
      <c r="AS421" s="433"/>
      <c r="AT421" s="433"/>
      <c r="AU421" s="433"/>
      <c r="AV421" s="433"/>
      <c r="AW421" s="433"/>
      <c r="AX421" s="433"/>
      <c r="AY421" s="433"/>
      <c r="AZ421" s="433"/>
      <c r="BA421" s="433"/>
      <c r="BB421" s="433"/>
      <c r="BC421" s="433"/>
      <c r="BD421" s="433"/>
      <c r="BE421" s="433"/>
      <c r="BF421" s="433"/>
      <c r="BG421" s="433"/>
      <c r="BH421" s="433"/>
      <c r="BI421" s="433"/>
      <c r="BJ421" s="433"/>
      <c r="BK421" s="433"/>
      <c r="BL421" s="433"/>
      <c r="BM421" s="433"/>
      <c r="BN421" s="433"/>
      <c r="BO421" s="433"/>
      <c r="BP421" s="433"/>
      <c r="BQ421" s="433"/>
      <c r="BR421" s="433"/>
      <c r="BS421" s="433"/>
      <c r="BT421" s="433"/>
      <c r="BU421" s="433"/>
    </row>
    <row r="422" spans="15:73" x14ac:dyDescent="0.2">
      <c r="O422" s="433"/>
      <c r="P422" s="433"/>
      <c r="Q422" s="433"/>
      <c r="R422" s="433"/>
      <c r="S422" s="433"/>
      <c r="T422" s="433"/>
      <c r="U422" s="433"/>
      <c r="V422" s="433"/>
      <c r="W422" s="433"/>
      <c r="X422" s="433"/>
      <c r="Y422" s="433"/>
      <c r="Z422" s="433"/>
      <c r="AA422" s="433"/>
      <c r="AB422" s="433"/>
      <c r="AC422" s="433"/>
      <c r="AD422" s="433"/>
      <c r="AE422" s="433"/>
      <c r="AF422" s="433"/>
      <c r="AG422" s="433"/>
      <c r="AH422" s="433"/>
      <c r="AI422" s="433"/>
      <c r="AJ422" s="433"/>
      <c r="AK422" s="433"/>
      <c r="AL422" s="433"/>
      <c r="AM422" s="433"/>
      <c r="AN422" s="433"/>
      <c r="AO422" s="433"/>
      <c r="AP422" s="433"/>
      <c r="AQ422" s="433"/>
      <c r="AR422" s="433"/>
      <c r="AS422" s="433"/>
      <c r="AT422" s="433"/>
      <c r="AU422" s="433"/>
      <c r="AV422" s="433"/>
      <c r="AW422" s="433"/>
      <c r="AX422" s="433"/>
      <c r="AY422" s="433"/>
      <c r="AZ422" s="433"/>
      <c r="BA422" s="433"/>
      <c r="BB422" s="433"/>
      <c r="BC422" s="433"/>
      <c r="BD422" s="433"/>
      <c r="BE422" s="433"/>
      <c r="BF422" s="433"/>
      <c r="BG422" s="433"/>
      <c r="BH422" s="433"/>
      <c r="BI422" s="433"/>
      <c r="BJ422" s="433"/>
      <c r="BK422" s="433"/>
      <c r="BL422" s="433"/>
      <c r="BM422" s="433"/>
      <c r="BN422" s="433"/>
      <c r="BO422" s="433"/>
      <c r="BP422" s="433"/>
      <c r="BQ422" s="433"/>
      <c r="BR422" s="433"/>
      <c r="BS422" s="433"/>
      <c r="BT422" s="433"/>
      <c r="BU422" s="433"/>
    </row>
    <row r="423" spans="15:73" x14ac:dyDescent="0.2">
      <c r="O423" s="433"/>
      <c r="P423" s="433"/>
      <c r="Q423" s="433"/>
      <c r="R423" s="433"/>
      <c r="S423" s="433"/>
      <c r="T423" s="433"/>
      <c r="U423" s="433"/>
      <c r="V423" s="433"/>
      <c r="W423" s="433"/>
      <c r="X423" s="433"/>
      <c r="Y423" s="433"/>
      <c r="Z423" s="433"/>
      <c r="AA423" s="433"/>
      <c r="AB423" s="433"/>
      <c r="AC423" s="433"/>
      <c r="AD423" s="433"/>
      <c r="AE423" s="433"/>
      <c r="AF423" s="433"/>
      <c r="AG423" s="433"/>
      <c r="AH423" s="433"/>
      <c r="AI423" s="433"/>
      <c r="AJ423" s="433"/>
      <c r="AK423" s="433"/>
      <c r="AL423" s="433"/>
      <c r="AM423" s="433"/>
      <c r="AN423" s="433"/>
      <c r="AO423" s="433"/>
      <c r="AP423" s="433"/>
      <c r="AQ423" s="433"/>
      <c r="AR423" s="433"/>
      <c r="AS423" s="433"/>
      <c r="AT423" s="433"/>
      <c r="AU423" s="433"/>
      <c r="AV423" s="433"/>
      <c r="AW423" s="433"/>
      <c r="AX423" s="433"/>
      <c r="AY423" s="433"/>
      <c r="AZ423" s="433"/>
      <c r="BA423" s="433"/>
      <c r="BB423" s="433"/>
      <c r="BC423" s="433"/>
      <c r="BD423" s="433"/>
      <c r="BE423" s="433"/>
      <c r="BF423" s="433"/>
      <c r="BG423" s="433"/>
      <c r="BH423" s="433"/>
      <c r="BI423" s="433"/>
      <c r="BJ423" s="433"/>
      <c r="BK423" s="433"/>
      <c r="BL423" s="433"/>
      <c r="BM423" s="433"/>
      <c r="BN423" s="433"/>
      <c r="BO423" s="433"/>
      <c r="BP423" s="433"/>
      <c r="BQ423" s="433"/>
      <c r="BR423" s="433"/>
      <c r="BS423" s="433"/>
      <c r="BT423" s="433"/>
      <c r="BU423" s="433"/>
    </row>
    <row r="424" spans="15:73" x14ac:dyDescent="0.2">
      <c r="O424" s="433"/>
      <c r="P424" s="433"/>
      <c r="Q424" s="433"/>
      <c r="R424" s="433"/>
      <c r="S424" s="433"/>
      <c r="T424" s="433"/>
      <c r="U424" s="433"/>
      <c r="V424" s="433"/>
      <c r="W424" s="433"/>
      <c r="X424" s="433"/>
      <c r="Y424" s="433"/>
      <c r="Z424" s="433"/>
      <c r="AA424" s="433"/>
      <c r="AB424" s="433"/>
      <c r="AC424" s="433"/>
      <c r="AD424" s="433"/>
      <c r="AE424" s="433"/>
      <c r="AF424" s="433"/>
      <c r="AG424" s="433"/>
      <c r="AH424" s="433"/>
      <c r="AI424" s="433"/>
      <c r="AJ424" s="433"/>
      <c r="AK424" s="433"/>
      <c r="AL424" s="433"/>
      <c r="AM424" s="433"/>
      <c r="AN424" s="433"/>
      <c r="AO424" s="433"/>
      <c r="AP424" s="433"/>
      <c r="AQ424" s="433"/>
      <c r="AR424" s="433"/>
      <c r="AS424" s="433"/>
      <c r="AT424" s="433"/>
      <c r="AU424" s="433"/>
      <c r="AV424" s="433"/>
      <c r="AW424" s="433"/>
      <c r="AX424" s="433"/>
      <c r="AY424" s="433"/>
      <c r="AZ424" s="433"/>
      <c r="BA424" s="433"/>
      <c r="BB424" s="433"/>
      <c r="BC424" s="433"/>
      <c r="BD424" s="433"/>
      <c r="BE424" s="433"/>
      <c r="BF424" s="433"/>
      <c r="BG424" s="433"/>
      <c r="BH424" s="433"/>
      <c r="BI424" s="433"/>
      <c r="BJ424" s="433"/>
      <c r="BK424" s="433"/>
      <c r="BL424" s="433"/>
      <c r="BM424" s="433"/>
      <c r="BN424" s="433"/>
      <c r="BO424" s="433"/>
      <c r="BP424" s="433"/>
      <c r="BQ424" s="433"/>
      <c r="BR424" s="433"/>
      <c r="BS424" s="433"/>
      <c r="BT424" s="433"/>
      <c r="BU424" s="433"/>
    </row>
    <row r="425" spans="15:73" x14ac:dyDescent="0.2">
      <c r="O425" s="433"/>
      <c r="P425" s="433"/>
      <c r="Q425" s="433"/>
      <c r="R425" s="433"/>
      <c r="S425" s="433"/>
      <c r="T425" s="433"/>
      <c r="U425" s="433"/>
      <c r="V425" s="433"/>
      <c r="W425" s="433"/>
      <c r="X425" s="433"/>
      <c r="Y425" s="433"/>
      <c r="Z425" s="433"/>
      <c r="AA425" s="433"/>
      <c r="AB425" s="433"/>
      <c r="AC425" s="433"/>
      <c r="AD425" s="433"/>
      <c r="AE425" s="433"/>
      <c r="AF425" s="433"/>
      <c r="AG425" s="433"/>
      <c r="AH425" s="433"/>
      <c r="AI425" s="433"/>
      <c r="AJ425" s="433"/>
      <c r="AK425" s="433"/>
      <c r="AL425" s="433"/>
      <c r="AM425" s="433"/>
      <c r="AN425" s="433"/>
      <c r="AO425" s="433"/>
      <c r="AP425" s="433"/>
      <c r="AQ425" s="433"/>
      <c r="AR425" s="433"/>
      <c r="AS425" s="433"/>
      <c r="AT425" s="433"/>
      <c r="AU425" s="433"/>
      <c r="AV425" s="433"/>
      <c r="AW425" s="433"/>
      <c r="AX425" s="433"/>
      <c r="AY425" s="433"/>
      <c r="AZ425" s="433"/>
      <c r="BA425" s="433"/>
      <c r="BB425" s="433"/>
      <c r="BC425" s="433"/>
      <c r="BD425" s="433"/>
      <c r="BE425" s="433"/>
      <c r="BF425" s="433"/>
      <c r="BG425" s="433"/>
      <c r="BH425" s="433"/>
      <c r="BI425" s="433"/>
      <c r="BJ425" s="433"/>
      <c r="BK425" s="433"/>
      <c r="BL425" s="433"/>
      <c r="BM425" s="433"/>
      <c r="BN425" s="433"/>
      <c r="BO425" s="433"/>
      <c r="BP425" s="433"/>
      <c r="BQ425" s="433"/>
      <c r="BR425" s="433"/>
      <c r="BS425" s="433"/>
      <c r="BT425" s="433"/>
      <c r="BU425" s="433"/>
    </row>
    <row r="426" spans="15:73" x14ac:dyDescent="0.2">
      <c r="O426" s="433"/>
      <c r="P426" s="433"/>
      <c r="Q426" s="433"/>
      <c r="R426" s="433"/>
      <c r="S426" s="433"/>
      <c r="T426" s="433"/>
      <c r="U426" s="433"/>
      <c r="V426" s="433"/>
      <c r="W426" s="433"/>
      <c r="X426" s="433"/>
      <c r="Y426" s="433"/>
      <c r="Z426" s="433"/>
      <c r="AA426" s="433"/>
      <c r="AB426" s="433"/>
      <c r="AC426" s="433"/>
      <c r="AD426" s="433"/>
      <c r="AE426" s="433"/>
      <c r="AF426" s="433"/>
      <c r="AG426" s="433"/>
      <c r="AH426" s="433"/>
      <c r="AI426" s="433"/>
      <c r="AJ426" s="433"/>
      <c r="AK426" s="433"/>
      <c r="AL426" s="433"/>
      <c r="AM426" s="433"/>
      <c r="AN426" s="433"/>
      <c r="AO426" s="433"/>
      <c r="AP426" s="433"/>
      <c r="AQ426" s="433"/>
      <c r="AR426" s="433"/>
      <c r="AS426" s="433"/>
      <c r="AT426" s="433"/>
      <c r="AU426" s="433"/>
      <c r="AV426" s="433"/>
      <c r="AW426" s="433"/>
      <c r="AX426" s="433"/>
      <c r="AY426" s="433"/>
      <c r="AZ426" s="433"/>
      <c r="BA426" s="433"/>
      <c r="BB426" s="433"/>
      <c r="BC426" s="433"/>
      <c r="BD426" s="433"/>
      <c r="BE426" s="433"/>
      <c r="BF426" s="433"/>
      <c r="BG426" s="433"/>
      <c r="BH426" s="433"/>
      <c r="BI426" s="433"/>
      <c r="BJ426" s="433"/>
      <c r="BK426" s="433"/>
      <c r="BL426" s="433"/>
      <c r="BM426" s="433"/>
      <c r="BN426" s="433"/>
      <c r="BO426" s="433"/>
      <c r="BP426" s="433"/>
      <c r="BQ426" s="433"/>
      <c r="BR426" s="433"/>
      <c r="BS426" s="433"/>
      <c r="BT426" s="433"/>
      <c r="BU426" s="433"/>
    </row>
    <row r="427" spans="15:73" x14ac:dyDescent="0.2">
      <c r="O427" s="433"/>
      <c r="P427" s="433"/>
      <c r="Q427" s="433"/>
      <c r="R427" s="433"/>
      <c r="S427" s="433"/>
      <c r="T427" s="433"/>
      <c r="U427" s="433"/>
      <c r="V427" s="433"/>
      <c r="W427" s="433"/>
      <c r="X427" s="433"/>
      <c r="Y427" s="433"/>
      <c r="Z427" s="433"/>
      <c r="AA427" s="433"/>
      <c r="AB427" s="433"/>
      <c r="AC427" s="433"/>
      <c r="AD427" s="433"/>
      <c r="AE427" s="433"/>
      <c r="AF427" s="433"/>
      <c r="AG427" s="433"/>
      <c r="AH427" s="433"/>
      <c r="AI427" s="433"/>
      <c r="AJ427" s="433"/>
      <c r="AK427" s="433"/>
      <c r="AL427" s="433"/>
      <c r="AM427" s="433"/>
      <c r="AN427" s="433"/>
      <c r="AO427" s="433"/>
      <c r="AP427" s="433"/>
      <c r="AQ427" s="433"/>
      <c r="AR427" s="433"/>
      <c r="AS427" s="433"/>
      <c r="AT427" s="433"/>
      <c r="AU427" s="433"/>
      <c r="AV427" s="433"/>
      <c r="AW427" s="433"/>
      <c r="AX427" s="433"/>
      <c r="AY427" s="433"/>
      <c r="AZ427" s="433"/>
      <c r="BA427" s="433"/>
      <c r="BB427" s="433"/>
      <c r="BC427" s="433"/>
      <c r="BD427" s="433"/>
      <c r="BE427" s="433"/>
      <c r="BF427" s="433"/>
      <c r="BG427" s="433"/>
      <c r="BH427" s="433"/>
      <c r="BI427" s="433"/>
      <c r="BJ427" s="433"/>
      <c r="BK427" s="433"/>
      <c r="BL427" s="433"/>
      <c r="BM427" s="433"/>
      <c r="BN427" s="433"/>
      <c r="BO427" s="433"/>
      <c r="BP427" s="433"/>
      <c r="BQ427" s="433"/>
      <c r="BR427" s="433"/>
      <c r="BS427" s="433"/>
      <c r="BT427" s="433"/>
      <c r="BU427" s="433"/>
    </row>
    <row r="428" spans="15:73" s="359" customFormat="1" x14ac:dyDescent="0.2">
      <c r="O428" s="440"/>
      <c r="P428" s="440"/>
      <c r="Q428" s="440"/>
      <c r="R428" s="440"/>
      <c r="S428" s="440"/>
      <c r="T428" s="440"/>
      <c r="U428" s="440"/>
      <c r="V428" s="440"/>
      <c r="W428" s="440"/>
      <c r="X428" s="440"/>
      <c r="Y428" s="440"/>
      <c r="Z428" s="440"/>
      <c r="AA428" s="440"/>
      <c r="AB428" s="440"/>
      <c r="AC428" s="440"/>
      <c r="AD428" s="440"/>
      <c r="AE428" s="440"/>
      <c r="AF428" s="440"/>
      <c r="AG428" s="440"/>
      <c r="AH428" s="440"/>
      <c r="AI428" s="440"/>
      <c r="AJ428" s="440"/>
      <c r="AK428" s="440"/>
      <c r="AL428" s="440"/>
      <c r="AM428" s="440"/>
      <c r="AN428" s="440"/>
      <c r="AO428" s="440"/>
      <c r="AP428" s="440"/>
      <c r="AQ428" s="440"/>
      <c r="AR428" s="440"/>
      <c r="AS428" s="440"/>
      <c r="AT428" s="440"/>
      <c r="AU428" s="440"/>
      <c r="AV428" s="440"/>
      <c r="AW428" s="440"/>
      <c r="AX428" s="440"/>
      <c r="AY428" s="440"/>
      <c r="AZ428" s="440"/>
      <c r="BA428" s="440"/>
      <c r="BB428" s="440"/>
      <c r="BC428" s="440"/>
      <c r="BD428" s="440"/>
      <c r="BE428" s="440"/>
      <c r="BF428" s="440"/>
      <c r="BG428" s="440"/>
      <c r="BH428" s="440"/>
      <c r="BI428" s="440"/>
      <c r="BJ428" s="440"/>
      <c r="BK428" s="440"/>
      <c r="BL428" s="440"/>
      <c r="BM428" s="440"/>
      <c r="BN428" s="440"/>
      <c r="BO428" s="440"/>
      <c r="BP428" s="440"/>
      <c r="BQ428" s="440"/>
      <c r="BR428" s="440"/>
      <c r="BS428" s="440"/>
      <c r="BT428" s="440"/>
      <c r="BU428" s="440"/>
    </row>
    <row r="429" spans="15:73" x14ac:dyDescent="0.2">
      <c r="O429" s="433"/>
      <c r="P429" s="433"/>
      <c r="Q429" s="433"/>
      <c r="R429" s="433"/>
      <c r="S429" s="433"/>
      <c r="T429" s="433"/>
      <c r="U429" s="433"/>
      <c r="V429" s="433"/>
      <c r="W429" s="433"/>
      <c r="X429" s="433"/>
      <c r="Y429" s="433"/>
      <c r="Z429" s="433"/>
      <c r="AA429" s="433"/>
      <c r="AB429" s="433"/>
      <c r="AC429" s="433"/>
      <c r="AD429" s="433"/>
      <c r="AE429" s="433"/>
      <c r="AF429" s="433"/>
      <c r="AG429" s="433"/>
      <c r="AH429" s="433"/>
      <c r="AI429" s="433"/>
      <c r="AJ429" s="433"/>
      <c r="AK429" s="433"/>
      <c r="AL429" s="433"/>
      <c r="AM429" s="433"/>
      <c r="AN429" s="433"/>
      <c r="AO429" s="433"/>
      <c r="AP429" s="433"/>
      <c r="AQ429" s="433"/>
      <c r="AR429" s="433"/>
      <c r="AS429" s="433"/>
      <c r="AT429" s="433"/>
      <c r="AU429" s="433"/>
      <c r="AV429" s="433"/>
      <c r="AW429" s="433"/>
      <c r="AX429" s="433"/>
      <c r="AY429" s="433"/>
      <c r="AZ429" s="433"/>
      <c r="BA429" s="433"/>
      <c r="BB429" s="433"/>
      <c r="BC429" s="433"/>
      <c r="BD429" s="433"/>
      <c r="BE429" s="433"/>
      <c r="BF429" s="433"/>
      <c r="BG429" s="433"/>
      <c r="BH429" s="433"/>
      <c r="BI429" s="433"/>
      <c r="BJ429" s="433"/>
      <c r="BK429" s="433"/>
      <c r="BL429" s="433"/>
      <c r="BM429" s="433"/>
      <c r="BN429" s="433"/>
      <c r="BO429" s="433"/>
      <c r="BP429" s="433"/>
      <c r="BQ429" s="433"/>
      <c r="BR429" s="433"/>
      <c r="BS429" s="433"/>
      <c r="BT429" s="433"/>
      <c r="BU429" s="433"/>
    </row>
    <row r="430" spans="15:73" x14ac:dyDescent="0.2"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  <c r="AB430" s="433"/>
      <c r="AC430" s="433"/>
      <c r="AD430" s="433"/>
      <c r="AE430" s="433"/>
      <c r="AF430" s="433"/>
      <c r="AG430" s="433"/>
      <c r="AH430" s="433"/>
      <c r="AI430" s="433"/>
      <c r="AJ430" s="433"/>
      <c r="AK430" s="433"/>
      <c r="AL430" s="433"/>
      <c r="AM430" s="433"/>
      <c r="AN430" s="433"/>
      <c r="AO430" s="433"/>
      <c r="AP430" s="433"/>
      <c r="AQ430" s="433"/>
      <c r="AR430" s="433"/>
      <c r="AS430" s="433"/>
      <c r="AT430" s="433"/>
      <c r="AU430" s="433"/>
      <c r="AV430" s="433"/>
      <c r="AW430" s="433"/>
      <c r="AX430" s="433"/>
      <c r="AY430" s="433"/>
      <c r="AZ430" s="433"/>
      <c r="BA430" s="433"/>
      <c r="BB430" s="433"/>
      <c r="BC430" s="433"/>
      <c r="BD430" s="433"/>
      <c r="BE430" s="433"/>
      <c r="BF430" s="433"/>
      <c r="BG430" s="433"/>
      <c r="BH430" s="433"/>
      <c r="BI430" s="433"/>
      <c r="BJ430" s="433"/>
      <c r="BK430" s="433"/>
      <c r="BL430" s="433"/>
      <c r="BM430" s="433"/>
      <c r="BN430" s="433"/>
      <c r="BO430" s="433"/>
      <c r="BP430" s="433"/>
      <c r="BQ430" s="433"/>
      <c r="BR430" s="433"/>
      <c r="BS430" s="433"/>
      <c r="BT430" s="433"/>
      <c r="BU430" s="433"/>
    </row>
    <row r="431" spans="15:73" x14ac:dyDescent="0.2">
      <c r="O431" s="433"/>
      <c r="P431" s="433"/>
      <c r="Q431" s="433"/>
      <c r="R431" s="433"/>
      <c r="S431" s="433"/>
      <c r="T431" s="433"/>
      <c r="U431" s="433"/>
      <c r="V431" s="433"/>
      <c r="W431" s="433"/>
      <c r="X431" s="433"/>
      <c r="Y431" s="433"/>
      <c r="Z431" s="433"/>
      <c r="AA431" s="433"/>
      <c r="AB431" s="433"/>
      <c r="AC431" s="433"/>
      <c r="AD431" s="433"/>
      <c r="AE431" s="433"/>
      <c r="AF431" s="433"/>
      <c r="AG431" s="433"/>
      <c r="AH431" s="433"/>
      <c r="AI431" s="433"/>
      <c r="AJ431" s="433"/>
      <c r="AK431" s="433"/>
      <c r="AL431" s="433"/>
      <c r="AM431" s="433"/>
      <c r="AN431" s="433"/>
      <c r="AO431" s="433"/>
      <c r="AP431" s="433"/>
      <c r="AQ431" s="433"/>
      <c r="AR431" s="433"/>
      <c r="AS431" s="433"/>
      <c r="AT431" s="433"/>
      <c r="AU431" s="433"/>
      <c r="AV431" s="433"/>
      <c r="AW431" s="433"/>
      <c r="AX431" s="433"/>
      <c r="AY431" s="433"/>
      <c r="AZ431" s="433"/>
      <c r="BA431" s="433"/>
      <c r="BB431" s="433"/>
      <c r="BC431" s="433"/>
      <c r="BD431" s="433"/>
      <c r="BE431" s="433"/>
      <c r="BF431" s="433"/>
      <c r="BG431" s="433"/>
      <c r="BH431" s="433"/>
      <c r="BI431" s="433"/>
      <c r="BJ431" s="433"/>
      <c r="BK431" s="433"/>
      <c r="BL431" s="433"/>
      <c r="BM431" s="433"/>
      <c r="BN431" s="433"/>
      <c r="BO431" s="433"/>
      <c r="BP431" s="433"/>
      <c r="BQ431" s="433"/>
      <c r="BR431" s="433"/>
      <c r="BS431" s="433"/>
      <c r="BT431" s="433"/>
      <c r="BU431" s="433"/>
    </row>
    <row r="432" spans="15:73" x14ac:dyDescent="0.2">
      <c r="O432" s="433"/>
      <c r="P432" s="433"/>
      <c r="Q432" s="433"/>
      <c r="R432" s="433"/>
      <c r="S432" s="433"/>
      <c r="T432" s="433"/>
      <c r="U432" s="433"/>
      <c r="V432" s="433"/>
      <c r="W432" s="433"/>
      <c r="X432" s="433"/>
      <c r="Y432" s="433"/>
      <c r="Z432" s="433"/>
      <c r="AA432" s="433"/>
      <c r="AB432" s="433"/>
      <c r="AC432" s="433"/>
      <c r="AD432" s="433"/>
      <c r="AE432" s="433"/>
      <c r="AF432" s="433"/>
      <c r="AG432" s="433"/>
      <c r="AH432" s="433"/>
      <c r="AI432" s="433"/>
      <c r="AJ432" s="433"/>
      <c r="AK432" s="433"/>
      <c r="AL432" s="433"/>
      <c r="AM432" s="433"/>
      <c r="AN432" s="433"/>
      <c r="AO432" s="433"/>
      <c r="AP432" s="433"/>
      <c r="AQ432" s="433"/>
      <c r="AR432" s="433"/>
      <c r="AS432" s="433"/>
      <c r="AT432" s="433"/>
      <c r="AU432" s="433"/>
      <c r="AV432" s="433"/>
      <c r="AW432" s="433"/>
      <c r="AX432" s="433"/>
      <c r="AY432" s="433"/>
      <c r="AZ432" s="433"/>
      <c r="BA432" s="433"/>
      <c r="BB432" s="433"/>
      <c r="BC432" s="433"/>
      <c r="BD432" s="433"/>
      <c r="BE432" s="433"/>
      <c r="BF432" s="433"/>
      <c r="BG432" s="433"/>
      <c r="BH432" s="433"/>
      <c r="BI432" s="433"/>
      <c r="BJ432" s="433"/>
      <c r="BK432" s="433"/>
      <c r="BL432" s="433"/>
      <c r="BM432" s="433"/>
      <c r="BN432" s="433"/>
      <c r="BO432" s="433"/>
      <c r="BP432" s="433"/>
      <c r="BQ432" s="433"/>
      <c r="BR432" s="433"/>
      <c r="BS432" s="433"/>
      <c r="BT432" s="433"/>
      <c r="BU432" s="433"/>
    </row>
    <row r="433" spans="15:73" x14ac:dyDescent="0.2">
      <c r="O433" s="433"/>
      <c r="P433" s="433"/>
      <c r="Q433" s="433"/>
      <c r="R433" s="433"/>
      <c r="S433" s="433"/>
      <c r="T433" s="433"/>
      <c r="U433" s="433"/>
      <c r="V433" s="433"/>
      <c r="W433" s="433"/>
      <c r="X433" s="433"/>
      <c r="Y433" s="433"/>
      <c r="Z433" s="433"/>
      <c r="AA433" s="433"/>
      <c r="AB433" s="433"/>
      <c r="AC433" s="433"/>
      <c r="AD433" s="433"/>
      <c r="AE433" s="433"/>
      <c r="AF433" s="433"/>
      <c r="AG433" s="433"/>
      <c r="AH433" s="433"/>
      <c r="AI433" s="433"/>
      <c r="AJ433" s="433"/>
      <c r="AK433" s="433"/>
      <c r="AL433" s="433"/>
      <c r="AM433" s="433"/>
      <c r="AN433" s="433"/>
      <c r="AO433" s="433"/>
      <c r="AP433" s="433"/>
      <c r="AQ433" s="433"/>
      <c r="AR433" s="433"/>
      <c r="AS433" s="433"/>
      <c r="AT433" s="433"/>
      <c r="AU433" s="433"/>
      <c r="AV433" s="433"/>
      <c r="AW433" s="433"/>
      <c r="AX433" s="433"/>
      <c r="AY433" s="433"/>
      <c r="AZ433" s="433"/>
      <c r="BA433" s="433"/>
      <c r="BB433" s="433"/>
      <c r="BC433" s="433"/>
      <c r="BD433" s="433"/>
      <c r="BE433" s="433"/>
      <c r="BF433" s="433"/>
      <c r="BG433" s="433"/>
      <c r="BH433" s="433"/>
      <c r="BI433" s="433"/>
      <c r="BJ433" s="433"/>
      <c r="BK433" s="433"/>
      <c r="BL433" s="433"/>
      <c r="BM433" s="433"/>
      <c r="BN433" s="433"/>
      <c r="BO433" s="433"/>
      <c r="BP433" s="433"/>
      <c r="BQ433" s="433"/>
      <c r="BR433" s="433"/>
      <c r="BS433" s="433"/>
      <c r="BT433" s="433"/>
      <c r="BU433" s="433"/>
    </row>
    <row r="434" spans="15:73" x14ac:dyDescent="0.2">
      <c r="O434" s="433"/>
      <c r="P434" s="433"/>
      <c r="Q434" s="433"/>
      <c r="R434" s="433"/>
      <c r="S434" s="433"/>
      <c r="T434" s="433"/>
      <c r="U434" s="433"/>
      <c r="V434" s="433"/>
      <c r="W434" s="433"/>
      <c r="X434" s="433"/>
      <c r="Y434" s="433"/>
      <c r="Z434" s="433"/>
      <c r="AA434" s="433"/>
      <c r="AB434" s="433"/>
      <c r="AC434" s="433"/>
      <c r="AD434" s="433"/>
      <c r="AE434" s="433"/>
      <c r="AF434" s="433"/>
      <c r="AG434" s="433"/>
      <c r="AH434" s="433"/>
      <c r="AI434" s="433"/>
      <c r="AJ434" s="433"/>
      <c r="AK434" s="433"/>
      <c r="AL434" s="433"/>
      <c r="AM434" s="433"/>
      <c r="AN434" s="433"/>
      <c r="AO434" s="433"/>
      <c r="AP434" s="433"/>
      <c r="AQ434" s="433"/>
      <c r="AR434" s="433"/>
      <c r="AS434" s="433"/>
      <c r="AT434" s="433"/>
      <c r="AU434" s="433"/>
      <c r="AV434" s="433"/>
      <c r="AW434" s="433"/>
      <c r="AX434" s="433"/>
      <c r="AY434" s="433"/>
      <c r="AZ434" s="433"/>
      <c r="BA434" s="433"/>
      <c r="BB434" s="433"/>
      <c r="BC434" s="433"/>
      <c r="BD434" s="433"/>
      <c r="BE434" s="433"/>
      <c r="BF434" s="433"/>
      <c r="BG434" s="433"/>
      <c r="BH434" s="433"/>
      <c r="BI434" s="433"/>
      <c r="BJ434" s="433"/>
      <c r="BK434" s="433"/>
      <c r="BL434" s="433"/>
      <c r="BM434" s="433"/>
      <c r="BN434" s="433"/>
      <c r="BO434" s="433"/>
      <c r="BP434" s="433"/>
      <c r="BQ434" s="433"/>
      <c r="BR434" s="433"/>
      <c r="BS434" s="433"/>
      <c r="BT434" s="433"/>
      <c r="BU434" s="433"/>
    </row>
    <row r="435" spans="15:73" x14ac:dyDescent="0.2">
      <c r="O435" s="433"/>
      <c r="P435" s="433"/>
      <c r="Q435" s="433"/>
      <c r="R435" s="433"/>
      <c r="S435" s="433"/>
      <c r="T435" s="433"/>
      <c r="U435" s="433"/>
      <c r="V435" s="433"/>
      <c r="W435" s="433"/>
      <c r="X435" s="433"/>
      <c r="Y435" s="433"/>
      <c r="Z435" s="433"/>
      <c r="AA435" s="433"/>
      <c r="AB435" s="433"/>
      <c r="AC435" s="433"/>
      <c r="AD435" s="433"/>
      <c r="AE435" s="433"/>
      <c r="AF435" s="433"/>
      <c r="AG435" s="433"/>
      <c r="AH435" s="433"/>
      <c r="AI435" s="433"/>
      <c r="AJ435" s="433"/>
      <c r="AK435" s="433"/>
      <c r="AL435" s="433"/>
      <c r="AM435" s="433"/>
      <c r="AN435" s="433"/>
      <c r="AO435" s="433"/>
      <c r="AP435" s="433"/>
      <c r="AQ435" s="433"/>
      <c r="AR435" s="433"/>
      <c r="AS435" s="433"/>
      <c r="AT435" s="433"/>
      <c r="AU435" s="433"/>
      <c r="AV435" s="433"/>
      <c r="AW435" s="433"/>
      <c r="AX435" s="433"/>
      <c r="AY435" s="433"/>
      <c r="AZ435" s="433"/>
      <c r="BA435" s="433"/>
      <c r="BB435" s="433"/>
      <c r="BC435" s="433"/>
      <c r="BD435" s="433"/>
      <c r="BE435" s="433"/>
      <c r="BF435" s="433"/>
      <c r="BG435" s="433"/>
      <c r="BH435" s="433"/>
      <c r="BI435" s="433"/>
      <c r="BJ435" s="433"/>
      <c r="BK435" s="433"/>
      <c r="BL435" s="433"/>
      <c r="BM435" s="433"/>
      <c r="BN435" s="433"/>
      <c r="BO435" s="433"/>
      <c r="BP435" s="433"/>
      <c r="BQ435" s="433"/>
      <c r="BR435" s="433"/>
      <c r="BS435" s="433"/>
      <c r="BT435" s="433"/>
      <c r="BU435" s="433"/>
    </row>
    <row r="436" spans="15:73" x14ac:dyDescent="0.2">
      <c r="O436" s="433"/>
      <c r="P436" s="433"/>
      <c r="Q436" s="433"/>
      <c r="R436" s="433"/>
      <c r="S436" s="433"/>
      <c r="T436" s="433"/>
      <c r="U436" s="433"/>
      <c r="V436" s="433"/>
      <c r="W436" s="433"/>
      <c r="X436" s="433"/>
      <c r="Y436" s="433"/>
      <c r="Z436" s="433"/>
      <c r="AA436" s="433"/>
      <c r="AB436" s="433"/>
      <c r="AC436" s="433"/>
      <c r="AD436" s="433"/>
      <c r="AE436" s="433"/>
      <c r="AF436" s="433"/>
      <c r="AG436" s="433"/>
      <c r="AH436" s="433"/>
      <c r="AI436" s="433"/>
      <c r="AJ436" s="433"/>
      <c r="AK436" s="433"/>
      <c r="AL436" s="433"/>
      <c r="AM436" s="433"/>
      <c r="AN436" s="433"/>
      <c r="AO436" s="433"/>
      <c r="AP436" s="433"/>
      <c r="AQ436" s="433"/>
      <c r="AR436" s="433"/>
      <c r="AS436" s="433"/>
      <c r="AT436" s="433"/>
      <c r="AU436" s="433"/>
      <c r="AV436" s="433"/>
      <c r="AW436" s="433"/>
      <c r="AX436" s="433"/>
      <c r="AY436" s="433"/>
      <c r="AZ436" s="433"/>
      <c r="BA436" s="433"/>
      <c r="BB436" s="433"/>
      <c r="BC436" s="433"/>
      <c r="BD436" s="433"/>
      <c r="BE436" s="433"/>
      <c r="BF436" s="433"/>
      <c r="BG436" s="433"/>
      <c r="BH436" s="433"/>
      <c r="BI436" s="433"/>
      <c r="BJ436" s="433"/>
      <c r="BK436" s="433"/>
      <c r="BL436" s="433"/>
      <c r="BM436" s="433"/>
      <c r="BN436" s="433"/>
      <c r="BO436" s="433"/>
      <c r="BP436" s="433"/>
      <c r="BQ436" s="433"/>
      <c r="BR436" s="433"/>
      <c r="BS436" s="433"/>
      <c r="BT436" s="433"/>
      <c r="BU436" s="433"/>
    </row>
    <row r="437" spans="15:73" x14ac:dyDescent="0.2">
      <c r="O437" s="433"/>
      <c r="P437" s="433"/>
      <c r="Q437" s="433"/>
      <c r="R437" s="433"/>
      <c r="S437" s="433"/>
      <c r="T437" s="433"/>
      <c r="U437" s="433"/>
      <c r="V437" s="433"/>
      <c r="W437" s="433"/>
      <c r="X437" s="433"/>
      <c r="Y437" s="433"/>
      <c r="Z437" s="433"/>
      <c r="AA437" s="433"/>
      <c r="AB437" s="433"/>
      <c r="AC437" s="433"/>
      <c r="AD437" s="433"/>
      <c r="AE437" s="433"/>
      <c r="AF437" s="433"/>
      <c r="AG437" s="433"/>
      <c r="AH437" s="433"/>
      <c r="AI437" s="433"/>
      <c r="AJ437" s="433"/>
      <c r="AK437" s="433"/>
      <c r="AL437" s="433"/>
      <c r="AM437" s="433"/>
      <c r="AN437" s="433"/>
      <c r="AO437" s="433"/>
      <c r="AP437" s="433"/>
      <c r="AQ437" s="433"/>
      <c r="AR437" s="433"/>
      <c r="AS437" s="433"/>
      <c r="AT437" s="433"/>
      <c r="AU437" s="433"/>
      <c r="AV437" s="433"/>
      <c r="AW437" s="433"/>
      <c r="AX437" s="433"/>
      <c r="AY437" s="433"/>
      <c r="AZ437" s="433"/>
      <c r="BA437" s="433"/>
      <c r="BB437" s="433"/>
      <c r="BC437" s="433"/>
      <c r="BD437" s="433"/>
      <c r="BE437" s="433"/>
      <c r="BF437" s="433"/>
      <c r="BG437" s="433"/>
      <c r="BH437" s="433"/>
      <c r="BI437" s="433"/>
      <c r="BJ437" s="433"/>
      <c r="BK437" s="433"/>
      <c r="BL437" s="433"/>
      <c r="BM437" s="433"/>
      <c r="BN437" s="433"/>
      <c r="BO437" s="433"/>
      <c r="BP437" s="433"/>
      <c r="BQ437" s="433"/>
      <c r="BR437" s="433"/>
      <c r="BS437" s="433"/>
      <c r="BT437" s="433"/>
      <c r="BU437" s="433"/>
    </row>
    <row r="438" spans="15:73" s="359" customFormat="1" x14ac:dyDescent="0.2">
      <c r="O438" s="440"/>
      <c r="P438" s="440"/>
      <c r="Q438" s="440"/>
      <c r="R438" s="440"/>
      <c r="S438" s="440"/>
      <c r="T438" s="440"/>
      <c r="U438" s="440"/>
      <c r="V438" s="440"/>
      <c r="W438" s="440"/>
      <c r="X438" s="440"/>
      <c r="Y438" s="440"/>
      <c r="Z438" s="440"/>
      <c r="AA438" s="440"/>
      <c r="AB438" s="440"/>
      <c r="AC438" s="440"/>
      <c r="AD438" s="440"/>
      <c r="AE438" s="440"/>
      <c r="AF438" s="440"/>
      <c r="AG438" s="440"/>
      <c r="AH438" s="440"/>
      <c r="AI438" s="440"/>
      <c r="AJ438" s="440"/>
      <c r="AK438" s="440"/>
      <c r="AL438" s="440"/>
      <c r="AM438" s="440"/>
      <c r="AN438" s="440"/>
      <c r="AO438" s="440"/>
      <c r="AP438" s="440"/>
      <c r="AQ438" s="440"/>
      <c r="AR438" s="440"/>
      <c r="AS438" s="440"/>
      <c r="AT438" s="440"/>
      <c r="AU438" s="440"/>
      <c r="AV438" s="440"/>
      <c r="AW438" s="440"/>
      <c r="AX438" s="440"/>
      <c r="AY438" s="440"/>
      <c r="AZ438" s="440"/>
      <c r="BA438" s="440"/>
      <c r="BB438" s="440"/>
      <c r="BC438" s="440"/>
      <c r="BD438" s="440"/>
      <c r="BE438" s="440"/>
      <c r="BF438" s="440"/>
      <c r="BG438" s="440"/>
      <c r="BH438" s="440"/>
      <c r="BI438" s="440"/>
      <c r="BJ438" s="440"/>
      <c r="BK438" s="440"/>
      <c r="BL438" s="440"/>
      <c r="BM438" s="440"/>
      <c r="BN438" s="440"/>
      <c r="BO438" s="440"/>
      <c r="BP438" s="440"/>
      <c r="BQ438" s="440"/>
      <c r="BR438" s="440"/>
      <c r="BS438" s="440"/>
      <c r="BT438" s="440"/>
      <c r="BU438" s="440"/>
    </row>
    <row r="439" spans="15:73" x14ac:dyDescent="0.2">
      <c r="O439" s="433"/>
      <c r="P439" s="433"/>
      <c r="Q439" s="433"/>
      <c r="R439" s="433"/>
      <c r="S439" s="433"/>
      <c r="T439" s="433"/>
      <c r="U439" s="433"/>
      <c r="V439" s="433"/>
      <c r="W439" s="433"/>
      <c r="X439" s="433"/>
      <c r="Y439" s="433"/>
      <c r="Z439" s="433"/>
      <c r="AA439" s="433"/>
      <c r="AB439" s="433"/>
      <c r="AC439" s="433"/>
      <c r="AD439" s="433"/>
      <c r="AE439" s="433"/>
      <c r="AF439" s="433"/>
      <c r="AG439" s="433"/>
      <c r="AH439" s="433"/>
      <c r="AI439" s="433"/>
      <c r="AJ439" s="433"/>
      <c r="AK439" s="433"/>
      <c r="AL439" s="433"/>
      <c r="AM439" s="433"/>
      <c r="AN439" s="433"/>
      <c r="AO439" s="433"/>
      <c r="AP439" s="433"/>
      <c r="AQ439" s="433"/>
      <c r="AR439" s="433"/>
      <c r="AS439" s="433"/>
      <c r="AT439" s="433"/>
      <c r="AU439" s="433"/>
      <c r="AV439" s="433"/>
      <c r="AW439" s="433"/>
      <c r="AX439" s="433"/>
      <c r="AY439" s="433"/>
      <c r="AZ439" s="433"/>
      <c r="BA439" s="433"/>
      <c r="BB439" s="433"/>
      <c r="BC439" s="433"/>
      <c r="BD439" s="433"/>
      <c r="BE439" s="433"/>
      <c r="BF439" s="433"/>
      <c r="BG439" s="433"/>
      <c r="BH439" s="433"/>
      <c r="BI439" s="433"/>
      <c r="BJ439" s="433"/>
      <c r="BK439" s="433"/>
      <c r="BL439" s="433"/>
      <c r="BM439" s="433"/>
      <c r="BN439" s="433"/>
      <c r="BO439" s="433"/>
      <c r="BP439" s="433"/>
      <c r="BQ439" s="433"/>
      <c r="BR439" s="433"/>
      <c r="BS439" s="433"/>
      <c r="BT439" s="433"/>
      <c r="BU439" s="433"/>
    </row>
    <row r="440" spans="15:73" x14ac:dyDescent="0.2">
      <c r="O440" s="433"/>
      <c r="P440" s="433"/>
      <c r="Q440" s="433"/>
      <c r="R440" s="433"/>
      <c r="S440" s="433"/>
      <c r="T440" s="433"/>
      <c r="U440" s="433"/>
      <c r="V440" s="433"/>
      <c r="W440" s="433"/>
      <c r="X440" s="433"/>
      <c r="Y440" s="433"/>
      <c r="Z440" s="433"/>
      <c r="AA440" s="433"/>
      <c r="AB440" s="433"/>
      <c r="AC440" s="433"/>
      <c r="AD440" s="433"/>
      <c r="AE440" s="433"/>
      <c r="AF440" s="433"/>
      <c r="AG440" s="433"/>
      <c r="AH440" s="433"/>
      <c r="AI440" s="433"/>
      <c r="AJ440" s="433"/>
      <c r="AK440" s="433"/>
      <c r="AL440" s="433"/>
      <c r="AM440" s="433"/>
      <c r="AN440" s="433"/>
      <c r="AO440" s="433"/>
      <c r="AP440" s="433"/>
      <c r="AQ440" s="433"/>
      <c r="AR440" s="433"/>
      <c r="AS440" s="433"/>
      <c r="AT440" s="433"/>
      <c r="AU440" s="433"/>
      <c r="AV440" s="433"/>
      <c r="AW440" s="433"/>
      <c r="AX440" s="433"/>
      <c r="AY440" s="433"/>
      <c r="AZ440" s="433"/>
      <c r="BA440" s="433"/>
      <c r="BB440" s="433"/>
      <c r="BC440" s="433"/>
      <c r="BD440" s="433"/>
      <c r="BE440" s="433"/>
      <c r="BF440" s="433"/>
      <c r="BG440" s="433"/>
      <c r="BH440" s="433"/>
      <c r="BI440" s="433"/>
      <c r="BJ440" s="433"/>
      <c r="BK440" s="433"/>
      <c r="BL440" s="433"/>
      <c r="BM440" s="433"/>
      <c r="BN440" s="433"/>
      <c r="BO440" s="433"/>
      <c r="BP440" s="433"/>
      <c r="BQ440" s="433"/>
      <c r="BR440" s="433"/>
      <c r="BS440" s="433"/>
      <c r="BT440" s="433"/>
      <c r="BU440" s="433"/>
    </row>
    <row r="441" spans="15:73" x14ac:dyDescent="0.2">
      <c r="O441" s="433"/>
      <c r="P441" s="433"/>
      <c r="Q441" s="433"/>
      <c r="R441" s="433"/>
      <c r="S441" s="433"/>
      <c r="T441" s="433"/>
      <c r="U441" s="433"/>
      <c r="V441" s="433"/>
      <c r="W441" s="433"/>
      <c r="X441" s="433"/>
      <c r="Y441" s="433"/>
      <c r="Z441" s="433"/>
      <c r="AA441" s="433"/>
      <c r="AB441" s="433"/>
      <c r="AC441" s="433"/>
      <c r="AD441" s="433"/>
      <c r="AE441" s="433"/>
      <c r="AF441" s="433"/>
      <c r="AG441" s="433"/>
      <c r="AH441" s="433"/>
      <c r="AI441" s="433"/>
      <c r="AJ441" s="433"/>
      <c r="AK441" s="433"/>
      <c r="AL441" s="433"/>
      <c r="AM441" s="433"/>
      <c r="AN441" s="433"/>
      <c r="AO441" s="433"/>
      <c r="AP441" s="433"/>
      <c r="AQ441" s="433"/>
      <c r="AR441" s="433"/>
      <c r="AS441" s="433"/>
      <c r="AT441" s="433"/>
      <c r="AU441" s="433"/>
      <c r="AV441" s="433"/>
      <c r="AW441" s="433"/>
      <c r="AX441" s="433"/>
      <c r="AY441" s="433"/>
      <c r="AZ441" s="433"/>
      <c r="BA441" s="433"/>
      <c r="BB441" s="433"/>
      <c r="BC441" s="433"/>
      <c r="BD441" s="433"/>
      <c r="BE441" s="433"/>
      <c r="BF441" s="433"/>
      <c r="BG441" s="433"/>
      <c r="BH441" s="433"/>
      <c r="BI441" s="433"/>
      <c r="BJ441" s="433"/>
      <c r="BK441" s="433"/>
      <c r="BL441" s="433"/>
      <c r="BM441" s="433"/>
      <c r="BN441" s="433"/>
      <c r="BO441" s="433"/>
      <c r="BP441" s="433"/>
      <c r="BQ441" s="433"/>
      <c r="BR441" s="433"/>
      <c r="BS441" s="433"/>
      <c r="BT441" s="433"/>
      <c r="BU441" s="433"/>
    </row>
    <row r="442" spans="15:73" x14ac:dyDescent="0.2">
      <c r="O442" s="433"/>
      <c r="P442" s="433"/>
      <c r="Q442" s="433"/>
      <c r="R442" s="433"/>
      <c r="S442" s="433"/>
      <c r="T442" s="433"/>
      <c r="U442" s="433"/>
      <c r="V442" s="433"/>
      <c r="W442" s="433"/>
      <c r="X442" s="433"/>
      <c r="Y442" s="433"/>
      <c r="Z442" s="433"/>
      <c r="AA442" s="433"/>
      <c r="AB442" s="433"/>
      <c r="AC442" s="433"/>
      <c r="AD442" s="433"/>
      <c r="AE442" s="433"/>
      <c r="AF442" s="433"/>
      <c r="AG442" s="433"/>
      <c r="AH442" s="433"/>
      <c r="AI442" s="433"/>
      <c r="AJ442" s="433"/>
      <c r="AK442" s="433"/>
      <c r="AL442" s="433"/>
      <c r="AM442" s="433"/>
      <c r="AN442" s="433"/>
      <c r="AO442" s="433"/>
      <c r="AP442" s="433"/>
      <c r="AQ442" s="433"/>
      <c r="AR442" s="433"/>
      <c r="AS442" s="433"/>
      <c r="AT442" s="433"/>
      <c r="AU442" s="433"/>
      <c r="AV442" s="433"/>
      <c r="AW442" s="433"/>
      <c r="AX442" s="433"/>
      <c r="AY442" s="433"/>
      <c r="AZ442" s="433"/>
      <c r="BA442" s="433"/>
      <c r="BB442" s="433"/>
      <c r="BC442" s="433"/>
      <c r="BD442" s="433"/>
      <c r="BE442" s="433"/>
      <c r="BF442" s="433"/>
      <c r="BG442" s="433"/>
      <c r="BH442" s="433"/>
      <c r="BI442" s="433"/>
      <c r="BJ442" s="433"/>
      <c r="BK442" s="433"/>
      <c r="BL442" s="433"/>
      <c r="BM442" s="433"/>
      <c r="BN442" s="433"/>
      <c r="BO442" s="433"/>
      <c r="BP442" s="433"/>
      <c r="BQ442" s="433"/>
      <c r="BR442" s="433"/>
      <c r="BS442" s="433"/>
      <c r="BT442" s="433"/>
      <c r="BU442" s="433"/>
    </row>
    <row r="443" spans="15:73" x14ac:dyDescent="0.2">
      <c r="O443" s="433"/>
      <c r="P443" s="433"/>
      <c r="Q443" s="433"/>
      <c r="R443" s="433"/>
      <c r="S443" s="433"/>
      <c r="T443" s="433"/>
      <c r="U443" s="433"/>
      <c r="V443" s="433"/>
      <c r="W443" s="433"/>
      <c r="X443" s="433"/>
      <c r="Y443" s="433"/>
      <c r="Z443" s="433"/>
      <c r="AA443" s="433"/>
      <c r="AB443" s="433"/>
      <c r="AC443" s="433"/>
      <c r="AD443" s="433"/>
      <c r="AE443" s="433"/>
      <c r="AF443" s="433"/>
      <c r="AG443" s="433"/>
      <c r="AH443" s="433"/>
      <c r="AI443" s="433"/>
      <c r="AJ443" s="433"/>
      <c r="AK443" s="433"/>
      <c r="AL443" s="433"/>
      <c r="AM443" s="433"/>
      <c r="AN443" s="433"/>
      <c r="AO443" s="433"/>
      <c r="AP443" s="433"/>
      <c r="AQ443" s="433"/>
      <c r="AR443" s="433"/>
      <c r="AS443" s="433"/>
      <c r="AT443" s="433"/>
      <c r="AU443" s="433"/>
      <c r="AV443" s="433"/>
      <c r="AW443" s="433"/>
      <c r="AX443" s="433"/>
      <c r="AY443" s="433"/>
      <c r="AZ443" s="433"/>
      <c r="BA443" s="433"/>
      <c r="BB443" s="433"/>
      <c r="BC443" s="433"/>
      <c r="BD443" s="433"/>
      <c r="BE443" s="433"/>
      <c r="BF443" s="433"/>
      <c r="BG443" s="433"/>
      <c r="BH443" s="433"/>
      <c r="BI443" s="433"/>
      <c r="BJ443" s="433"/>
      <c r="BK443" s="433"/>
      <c r="BL443" s="433"/>
      <c r="BM443" s="433"/>
      <c r="BN443" s="433"/>
      <c r="BO443" s="433"/>
      <c r="BP443" s="433"/>
      <c r="BQ443" s="433"/>
      <c r="BR443" s="433"/>
      <c r="BS443" s="433"/>
      <c r="BT443" s="433"/>
      <c r="BU443" s="433"/>
    </row>
    <row r="444" spans="15:73" x14ac:dyDescent="0.2">
      <c r="O444" s="433"/>
      <c r="P444" s="433"/>
      <c r="Q444" s="433"/>
      <c r="R444" s="433"/>
      <c r="S444" s="433"/>
      <c r="T444" s="433"/>
      <c r="U444" s="433"/>
      <c r="V444" s="433"/>
      <c r="W444" s="433"/>
      <c r="X444" s="433"/>
      <c r="Y444" s="433"/>
      <c r="Z444" s="433"/>
      <c r="AA444" s="433"/>
      <c r="AB444" s="433"/>
      <c r="AC444" s="433"/>
      <c r="AD444" s="433"/>
      <c r="AE444" s="433"/>
      <c r="AF444" s="433"/>
      <c r="AG444" s="433"/>
      <c r="AH444" s="433"/>
      <c r="AI444" s="433"/>
      <c r="AJ444" s="433"/>
      <c r="AK444" s="433"/>
      <c r="AL444" s="433"/>
      <c r="AM444" s="433"/>
      <c r="AN444" s="433"/>
      <c r="AO444" s="433"/>
      <c r="AP444" s="433"/>
      <c r="AQ444" s="433"/>
      <c r="AR444" s="433"/>
      <c r="AS444" s="433"/>
      <c r="AT444" s="433"/>
      <c r="AU444" s="433"/>
      <c r="AV444" s="433"/>
      <c r="AW444" s="433"/>
      <c r="AX444" s="433"/>
      <c r="AY444" s="433"/>
      <c r="AZ444" s="433"/>
      <c r="BA444" s="433"/>
      <c r="BB444" s="433"/>
      <c r="BC444" s="433"/>
      <c r="BD444" s="433"/>
      <c r="BE444" s="433"/>
      <c r="BF444" s="433"/>
      <c r="BG444" s="433"/>
      <c r="BH444" s="433"/>
      <c r="BI444" s="433"/>
      <c r="BJ444" s="433"/>
      <c r="BK444" s="433"/>
      <c r="BL444" s="433"/>
      <c r="BM444" s="433"/>
      <c r="BN444" s="433"/>
      <c r="BO444" s="433"/>
      <c r="BP444" s="433"/>
      <c r="BQ444" s="433"/>
      <c r="BR444" s="433"/>
      <c r="BS444" s="433"/>
      <c r="BT444" s="433"/>
      <c r="BU444" s="433"/>
    </row>
    <row r="445" spans="15:73" x14ac:dyDescent="0.2">
      <c r="O445" s="433"/>
      <c r="P445" s="433"/>
      <c r="Q445" s="433"/>
      <c r="R445" s="433"/>
      <c r="S445" s="433"/>
      <c r="T445" s="433"/>
      <c r="U445" s="433"/>
      <c r="V445" s="433"/>
      <c r="W445" s="433"/>
      <c r="X445" s="433"/>
      <c r="Y445" s="433"/>
      <c r="Z445" s="433"/>
      <c r="AA445" s="433"/>
      <c r="AB445" s="433"/>
      <c r="AC445" s="433"/>
      <c r="AD445" s="433"/>
      <c r="AE445" s="433"/>
      <c r="AF445" s="433"/>
      <c r="AG445" s="433"/>
      <c r="AH445" s="433"/>
      <c r="AI445" s="433"/>
      <c r="AJ445" s="433"/>
      <c r="AK445" s="433"/>
      <c r="AL445" s="433"/>
      <c r="AM445" s="433"/>
      <c r="AN445" s="433"/>
      <c r="AO445" s="433"/>
      <c r="AP445" s="433"/>
      <c r="AQ445" s="433"/>
      <c r="AR445" s="433"/>
      <c r="AS445" s="433"/>
      <c r="AT445" s="433"/>
      <c r="AU445" s="433"/>
      <c r="AV445" s="433"/>
      <c r="AW445" s="433"/>
      <c r="AX445" s="433"/>
      <c r="AY445" s="433"/>
      <c r="AZ445" s="433"/>
      <c r="BA445" s="433"/>
      <c r="BB445" s="433"/>
      <c r="BC445" s="433"/>
      <c r="BD445" s="433"/>
      <c r="BE445" s="433"/>
      <c r="BF445" s="433"/>
      <c r="BG445" s="433"/>
      <c r="BH445" s="433"/>
      <c r="BI445" s="433"/>
      <c r="BJ445" s="433"/>
      <c r="BK445" s="433"/>
      <c r="BL445" s="433"/>
      <c r="BM445" s="433"/>
      <c r="BN445" s="433"/>
      <c r="BO445" s="433"/>
      <c r="BP445" s="433"/>
      <c r="BQ445" s="433"/>
      <c r="BR445" s="433"/>
      <c r="BS445" s="433"/>
      <c r="BT445" s="433"/>
      <c r="BU445" s="433"/>
    </row>
    <row r="446" spans="15:73" x14ac:dyDescent="0.2">
      <c r="O446" s="433"/>
      <c r="P446" s="433"/>
      <c r="Q446" s="433"/>
      <c r="R446" s="433"/>
      <c r="S446" s="433"/>
      <c r="T446" s="433"/>
      <c r="U446" s="433"/>
      <c r="V446" s="433"/>
      <c r="W446" s="433"/>
      <c r="X446" s="433"/>
      <c r="Y446" s="433"/>
      <c r="Z446" s="433"/>
      <c r="AA446" s="433"/>
      <c r="AB446" s="433"/>
      <c r="AC446" s="433"/>
      <c r="AD446" s="433"/>
      <c r="AE446" s="433"/>
      <c r="AF446" s="433"/>
      <c r="AG446" s="433"/>
      <c r="AH446" s="433"/>
      <c r="AI446" s="433"/>
      <c r="AJ446" s="433"/>
      <c r="AK446" s="433"/>
      <c r="AL446" s="433"/>
      <c r="AM446" s="433"/>
      <c r="AN446" s="433"/>
      <c r="AO446" s="433"/>
      <c r="AP446" s="433"/>
      <c r="AQ446" s="433"/>
      <c r="AR446" s="433"/>
      <c r="AS446" s="433"/>
      <c r="AT446" s="433"/>
      <c r="AU446" s="433"/>
      <c r="AV446" s="433"/>
      <c r="AW446" s="433"/>
      <c r="AX446" s="433"/>
      <c r="AY446" s="433"/>
      <c r="AZ446" s="433"/>
      <c r="BA446" s="433"/>
      <c r="BB446" s="433"/>
      <c r="BC446" s="433"/>
      <c r="BD446" s="433"/>
      <c r="BE446" s="433"/>
      <c r="BF446" s="433"/>
      <c r="BG446" s="433"/>
      <c r="BH446" s="433"/>
      <c r="BI446" s="433"/>
      <c r="BJ446" s="433"/>
      <c r="BK446" s="433"/>
      <c r="BL446" s="433"/>
      <c r="BM446" s="433"/>
      <c r="BN446" s="433"/>
      <c r="BO446" s="433"/>
      <c r="BP446" s="433"/>
      <c r="BQ446" s="433"/>
      <c r="BR446" s="433"/>
      <c r="BS446" s="433"/>
      <c r="BT446" s="433"/>
      <c r="BU446" s="433"/>
    </row>
    <row r="447" spans="15:73" x14ac:dyDescent="0.2">
      <c r="O447" s="433"/>
      <c r="P447" s="433"/>
      <c r="Q447" s="433"/>
      <c r="R447" s="433"/>
      <c r="S447" s="433"/>
      <c r="T447" s="433"/>
      <c r="U447" s="433"/>
      <c r="V447" s="433"/>
      <c r="W447" s="433"/>
      <c r="X447" s="433"/>
      <c r="Y447" s="433"/>
      <c r="Z447" s="433"/>
      <c r="AA447" s="433"/>
      <c r="AB447" s="433"/>
      <c r="AC447" s="433"/>
      <c r="AD447" s="433"/>
      <c r="AE447" s="433"/>
      <c r="AF447" s="433"/>
      <c r="AG447" s="433"/>
      <c r="AH447" s="433"/>
      <c r="AI447" s="433"/>
      <c r="AJ447" s="433"/>
      <c r="AK447" s="433"/>
      <c r="AL447" s="433"/>
      <c r="AM447" s="433"/>
      <c r="AN447" s="433"/>
      <c r="AO447" s="433"/>
      <c r="AP447" s="433"/>
      <c r="AQ447" s="433"/>
      <c r="AR447" s="433"/>
      <c r="AS447" s="433"/>
      <c r="AT447" s="433"/>
      <c r="AU447" s="433"/>
      <c r="AV447" s="433"/>
      <c r="AW447" s="433"/>
      <c r="AX447" s="433"/>
      <c r="AY447" s="433"/>
      <c r="AZ447" s="433"/>
      <c r="BA447" s="433"/>
      <c r="BB447" s="433"/>
      <c r="BC447" s="433"/>
      <c r="BD447" s="433"/>
      <c r="BE447" s="433"/>
      <c r="BF447" s="433"/>
      <c r="BG447" s="433"/>
      <c r="BH447" s="433"/>
      <c r="BI447" s="433"/>
      <c r="BJ447" s="433"/>
      <c r="BK447" s="433"/>
      <c r="BL447" s="433"/>
      <c r="BM447" s="433"/>
      <c r="BN447" s="433"/>
      <c r="BO447" s="433"/>
      <c r="BP447" s="433"/>
      <c r="BQ447" s="433"/>
      <c r="BR447" s="433"/>
      <c r="BS447" s="433"/>
      <c r="BT447" s="433"/>
      <c r="BU447" s="433"/>
    </row>
    <row r="448" spans="15:73" x14ac:dyDescent="0.2"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  <c r="AB448" s="433"/>
      <c r="AC448" s="433"/>
      <c r="AD448" s="433"/>
      <c r="AE448" s="433"/>
      <c r="AF448" s="433"/>
      <c r="AG448" s="433"/>
      <c r="AH448" s="433"/>
      <c r="AI448" s="433"/>
      <c r="AJ448" s="433"/>
      <c r="AK448" s="433"/>
      <c r="AL448" s="433"/>
      <c r="AM448" s="433"/>
      <c r="AN448" s="433"/>
      <c r="AO448" s="433"/>
      <c r="AP448" s="433"/>
      <c r="AQ448" s="433"/>
      <c r="AR448" s="433"/>
      <c r="AS448" s="433"/>
      <c r="AT448" s="433"/>
      <c r="AU448" s="433"/>
      <c r="AV448" s="433"/>
      <c r="AW448" s="433"/>
      <c r="AX448" s="433"/>
      <c r="AY448" s="433"/>
      <c r="AZ448" s="433"/>
      <c r="BA448" s="433"/>
      <c r="BB448" s="433"/>
      <c r="BC448" s="433"/>
      <c r="BD448" s="433"/>
      <c r="BE448" s="433"/>
      <c r="BF448" s="433"/>
      <c r="BG448" s="433"/>
      <c r="BH448" s="433"/>
      <c r="BI448" s="433"/>
      <c r="BJ448" s="433"/>
      <c r="BK448" s="433"/>
      <c r="BL448" s="433"/>
      <c r="BM448" s="433"/>
      <c r="BN448" s="433"/>
      <c r="BO448" s="433"/>
      <c r="BP448" s="433"/>
      <c r="BQ448" s="433"/>
      <c r="BR448" s="433"/>
      <c r="BS448" s="433"/>
      <c r="BT448" s="433"/>
      <c r="BU448" s="433"/>
    </row>
    <row r="449" spans="1:73" x14ac:dyDescent="0.2">
      <c r="A449" s="433"/>
      <c r="B449" s="433"/>
      <c r="C449" s="433"/>
      <c r="D449" s="437"/>
      <c r="E449" s="433"/>
      <c r="F449" s="437"/>
      <c r="G449" s="433"/>
      <c r="H449" s="437"/>
      <c r="I449" s="433"/>
      <c r="J449" s="433"/>
      <c r="K449" s="437"/>
      <c r="L449" s="437"/>
      <c r="M449" s="437"/>
      <c r="N449" s="437"/>
      <c r="O449" s="433"/>
      <c r="P449" s="433"/>
      <c r="Q449" s="433"/>
      <c r="R449" s="433"/>
      <c r="S449" s="433"/>
      <c r="T449" s="433"/>
      <c r="U449" s="433"/>
      <c r="V449" s="433"/>
      <c r="W449" s="433"/>
      <c r="X449" s="433"/>
      <c r="Y449" s="433"/>
      <c r="Z449" s="433"/>
      <c r="AA449" s="433"/>
      <c r="AB449" s="433"/>
      <c r="AC449" s="433"/>
      <c r="AD449" s="433"/>
      <c r="AE449" s="433"/>
      <c r="AF449" s="433"/>
      <c r="AG449" s="433"/>
      <c r="AH449" s="433"/>
      <c r="AI449" s="433"/>
      <c r="AJ449" s="433"/>
      <c r="AK449" s="433"/>
      <c r="AL449" s="433"/>
      <c r="AM449" s="433"/>
      <c r="AN449" s="433"/>
      <c r="AO449" s="433"/>
      <c r="AP449" s="433"/>
      <c r="AQ449" s="433"/>
      <c r="AR449" s="433"/>
      <c r="AS449" s="433"/>
      <c r="AT449" s="433"/>
      <c r="AU449" s="433"/>
      <c r="AV449" s="433"/>
      <c r="AW449" s="433"/>
      <c r="AX449" s="433"/>
      <c r="AY449" s="433"/>
      <c r="AZ449" s="433"/>
      <c r="BA449" s="433"/>
      <c r="BB449" s="433"/>
      <c r="BC449" s="433"/>
      <c r="BD449" s="433"/>
      <c r="BE449" s="433"/>
      <c r="BF449" s="433"/>
      <c r="BG449" s="433"/>
      <c r="BH449" s="433"/>
      <c r="BI449" s="433"/>
      <c r="BJ449" s="433"/>
      <c r="BK449" s="433"/>
      <c r="BL449" s="433"/>
      <c r="BM449" s="433"/>
      <c r="BN449" s="433"/>
      <c r="BO449" s="433"/>
      <c r="BP449" s="433"/>
      <c r="BQ449" s="433"/>
      <c r="BR449" s="433"/>
      <c r="BS449" s="433"/>
      <c r="BT449" s="433"/>
      <c r="BU449" s="433"/>
    </row>
    <row r="450" spans="1:73" x14ac:dyDescent="0.2">
      <c r="A450" s="433"/>
      <c r="B450" s="433"/>
      <c r="C450" s="433"/>
      <c r="D450" s="437"/>
      <c r="E450" s="433"/>
      <c r="F450" s="437"/>
      <c r="G450" s="433"/>
      <c r="H450" s="437"/>
      <c r="I450" s="433"/>
      <c r="J450" s="433"/>
      <c r="K450" s="437"/>
      <c r="L450" s="437"/>
      <c r="M450" s="437"/>
      <c r="N450" s="437"/>
      <c r="O450" s="433"/>
      <c r="P450" s="433"/>
      <c r="Q450" s="433"/>
      <c r="R450" s="433"/>
      <c r="S450" s="433"/>
      <c r="T450" s="433"/>
      <c r="U450" s="433"/>
      <c r="V450" s="433"/>
      <c r="W450" s="433"/>
      <c r="X450" s="433"/>
      <c r="Y450" s="433"/>
      <c r="Z450" s="433"/>
      <c r="AA450" s="433"/>
      <c r="AB450" s="433"/>
      <c r="AC450" s="433"/>
      <c r="AD450" s="433"/>
      <c r="AE450" s="433"/>
      <c r="AF450" s="433"/>
      <c r="AG450" s="433"/>
      <c r="AH450" s="433"/>
      <c r="AI450" s="433"/>
      <c r="AJ450" s="433"/>
      <c r="AK450" s="433"/>
      <c r="AL450" s="433"/>
      <c r="AM450" s="433"/>
      <c r="AN450" s="433"/>
      <c r="AO450" s="433"/>
      <c r="AP450" s="433"/>
      <c r="AQ450" s="433"/>
      <c r="AR450" s="433"/>
      <c r="AS450" s="433"/>
      <c r="AT450" s="433"/>
      <c r="AU450" s="433"/>
      <c r="AV450" s="433"/>
      <c r="AW450" s="433"/>
      <c r="AX450" s="433"/>
      <c r="AY450" s="433"/>
      <c r="AZ450" s="433"/>
      <c r="BA450" s="433"/>
      <c r="BB450" s="433"/>
      <c r="BC450" s="433"/>
      <c r="BD450" s="433"/>
      <c r="BE450" s="433"/>
      <c r="BF450" s="433"/>
      <c r="BG450" s="433"/>
      <c r="BH450" s="433"/>
      <c r="BI450" s="433"/>
      <c r="BJ450" s="433"/>
      <c r="BK450" s="433"/>
      <c r="BL450" s="433"/>
      <c r="BM450" s="433"/>
      <c r="BN450" s="433"/>
      <c r="BO450" s="433"/>
      <c r="BP450" s="433"/>
      <c r="BQ450" s="433"/>
      <c r="BR450" s="433"/>
      <c r="BS450" s="433"/>
      <c r="BT450" s="433"/>
      <c r="BU450" s="433"/>
    </row>
    <row r="451" spans="1:73" x14ac:dyDescent="0.2">
      <c r="A451" s="433"/>
      <c r="B451" s="433"/>
      <c r="C451" s="433"/>
      <c r="D451" s="437"/>
      <c r="E451" s="433"/>
      <c r="F451" s="437"/>
      <c r="G451" s="433"/>
      <c r="H451" s="437"/>
      <c r="I451" s="433"/>
      <c r="J451" s="433"/>
      <c r="K451" s="437"/>
      <c r="L451" s="437"/>
      <c r="M451" s="437"/>
      <c r="N451" s="437"/>
      <c r="O451" s="433"/>
      <c r="P451" s="433"/>
      <c r="Q451" s="433"/>
      <c r="R451" s="433"/>
      <c r="S451" s="433"/>
      <c r="T451" s="433"/>
      <c r="U451" s="433"/>
      <c r="V451" s="433"/>
      <c r="W451" s="433"/>
      <c r="X451" s="433"/>
      <c r="Y451" s="433"/>
      <c r="Z451" s="433"/>
      <c r="AA451" s="433"/>
      <c r="AB451" s="433"/>
      <c r="AC451" s="433"/>
      <c r="AD451" s="433"/>
      <c r="AE451" s="433"/>
      <c r="AF451" s="433"/>
      <c r="AG451" s="433"/>
      <c r="AH451" s="433"/>
      <c r="AI451" s="433"/>
      <c r="AJ451" s="433"/>
      <c r="AK451" s="433"/>
      <c r="AL451" s="433"/>
      <c r="AM451" s="433"/>
      <c r="AN451" s="433"/>
      <c r="AO451" s="433"/>
      <c r="AP451" s="433"/>
      <c r="AQ451" s="433"/>
      <c r="AR451" s="433"/>
      <c r="AS451" s="433"/>
      <c r="AT451" s="433"/>
      <c r="AU451" s="433"/>
      <c r="AV451" s="433"/>
      <c r="AW451" s="433"/>
      <c r="AX451" s="433"/>
      <c r="AY451" s="433"/>
      <c r="AZ451" s="433"/>
      <c r="BA451" s="433"/>
      <c r="BB451" s="433"/>
      <c r="BC451" s="433"/>
      <c r="BD451" s="433"/>
      <c r="BE451" s="433"/>
      <c r="BF451" s="433"/>
      <c r="BG451" s="433"/>
      <c r="BH451" s="433"/>
      <c r="BI451" s="433"/>
      <c r="BJ451" s="433"/>
      <c r="BK451" s="433"/>
      <c r="BL451" s="433"/>
      <c r="BM451" s="433"/>
      <c r="BN451" s="433"/>
      <c r="BO451" s="433"/>
      <c r="BP451" s="433"/>
      <c r="BQ451" s="433"/>
      <c r="BR451" s="433"/>
      <c r="BS451" s="433"/>
      <c r="BT451" s="433"/>
      <c r="BU451" s="433"/>
    </row>
    <row r="452" spans="1:73" x14ac:dyDescent="0.2">
      <c r="A452" s="433"/>
      <c r="B452" s="437"/>
      <c r="C452" s="437"/>
      <c r="D452" s="437"/>
      <c r="E452" s="437"/>
      <c r="F452" s="437"/>
      <c r="G452" s="437"/>
      <c r="H452" s="437"/>
      <c r="I452" s="437"/>
      <c r="J452" s="437"/>
      <c r="K452" s="437"/>
      <c r="L452" s="437"/>
      <c r="M452" s="437"/>
      <c r="N452" s="437"/>
      <c r="O452" s="433"/>
      <c r="P452" s="433"/>
      <c r="Q452" s="433"/>
      <c r="R452" s="433"/>
      <c r="S452" s="433"/>
      <c r="T452" s="433"/>
      <c r="U452" s="433"/>
      <c r="V452" s="433"/>
      <c r="W452" s="433"/>
      <c r="X452" s="433"/>
      <c r="Y452" s="433"/>
      <c r="Z452" s="433"/>
      <c r="AA452" s="433"/>
      <c r="AB452" s="433"/>
      <c r="AC452" s="433"/>
      <c r="AD452" s="433"/>
      <c r="AE452" s="433"/>
      <c r="AF452" s="433"/>
      <c r="AG452" s="433"/>
      <c r="AH452" s="433"/>
      <c r="AI452" s="433"/>
      <c r="AJ452" s="433"/>
      <c r="AK452" s="433"/>
      <c r="AL452" s="433"/>
      <c r="AM452" s="433"/>
      <c r="AN452" s="433"/>
      <c r="AO452" s="433"/>
      <c r="AP452" s="433"/>
      <c r="AQ452" s="433"/>
      <c r="AR452" s="433"/>
      <c r="AS452" s="433"/>
      <c r="AT452" s="433"/>
      <c r="AU452" s="433"/>
      <c r="AV452" s="433"/>
      <c r="AW452" s="433"/>
      <c r="AX452" s="433"/>
      <c r="AY452" s="433"/>
      <c r="AZ452" s="433"/>
      <c r="BA452" s="433"/>
      <c r="BB452" s="433"/>
      <c r="BC452" s="433"/>
      <c r="BD452" s="433"/>
      <c r="BE452" s="433"/>
      <c r="BF452" s="433"/>
      <c r="BG452" s="433"/>
      <c r="BH452" s="433"/>
      <c r="BI452" s="433"/>
      <c r="BJ452" s="433"/>
      <c r="BK452" s="433"/>
      <c r="BL452" s="433"/>
      <c r="BM452" s="433"/>
      <c r="BN452" s="433"/>
      <c r="BO452" s="433"/>
      <c r="BP452" s="433"/>
      <c r="BQ452" s="433"/>
      <c r="BR452" s="433"/>
      <c r="BS452" s="433"/>
      <c r="BT452" s="433"/>
      <c r="BU452" s="433"/>
    </row>
    <row r="453" spans="1:73" x14ac:dyDescent="0.2">
      <c r="A453" s="433"/>
      <c r="B453" s="437"/>
      <c r="C453" s="437"/>
      <c r="D453" s="437"/>
      <c r="E453" s="437"/>
      <c r="F453" s="437"/>
      <c r="G453" s="437"/>
      <c r="H453" s="437"/>
      <c r="I453" s="437"/>
      <c r="J453" s="437"/>
      <c r="K453" s="437"/>
      <c r="L453" s="437"/>
      <c r="M453" s="437"/>
      <c r="N453" s="437"/>
      <c r="O453" s="433"/>
      <c r="P453" s="433"/>
      <c r="Q453" s="433"/>
      <c r="R453" s="433"/>
      <c r="S453" s="433"/>
      <c r="T453" s="433"/>
      <c r="U453" s="433"/>
      <c r="V453" s="433"/>
      <c r="W453" s="433"/>
      <c r="X453" s="433"/>
      <c r="Y453" s="433"/>
      <c r="Z453" s="433"/>
      <c r="AA453" s="433"/>
      <c r="AB453" s="433"/>
      <c r="AC453" s="433"/>
      <c r="AD453" s="433"/>
      <c r="AE453" s="433"/>
      <c r="AF453" s="433"/>
      <c r="AG453" s="433"/>
      <c r="AH453" s="433"/>
      <c r="AI453" s="433"/>
      <c r="AJ453" s="433"/>
      <c r="AK453" s="433"/>
      <c r="AL453" s="433"/>
      <c r="AM453" s="433"/>
      <c r="AN453" s="433"/>
      <c r="AO453" s="433"/>
      <c r="AP453" s="433"/>
      <c r="AQ453" s="433"/>
      <c r="AR453" s="433"/>
      <c r="AS453" s="433"/>
      <c r="AT453" s="433"/>
      <c r="AU453" s="433"/>
      <c r="AV453" s="433"/>
      <c r="AW453" s="433"/>
      <c r="AX453" s="433"/>
      <c r="AY453" s="433"/>
      <c r="AZ453" s="433"/>
      <c r="BA453" s="433"/>
      <c r="BB453" s="433"/>
      <c r="BC453" s="433"/>
      <c r="BD453" s="433"/>
      <c r="BE453" s="433"/>
      <c r="BF453" s="433"/>
      <c r="BG453" s="433"/>
      <c r="BH453" s="433"/>
      <c r="BI453" s="433"/>
      <c r="BJ453" s="433"/>
      <c r="BK453" s="433"/>
      <c r="BL453" s="433"/>
      <c r="BM453" s="433"/>
      <c r="BN453" s="433"/>
      <c r="BO453" s="433"/>
      <c r="BP453" s="433"/>
      <c r="BQ453" s="433"/>
      <c r="BR453" s="433"/>
      <c r="BS453" s="433"/>
      <c r="BT453" s="433"/>
      <c r="BU453" s="433"/>
    </row>
    <row r="454" spans="1:73" x14ac:dyDescent="0.2">
      <c r="A454" s="433"/>
      <c r="B454" s="437"/>
      <c r="C454" s="437"/>
      <c r="D454" s="437"/>
      <c r="E454" s="437"/>
      <c r="F454" s="437"/>
      <c r="G454" s="437"/>
      <c r="H454" s="437"/>
      <c r="I454" s="437"/>
      <c r="J454" s="437"/>
      <c r="K454" s="437"/>
      <c r="L454" s="437"/>
      <c r="M454" s="437"/>
      <c r="N454" s="437"/>
      <c r="O454" s="433"/>
      <c r="P454" s="433"/>
      <c r="Q454" s="433"/>
      <c r="R454" s="433"/>
      <c r="S454" s="433"/>
      <c r="T454" s="433"/>
      <c r="U454" s="433"/>
      <c r="V454" s="433"/>
      <c r="W454" s="433"/>
      <c r="X454" s="433"/>
      <c r="Y454" s="433"/>
      <c r="Z454" s="433"/>
      <c r="AA454" s="433"/>
      <c r="AB454" s="433"/>
      <c r="AC454" s="433"/>
      <c r="AD454" s="433"/>
      <c r="AE454" s="433"/>
      <c r="AF454" s="433"/>
      <c r="AG454" s="433"/>
      <c r="AH454" s="433"/>
      <c r="AI454" s="433"/>
      <c r="AJ454" s="433"/>
      <c r="AK454" s="433"/>
      <c r="AL454" s="433"/>
      <c r="AM454" s="433"/>
      <c r="AN454" s="433"/>
      <c r="AO454" s="433"/>
      <c r="AP454" s="433"/>
      <c r="AQ454" s="433"/>
      <c r="AR454" s="433"/>
      <c r="AS454" s="433"/>
      <c r="AT454" s="433"/>
      <c r="AU454" s="433"/>
      <c r="AV454" s="433"/>
      <c r="AW454" s="433"/>
      <c r="AX454" s="433"/>
      <c r="AY454" s="433"/>
      <c r="AZ454" s="433"/>
      <c r="BA454" s="433"/>
      <c r="BB454" s="433"/>
      <c r="BC454" s="433"/>
      <c r="BD454" s="433"/>
      <c r="BE454" s="433"/>
      <c r="BF454" s="433"/>
      <c r="BG454" s="433"/>
      <c r="BH454" s="433"/>
      <c r="BI454" s="433"/>
      <c r="BJ454" s="433"/>
      <c r="BK454" s="433"/>
      <c r="BL454" s="433"/>
      <c r="BM454" s="433"/>
      <c r="BN454" s="433"/>
      <c r="BO454" s="433"/>
      <c r="BP454" s="433"/>
      <c r="BQ454" s="433"/>
      <c r="BR454" s="433"/>
      <c r="BS454" s="433"/>
      <c r="BT454" s="433"/>
      <c r="BU454" s="433"/>
    </row>
    <row r="455" spans="1:73" x14ac:dyDescent="0.2">
      <c r="K455" s="437"/>
      <c r="L455" s="437"/>
      <c r="M455" s="437"/>
      <c r="N455" s="437"/>
      <c r="O455" s="433"/>
      <c r="P455" s="433"/>
      <c r="Q455" s="433"/>
      <c r="R455" s="433"/>
      <c r="S455" s="433"/>
      <c r="T455" s="433"/>
      <c r="U455" s="433"/>
      <c r="V455" s="433"/>
      <c r="W455" s="433"/>
      <c r="X455" s="433"/>
      <c r="Y455" s="433"/>
      <c r="Z455" s="433"/>
      <c r="AA455" s="433"/>
      <c r="AB455" s="433"/>
      <c r="AC455" s="433"/>
      <c r="AD455" s="433"/>
      <c r="AE455" s="433"/>
      <c r="AF455" s="433"/>
      <c r="AG455" s="433"/>
      <c r="AH455" s="433"/>
      <c r="AI455" s="433"/>
      <c r="AJ455" s="433"/>
      <c r="AK455" s="433"/>
      <c r="AL455" s="433"/>
      <c r="AM455" s="433"/>
      <c r="AN455" s="433"/>
      <c r="AO455" s="433"/>
      <c r="AP455" s="433"/>
      <c r="AQ455" s="433"/>
      <c r="AR455" s="433"/>
      <c r="AS455" s="433"/>
      <c r="AT455" s="433"/>
      <c r="AU455" s="433"/>
      <c r="AV455" s="433"/>
      <c r="AW455" s="433"/>
      <c r="AX455" s="433"/>
      <c r="AY455" s="433"/>
      <c r="AZ455" s="433"/>
      <c r="BA455" s="433"/>
      <c r="BB455" s="433"/>
      <c r="BC455" s="433"/>
      <c r="BD455" s="433"/>
      <c r="BE455" s="433"/>
      <c r="BF455" s="433"/>
      <c r="BG455" s="433"/>
      <c r="BH455" s="433"/>
      <c r="BI455" s="433"/>
      <c r="BJ455" s="433"/>
      <c r="BK455" s="433"/>
      <c r="BL455" s="433"/>
      <c r="BM455" s="433"/>
      <c r="BN455" s="433"/>
      <c r="BO455" s="433"/>
      <c r="BP455" s="433"/>
      <c r="BQ455" s="433"/>
      <c r="BR455" s="433"/>
      <c r="BS455" s="433"/>
      <c r="BT455" s="433"/>
      <c r="BU455" s="433"/>
    </row>
    <row r="456" spans="1:73" x14ac:dyDescent="0.2">
      <c r="K456" s="437"/>
      <c r="L456" s="437"/>
      <c r="M456" s="437"/>
      <c r="N456" s="437"/>
      <c r="O456" s="433"/>
      <c r="P456" s="433"/>
      <c r="Q456" s="433"/>
      <c r="R456" s="433"/>
      <c r="S456" s="433"/>
      <c r="T456" s="433"/>
      <c r="U456" s="433"/>
      <c r="V456" s="433"/>
      <c r="W456" s="433"/>
      <c r="X456" s="433"/>
      <c r="Y456" s="433"/>
      <c r="Z456" s="433"/>
      <c r="AA456" s="433"/>
      <c r="AB456" s="433"/>
      <c r="AC456" s="433"/>
      <c r="AD456" s="433"/>
      <c r="AE456" s="433"/>
      <c r="AF456" s="433"/>
      <c r="AG456" s="433"/>
      <c r="AH456" s="433"/>
      <c r="AI456" s="433"/>
      <c r="AJ456" s="433"/>
      <c r="AK456" s="433"/>
      <c r="AL456" s="433"/>
      <c r="AM456" s="433"/>
      <c r="AN456" s="433"/>
      <c r="AO456" s="433"/>
      <c r="AP456" s="433"/>
      <c r="AQ456" s="433"/>
      <c r="AR456" s="433"/>
      <c r="AS456" s="433"/>
      <c r="AT456" s="433"/>
      <c r="AU456" s="433"/>
      <c r="AV456" s="433"/>
      <c r="AW456" s="433"/>
      <c r="AX456" s="433"/>
      <c r="AY456" s="433"/>
      <c r="AZ456" s="433"/>
      <c r="BA456" s="433"/>
      <c r="BB456" s="433"/>
      <c r="BC456" s="433"/>
      <c r="BD456" s="433"/>
      <c r="BE456" s="433"/>
      <c r="BF456" s="433"/>
      <c r="BG456" s="433"/>
      <c r="BH456" s="433"/>
      <c r="BI456" s="433"/>
      <c r="BJ456" s="433"/>
      <c r="BK456" s="433"/>
      <c r="BL456" s="433"/>
      <c r="BM456" s="433"/>
      <c r="BN456" s="433"/>
      <c r="BO456" s="433"/>
      <c r="BP456" s="433"/>
      <c r="BQ456" s="433"/>
      <c r="BR456" s="433"/>
      <c r="BS456" s="433"/>
      <c r="BT456" s="433"/>
      <c r="BU456" s="433"/>
    </row>
    <row r="457" spans="1:73" x14ac:dyDescent="0.2">
      <c r="K457" s="437"/>
      <c r="L457" s="437"/>
      <c r="M457" s="437"/>
      <c r="N457" s="437"/>
      <c r="O457" s="433"/>
      <c r="P457" s="433"/>
      <c r="Q457" s="433"/>
      <c r="R457" s="433"/>
      <c r="S457" s="433"/>
      <c r="T457" s="433"/>
      <c r="U457" s="433"/>
      <c r="V457" s="433"/>
      <c r="W457" s="433"/>
      <c r="X457" s="433"/>
      <c r="Y457" s="433"/>
      <c r="Z457" s="433"/>
      <c r="AA457" s="433"/>
      <c r="AB457" s="433"/>
      <c r="AC457" s="433"/>
      <c r="AD457" s="433"/>
      <c r="AE457" s="433"/>
      <c r="AF457" s="433"/>
      <c r="AG457" s="433"/>
      <c r="AH457" s="433"/>
      <c r="AI457" s="433"/>
      <c r="AJ457" s="433"/>
      <c r="AK457" s="433"/>
      <c r="AL457" s="433"/>
      <c r="AM457" s="433"/>
      <c r="AN457" s="433"/>
      <c r="AO457" s="433"/>
      <c r="AP457" s="433"/>
      <c r="AQ457" s="433"/>
      <c r="AR457" s="433"/>
      <c r="AS457" s="433"/>
      <c r="AT457" s="433"/>
      <c r="AU457" s="433"/>
      <c r="AV457" s="433"/>
      <c r="AW457" s="433"/>
      <c r="AX457" s="433"/>
      <c r="AY457" s="433"/>
      <c r="AZ457" s="433"/>
      <c r="BA457" s="433"/>
      <c r="BB457" s="433"/>
      <c r="BC457" s="433"/>
      <c r="BD457" s="433"/>
      <c r="BE457" s="433"/>
      <c r="BF457" s="433"/>
      <c r="BG457" s="433"/>
      <c r="BH457" s="433"/>
      <c r="BI457" s="433"/>
      <c r="BJ457" s="433"/>
      <c r="BK457" s="433"/>
      <c r="BL457" s="433"/>
      <c r="BM457" s="433"/>
      <c r="BN457" s="433"/>
      <c r="BO457" s="433"/>
      <c r="BP457" s="433"/>
      <c r="BQ457" s="433"/>
      <c r="BR457" s="433"/>
      <c r="BS457" s="433"/>
      <c r="BT457" s="433"/>
      <c r="BU457" s="433"/>
    </row>
    <row r="458" spans="1:73" x14ac:dyDescent="0.2">
      <c r="K458" s="433"/>
      <c r="L458" s="433"/>
      <c r="M458" s="433"/>
      <c r="N458" s="433"/>
      <c r="O458" s="433"/>
      <c r="P458" s="433"/>
      <c r="Q458" s="433"/>
      <c r="R458" s="433"/>
      <c r="S458" s="433"/>
      <c r="T458" s="433"/>
      <c r="U458" s="437"/>
      <c r="V458" s="437"/>
      <c r="W458" s="437"/>
      <c r="X458" s="437"/>
      <c r="Y458" s="437"/>
      <c r="Z458" s="437"/>
      <c r="AA458" s="437"/>
      <c r="AB458" s="433"/>
      <c r="AC458" s="433"/>
      <c r="AD458" s="433"/>
      <c r="AE458" s="433"/>
      <c r="AF458" s="433"/>
      <c r="AG458" s="433"/>
      <c r="AH458" s="433"/>
      <c r="AI458" s="433"/>
      <c r="AJ458" s="433"/>
      <c r="AK458" s="433"/>
      <c r="AL458" s="433"/>
      <c r="AM458" s="433"/>
      <c r="AN458" s="433"/>
      <c r="AO458" s="433"/>
      <c r="AP458" s="433"/>
      <c r="AQ458" s="433"/>
      <c r="AR458" s="433"/>
      <c r="AS458" s="433"/>
      <c r="AT458" s="433"/>
      <c r="AU458" s="433"/>
      <c r="AV458" s="433"/>
      <c r="AW458" s="433"/>
      <c r="AX458" s="433"/>
      <c r="AY458" s="433"/>
      <c r="AZ458" s="433"/>
      <c r="BA458" s="433"/>
      <c r="BB458" s="433"/>
      <c r="BC458" s="433"/>
      <c r="BD458" s="433"/>
      <c r="BE458" s="433"/>
      <c r="BF458" s="433"/>
      <c r="BG458" s="433"/>
      <c r="BH458" s="433"/>
      <c r="BI458" s="433"/>
      <c r="BJ458" s="433"/>
      <c r="BK458" s="433"/>
      <c r="BL458" s="433"/>
      <c r="BM458" s="433"/>
      <c r="BN458" s="433"/>
      <c r="BO458" s="433"/>
      <c r="BP458" s="433"/>
      <c r="BQ458" s="433"/>
      <c r="BR458" s="433"/>
      <c r="BS458" s="433"/>
      <c r="BT458" s="433"/>
      <c r="BU458" s="433"/>
    </row>
    <row r="459" spans="1:73" x14ac:dyDescent="0.2">
      <c r="K459" s="433"/>
      <c r="L459" s="433"/>
      <c r="M459" s="433"/>
      <c r="N459" s="433"/>
      <c r="O459" s="433"/>
      <c r="P459" s="433"/>
      <c r="Q459" s="433"/>
      <c r="R459" s="433"/>
      <c r="S459" s="433"/>
      <c r="T459" s="433"/>
      <c r="U459" s="437"/>
      <c r="V459" s="437"/>
      <c r="W459" s="437"/>
      <c r="X459" s="437"/>
      <c r="Y459" s="437"/>
      <c r="Z459" s="437"/>
      <c r="AA459" s="437"/>
      <c r="AB459" s="433"/>
      <c r="AC459" s="433"/>
      <c r="AD459" s="433"/>
      <c r="AE459" s="433"/>
      <c r="AF459" s="433"/>
      <c r="AG459" s="433"/>
      <c r="AH459" s="433"/>
      <c r="AI459" s="433"/>
      <c r="AJ459" s="433"/>
      <c r="AK459" s="433"/>
      <c r="AL459" s="433"/>
      <c r="AM459" s="433"/>
      <c r="AN459" s="433"/>
      <c r="AO459" s="433"/>
      <c r="AP459" s="433"/>
      <c r="AQ459" s="433"/>
      <c r="AR459" s="433"/>
      <c r="AS459" s="433"/>
      <c r="AT459" s="433"/>
      <c r="AU459" s="433"/>
      <c r="AV459" s="433"/>
      <c r="AW459" s="433"/>
      <c r="AX459" s="433"/>
      <c r="AY459" s="433"/>
      <c r="AZ459" s="433"/>
      <c r="BA459" s="433"/>
      <c r="BB459" s="433"/>
      <c r="BC459" s="433"/>
      <c r="BD459" s="433"/>
      <c r="BE459" s="433"/>
      <c r="BF459" s="433"/>
      <c r="BG459" s="433"/>
      <c r="BH459" s="433"/>
      <c r="BI459" s="433"/>
      <c r="BJ459" s="433"/>
      <c r="BK459" s="433"/>
      <c r="BL459" s="433"/>
      <c r="BM459" s="433"/>
      <c r="BN459" s="433"/>
      <c r="BO459" s="433"/>
      <c r="BP459" s="433"/>
      <c r="BQ459" s="433"/>
      <c r="BR459" s="433"/>
      <c r="BS459" s="433"/>
      <c r="BT459" s="433"/>
      <c r="BU459" s="433"/>
    </row>
    <row r="460" spans="1:73" x14ac:dyDescent="0.2">
      <c r="K460" s="433"/>
      <c r="L460" s="433"/>
      <c r="M460" s="433"/>
      <c r="N460" s="433"/>
      <c r="O460" s="433"/>
      <c r="P460" s="433"/>
      <c r="Q460" s="433"/>
      <c r="R460" s="433"/>
      <c r="S460" s="433"/>
      <c r="T460" s="433"/>
      <c r="U460" s="437"/>
      <c r="V460" s="437"/>
      <c r="W460" s="437"/>
      <c r="X460" s="437"/>
      <c r="Y460" s="437"/>
      <c r="Z460" s="437"/>
      <c r="AA460" s="437"/>
      <c r="AB460" s="433"/>
      <c r="AC460" s="433"/>
      <c r="AD460" s="433"/>
      <c r="AE460" s="433"/>
      <c r="AF460" s="433"/>
      <c r="AG460" s="433"/>
      <c r="AH460" s="433"/>
      <c r="AI460" s="433"/>
      <c r="AJ460" s="433"/>
      <c r="AK460" s="433"/>
      <c r="AL460" s="433"/>
      <c r="AM460" s="433"/>
      <c r="AN460" s="433"/>
      <c r="AO460" s="433"/>
      <c r="AP460" s="433"/>
      <c r="AQ460" s="433"/>
      <c r="AR460" s="433"/>
      <c r="AS460" s="433"/>
      <c r="AT460" s="433"/>
      <c r="AU460" s="433"/>
      <c r="AV460" s="433"/>
      <c r="AW460" s="433"/>
      <c r="AX460" s="433"/>
      <c r="AY460" s="433"/>
      <c r="AZ460" s="433"/>
      <c r="BA460" s="433"/>
      <c r="BB460" s="433"/>
      <c r="BC460" s="433"/>
      <c r="BD460" s="433"/>
      <c r="BE460" s="433"/>
      <c r="BF460" s="433"/>
      <c r="BG460" s="433"/>
      <c r="BH460" s="433"/>
      <c r="BI460" s="433"/>
      <c r="BJ460" s="433"/>
      <c r="BK460" s="433"/>
      <c r="BL460" s="433"/>
      <c r="BM460" s="433"/>
      <c r="BN460" s="433"/>
      <c r="BO460" s="433"/>
      <c r="BP460" s="433"/>
      <c r="BQ460" s="433"/>
      <c r="BR460" s="433"/>
      <c r="BS460" s="433"/>
      <c r="BT460" s="433"/>
      <c r="BU460" s="433"/>
    </row>
    <row r="461" spans="1:73" x14ac:dyDescent="0.2">
      <c r="K461" s="433"/>
      <c r="L461" s="433"/>
      <c r="M461" s="433"/>
      <c r="N461" s="433"/>
      <c r="O461" s="433"/>
      <c r="P461" s="433"/>
      <c r="Q461" s="433"/>
      <c r="R461" s="433"/>
      <c r="S461" s="433"/>
      <c r="T461" s="433"/>
      <c r="U461" s="433"/>
      <c r="V461" s="437"/>
      <c r="W461" s="437"/>
      <c r="X461" s="437"/>
      <c r="Y461" s="437"/>
      <c r="Z461" s="437"/>
      <c r="AA461" s="437"/>
      <c r="AB461" s="433"/>
      <c r="AC461" s="433"/>
      <c r="AD461" s="433"/>
      <c r="AE461" s="433"/>
      <c r="AF461" s="433"/>
      <c r="AG461" s="433"/>
      <c r="AH461" s="433"/>
      <c r="AI461" s="433"/>
      <c r="AJ461" s="433"/>
      <c r="AK461" s="433"/>
      <c r="AL461" s="433"/>
      <c r="AM461" s="433"/>
      <c r="AN461" s="433"/>
      <c r="AO461" s="433"/>
      <c r="AP461" s="433"/>
      <c r="AQ461" s="433"/>
      <c r="AR461" s="433"/>
      <c r="AS461" s="433"/>
      <c r="AT461" s="433"/>
      <c r="AU461" s="433"/>
      <c r="AV461" s="433"/>
      <c r="AW461" s="433"/>
      <c r="AX461" s="433"/>
      <c r="AY461" s="433"/>
      <c r="AZ461" s="433"/>
      <c r="BA461" s="433"/>
      <c r="BB461" s="433"/>
      <c r="BC461" s="433"/>
      <c r="BD461" s="433"/>
      <c r="BE461" s="433"/>
      <c r="BF461" s="433"/>
      <c r="BG461" s="433"/>
      <c r="BH461" s="433"/>
      <c r="BI461" s="433"/>
      <c r="BJ461" s="433"/>
      <c r="BK461" s="433"/>
      <c r="BL461" s="433"/>
      <c r="BM461" s="433"/>
      <c r="BN461" s="433"/>
      <c r="BO461" s="433"/>
      <c r="BP461" s="433"/>
      <c r="BQ461" s="433"/>
      <c r="BR461" s="433"/>
      <c r="BS461" s="433"/>
      <c r="BT461" s="433"/>
      <c r="BU461" s="433"/>
    </row>
    <row r="462" spans="1:73" x14ac:dyDescent="0.2">
      <c r="K462" s="433"/>
      <c r="L462" s="433"/>
      <c r="M462" s="433"/>
      <c r="N462" s="433"/>
      <c r="O462" s="433"/>
      <c r="P462" s="433"/>
      <c r="Q462" s="433"/>
      <c r="R462" s="433"/>
      <c r="S462" s="433"/>
      <c r="T462" s="433"/>
      <c r="U462" s="433"/>
      <c r="V462" s="437"/>
      <c r="W462" s="437"/>
      <c r="X462" s="437"/>
      <c r="Y462" s="437"/>
      <c r="Z462" s="437"/>
      <c r="AA462" s="437"/>
      <c r="AB462" s="433"/>
      <c r="AC462" s="433"/>
      <c r="AD462" s="433"/>
      <c r="AE462" s="433"/>
      <c r="AF462" s="433"/>
      <c r="AG462" s="433"/>
      <c r="AH462" s="433"/>
      <c r="AI462" s="433"/>
      <c r="AJ462" s="433"/>
      <c r="AK462" s="433"/>
      <c r="AL462" s="433"/>
      <c r="AM462" s="433"/>
      <c r="AN462" s="433"/>
      <c r="AO462" s="433"/>
      <c r="AP462" s="433"/>
      <c r="AQ462" s="433"/>
      <c r="AR462" s="433"/>
      <c r="AS462" s="433"/>
      <c r="AT462" s="433"/>
      <c r="AU462" s="433"/>
      <c r="AV462" s="433"/>
      <c r="AW462" s="433"/>
      <c r="AX462" s="433"/>
      <c r="AY462" s="433"/>
      <c r="AZ462" s="433"/>
      <c r="BA462" s="433"/>
      <c r="BB462" s="433"/>
      <c r="BC462" s="433"/>
      <c r="BD462" s="433"/>
      <c r="BE462" s="433"/>
      <c r="BF462" s="433"/>
      <c r="BG462" s="433"/>
      <c r="BH462" s="433"/>
      <c r="BI462" s="433"/>
      <c r="BJ462" s="433"/>
      <c r="BK462" s="433"/>
      <c r="BL462" s="433"/>
      <c r="BM462" s="433"/>
      <c r="BN462" s="433"/>
      <c r="BO462" s="433"/>
      <c r="BP462" s="433"/>
      <c r="BQ462" s="433"/>
      <c r="BR462" s="433"/>
      <c r="BS462" s="433"/>
      <c r="BT462" s="433"/>
      <c r="BU462" s="433"/>
    </row>
    <row r="463" spans="1:73" x14ac:dyDescent="0.2">
      <c r="K463" s="433"/>
      <c r="L463" s="433"/>
      <c r="M463" s="433"/>
      <c r="N463" s="433"/>
      <c r="O463" s="433"/>
      <c r="P463" s="433"/>
      <c r="Q463" s="433"/>
      <c r="R463" s="433"/>
      <c r="S463" s="433"/>
      <c r="T463" s="433"/>
      <c r="U463" s="433"/>
      <c r="V463" s="437"/>
      <c r="W463" s="437"/>
      <c r="X463" s="437"/>
      <c r="Y463" s="437"/>
      <c r="Z463" s="437"/>
      <c r="AA463" s="437"/>
      <c r="AB463" s="433"/>
      <c r="AC463" s="433"/>
      <c r="AD463" s="433"/>
      <c r="AE463" s="433"/>
      <c r="AF463" s="433"/>
      <c r="AG463" s="433"/>
      <c r="AH463" s="433"/>
      <c r="AI463" s="433"/>
      <c r="AJ463" s="433"/>
      <c r="AK463" s="433"/>
      <c r="AL463" s="433"/>
      <c r="AM463" s="433"/>
      <c r="AN463" s="433"/>
      <c r="AO463" s="433"/>
      <c r="AP463" s="433"/>
      <c r="AQ463" s="433"/>
      <c r="AR463" s="433"/>
      <c r="AS463" s="433"/>
      <c r="AT463" s="433"/>
      <c r="AU463" s="433"/>
      <c r="AV463" s="433"/>
      <c r="AW463" s="433"/>
      <c r="AX463" s="433"/>
      <c r="AY463" s="433"/>
      <c r="AZ463" s="433"/>
      <c r="BA463" s="433"/>
      <c r="BB463" s="433"/>
      <c r="BC463" s="433"/>
      <c r="BD463" s="433"/>
      <c r="BE463" s="433"/>
      <c r="BF463" s="433"/>
      <c r="BG463" s="433"/>
      <c r="BH463" s="433"/>
      <c r="BI463" s="433"/>
      <c r="BJ463" s="433"/>
      <c r="BK463" s="433"/>
      <c r="BL463" s="433"/>
      <c r="BM463" s="433"/>
      <c r="BN463" s="433"/>
      <c r="BO463" s="433"/>
      <c r="BP463" s="433"/>
      <c r="BQ463" s="433"/>
      <c r="BR463" s="433"/>
      <c r="BS463" s="433"/>
      <c r="BT463" s="433"/>
      <c r="BU463" s="433"/>
    </row>
    <row r="464" spans="1:73" x14ac:dyDescent="0.2">
      <c r="K464" s="433"/>
      <c r="L464" s="433"/>
      <c r="M464" s="433"/>
      <c r="N464" s="433"/>
      <c r="O464" s="433"/>
      <c r="P464" s="433"/>
      <c r="Q464" s="433"/>
      <c r="R464" s="433"/>
      <c r="S464" s="433"/>
      <c r="T464" s="433"/>
      <c r="U464" s="433"/>
      <c r="V464" s="437"/>
      <c r="W464" s="437"/>
      <c r="X464" s="437"/>
      <c r="Y464" s="437"/>
      <c r="Z464" s="437"/>
      <c r="AA464" s="437"/>
      <c r="AB464" s="433"/>
      <c r="AC464" s="433"/>
      <c r="AD464" s="433"/>
      <c r="AE464" s="433"/>
      <c r="AF464" s="433"/>
      <c r="AG464" s="433"/>
      <c r="AH464" s="433"/>
      <c r="AI464" s="433"/>
      <c r="AJ464" s="433"/>
      <c r="AK464" s="433"/>
      <c r="AL464" s="433"/>
      <c r="AM464" s="433"/>
      <c r="AN464" s="433"/>
      <c r="AO464" s="433"/>
      <c r="AP464" s="433"/>
      <c r="AQ464" s="433"/>
      <c r="AR464" s="433"/>
      <c r="AS464" s="433"/>
      <c r="AT464" s="433"/>
      <c r="AU464" s="433"/>
      <c r="AV464" s="433"/>
      <c r="AW464" s="433"/>
      <c r="AX464" s="433"/>
      <c r="AY464" s="433"/>
      <c r="AZ464" s="433"/>
      <c r="BA464" s="433"/>
      <c r="BB464" s="433"/>
      <c r="BC464" s="433"/>
      <c r="BD464" s="433"/>
      <c r="BE464" s="433"/>
      <c r="BF464" s="433"/>
      <c r="BG464" s="433"/>
      <c r="BH464" s="433"/>
      <c r="BI464" s="433"/>
      <c r="BJ464" s="433"/>
      <c r="BK464" s="433"/>
      <c r="BL464" s="433"/>
      <c r="BM464" s="433"/>
      <c r="BN464" s="433"/>
      <c r="BO464" s="433"/>
      <c r="BP464" s="433"/>
      <c r="BQ464" s="433"/>
      <c r="BR464" s="433"/>
      <c r="BS464" s="433"/>
      <c r="BT464" s="433"/>
      <c r="BU464" s="433"/>
    </row>
    <row r="465" spans="11:73" x14ac:dyDescent="0.2">
      <c r="K465" s="433"/>
      <c r="L465" s="433"/>
      <c r="M465" s="433"/>
      <c r="N465" s="433"/>
      <c r="O465" s="433"/>
      <c r="P465" s="433"/>
      <c r="Q465" s="433"/>
      <c r="R465" s="433"/>
      <c r="S465" s="433"/>
      <c r="T465" s="433"/>
      <c r="U465" s="433"/>
      <c r="V465" s="437"/>
      <c r="W465" s="437"/>
      <c r="X465" s="437"/>
      <c r="Y465" s="437"/>
      <c r="Z465" s="437"/>
      <c r="AA465" s="437"/>
      <c r="AB465" s="433"/>
      <c r="AC465" s="433"/>
      <c r="AD465" s="433"/>
      <c r="AE465" s="433"/>
      <c r="AF465" s="433"/>
      <c r="AG465" s="433"/>
      <c r="AH465" s="433"/>
      <c r="AI465" s="433"/>
      <c r="AJ465" s="433"/>
      <c r="AK465" s="433"/>
      <c r="AL465" s="433"/>
      <c r="AM465" s="433"/>
      <c r="AN465" s="433"/>
      <c r="AO465" s="433"/>
      <c r="AP465" s="433"/>
      <c r="AQ465" s="433"/>
      <c r="AR465" s="433"/>
      <c r="AS465" s="433"/>
      <c r="AT465" s="433"/>
      <c r="AU465" s="433"/>
      <c r="AV465" s="433"/>
      <c r="AW465" s="433"/>
      <c r="AX465" s="433"/>
      <c r="AY465" s="433"/>
      <c r="AZ465" s="433"/>
      <c r="BA465" s="433"/>
      <c r="BB465" s="433"/>
      <c r="BC465" s="433"/>
      <c r="BD465" s="433"/>
      <c r="BE465" s="433"/>
      <c r="BF465" s="433"/>
      <c r="BG465" s="433"/>
      <c r="BH465" s="433"/>
      <c r="BI465" s="433"/>
      <c r="BJ465" s="433"/>
      <c r="BK465" s="433"/>
      <c r="BL465" s="433"/>
      <c r="BM465" s="433"/>
      <c r="BN465" s="433"/>
      <c r="BO465" s="433"/>
      <c r="BP465" s="433"/>
      <c r="BQ465" s="433"/>
      <c r="BR465" s="433"/>
      <c r="BS465" s="433"/>
      <c r="BT465" s="433"/>
      <c r="BU465" s="433"/>
    </row>
    <row r="466" spans="11:73" x14ac:dyDescent="0.2">
      <c r="K466" s="433"/>
      <c r="L466" s="433"/>
      <c r="M466" s="433"/>
      <c r="N466" s="433"/>
      <c r="O466" s="433"/>
      <c r="P466" s="433"/>
      <c r="Q466" s="433"/>
      <c r="R466" s="433"/>
      <c r="S466" s="433"/>
      <c r="T466" s="433"/>
      <c r="U466" s="433"/>
      <c r="V466" s="437"/>
      <c r="W466" s="437"/>
      <c r="X466" s="437"/>
      <c r="Y466" s="437"/>
      <c r="Z466" s="437"/>
      <c r="AA466" s="437"/>
      <c r="AB466" s="433"/>
      <c r="AC466" s="433"/>
      <c r="AD466" s="433"/>
      <c r="AE466" s="433"/>
      <c r="AF466" s="433"/>
      <c r="AG466" s="433"/>
      <c r="AH466" s="433"/>
      <c r="AI466" s="433"/>
      <c r="AJ466" s="433"/>
      <c r="AK466" s="433"/>
      <c r="AL466" s="433"/>
      <c r="AM466" s="433"/>
      <c r="AN466" s="433"/>
      <c r="AO466" s="433"/>
      <c r="AP466" s="433"/>
      <c r="AQ466" s="433"/>
      <c r="AR466" s="433"/>
      <c r="AS466" s="433"/>
      <c r="AT466" s="433"/>
      <c r="AU466" s="433"/>
      <c r="AV466" s="433"/>
      <c r="AW466" s="433"/>
      <c r="AX466" s="433"/>
      <c r="AY466" s="433"/>
      <c r="AZ466" s="433"/>
      <c r="BA466" s="433"/>
      <c r="BB466" s="433"/>
      <c r="BC466" s="433"/>
      <c r="BD466" s="433"/>
      <c r="BE466" s="433"/>
      <c r="BF466" s="433"/>
      <c r="BG466" s="433"/>
      <c r="BH466" s="433"/>
      <c r="BI466" s="433"/>
      <c r="BJ466" s="433"/>
      <c r="BK466" s="433"/>
      <c r="BL466" s="433"/>
      <c r="BM466" s="433"/>
      <c r="BN466" s="433"/>
      <c r="BO466" s="433"/>
      <c r="BP466" s="433"/>
      <c r="BQ466" s="433"/>
      <c r="BR466" s="433"/>
      <c r="BS466" s="433"/>
      <c r="BT466" s="433"/>
      <c r="BU466" s="433"/>
    </row>
    <row r="467" spans="11:73" x14ac:dyDescent="0.2">
      <c r="K467" s="445"/>
      <c r="L467" s="445"/>
      <c r="M467" s="445"/>
      <c r="N467" s="433"/>
      <c r="O467" s="433"/>
      <c r="P467" s="433"/>
      <c r="Q467" s="433"/>
      <c r="R467" s="433"/>
      <c r="S467" s="433"/>
      <c r="T467" s="433"/>
      <c r="U467" s="433"/>
      <c r="V467" s="437"/>
      <c r="W467" s="437"/>
      <c r="X467" s="437"/>
      <c r="Y467" s="437"/>
      <c r="Z467" s="437"/>
      <c r="AA467" s="437"/>
      <c r="AB467" s="433"/>
      <c r="AC467" s="433"/>
      <c r="AD467" s="433"/>
      <c r="AE467" s="433"/>
      <c r="AF467" s="433"/>
      <c r="AG467" s="433"/>
      <c r="AH467" s="433"/>
      <c r="AI467" s="433"/>
      <c r="AJ467" s="433"/>
      <c r="AK467" s="433"/>
      <c r="AL467" s="433"/>
      <c r="AM467" s="433"/>
      <c r="AN467" s="433"/>
      <c r="AO467" s="433"/>
      <c r="AP467" s="433"/>
      <c r="AQ467" s="433"/>
      <c r="AR467" s="433"/>
      <c r="AS467" s="433"/>
      <c r="AT467" s="433"/>
      <c r="AU467" s="433"/>
      <c r="AV467" s="433"/>
      <c r="AW467" s="433"/>
      <c r="AX467" s="433"/>
      <c r="AY467" s="433"/>
      <c r="AZ467" s="433"/>
      <c r="BA467" s="433"/>
      <c r="BB467" s="433"/>
      <c r="BC467" s="433"/>
      <c r="BD467" s="433"/>
      <c r="BE467" s="433"/>
      <c r="BF467" s="433"/>
      <c r="BG467" s="433"/>
      <c r="BH467" s="433"/>
      <c r="BI467" s="433"/>
      <c r="BJ467" s="433"/>
      <c r="BK467" s="433"/>
      <c r="BL467" s="433"/>
      <c r="BM467" s="433"/>
      <c r="BN467" s="433"/>
      <c r="BO467" s="433"/>
      <c r="BP467" s="433"/>
      <c r="BQ467" s="433"/>
      <c r="BR467" s="433"/>
      <c r="BS467" s="433"/>
      <c r="BT467" s="433"/>
      <c r="BU467" s="433"/>
    </row>
    <row r="468" spans="11:73" x14ac:dyDescent="0.2">
      <c r="K468" s="433"/>
      <c r="L468" s="433"/>
      <c r="M468" s="433"/>
      <c r="N468" s="433"/>
      <c r="O468" s="433"/>
      <c r="P468" s="433"/>
      <c r="Q468" s="433"/>
      <c r="R468" s="433"/>
      <c r="S468" s="433"/>
      <c r="T468" s="433"/>
      <c r="U468" s="433"/>
      <c r="V468" s="437"/>
      <c r="W468" s="437"/>
      <c r="X468" s="437"/>
      <c r="Y468" s="437"/>
      <c r="Z468" s="437"/>
      <c r="AA468" s="437"/>
      <c r="AB468" s="433"/>
      <c r="AC468" s="433"/>
      <c r="AD468" s="433"/>
      <c r="AE468" s="433"/>
      <c r="AF468" s="433"/>
      <c r="AG468" s="433"/>
      <c r="AH468" s="433"/>
      <c r="AI468" s="433"/>
      <c r="AJ468" s="433"/>
      <c r="AK468" s="433"/>
      <c r="AL468" s="433"/>
      <c r="AM468" s="433"/>
      <c r="AN468" s="433"/>
      <c r="AO468" s="433"/>
      <c r="AP468" s="433"/>
      <c r="AQ468" s="433"/>
      <c r="AR468" s="433"/>
      <c r="AS468" s="433"/>
      <c r="AT468" s="433"/>
      <c r="AU468" s="433"/>
      <c r="AV468" s="433"/>
      <c r="AW468" s="433"/>
      <c r="AX468" s="433"/>
      <c r="AY468" s="433"/>
      <c r="AZ468" s="433"/>
      <c r="BA468" s="433"/>
      <c r="BB468" s="433"/>
      <c r="BC468" s="433"/>
      <c r="BD468" s="433"/>
      <c r="BE468" s="433"/>
      <c r="BF468" s="433"/>
      <c r="BG468" s="433"/>
      <c r="BH468" s="433"/>
      <c r="BI468" s="433"/>
      <c r="BJ468" s="433"/>
      <c r="BK468" s="433"/>
      <c r="BL468" s="433"/>
      <c r="BM468" s="433"/>
      <c r="BN468" s="433"/>
      <c r="BO468" s="433"/>
      <c r="BP468" s="433"/>
      <c r="BQ468" s="433"/>
      <c r="BR468" s="433"/>
      <c r="BS468" s="433"/>
      <c r="BT468" s="433"/>
      <c r="BU468" s="433"/>
    </row>
    <row r="469" spans="11:73" x14ac:dyDescent="0.2">
      <c r="K469" s="433"/>
      <c r="L469" s="433"/>
      <c r="M469" s="433"/>
      <c r="N469" s="433"/>
      <c r="O469" s="433"/>
      <c r="P469" s="433"/>
      <c r="Q469" s="433"/>
      <c r="R469" s="433"/>
      <c r="S469" s="433"/>
      <c r="T469" s="433"/>
      <c r="U469" s="433"/>
      <c r="V469" s="437"/>
      <c r="W469" s="437"/>
      <c r="X469" s="437"/>
      <c r="Y469" s="437"/>
      <c r="Z469" s="437"/>
      <c r="AA469" s="437"/>
      <c r="AB469" s="433"/>
      <c r="AC469" s="433"/>
      <c r="AD469" s="433"/>
      <c r="AE469" s="433"/>
      <c r="AF469" s="433"/>
      <c r="AG469" s="433"/>
      <c r="AH469" s="433"/>
      <c r="AI469" s="433"/>
      <c r="AJ469" s="433"/>
      <c r="AK469" s="433"/>
      <c r="AL469" s="433"/>
      <c r="AM469" s="433"/>
      <c r="AN469" s="433"/>
      <c r="AO469" s="433"/>
      <c r="AP469" s="433"/>
      <c r="AQ469" s="433"/>
      <c r="AR469" s="433"/>
      <c r="AS469" s="433"/>
      <c r="AT469" s="433"/>
      <c r="AU469" s="433"/>
      <c r="AV469" s="433"/>
      <c r="AW469" s="433"/>
      <c r="AX469" s="433"/>
      <c r="AY469" s="433"/>
      <c r="AZ469" s="433"/>
      <c r="BA469" s="433"/>
      <c r="BB469" s="433"/>
      <c r="BC469" s="433"/>
      <c r="BD469" s="433"/>
      <c r="BE469" s="433"/>
      <c r="BF469" s="433"/>
      <c r="BG469" s="433"/>
      <c r="BH469" s="433"/>
      <c r="BI469" s="433"/>
      <c r="BJ469" s="433"/>
      <c r="BK469" s="433"/>
      <c r="BL469" s="433"/>
      <c r="BM469" s="433"/>
      <c r="BN469" s="433"/>
      <c r="BO469" s="433"/>
      <c r="BP469" s="433"/>
      <c r="BQ469" s="433"/>
      <c r="BR469" s="433"/>
      <c r="BS469" s="433"/>
      <c r="BT469" s="433"/>
      <c r="BU469" s="433"/>
    </row>
    <row r="470" spans="11:73" x14ac:dyDescent="0.2">
      <c r="K470" s="433"/>
      <c r="L470" s="433"/>
      <c r="M470" s="433"/>
      <c r="N470" s="433"/>
      <c r="O470" s="433"/>
      <c r="P470" s="433"/>
      <c r="Q470" s="433"/>
      <c r="R470" s="433"/>
      <c r="S470" s="433"/>
      <c r="T470" s="433"/>
      <c r="U470" s="433"/>
      <c r="V470" s="437"/>
      <c r="W470" s="437"/>
      <c r="X470" s="437"/>
      <c r="Y470" s="437"/>
      <c r="Z470" s="437"/>
      <c r="AA470" s="437"/>
      <c r="AB470" s="433"/>
      <c r="AC470" s="433"/>
      <c r="AD470" s="433"/>
      <c r="AE470" s="433"/>
      <c r="AF470" s="433"/>
      <c r="AG470" s="433"/>
      <c r="AH470" s="433"/>
      <c r="AI470" s="433"/>
      <c r="AJ470" s="433"/>
      <c r="AK470" s="433"/>
      <c r="AL470" s="433"/>
      <c r="AM470" s="433"/>
      <c r="AN470" s="433"/>
      <c r="AO470" s="433"/>
      <c r="AP470" s="433"/>
      <c r="AQ470" s="433"/>
      <c r="AR470" s="433"/>
      <c r="AS470" s="433"/>
      <c r="AT470" s="433"/>
      <c r="AU470" s="433"/>
      <c r="AV470" s="433"/>
      <c r="AW470" s="433"/>
      <c r="AX470" s="433"/>
      <c r="AY470" s="433"/>
      <c r="AZ470" s="433"/>
      <c r="BA470" s="433"/>
      <c r="BB470" s="433"/>
      <c r="BC470" s="433"/>
      <c r="BD470" s="433"/>
      <c r="BE470" s="433"/>
      <c r="BF470" s="433"/>
      <c r="BG470" s="433"/>
      <c r="BH470" s="433"/>
      <c r="BI470" s="433"/>
      <c r="BJ470" s="433"/>
      <c r="BK470" s="433"/>
      <c r="BL470" s="433"/>
      <c r="BM470" s="433"/>
      <c r="BN470" s="433"/>
      <c r="BO470" s="433"/>
      <c r="BP470" s="433"/>
      <c r="BQ470" s="433"/>
      <c r="BR470" s="433"/>
      <c r="BS470" s="433"/>
      <c r="BT470" s="433"/>
      <c r="BU470" s="433"/>
    </row>
    <row r="471" spans="11:73" x14ac:dyDescent="0.2">
      <c r="K471" s="437"/>
      <c r="L471" s="437"/>
      <c r="M471" s="437"/>
      <c r="N471" s="437"/>
      <c r="O471" s="437"/>
      <c r="P471" s="437"/>
      <c r="Q471" s="437"/>
      <c r="R471" s="437"/>
      <c r="S471" s="437"/>
      <c r="T471" s="437"/>
      <c r="U471" s="433"/>
      <c r="V471" s="437"/>
      <c r="W471" s="437"/>
      <c r="X471" s="437"/>
      <c r="Y471" s="437"/>
      <c r="Z471" s="437"/>
      <c r="AA471" s="437"/>
      <c r="AB471" s="433"/>
      <c r="AC471" s="433"/>
      <c r="AD471" s="433"/>
      <c r="AE471" s="433"/>
      <c r="AF471" s="433"/>
      <c r="AG471" s="433"/>
      <c r="AH471" s="433"/>
      <c r="AI471" s="433"/>
      <c r="AJ471" s="433"/>
      <c r="AK471" s="433"/>
      <c r="AL471" s="433"/>
      <c r="AM471" s="433"/>
      <c r="AN471" s="433"/>
      <c r="AO471" s="433"/>
      <c r="AP471" s="433"/>
      <c r="AQ471" s="433"/>
      <c r="AR471" s="433"/>
      <c r="AS471" s="433"/>
      <c r="AT471" s="433"/>
      <c r="AU471" s="433"/>
      <c r="AV471" s="433"/>
      <c r="AW471" s="433"/>
      <c r="AX471" s="433"/>
      <c r="AY471" s="433"/>
      <c r="AZ471" s="433"/>
      <c r="BA471" s="433"/>
      <c r="BB471" s="433"/>
      <c r="BC471" s="433"/>
      <c r="BD471" s="433"/>
      <c r="BE471" s="433"/>
      <c r="BF471" s="433"/>
      <c r="BG471" s="433"/>
      <c r="BH471" s="433"/>
      <c r="BI471" s="433"/>
      <c r="BJ471" s="433"/>
      <c r="BK471" s="433"/>
      <c r="BL471" s="433"/>
      <c r="BM471" s="433"/>
      <c r="BN471" s="433"/>
      <c r="BO471" s="433"/>
      <c r="BP471" s="433"/>
      <c r="BQ471" s="433"/>
      <c r="BR471" s="433"/>
      <c r="BS471" s="433"/>
      <c r="BT471" s="433"/>
      <c r="BU471" s="433"/>
    </row>
    <row r="472" spans="11:73" x14ac:dyDescent="0.2">
      <c r="K472" s="437"/>
      <c r="L472" s="437"/>
      <c r="M472" s="437"/>
      <c r="N472" s="437"/>
      <c r="O472" s="437"/>
      <c r="P472" s="437"/>
      <c r="Q472" s="437"/>
      <c r="R472" s="437"/>
      <c r="S472" s="437"/>
      <c r="T472" s="437"/>
      <c r="U472" s="433"/>
      <c r="V472" s="437"/>
      <c r="W472" s="437"/>
      <c r="X472" s="437"/>
      <c r="Y472" s="437"/>
      <c r="Z472" s="437"/>
      <c r="AA472" s="437"/>
      <c r="AB472" s="433"/>
      <c r="AC472" s="433"/>
      <c r="AD472" s="433"/>
      <c r="AE472" s="433"/>
      <c r="AF472" s="433"/>
      <c r="AG472" s="433"/>
      <c r="AH472" s="433"/>
      <c r="AI472" s="433"/>
      <c r="AJ472" s="433"/>
      <c r="AK472" s="433"/>
      <c r="AL472" s="433"/>
      <c r="AM472" s="433"/>
      <c r="AN472" s="433"/>
      <c r="AO472" s="433"/>
      <c r="AP472" s="433"/>
      <c r="AQ472" s="433"/>
      <c r="AR472" s="433"/>
      <c r="AS472" s="433"/>
      <c r="AT472" s="433"/>
      <c r="AU472" s="433"/>
      <c r="AV472" s="433"/>
      <c r="AW472" s="433"/>
      <c r="AX472" s="433"/>
      <c r="AY472" s="433"/>
      <c r="AZ472" s="433"/>
      <c r="BA472" s="433"/>
      <c r="BB472" s="433"/>
      <c r="BC472" s="433"/>
      <c r="BD472" s="433"/>
      <c r="BE472" s="433"/>
      <c r="BF472" s="433"/>
      <c r="BG472" s="433"/>
      <c r="BH472" s="433"/>
      <c r="BI472" s="433"/>
      <c r="BJ472" s="433"/>
      <c r="BK472" s="433"/>
      <c r="BL472" s="433"/>
      <c r="BM472" s="433"/>
      <c r="BN472" s="433"/>
      <c r="BO472" s="433"/>
      <c r="BP472" s="433"/>
      <c r="BQ472" s="433"/>
      <c r="BR472" s="433"/>
      <c r="BS472" s="433"/>
      <c r="BT472" s="433"/>
      <c r="BU472" s="433"/>
    </row>
    <row r="473" spans="11:73" x14ac:dyDescent="0.2">
      <c r="K473" s="437"/>
      <c r="L473" s="437"/>
      <c r="M473" s="437"/>
      <c r="N473" s="437"/>
      <c r="O473" s="437"/>
      <c r="P473" s="437"/>
      <c r="Q473" s="437"/>
      <c r="R473" s="437"/>
      <c r="S473" s="437"/>
      <c r="T473" s="437"/>
      <c r="U473" s="433"/>
      <c r="V473" s="437"/>
      <c r="W473" s="437"/>
      <c r="X473" s="437"/>
      <c r="Y473" s="437"/>
      <c r="Z473" s="437"/>
      <c r="AA473" s="437"/>
      <c r="AB473" s="433"/>
      <c r="AC473" s="433"/>
      <c r="AD473" s="433"/>
      <c r="AE473" s="433"/>
      <c r="AF473" s="433"/>
      <c r="AG473" s="433"/>
      <c r="AH473" s="433"/>
      <c r="AI473" s="433"/>
      <c r="AJ473" s="433"/>
      <c r="AK473" s="433"/>
      <c r="AL473" s="433"/>
      <c r="AM473" s="433"/>
      <c r="AN473" s="433"/>
      <c r="AO473" s="433"/>
      <c r="AP473" s="433"/>
      <c r="AQ473" s="433"/>
      <c r="AR473" s="433"/>
      <c r="AS473" s="433"/>
      <c r="AT473" s="433"/>
      <c r="AU473" s="433"/>
      <c r="AV473" s="433"/>
      <c r="AW473" s="433"/>
      <c r="AX473" s="433"/>
      <c r="AY473" s="433"/>
      <c r="AZ473" s="433"/>
      <c r="BA473" s="433"/>
      <c r="BB473" s="433"/>
      <c r="BC473" s="433"/>
      <c r="BD473" s="433"/>
      <c r="BE473" s="433"/>
      <c r="BF473" s="433"/>
      <c r="BG473" s="433"/>
      <c r="BH473" s="433"/>
      <c r="BI473" s="433"/>
      <c r="BJ473" s="433"/>
      <c r="BK473" s="433"/>
      <c r="BL473" s="433"/>
      <c r="BM473" s="433"/>
      <c r="BN473" s="433"/>
      <c r="BO473" s="433"/>
      <c r="BP473" s="433"/>
      <c r="BQ473" s="433"/>
      <c r="BR473" s="433"/>
      <c r="BS473" s="433"/>
      <c r="BT473" s="433"/>
      <c r="BU473" s="433"/>
    </row>
    <row r="474" spans="11:73" s="359" customFormat="1" x14ac:dyDescent="0.2">
      <c r="K474" s="438"/>
      <c r="L474" s="438"/>
      <c r="M474" s="438"/>
      <c r="N474" s="438"/>
      <c r="O474" s="438"/>
      <c r="P474" s="438"/>
      <c r="Q474" s="438"/>
      <c r="R474" s="438"/>
      <c r="S474" s="438"/>
      <c r="T474" s="438"/>
      <c r="U474" s="440"/>
      <c r="V474" s="438"/>
      <c r="W474" s="438"/>
      <c r="X474" s="438"/>
      <c r="Y474" s="438"/>
      <c r="Z474" s="438"/>
      <c r="AA474" s="438"/>
      <c r="AB474" s="440"/>
      <c r="AC474" s="440"/>
      <c r="AD474" s="440"/>
      <c r="AE474" s="440"/>
      <c r="AF474" s="440"/>
      <c r="AG474" s="440"/>
      <c r="AH474" s="440"/>
      <c r="AI474" s="440"/>
      <c r="AJ474" s="440"/>
      <c r="AK474" s="440"/>
      <c r="AL474" s="440"/>
      <c r="AM474" s="440"/>
      <c r="AN474" s="440"/>
      <c r="AO474" s="440"/>
      <c r="AP474" s="440"/>
      <c r="AQ474" s="440"/>
      <c r="AR474" s="440"/>
      <c r="AS474" s="440"/>
      <c r="AT474" s="440"/>
      <c r="AU474" s="440"/>
      <c r="AV474" s="440"/>
      <c r="AW474" s="440"/>
      <c r="AX474" s="440"/>
      <c r="AY474" s="440"/>
      <c r="AZ474" s="440"/>
      <c r="BA474" s="440"/>
      <c r="BB474" s="440"/>
      <c r="BC474" s="440"/>
      <c r="BD474" s="440"/>
      <c r="BE474" s="440"/>
      <c r="BF474" s="440"/>
      <c r="BG474" s="440"/>
      <c r="BH474" s="440"/>
      <c r="BI474" s="440"/>
      <c r="BJ474" s="440"/>
      <c r="BK474" s="440"/>
      <c r="BL474" s="440"/>
      <c r="BM474" s="440"/>
      <c r="BN474" s="440"/>
      <c r="BO474" s="440"/>
      <c r="BP474" s="440"/>
      <c r="BQ474" s="440"/>
      <c r="BR474" s="440"/>
      <c r="BS474" s="440"/>
      <c r="BT474" s="440"/>
      <c r="BU474" s="440"/>
    </row>
    <row r="475" spans="11:73" x14ac:dyDescent="0.2">
      <c r="K475" s="437"/>
      <c r="L475" s="437"/>
      <c r="M475" s="437"/>
      <c r="N475" s="437"/>
      <c r="O475" s="437"/>
      <c r="P475" s="437"/>
      <c r="Q475" s="437"/>
      <c r="R475" s="437"/>
      <c r="S475" s="437"/>
      <c r="T475" s="437"/>
      <c r="U475" s="433"/>
      <c r="V475" s="437"/>
      <c r="W475" s="437"/>
      <c r="X475" s="437"/>
      <c r="Y475" s="437"/>
      <c r="Z475" s="437"/>
      <c r="AA475" s="437"/>
      <c r="AB475" s="433"/>
      <c r="AC475" s="433"/>
      <c r="AD475" s="433"/>
      <c r="AE475" s="433"/>
      <c r="AF475" s="433"/>
      <c r="AG475" s="433"/>
      <c r="AH475" s="433"/>
      <c r="AI475" s="433"/>
      <c r="AJ475" s="433"/>
      <c r="AK475" s="433"/>
      <c r="AL475" s="433"/>
      <c r="AM475" s="433"/>
      <c r="AN475" s="433"/>
      <c r="AO475" s="433"/>
      <c r="AP475" s="433"/>
      <c r="AQ475" s="433"/>
      <c r="AR475" s="433"/>
      <c r="AS475" s="433"/>
      <c r="AT475" s="433"/>
      <c r="AU475" s="433"/>
      <c r="AV475" s="433"/>
      <c r="AW475" s="433"/>
      <c r="AX475" s="433"/>
      <c r="AY475" s="433"/>
      <c r="AZ475" s="433"/>
      <c r="BA475" s="433"/>
      <c r="BB475" s="433"/>
      <c r="BC475" s="433"/>
      <c r="BD475" s="433"/>
      <c r="BE475" s="433"/>
      <c r="BF475" s="433"/>
      <c r="BG475" s="433"/>
      <c r="BH475" s="433"/>
      <c r="BI475" s="433"/>
      <c r="BJ475" s="433"/>
      <c r="BK475" s="433"/>
      <c r="BL475" s="433"/>
      <c r="BM475" s="433"/>
      <c r="BN475" s="433"/>
      <c r="BO475" s="433"/>
      <c r="BP475" s="433"/>
      <c r="BQ475" s="433"/>
      <c r="BR475" s="433"/>
      <c r="BS475" s="433"/>
      <c r="BT475" s="433"/>
      <c r="BU475" s="433"/>
    </row>
    <row r="476" spans="11:73" x14ac:dyDescent="0.2">
      <c r="K476" s="437"/>
      <c r="L476" s="437"/>
      <c r="M476" s="437"/>
      <c r="N476" s="437"/>
      <c r="O476" s="437"/>
      <c r="P476" s="437"/>
      <c r="Q476" s="437"/>
      <c r="R476" s="437"/>
      <c r="S476" s="437"/>
      <c r="T476" s="437"/>
      <c r="U476" s="433"/>
      <c r="V476" s="437"/>
      <c r="W476" s="437"/>
      <c r="X476" s="437"/>
      <c r="Y476" s="437"/>
      <c r="Z476" s="437"/>
      <c r="AA476" s="437"/>
      <c r="AB476" s="433"/>
      <c r="AC476" s="433"/>
      <c r="AD476" s="433"/>
      <c r="AE476" s="433"/>
      <c r="AF476" s="433"/>
      <c r="AG476" s="433"/>
      <c r="AH476" s="433"/>
      <c r="AI476" s="433"/>
      <c r="AJ476" s="433"/>
      <c r="AK476" s="433"/>
      <c r="AL476" s="433"/>
      <c r="AM476" s="433"/>
      <c r="AN476" s="433"/>
      <c r="AO476" s="433"/>
      <c r="AP476" s="433"/>
      <c r="AQ476" s="433"/>
      <c r="AR476" s="433"/>
      <c r="AS476" s="433"/>
      <c r="AT476" s="433"/>
      <c r="AU476" s="433"/>
      <c r="AV476" s="433"/>
      <c r="AW476" s="433"/>
      <c r="AX476" s="433"/>
      <c r="AY476" s="433"/>
      <c r="AZ476" s="433"/>
      <c r="BA476" s="433"/>
      <c r="BB476" s="433"/>
      <c r="BC476" s="433"/>
      <c r="BD476" s="433"/>
      <c r="BE476" s="433"/>
      <c r="BF476" s="433"/>
      <c r="BG476" s="433"/>
      <c r="BH476" s="433"/>
      <c r="BI476" s="433"/>
      <c r="BJ476" s="433"/>
      <c r="BK476" s="433"/>
      <c r="BL476" s="433"/>
      <c r="BM476" s="433"/>
      <c r="BN476" s="433"/>
      <c r="BO476" s="433"/>
      <c r="BP476" s="433"/>
      <c r="BQ476" s="433"/>
      <c r="BR476" s="433"/>
      <c r="BS476" s="433"/>
      <c r="BT476" s="433"/>
      <c r="BU476" s="433"/>
    </row>
    <row r="477" spans="11:73" x14ac:dyDescent="0.2">
      <c r="K477" s="437"/>
      <c r="L477" s="437"/>
      <c r="M477" s="437"/>
      <c r="N477" s="437"/>
      <c r="O477" s="437"/>
      <c r="P477" s="437"/>
      <c r="Q477" s="437"/>
      <c r="R477" s="437"/>
      <c r="S477" s="437"/>
      <c r="T477" s="437"/>
      <c r="U477" s="433"/>
      <c r="V477" s="437"/>
      <c r="W477" s="437"/>
      <c r="X477" s="437"/>
      <c r="Y477" s="437"/>
      <c r="Z477" s="437"/>
      <c r="AA477" s="437"/>
      <c r="AB477" s="433"/>
      <c r="AC477" s="433"/>
      <c r="AD477" s="433"/>
      <c r="AE477" s="433"/>
      <c r="AF477" s="433"/>
      <c r="AG477" s="433"/>
      <c r="AH477" s="433"/>
      <c r="AI477" s="433"/>
      <c r="AJ477" s="433"/>
      <c r="AK477" s="433"/>
      <c r="AL477" s="433"/>
      <c r="AM477" s="433"/>
      <c r="AN477" s="433"/>
      <c r="AO477" s="433"/>
      <c r="AP477" s="433"/>
      <c r="AQ477" s="433"/>
      <c r="AR477" s="433"/>
      <c r="AS477" s="433"/>
      <c r="AT477" s="433"/>
      <c r="AU477" s="433"/>
      <c r="AV477" s="433"/>
      <c r="AW477" s="433"/>
      <c r="AX477" s="433"/>
      <c r="AY477" s="433"/>
      <c r="AZ477" s="433"/>
      <c r="BA477" s="433"/>
      <c r="BB477" s="433"/>
      <c r="BC477" s="433"/>
      <c r="BD477" s="433"/>
      <c r="BE477" s="433"/>
      <c r="BF477" s="433"/>
      <c r="BG477" s="433"/>
      <c r="BH477" s="433"/>
      <c r="BI477" s="433"/>
      <c r="BJ477" s="433"/>
      <c r="BK477" s="433"/>
      <c r="BL477" s="433"/>
      <c r="BM477" s="433"/>
      <c r="BN477" s="433"/>
      <c r="BO477" s="433"/>
      <c r="BP477" s="433"/>
      <c r="BQ477" s="433"/>
      <c r="BR477" s="433"/>
      <c r="BS477" s="433"/>
      <c r="BT477" s="433"/>
      <c r="BU477" s="433"/>
    </row>
    <row r="478" spans="11:73" x14ac:dyDescent="0.2">
      <c r="K478" s="437"/>
      <c r="L478" s="437"/>
      <c r="M478" s="437"/>
      <c r="N478" s="437"/>
      <c r="O478" s="437"/>
      <c r="P478" s="437"/>
      <c r="Q478" s="437"/>
      <c r="R478" s="437"/>
      <c r="S478" s="437"/>
      <c r="T478" s="437"/>
      <c r="U478" s="433"/>
      <c r="V478" s="437"/>
      <c r="W478" s="437"/>
      <c r="X478" s="437"/>
      <c r="Y478" s="437"/>
      <c r="Z478" s="437"/>
      <c r="AA478" s="437"/>
      <c r="AB478" s="433"/>
      <c r="AC478" s="433"/>
      <c r="AD478" s="433"/>
      <c r="AE478" s="433"/>
      <c r="AF478" s="433"/>
      <c r="AG478" s="433"/>
      <c r="AH478" s="433"/>
      <c r="AI478" s="433"/>
      <c r="AJ478" s="433"/>
      <c r="AK478" s="433"/>
      <c r="AL478" s="433"/>
      <c r="AM478" s="433"/>
      <c r="AN478" s="433"/>
      <c r="AO478" s="433"/>
      <c r="AP478" s="433"/>
      <c r="AQ478" s="433"/>
      <c r="AR478" s="433"/>
      <c r="AS478" s="433"/>
      <c r="AT478" s="433"/>
      <c r="AU478" s="433"/>
      <c r="AV478" s="433"/>
      <c r="AW478" s="433"/>
      <c r="AX478" s="433"/>
      <c r="AY478" s="433"/>
      <c r="AZ478" s="433"/>
      <c r="BA478" s="433"/>
      <c r="BB478" s="433"/>
      <c r="BC478" s="433"/>
      <c r="BD478" s="433"/>
      <c r="BE478" s="433"/>
      <c r="BF478" s="433"/>
      <c r="BG478" s="433"/>
      <c r="BH478" s="433"/>
      <c r="BI478" s="433"/>
      <c r="BJ478" s="433"/>
      <c r="BK478" s="433"/>
      <c r="BL478" s="433"/>
      <c r="BM478" s="433"/>
      <c r="BN478" s="433"/>
      <c r="BO478" s="433"/>
      <c r="BP478" s="433"/>
      <c r="BQ478" s="433"/>
      <c r="BR478" s="433"/>
      <c r="BS478" s="433"/>
      <c r="BT478" s="433"/>
      <c r="BU478" s="433"/>
    </row>
    <row r="479" spans="11:73" s="359" customFormat="1" x14ac:dyDescent="0.2">
      <c r="K479" s="438"/>
      <c r="L479" s="438"/>
      <c r="M479" s="438"/>
      <c r="N479" s="438"/>
      <c r="O479" s="438"/>
      <c r="P479" s="438"/>
      <c r="Q479" s="438"/>
      <c r="R479" s="438"/>
      <c r="S479" s="438"/>
      <c r="T479" s="438"/>
      <c r="U479" s="440"/>
      <c r="V479" s="438"/>
      <c r="W479" s="438"/>
      <c r="X479" s="438"/>
      <c r="Y479" s="438"/>
      <c r="Z479" s="438"/>
      <c r="AA479" s="438"/>
      <c r="AB479" s="440"/>
      <c r="AC479" s="440"/>
      <c r="AD479" s="440"/>
      <c r="AE479" s="440"/>
      <c r="AF479" s="440"/>
      <c r="AG479" s="440"/>
      <c r="AH479" s="440"/>
      <c r="AI479" s="440"/>
      <c r="AJ479" s="440"/>
      <c r="AK479" s="440"/>
      <c r="AL479" s="440"/>
      <c r="AM479" s="440"/>
      <c r="AN479" s="440"/>
      <c r="AO479" s="440"/>
      <c r="AP479" s="440"/>
      <c r="AQ479" s="440"/>
      <c r="AR479" s="440"/>
      <c r="AS479" s="440"/>
      <c r="AT479" s="440"/>
      <c r="AU479" s="440"/>
      <c r="AV479" s="440"/>
      <c r="AW479" s="440"/>
      <c r="AX479" s="440"/>
      <c r="AY479" s="440"/>
      <c r="AZ479" s="440"/>
      <c r="BA479" s="440"/>
      <c r="BB479" s="440"/>
      <c r="BC479" s="440"/>
      <c r="BD479" s="440"/>
      <c r="BE479" s="440"/>
      <c r="BF479" s="440"/>
      <c r="BG479" s="440"/>
      <c r="BH479" s="440"/>
      <c r="BI479" s="440"/>
      <c r="BJ479" s="440"/>
      <c r="BK479" s="440"/>
      <c r="BL479" s="440"/>
      <c r="BM479" s="440"/>
      <c r="BN479" s="440"/>
      <c r="BO479" s="440"/>
      <c r="BP479" s="440"/>
      <c r="BQ479" s="440"/>
      <c r="BR479" s="440"/>
      <c r="BS479" s="440"/>
      <c r="BT479" s="440"/>
      <c r="BU479" s="440"/>
    </row>
    <row r="480" spans="11:73" x14ac:dyDescent="0.2">
      <c r="K480" s="437"/>
      <c r="L480" s="437"/>
      <c r="M480" s="437"/>
      <c r="N480" s="437"/>
      <c r="O480" s="437"/>
      <c r="P480" s="437"/>
      <c r="Q480" s="437"/>
      <c r="R480" s="437"/>
      <c r="S480" s="437"/>
      <c r="T480" s="437"/>
      <c r="U480" s="433"/>
      <c r="V480" s="437"/>
      <c r="W480" s="437"/>
      <c r="X480" s="437"/>
      <c r="Y480" s="437"/>
      <c r="Z480" s="437"/>
      <c r="AA480" s="437"/>
      <c r="AB480" s="433"/>
      <c r="AC480" s="433"/>
      <c r="AD480" s="433"/>
      <c r="AE480" s="433"/>
      <c r="AF480" s="433"/>
      <c r="AG480" s="433"/>
      <c r="AH480" s="433"/>
      <c r="AI480" s="433"/>
      <c r="AJ480" s="433"/>
      <c r="AK480" s="433"/>
      <c r="AL480" s="433"/>
      <c r="AM480" s="433"/>
      <c r="AN480" s="433"/>
      <c r="AO480" s="433"/>
      <c r="AP480" s="433"/>
      <c r="AQ480" s="433"/>
      <c r="AR480" s="433"/>
      <c r="AS480" s="433"/>
      <c r="AT480" s="433"/>
      <c r="AU480" s="433"/>
      <c r="AV480" s="433"/>
      <c r="AW480" s="433"/>
      <c r="AX480" s="433"/>
      <c r="AY480" s="433"/>
      <c r="AZ480" s="433"/>
      <c r="BA480" s="433"/>
      <c r="BB480" s="433"/>
      <c r="BC480" s="433"/>
      <c r="BD480" s="433"/>
      <c r="BE480" s="433"/>
      <c r="BF480" s="433"/>
      <c r="BG480" s="433"/>
      <c r="BH480" s="433"/>
      <c r="BI480" s="433"/>
      <c r="BJ480" s="433"/>
      <c r="BK480" s="433"/>
      <c r="BL480" s="433"/>
      <c r="BM480" s="433"/>
      <c r="BN480" s="433"/>
      <c r="BO480" s="433"/>
      <c r="BP480" s="433"/>
      <c r="BQ480" s="433"/>
      <c r="BR480" s="433"/>
      <c r="BS480" s="433"/>
      <c r="BT480" s="433"/>
      <c r="BU480" s="433"/>
    </row>
    <row r="481" spans="11:73" x14ac:dyDescent="0.2">
      <c r="K481" s="437"/>
      <c r="L481" s="437"/>
      <c r="M481" s="437"/>
      <c r="N481" s="437"/>
      <c r="O481" s="437"/>
      <c r="P481" s="437"/>
      <c r="Q481" s="437"/>
      <c r="R481" s="437"/>
      <c r="S481" s="437"/>
      <c r="T481" s="437"/>
      <c r="U481" s="433"/>
      <c r="V481" s="437"/>
      <c r="W481" s="437"/>
      <c r="X481" s="437"/>
      <c r="Y481" s="437"/>
      <c r="Z481" s="437"/>
      <c r="AA481" s="437"/>
      <c r="AB481" s="433"/>
      <c r="AC481" s="433"/>
      <c r="AD481" s="433"/>
      <c r="AE481" s="433"/>
      <c r="AF481" s="433"/>
      <c r="AG481" s="433"/>
      <c r="AH481" s="433"/>
      <c r="AI481" s="433"/>
      <c r="AJ481" s="433"/>
      <c r="AK481" s="433"/>
      <c r="AL481" s="433"/>
      <c r="AM481" s="433"/>
      <c r="AN481" s="433"/>
      <c r="AO481" s="433"/>
      <c r="AP481" s="433"/>
      <c r="AQ481" s="433"/>
      <c r="AR481" s="433"/>
      <c r="AS481" s="433"/>
      <c r="AT481" s="433"/>
      <c r="AU481" s="433"/>
      <c r="AV481" s="433"/>
      <c r="AW481" s="433"/>
      <c r="AX481" s="433"/>
      <c r="AY481" s="433"/>
      <c r="AZ481" s="433"/>
      <c r="BA481" s="433"/>
      <c r="BB481" s="433"/>
      <c r="BC481" s="433"/>
      <c r="BD481" s="433"/>
      <c r="BE481" s="433"/>
      <c r="BF481" s="433"/>
      <c r="BG481" s="433"/>
      <c r="BH481" s="433"/>
      <c r="BI481" s="433"/>
      <c r="BJ481" s="433"/>
      <c r="BK481" s="433"/>
      <c r="BL481" s="433"/>
      <c r="BM481" s="433"/>
      <c r="BN481" s="433"/>
      <c r="BO481" s="433"/>
      <c r="BP481" s="433"/>
      <c r="BQ481" s="433"/>
      <c r="BR481" s="433"/>
      <c r="BS481" s="433"/>
      <c r="BT481" s="433"/>
      <c r="BU481" s="433"/>
    </row>
    <row r="482" spans="11:73" x14ac:dyDescent="0.2">
      <c r="K482" s="437"/>
      <c r="L482" s="437"/>
      <c r="M482" s="437"/>
      <c r="N482" s="437"/>
      <c r="O482" s="437"/>
      <c r="P482" s="437"/>
      <c r="Q482" s="437"/>
      <c r="R482" s="437"/>
      <c r="S482" s="437"/>
      <c r="T482" s="437"/>
      <c r="U482" s="433"/>
      <c r="V482" s="437"/>
      <c r="W482" s="437"/>
      <c r="X482" s="437"/>
      <c r="Y482" s="437"/>
      <c r="Z482" s="437"/>
      <c r="AA482" s="437"/>
      <c r="AB482" s="433"/>
      <c r="AC482" s="433"/>
      <c r="AD482" s="433"/>
      <c r="AE482" s="433"/>
      <c r="AF482" s="433"/>
      <c r="AG482" s="433"/>
      <c r="AH482" s="433"/>
      <c r="AI482" s="433"/>
      <c r="AJ482" s="433"/>
      <c r="AK482" s="433"/>
      <c r="AL482" s="433"/>
      <c r="AM482" s="433"/>
      <c r="AN482" s="433"/>
      <c r="AO482" s="433"/>
      <c r="AP482" s="433"/>
      <c r="AQ482" s="433"/>
      <c r="AR482" s="433"/>
      <c r="AS482" s="433"/>
      <c r="AT482" s="433"/>
      <c r="AU482" s="433"/>
      <c r="AV482" s="433"/>
      <c r="AW482" s="433"/>
      <c r="AX482" s="433"/>
      <c r="AY482" s="433"/>
      <c r="AZ482" s="433"/>
      <c r="BA482" s="433"/>
      <c r="BB482" s="433"/>
      <c r="BC482" s="433"/>
      <c r="BD482" s="433"/>
      <c r="BE482" s="433"/>
      <c r="BF482" s="433"/>
      <c r="BG482" s="433"/>
      <c r="BH482" s="433"/>
      <c r="BI482" s="433"/>
      <c r="BJ482" s="433"/>
      <c r="BK482" s="433"/>
      <c r="BL482" s="433"/>
      <c r="BM482" s="433"/>
      <c r="BN482" s="433"/>
      <c r="BO482" s="433"/>
      <c r="BP482" s="433"/>
      <c r="BQ482" s="433"/>
      <c r="BR482" s="433"/>
      <c r="BS482" s="433"/>
      <c r="BT482" s="433"/>
      <c r="BU482" s="433"/>
    </row>
    <row r="483" spans="11:73" s="359" customFormat="1" x14ac:dyDescent="0.2">
      <c r="K483" s="438"/>
      <c r="L483" s="438"/>
      <c r="M483" s="438"/>
      <c r="N483" s="438"/>
      <c r="O483" s="438"/>
      <c r="P483" s="438"/>
      <c r="Q483" s="438"/>
      <c r="R483" s="438"/>
      <c r="S483" s="438"/>
      <c r="T483" s="438"/>
      <c r="U483" s="440"/>
      <c r="V483" s="438"/>
      <c r="W483" s="438"/>
      <c r="X483" s="438"/>
      <c r="Y483" s="438"/>
      <c r="Z483" s="438"/>
      <c r="AA483" s="438"/>
      <c r="AB483" s="440"/>
      <c r="AC483" s="440"/>
      <c r="AD483" s="440"/>
      <c r="AE483" s="440"/>
      <c r="AF483" s="440"/>
      <c r="AG483" s="440"/>
      <c r="AH483" s="440"/>
      <c r="AI483" s="440"/>
      <c r="AJ483" s="440"/>
      <c r="AK483" s="440"/>
      <c r="AL483" s="440"/>
      <c r="AM483" s="440"/>
      <c r="AN483" s="440"/>
      <c r="AO483" s="440"/>
      <c r="AP483" s="440"/>
      <c r="AQ483" s="440"/>
      <c r="AR483" s="440"/>
      <c r="AS483" s="440"/>
      <c r="AT483" s="440"/>
      <c r="AU483" s="440"/>
      <c r="AV483" s="440"/>
      <c r="AW483" s="440"/>
      <c r="AX483" s="440"/>
      <c r="AY483" s="440"/>
      <c r="AZ483" s="440"/>
      <c r="BA483" s="440"/>
      <c r="BB483" s="440"/>
      <c r="BC483" s="440"/>
      <c r="BD483" s="440"/>
      <c r="BE483" s="440"/>
      <c r="BF483" s="440"/>
      <c r="BG483" s="440"/>
      <c r="BH483" s="440"/>
      <c r="BI483" s="440"/>
      <c r="BJ483" s="440"/>
      <c r="BK483" s="440"/>
      <c r="BL483" s="440"/>
      <c r="BM483" s="440"/>
      <c r="BN483" s="440"/>
      <c r="BO483" s="440"/>
      <c r="BP483" s="440"/>
      <c r="BQ483" s="440"/>
      <c r="BR483" s="440"/>
      <c r="BS483" s="440"/>
      <c r="BT483" s="440"/>
      <c r="BU483" s="440"/>
    </row>
    <row r="484" spans="11:73" x14ac:dyDescent="0.2">
      <c r="K484" s="437"/>
      <c r="L484" s="437"/>
      <c r="M484" s="437"/>
      <c r="N484" s="437"/>
      <c r="O484" s="437"/>
      <c r="P484" s="437"/>
      <c r="Q484" s="437"/>
      <c r="R484" s="437"/>
      <c r="S484" s="437"/>
      <c r="T484" s="437"/>
      <c r="U484" s="433"/>
      <c r="V484" s="433"/>
      <c r="W484" s="433"/>
      <c r="X484" s="433"/>
      <c r="Y484" s="433"/>
      <c r="Z484" s="433"/>
      <c r="AA484" s="433"/>
      <c r="AB484" s="433"/>
      <c r="AC484" s="433"/>
      <c r="AD484" s="433"/>
      <c r="AE484" s="433"/>
      <c r="AF484" s="433"/>
      <c r="AG484" s="433"/>
      <c r="AH484" s="433"/>
      <c r="AI484" s="433"/>
      <c r="AJ484" s="433"/>
      <c r="AK484" s="433"/>
      <c r="AL484" s="433"/>
      <c r="AM484" s="433"/>
      <c r="AN484" s="433"/>
      <c r="AO484" s="433"/>
      <c r="AP484" s="433"/>
      <c r="AQ484" s="433"/>
      <c r="AR484" s="433"/>
      <c r="AS484" s="433"/>
      <c r="AT484" s="433"/>
      <c r="AU484" s="433"/>
      <c r="AV484" s="433"/>
      <c r="AW484" s="433"/>
      <c r="AX484" s="433"/>
      <c r="AY484" s="433"/>
      <c r="AZ484" s="433"/>
      <c r="BA484" s="433"/>
      <c r="BB484" s="433"/>
      <c r="BC484" s="433"/>
      <c r="BD484" s="433"/>
      <c r="BE484" s="433"/>
      <c r="BF484" s="433"/>
      <c r="BG484" s="433"/>
      <c r="BH484" s="433"/>
      <c r="BI484" s="433"/>
      <c r="BJ484" s="433"/>
      <c r="BK484" s="433"/>
      <c r="BL484" s="433"/>
      <c r="BM484" s="433"/>
      <c r="BN484" s="433"/>
      <c r="BO484" s="433"/>
      <c r="BP484" s="433"/>
      <c r="BQ484" s="433"/>
      <c r="BR484" s="433"/>
      <c r="BS484" s="433"/>
      <c r="BT484" s="433"/>
      <c r="BU484" s="433"/>
    </row>
    <row r="485" spans="11:73" s="359" customFormat="1" x14ac:dyDescent="0.2">
      <c r="K485" s="438"/>
      <c r="L485" s="438"/>
      <c r="M485" s="438"/>
      <c r="N485" s="438"/>
      <c r="O485" s="438"/>
      <c r="P485" s="438"/>
      <c r="Q485" s="438"/>
      <c r="R485" s="438"/>
      <c r="S485" s="438"/>
      <c r="T485" s="438"/>
      <c r="U485" s="440"/>
      <c r="V485" s="440"/>
      <c r="W485" s="440"/>
      <c r="X485" s="440"/>
      <c r="Y485" s="440"/>
      <c r="Z485" s="440"/>
      <c r="AA485" s="440"/>
      <c r="AB485" s="440"/>
      <c r="AC485" s="440"/>
      <c r="AD485" s="440"/>
      <c r="AE485" s="440"/>
      <c r="AF485" s="440"/>
      <c r="AG485" s="440"/>
      <c r="AH485" s="440"/>
      <c r="AI485" s="440"/>
      <c r="AJ485" s="440"/>
      <c r="AK485" s="440"/>
      <c r="AL485" s="440"/>
      <c r="AM485" s="440"/>
      <c r="AN485" s="440"/>
      <c r="AO485" s="440"/>
      <c r="AP485" s="440"/>
      <c r="AQ485" s="440"/>
      <c r="AR485" s="440"/>
      <c r="AS485" s="440"/>
      <c r="AT485" s="440"/>
      <c r="AU485" s="440"/>
      <c r="AV485" s="440"/>
      <c r="AW485" s="440"/>
      <c r="AX485" s="440"/>
      <c r="AY485" s="440"/>
      <c r="AZ485" s="440"/>
      <c r="BA485" s="440"/>
      <c r="BB485" s="440"/>
      <c r="BC485" s="440"/>
      <c r="BD485" s="440"/>
      <c r="BE485" s="440"/>
      <c r="BF485" s="440"/>
      <c r="BG485" s="440"/>
      <c r="BH485" s="440"/>
      <c r="BI485" s="440"/>
      <c r="BJ485" s="440"/>
      <c r="BK485" s="440"/>
      <c r="BL485" s="440"/>
      <c r="BM485" s="440"/>
      <c r="BN485" s="440"/>
      <c r="BO485" s="440"/>
      <c r="BP485" s="440"/>
      <c r="BQ485" s="440"/>
      <c r="BR485" s="440"/>
      <c r="BS485" s="440"/>
      <c r="BT485" s="440"/>
      <c r="BU485" s="440"/>
    </row>
    <row r="486" spans="11:73" x14ac:dyDescent="0.2">
      <c r="K486" s="437"/>
      <c r="L486" s="437"/>
      <c r="M486" s="437"/>
      <c r="N486" s="437"/>
      <c r="O486" s="437"/>
      <c r="P486" s="437"/>
      <c r="Q486" s="437"/>
      <c r="R486" s="437"/>
      <c r="S486" s="437"/>
      <c r="T486" s="437"/>
      <c r="U486" s="433"/>
      <c r="V486" s="433"/>
      <c r="W486" s="433"/>
      <c r="X486" s="433"/>
      <c r="Y486" s="433"/>
      <c r="Z486" s="433"/>
      <c r="AA486" s="433"/>
      <c r="AB486" s="433"/>
      <c r="AC486" s="433"/>
      <c r="AD486" s="433"/>
      <c r="AE486" s="433"/>
      <c r="AF486" s="433"/>
      <c r="AG486" s="433"/>
      <c r="AH486" s="433"/>
      <c r="AI486" s="433"/>
      <c r="AJ486" s="433"/>
      <c r="AK486" s="433"/>
      <c r="AL486" s="433"/>
      <c r="AM486" s="433"/>
      <c r="AN486" s="433"/>
      <c r="AO486" s="433"/>
      <c r="AP486" s="433"/>
      <c r="AQ486" s="433"/>
      <c r="AR486" s="433"/>
      <c r="AS486" s="433"/>
      <c r="AT486" s="433"/>
      <c r="AU486" s="433"/>
      <c r="AV486" s="433"/>
      <c r="AW486" s="433"/>
      <c r="AX486" s="433"/>
      <c r="AY486" s="433"/>
      <c r="AZ486" s="433"/>
      <c r="BA486" s="433"/>
      <c r="BB486" s="433"/>
      <c r="BC486" s="433"/>
      <c r="BD486" s="433"/>
      <c r="BE486" s="433"/>
      <c r="BF486" s="433"/>
      <c r="BG486" s="433"/>
      <c r="BH486" s="433"/>
      <c r="BI486" s="433"/>
      <c r="BJ486" s="433"/>
      <c r="BK486" s="433"/>
      <c r="BL486" s="433"/>
      <c r="BM486" s="433"/>
      <c r="BN486" s="433"/>
      <c r="BO486" s="433"/>
      <c r="BP486" s="433"/>
      <c r="BQ486" s="433"/>
      <c r="BR486" s="433"/>
      <c r="BS486" s="433"/>
      <c r="BT486" s="433"/>
      <c r="BU486" s="433"/>
    </row>
    <row r="487" spans="11:73" x14ac:dyDescent="0.2">
      <c r="K487" s="437"/>
      <c r="L487" s="437"/>
      <c r="M487" s="437"/>
      <c r="N487" s="437"/>
      <c r="O487" s="437"/>
      <c r="P487" s="437"/>
      <c r="Q487" s="437"/>
      <c r="R487" s="437"/>
      <c r="S487" s="437"/>
      <c r="T487" s="437"/>
      <c r="U487" s="433"/>
      <c r="V487" s="433"/>
      <c r="W487" s="433"/>
      <c r="X487" s="433"/>
      <c r="Y487" s="433"/>
      <c r="Z487" s="433"/>
      <c r="AA487" s="433"/>
      <c r="AB487" s="433"/>
      <c r="AC487" s="433"/>
      <c r="AD487" s="433"/>
      <c r="AE487" s="433"/>
      <c r="AF487" s="433"/>
      <c r="AG487" s="433"/>
      <c r="AH487" s="433"/>
      <c r="AI487" s="433"/>
      <c r="AJ487" s="433"/>
      <c r="AK487" s="433"/>
      <c r="AL487" s="433"/>
      <c r="AM487" s="433"/>
      <c r="AN487" s="433"/>
      <c r="AO487" s="433"/>
      <c r="AP487" s="433"/>
      <c r="AQ487" s="433"/>
      <c r="AR487" s="433"/>
      <c r="AS487" s="433"/>
      <c r="AT487" s="433"/>
      <c r="AU487" s="433"/>
      <c r="AV487" s="433"/>
      <c r="AW487" s="433"/>
      <c r="AX487" s="433"/>
      <c r="AY487" s="433"/>
      <c r="AZ487" s="433"/>
      <c r="BA487" s="433"/>
      <c r="BB487" s="433"/>
      <c r="BC487" s="433"/>
      <c r="BD487" s="433"/>
      <c r="BE487" s="433"/>
      <c r="BF487" s="433"/>
      <c r="BG487" s="433"/>
      <c r="BH487" s="433"/>
      <c r="BI487" s="433"/>
      <c r="BJ487" s="433"/>
      <c r="BK487" s="433"/>
      <c r="BL487" s="433"/>
      <c r="BM487" s="433"/>
      <c r="BN487" s="433"/>
      <c r="BO487" s="433"/>
      <c r="BP487" s="433"/>
      <c r="BQ487" s="433"/>
      <c r="BR487" s="433"/>
      <c r="BS487" s="433"/>
      <c r="BT487" s="433"/>
      <c r="BU487" s="433"/>
    </row>
    <row r="488" spans="11:73" x14ac:dyDescent="0.2">
      <c r="K488" s="437"/>
      <c r="L488" s="437"/>
      <c r="M488" s="437"/>
      <c r="N488" s="437"/>
      <c r="O488" s="437"/>
      <c r="P488" s="437"/>
      <c r="Q488" s="437"/>
      <c r="R488" s="437"/>
      <c r="S488" s="437"/>
      <c r="T488" s="437"/>
      <c r="U488" s="433"/>
      <c r="V488" s="433"/>
      <c r="W488" s="433"/>
      <c r="X488" s="433"/>
      <c r="Y488" s="433"/>
      <c r="Z488" s="433"/>
      <c r="AA488" s="433"/>
      <c r="AB488" s="433"/>
      <c r="AC488" s="433"/>
      <c r="AD488" s="433"/>
      <c r="AE488" s="433"/>
      <c r="AF488" s="433"/>
      <c r="AG488" s="433"/>
      <c r="AH488" s="433"/>
      <c r="AI488" s="433"/>
      <c r="AJ488" s="433"/>
      <c r="AK488" s="433"/>
      <c r="AL488" s="433"/>
      <c r="AM488" s="433"/>
      <c r="AN488" s="433"/>
      <c r="AO488" s="433"/>
      <c r="AP488" s="433"/>
      <c r="AQ488" s="433"/>
      <c r="AR488" s="433"/>
      <c r="AS488" s="433"/>
      <c r="AT488" s="433"/>
      <c r="AU488" s="433"/>
      <c r="AV488" s="433"/>
      <c r="AW488" s="433"/>
      <c r="AX488" s="433"/>
      <c r="AY488" s="433"/>
      <c r="AZ488" s="433"/>
      <c r="BA488" s="433"/>
      <c r="BB488" s="433"/>
      <c r="BC488" s="433"/>
      <c r="BD488" s="433"/>
      <c r="BE488" s="433"/>
      <c r="BF488" s="433"/>
      <c r="BG488" s="433"/>
      <c r="BH488" s="433"/>
      <c r="BI488" s="433"/>
      <c r="BJ488" s="433"/>
      <c r="BK488" s="433"/>
      <c r="BL488" s="433"/>
      <c r="BM488" s="433"/>
      <c r="BN488" s="433"/>
      <c r="BO488" s="433"/>
      <c r="BP488" s="433"/>
      <c r="BQ488" s="433"/>
      <c r="BR488" s="433"/>
      <c r="BS488" s="433"/>
      <c r="BT488" s="433"/>
      <c r="BU488" s="433"/>
    </row>
    <row r="489" spans="11:73" x14ac:dyDescent="0.2">
      <c r="K489" s="437"/>
      <c r="L489" s="437"/>
      <c r="M489" s="437"/>
      <c r="N489" s="437"/>
      <c r="O489" s="437"/>
      <c r="P489" s="437"/>
      <c r="Q489" s="437"/>
      <c r="R489" s="437"/>
      <c r="S489" s="437"/>
      <c r="T489" s="437"/>
      <c r="U489" s="433"/>
      <c r="V489" s="433"/>
      <c r="W489" s="433"/>
      <c r="X489" s="433"/>
      <c r="Y489" s="433"/>
      <c r="Z489" s="433"/>
      <c r="AA489" s="433"/>
      <c r="AB489" s="433"/>
      <c r="AC489" s="433"/>
      <c r="AD489" s="433"/>
      <c r="AE489" s="433"/>
      <c r="AF489" s="433"/>
      <c r="AG489" s="433"/>
      <c r="AH489" s="433"/>
      <c r="AI489" s="433"/>
      <c r="AJ489" s="433"/>
      <c r="AK489" s="433"/>
      <c r="AL489" s="433"/>
      <c r="AM489" s="433"/>
      <c r="AN489" s="433"/>
      <c r="AO489" s="433"/>
      <c r="AP489" s="433"/>
      <c r="AQ489" s="433"/>
      <c r="AR489" s="433"/>
      <c r="AS489" s="433"/>
      <c r="AT489" s="433"/>
      <c r="AU489" s="433"/>
      <c r="AV489" s="433"/>
      <c r="AW489" s="433"/>
      <c r="AX489" s="433"/>
      <c r="AY489" s="433"/>
      <c r="AZ489" s="433"/>
      <c r="BA489" s="433"/>
      <c r="BB489" s="433"/>
      <c r="BC489" s="433"/>
      <c r="BD489" s="433"/>
      <c r="BE489" s="433"/>
      <c r="BF489" s="433"/>
      <c r="BG489" s="433"/>
      <c r="BH489" s="433"/>
      <c r="BI489" s="433"/>
      <c r="BJ489" s="433"/>
      <c r="BK489" s="433"/>
      <c r="BL489" s="433"/>
      <c r="BM489" s="433"/>
      <c r="BN489" s="433"/>
      <c r="BO489" s="433"/>
      <c r="BP489" s="433"/>
      <c r="BQ489" s="433"/>
      <c r="BR489" s="433"/>
      <c r="BS489" s="433"/>
      <c r="BT489" s="433"/>
      <c r="BU489" s="433"/>
    </row>
    <row r="490" spans="11:73" x14ac:dyDescent="0.2">
      <c r="K490" s="437"/>
      <c r="L490" s="437"/>
      <c r="M490" s="437"/>
      <c r="N490" s="437"/>
      <c r="O490" s="437"/>
      <c r="P490" s="437"/>
      <c r="Q490" s="437"/>
      <c r="R490" s="437"/>
      <c r="S490" s="437"/>
      <c r="T490" s="437"/>
      <c r="U490" s="433"/>
      <c r="V490" s="433"/>
      <c r="W490" s="433"/>
      <c r="X490" s="433"/>
      <c r="Y490" s="433"/>
      <c r="Z490" s="433"/>
      <c r="AA490" s="433"/>
      <c r="AB490" s="433"/>
      <c r="AC490" s="433"/>
      <c r="AD490" s="433"/>
      <c r="AE490" s="433"/>
      <c r="AF490" s="433"/>
      <c r="AG490" s="433"/>
      <c r="AH490" s="433"/>
      <c r="AI490" s="433"/>
      <c r="AJ490" s="433"/>
      <c r="AK490" s="433"/>
      <c r="AL490" s="433"/>
      <c r="AM490" s="433"/>
      <c r="AN490" s="433"/>
      <c r="AO490" s="433"/>
      <c r="AP490" s="433"/>
      <c r="AQ490" s="433"/>
      <c r="AR490" s="433"/>
      <c r="AS490" s="433"/>
      <c r="AT490" s="433"/>
      <c r="AU490" s="433"/>
      <c r="AV490" s="433"/>
      <c r="AW490" s="433"/>
      <c r="AX490" s="433"/>
      <c r="AY490" s="433"/>
      <c r="AZ490" s="433"/>
      <c r="BA490" s="433"/>
      <c r="BB490" s="433"/>
      <c r="BC490" s="433"/>
      <c r="BD490" s="433"/>
      <c r="BE490" s="433"/>
      <c r="BF490" s="433"/>
      <c r="BG490" s="433"/>
      <c r="BH490" s="433"/>
      <c r="BI490" s="433"/>
      <c r="BJ490" s="433"/>
      <c r="BK490" s="433"/>
      <c r="BL490" s="433"/>
      <c r="BM490" s="433"/>
      <c r="BN490" s="433"/>
      <c r="BO490" s="433"/>
      <c r="BP490" s="433"/>
      <c r="BQ490" s="433"/>
      <c r="BR490" s="433"/>
      <c r="BS490" s="433"/>
      <c r="BT490" s="433"/>
      <c r="BU490" s="433"/>
    </row>
    <row r="491" spans="11:73" x14ac:dyDescent="0.2">
      <c r="K491" s="437"/>
      <c r="L491" s="437"/>
      <c r="M491" s="437"/>
      <c r="N491" s="437"/>
      <c r="O491" s="437"/>
      <c r="P491" s="437"/>
      <c r="Q491" s="437"/>
      <c r="R491" s="437"/>
      <c r="S491" s="437"/>
      <c r="T491" s="437"/>
      <c r="U491" s="433"/>
      <c r="V491" s="433"/>
      <c r="W491" s="433"/>
      <c r="X491" s="433"/>
      <c r="Y491" s="433"/>
      <c r="Z491" s="433"/>
      <c r="AA491" s="433"/>
      <c r="AB491" s="433"/>
      <c r="AC491" s="433"/>
      <c r="AD491" s="433"/>
      <c r="AE491" s="433"/>
      <c r="AF491" s="433"/>
      <c r="AG491" s="433"/>
      <c r="AH491" s="433"/>
      <c r="AI491" s="433"/>
      <c r="AJ491" s="433"/>
      <c r="AK491" s="433"/>
      <c r="AL491" s="433"/>
      <c r="AM491" s="433"/>
      <c r="AN491" s="433"/>
      <c r="AO491" s="433"/>
      <c r="AP491" s="433"/>
      <c r="AQ491" s="433"/>
      <c r="AR491" s="433"/>
      <c r="AS491" s="433"/>
      <c r="AT491" s="433"/>
      <c r="AU491" s="433"/>
      <c r="AV491" s="433"/>
      <c r="AW491" s="433"/>
      <c r="AX491" s="433"/>
      <c r="AY491" s="433"/>
      <c r="AZ491" s="433"/>
      <c r="BA491" s="433"/>
      <c r="BB491" s="433"/>
      <c r="BC491" s="433"/>
      <c r="BD491" s="433"/>
      <c r="BE491" s="433"/>
      <c r="BF491" s="433"/>
      <c r="BG491" s="433"/>
      <c r="BH491" s="433"/>
      <c r="BI491" s="433"/>
      <c r="BJ491" s="433"/>
      <c r="BK491" s="433"/>
      <c r="BL491" s="433"/>
      <c r="BM491" s="433"/>
      <c r="BN491" s="433"/>
      <c r="BO491" s="433"/>
      <c r="BP491" s="433"/>
      <c r="BQ491" s="433"/>
      <c r="BR491" s="433"/>
      <c r="BS491" s="433"/>
      <c r="BT491" s="433"/>
      <c r="BU491" s="433"/>
    </row>
    <row r="492" spans="11:73" x14ac:dyDescent="0.2">
      <c r="K492" s="437"/>
      <c r="L492" s="437"/>
      <c r="M492" s="437"/>
      <c r="N492" s="437"/>
      <c r="O492" s="437"/>
      <c r="P492" s="437"/>
      <c r="Q492" s="437"/>
      <c r="R492" s="437"/>
      <c r="S492" s="437"/>
      <c r="T492" s="437"/>
      <c r="U492" s="433"/>
      <c r="V492" s="433"/>
      <c r="W492" s="433"/>
      <c r="X492" s="433"/>
      <c r="Y492" s="433"/>
      <c r="Z492" s="433"/>
      <c r="AA492" s="433"/>
      <c r="AB492" s="433"/>
      <c r="AC492" s="433"/>
      <c r="AD492" s="433"/>
      <c r="AE492" s="433"/>
      <c r="AF492" s="433"/>
      <c r="AG492" s="433"/>
      <c r="AH492" s="433"/>
      <c r="AI492" s="433"/>
      <c r="AJ492" s="433"/>
      <c r="AK492" s="433"/>
      <c r="AL492" s="433"/>
      <c r="AM492" s="433"/>
      <c r="AN492" s="433"/>
      <c r="AO492" s="433"/>
      <c r="AP492" s="433"/>
      <c r="AQ492" s="433"/>
      <c r="AR492" s="433"/>
      <c r="AS492" s="433"/>
      <c r="AT492" s="433"/>
      <c r="AU492" s="433"/>
      <c r="AV492" s="433"/>
      <c r="AW492" s="433"/>
      <c r="AX492" s="433"/>
      <c r="AY492" s="433"/>
      <c r="AZ492" s="433"/>
      <c r="BA492" s="433"/>
      <c r="BB492" s="433"/>
      <c r="BC492" s="433"/>
      <c r="BD492" s="433"/>
      <c r="BE492" s="433"/>
      <c r="BF492" s="433"/>
      <c r="BG492" s="433"/>
      <c r="BH492" s="433"/>
      <c r="BI492" s="433"/>
      <c r="BJ492" s="433"/>
      <c r="BK492" s="433"/>
      <c r="BL492" s="433"/>
      <c r="BM492" s="433"/>
      <c r="BN492" s="433"/>
      <c r="BO492" s="433"/>
      <c r="BP492" s="433"/>
      <c r="BQ492" s="433"/>
      <c r="BR492" s="433"/>
      <c r="BS492" s="433"/>
      <c r="BT492" s="433"/>
      <c r="BU492" s="433"/>
    </row>
    <row r="493" spans="11:73" x14ac:dyDescent="0.2">
      <c r="K493" s="437"/>
      <c r="L493" s="437"/>
      <c r="M493" s="437"/>
      <c r="N493" s="437"/>
      <c r="O493" s="437"/>
      <c r="P493" s="437"/>
      <c r="Q493" s="437"/>
      <c r="R493" s="437"/>
      <c r="S493" s="437"/>
      <c r="T493" s="437"/>
      <c r="U493" s="433"/>
      <c r="V493" s="433"/>
      <c r="W493" s="433"/>
      <c r="X493" s="433"/>
      <c r="Y493" s="433"/>
      <c r="Z493" s="433"/>
      <c r="AA493" s="433"/>
      <c r="AB493" s="433"/>
      <c r="AC493" s="433"/>
      <c r="AD493" s="433"/>
      <c r="AE493" s="433"/>
      <c r="AF493" s="433"/>
      <c r="AG493" s="433"/>
      <c r="AH493" s="433"/>
      <c r="AI493" s="433"/>
      <c r="AJ493" s="433"/>
      <c r="AK493" s="433"/>
      <c r="AL493" s="433"/>
      <c r="AM493" s="433"/>
      <c r="AN493" s="433"/>
      <c r="AO493" s="433"/>
      <c r="AP493" s="433"/>
      <c r="AQ493" s="433"/>
      <c r="AR493" s="433"/>
      <c r="AS493" s="433"/>
      <c r="AT493" s="433"/>
      <c r="AU493" s="433"/>
      <c r="AV493" s="433"/>
      <c r="AW493" s="433"/>
      <c r="AX493" s="433"/>
      <c r="AY493" s="433"/>
      <c r="AZ493" s="433"/>
      <c r="BA493" s="433"/>
      <c r="BB493" s="433"/>
      <c r="BC493" s="433"/>
      <c r="BD493" s="433"/>
      <c r="BE493" s="433"/>
      <c r="BF493" s="433"/>
      <c r="BG493" s="433"/>
      <c r="BH493" s="433"/>
      <c r="BI493" s="433"/>
      <c r="BJ493" s="433"/>
      <c r="BK493" s="433"/>
      <c r="BL493" s="433"/>
      <c r="BM493" s="433"/>
      <c r="BN493" s="433"/>
      <c r="BO493" s="433"/>
      <c r="BP493" s="433"/>
      <c r="BQ493" s="433"/>
      <c r="BR493" s="433"/>
      <c r="BS493" s="433"/>
      <c r="BT493" s="433"/>
      <c r="BU493" s="433"/>
    </row>
    <row r="494" spans="11:73" x14ac:dyDescent="0.2">
      <c r="K494" s="437"/>
      <c r="L494" s="437"/>
      <c r="M494" s="437"/>
      <c r="N494" s="437"/>
      <c r="O494" s="437"/>
      <c r="P494" s="437"/>
      <c r="Q494" s="437"/>
      <c r="R494" s="437"/>
      <c r="S494" s="437"/>
      <c r="T494" s="437"/>
      <c r="U494" s="433"/>
      <c r="V494" s="433"/>
      <c r="W494" s="433"/>
      <c r="X494" s="433"/>
      <c r="Y494" s="433"/>
      <c r="Z494" s="433"/>
      <c r="AA494" s="433"/>
      <c r="AB494" s="433"/>
      <c r="AC494" s="433"/>
      <c r="AD494" s="433"/>
      <c r="AE494" s="433"/>
      <c r="AF494" s="433"/>
      <c r="AG494" s="433"/>
      <c r="AH494" s="433"/>
      <c r="AI494" s="433"/>
      <c r="AJ494" s="433"/>
      <c r="AK494" s="433"/>
      <c r="AL494" s="433"/>
      <c r="AM494" s="433"/>
      <c r="AN494" s="433"/>
      <c r="AO494" s="433"/>
      <c r="AP494" s="433"/>
      <c r="AQ494" s="433"/>
      <c r="AR494" s="433"/>
      <c r="AS494" s="433"/>
      <c r="AT494" s="433"/>
      <c r="AU494" s="433"/>
      <c r="AV494" s="433"/>
      <c r="AW494" s="433"/>
      <c r="AX494" s="433"/>
      <c r="AY494" s="433"/>
      <c r="AZ494" s="433"/>
      <c r="BA494" s="433"/>
      <c r="BB494" s="433"/>
      <c r="BC494" s="433"/>
      <c r="BD494" s="433"/>
      <c r="BE494" s="433"/>
      <c r="BF494" s="433"/>
      <c r="BG494" s="433"/>
      <c r="BH494" s="433"/>
      <c r="BI494" s="433"/>
      <c r="BJ494" s="433"/>
      <c r="BK494" s="433"/>
      <c r="BL494" s="433"/>
      <c r="BM494" s="433"/>
      <c r="BN494" s="433"/>
      <c r="BO494" s="433"/>
      <c r="BP494" s="433"/>
      <c r="BQ494" s="433"/>
      <c r="BR494" s="433"/>
      <c r="BS494" s="433"/>
      <c r="BT494" s="433"/>
      <c r="BU494" s="433"/>
    </row>
    <row r="495" spans="11:73" x14ac:dyDescent="0.2">
      <c r="K495" s="437"/>
      <c r="L495" s="437"/>
      <c r="M495" s="437"/>
      <c r="N495" s="437"/>
      <c r="O495" s="437"/>
      <c r="P495" s="437"/>
      <c r="Q495" s="437"/>
      <c r="R495" s="437"/>
      <c r="S495" s="437"/>
      <c r="T495" s="437"/>
      <c r="U495" s="433"/>
      <c r="V495" s="433"/>
      <c r="W495" s="433"/>
      <c r="X495" s="433"/>
      <c r="Y495" s="433"/>
      <c r="Z495" s="433"/>
      <c r="AA495" s="433"/>
      <c r="AB495" s="433"/>
      <c r="AC495" s="433"/>
      <c r="AD495" s="433"/>
      <c r="AE495" s="433"/>
      <c r="AF495" s="433"/>
      <c r="AG495" s="433"/>
      <c r="AH495" s="433"/>
      <c r="AI495" s="433"/>
      <c r="AJ495" s="433"/>
      <c r="AK495" s="433"/>
      <c r="AL495" s="433"/>
      <c r="AM495" s="433"/>
      <c r="AN495" s="433"/>
      <c r="AO495" s="433"/>
      <c r="AP495" s="433"/>
      <c r="AQ495" s="433"/>
      <c r="AR495" s="433"/>
      <c r="AS495" s="433"/>
      <c r="AT495" s="433"/>
      <c r="AU495" s="433"/>
      <c r="AV495" s="433"/>
      <c r="AW495" s="433"/>
      <c r="AX495" s="433"/>
      <c r="AY495" s="433"/>
      <c r="AZ495" s="433"/>
      <c r="BA495" s="433"/>
      <c r="BB495" s="433"/>
      <c r="BC495" s="433"/>
      <c r="BD495" s="433"/>
      <c r="BE495" s="433"/>
      <c r="BF495" s="433"/>
      <c r="BG495" s="433"/>
      <c r="BH495" s="433"/>
      <c r="BI495" s="433"/>
      <c r="BJ495" s="433"/>
      <c r="BK495" s="433"/>
      <c r="BL495" s="433"/>
      <c r="BM495" s="433"/>
      <c r="BN495" s="433"/>
      <c r="BO495" s="433"/>
      <c r="BP495" s="433"/>
      <c r="BQ495" s="433"/>
      <c r="BR495" s="433"/>
      <c r="BS495" s="433"/>
      <c r="BT495" s="433"/>
      <c r="BU495" s="433"/>
    </row>
    <row r="496" spans="11:73" x14ac:dyDescent="0.2">
      <c r="K496" s="437"/>
      <c r="L496" s="437"/>
      <c r="M496" s="437"/>
      <c r="N496" s="437"/>
      <c r="O496" s="437"/>
      <c r="P496" s="437"/>
      <c r="Q496" s="437"/>
      <c r="R496" s="437"/>
      <c r="S496" s="437"/>
      <c r="T496" s="437"/>
      <c r="U496" s="433"/>
      <c r="V496" s="433"/>
      <c r="W496" s="433"/>
      <c r="X496" s="433"/>
      <c r="Y496" s="433"/>
      <c r="Z496" s="433"/>
      <c r="AA496" s="433"/>
      <c r="AB496" s="433"/>
      <c r="AC496" s="433"/>
      <c r="AD496" s="433"/>
      <c r="AE496" s="433"/>
      <c r="AF496" s="433"/>
      <c r="AG496" s="433"/>
      <c r="AH496" s="433"/>
      <c r="AI496" s="433"/>
      <c r="AJ496" s="433"/>
      <c r="AK496" s="433"/>
      <c r="AL496" s="433"/>
      <c r="AM496" s="433"/>
      <c r="AN496" s="433"/>
      <c r="AO496" s="433"/>
      <c r="AP496" s="433"/>
      <c r="AQ496" s="433"/>
      <c r="AR496" s="433"/>
      <c r="AS496" s="433"/>
      <c r="AT496" s="433"/>
      <c r="AU496" s="433"/>
      <c r="AV496" s="433"/>
      <c r="AW496" s="433"/>
      <c r="AX496" s="433"/>
      <c r="AY496" s="433"/>
      <c r="AZ496" s="433"/>
      <c r="BA496" s="433"/>
      <c r="BB496" s="433"/>
      <c r="BC496" s="433"/>
      <c r="BD496" s="433"/>
      <c r="BE496" s="433"/>
      <c r="BF496" s="433"/>
      <c r="BG496" s="433"/>
      <c r="BH496" s="433"/>
      <c r="BI496" s="433"/>
      <c r="BJ496" s="433"/>
      <c r="BK496" s="433"/>
      <c r="BL496" s="433"/>
      <c r="BM496" s="433"/>
      <c r="BN496" s="433"/>
      <c r="BO496" s="433"/>
      <c r="BP496" s="433"/>
      <c r="BQ496" s="433"/>
      <c r="BR496" s="433"/>
      <c r="BS496" s="433"/>
      <c r="BT496" s="433"/>
      <c r="BU496" s="433"/>
    </row>
    <row r="497" spans="11:73" x14ac:dyDescent="0.2">
      <c r="K497" s="437"/>
      <c r="L497" s="437"/>
      <c r="M497" s="437"/>
      <c r="N497" s="437"/>
      <c r="O497" s="437"/>
      <c r="P497" s="437"/>
      <c r="Q497" s="437"/>
      <c r="R497" s="437"/>
      <c r="S497" s="437"/>
      <c r="T497" s="437"/>
      <c r="U497" s="433"/>
      <c r="V497" s="433"/>
      <c r="W497" s="433"/>
      <c r="X497" s="433"/>
      <c r="Y497" s="433"/>
      <c r="Z497" s="433"/>
      <c r="AA497" s="433"/>
      <c r="AB497" s="433"/>
      <c r="AC497" s="433"/>
      <c r="AD497" s="433"/>
      <c r="AE497" s="433"/>
      <c r="AF497" s="433"/>
      <c r="AG497" s="433"/>
      <c r="AH497" s="433"/>
      <c r="AI497" s="433"/>
      <c r="AJ497" s="433"/>
      <c r="AK497" s="433"/>
      <c r="AL497" s="433"/>
      <c r="AM497" s="433"/>
      <c r="AN497" s="433"/>
      <c r="AO497" s="433"/>
      <c r="AP497" s="433"/>
      <c r="AQ497" s="433"/>
      <c r="AR497" s="433"/>
      <c r="AS497" s="433"/>
      <c r="AT497" s="433"/>
      <c r="AU497" s="433"/>
      <c r="AV497" s="433"/>
      <c r="AW497" s="433"/>
      <c r="AX497" s="433"/>
      <c r="AY497" s="433"/>
      <c r="AZ497" s="433"/>
      <c r="BA497" s="433"/>
      <c r="BB497" s="433"/>
      <c r="BC497" s="433"/>
      <c r="BD497" s="433"/>
      <c r="BE497" s="433"/>
      <c r="BF497" s="433"/>
      <c r="BG497" s="433"/>
      <c r="BH497" s="433"/>
      <c r="BI497" s="433"/>
      <c r="BJ497" s="433"/>
      <c r="BK497" s="433"/>
      <c r="BL497" s="433"/>
      <c r="BM497" s="433"/>
      <c r="BN497" s="433"/>
      <c r="BO497" s="433"/>
      <c r="BP497" s="433"/>
      <c r="BQ497" s="433"/>
      <c r="BR497" s="433"/>
      <c r="BS497" s="433"/>
      <c r="BT497" s="433"/>
      <c r="BU497" s="433"/>
    </row>
    <row r="498" spans="11:73" x14ac:dyDescent="0.2">
      <c r="K498" s="437"/>
      <c r="L498" s="437"/>
      <c r="M498" s="437"/>
      <c r="N498" s="437"/>
      <c r="O498" s="437"/>
      <c r="P498" s="437"/>
      <c r="Q498" s="437"/>
      <c r="R498" s="437"/>
      <c r="S498" s="437"/>
      <c r="T498" s="437"/>
      <c r="U498" s="433"/>
      <c r="V498" s="433"/>
      <c r="W498" s="433"/>
      <c r="X498" s="433"/>
      <c r="Y498" s="433"/>
      <c r="Z498" s="433"/>
      <c r="AA498" s="433"/>
      <c r="AB498" s="433"/>
      <c r="AC498" s="433"/>
      <c r="AD498" s="433"/>
      <c r="AE498" s="433"/>
      <c r="AF498" s="433"/>
      <c r="AG498" s="433"/>
      <c r="AH498" s="433"/>
      <c r="AI498" s="433"/>
      <c r="AJ498" s="433"/>
      <c r="AK498" s="433"/>
      <c r="AL498" s="433"/>
      <c r="AM498" s="433"/>
      <c r="AN498" s="433"/>
      <c r="AO498" s="433"/>
      <c r="AP498" s="433"/>
      <c r="AQ498" s="433"/>
      <c r="AR498" s="433"/>
      <c r="AS498" s="433"/>
      <c r="AT498" s="433"/>
      <c r="AU498" s="433"/>
      <c r="AV498" s="433"/>
      <c r="AW498" s="433"/>
      <c r="AX498" s="433"/>
      <c r="AY498" s="433"/>
      <c r="AZ498" s="433"/>
      <c r="BA498" s="433"/>
      <c r="BB498" s="433"/>
      <c r="BC498" s="433"/>
      <c r="BD498" s="433"/>
      <c r="BE498" s="433"/>
      <c r="BF498" s="433"/>
      <c r="BG498" s="433"/>
      <c r="BH498" s="433"/>
      <c r="BI498" s="433"/>
      <c r="BJ498" s="433"/>
      <c r="BK498" s="433"/>
      <c r="BL498" s="433"/>
      <c r="BM498" s="433"/>
      <c r="BN498" s="433"/>
      <c r="BO498" s="433"/>
      <c r="BP498" s="433"/>
      <c r="BQ498" s="433"/>
      <c r="BR498" s="433"/>
      <c r="BS498" s="433"/>
      <c r="BT498" s="433"/>
      <c r="BU498" s="433"/>
    </row>
    <row r="499" spans="11:73" x14ac:dyDescent="0.2">
      <c r="K499" s="437"/>
      <c r="L499" s="437"/>
      <c r="M499" s="437"/>
      <c r="N499" s="437"/>
      <c r="O499" s="437"/>
      <c r="P499" s="437"/>
      <c r="Q499" s="437"/>
      <c r="R499" s="437"/>
      <c r="S499" s="437"/>
      <c r="T499" s="437"/>
      <c r="U499" s="433"/>
      <c r="V499" s="433"/>
      <c r="W499" s="433"/>
      <c r="X499" s="433"/>
      <c r="Y499" s="433"/>
      <c r="Z499" s="433"/>
      <c r="AA499" s="433"/>
      <c r="AB499" s="433"/>
      <c r="AC499" s="433"/>
      <c r="AD499" s="433"/>
      <c r="AE499" s="433"/>
      <c r="AF499" s="433"/>
      <c r="AG499" s="433"/>
      <c r="AH499" s="433"/>
      <c r="AI499" s="433"/>
      <c r="AJ499" s="433"/>
      <c r="AK499" s="433"/>
      <c r="AL499" s="433"/>
      <c r="AM499" s="433"/>
      <c r="AN499" s="433"/>
      <c r="AO499" s="433"/>
      <c r="AP499" s="433"/>
      <c r="AQ499" s="433"/>
      <c r="AR499" s="433"/>
      <c r="AS499" s="433"/>
      <c r="AT499" s="433"/>
      <c r="AU499" s="433"/>
      <c r="AV499" s="433"/>
      <c r="AW499" s="433"/>
      <c r="AX499" s="433"/>
      <c r="AY499" s="433"/>
      <c r="AZ499" s="433"/>
      <c r="BA499" s="433"/>
      <c r="BB499" s="433"/>
      <c r="BC499" s="433"/>
      <c r="BD499" s="433"/>
      <c r="BE499" s="433"/>
      <c r="BF499" s="433"/>
      <c r="BG499" s="433"/>
      <c r="BH499" s="433"/>
      <c r="BI499" s="433"/>
      <c r="BJ499" s="433"/>
      <c r="BK499" s="433"/>
      <c r="BL499" s="433"/>
      <c r="BM499" s="433"/>
      <c r="BN499" s="433"/>
      <c r="BO499" s="433"/>
      <c r="BP499" s="433"/>
      <c r="BQ499" s="433"/>
      <c r="BR499" s="433"/>
      <c r="BS499" s="433"/>
      <c r="BT499" s="433"/>
      <c r="BU499" s="433"/>
    </row>
    <row r="500" spans="11:73" x14ac:dyDescent="0.2">
      <c r="K500" s="437"/>
      <c r="L500" s="437"/>
      <c r="M500" s="437"/>
      <c r="N500" s="437"/>
      <c r="O500" s="437"/>
      <c r="P500" s="437"/>
      <c r="Q500" s="437"/>
      <c r="R500" s="437"/>
      <c r="S500" s="437"/>
      <c r="T500" s="437"/>
      <c r="U500" s="433"/>
      <c r="V500" s="433"/>
      <c r="W500" s="433"/>
      <c r="X500" s="433"/>
      <c r="Y500" s="433"/>
      <c r="Z500" s="433"/>
      <c r="AA500" s="433"/>
      <c r="AB500" s="433"/>
      <c r="AC500" s="433"/>
      <c r="AD500" s="433"/>
      <c r="AE500" s="433"/>
      <c r="AF500" s="433"/>
      <c r="AG500" s="433"/>
      <c r="AH500" s="433"/>
      <c r="AI500" s="433"/>
      <c r="AJ500" s="433"/>
      <c r="AK500" s="433"/>
      <c r="AL500" s="433"/>
      <c r="AM500" s="433"/>
      <c r="AN500" s="433"/>
      <c r="AO500" s="433"/>
      <c r="AP500" s="433"/>
      <c r="AQ500" s="433"/>
      <c r="AR500" s="433"/>
      <c r="AS500" s="433"/>
      <c r="AT500" s="433"/>
      <c r="AU500" s="433"/>
      <c r="AV500" s="433"/>
      <c r="AW500" s="433"/>
      <c r="AX500" s="433"/>
      <c r="AY500" s="433"/>
      <c r="AZ500" s="433"/>
      <c r="BA500" s="433"/>
      <c r="BB500" s="433"/>
      <c r="BC500" s="433"/>
      <c r="BD500" s="433"/>
      <c r="BE500" s="433"/>
      <c r="BF500" s="433"/>
      <c r="BG500" s="433"/>
      <c r="BH500" s="433"/>
      <c r="BI500" s="433"/>
      <c r="BJ500" s="433"/>
      <c r="BK500" s="433"/>
      <c r="BL500" s="433"/>
      <c r="BM500" s="433"/>
      <c r="BN500" s="433"/>
      <c r="BO500" s="433"/>
      <c r="BP500" s="433"/>
      <c r="BQ500" s="433"/>
      <c r="BR500" s="433"/>
      <c r="BS500" s="433"/>
      <c r="BT500" s="433"/>
      <c r="BU500" s="433"/>
    </row>
    <row r="501" spans="11:73" x14ac:dyDescent="0.2"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  <c r="AB501" s="433"/>
      <c r="AC501" s="433"/>
      <c r="AD501" s="433"/>
      <c r="AE501" s="433"/>
      <c r="AF501" s="433"/>
      <c r="AG501" s="433"/>
      <c r="AH501" s="433"/>
      <c r="AI501" s="433"/>
      <c r="AJ501" s="433"/>
      <c r="AK501" s="433"/>
      <c r="AL501" s="433"/>
      <c r="AM501" s="433"/>
      <c r="AN501" s="433"/>
      <c r="AO501" s="433"/>
      <c r="AP501" s="433"/>
      <c r="AQ501" s="433"/>
      <c r="AR501" s="433"/>
      <c r="AS501" s="433"/>
      <c r="AT501" s="433"/>
      <c r="AU501" s="433"/>
      <c r="AV501" s="433"/>
      <c r="AW501" s="433"/>
      <c r="AX501" s="433"/>
      <c r="AY501" s="433"/>
      <c r="AZ501" s="433"/>
      <c r="BA501" s="433"/>
      <c r="BB501" s="433"/>
      <c r="BC501" s="433"/>
      <c r="BD501" s="433"/>
      <c r="BE501" s="433"/>
      <c r="BF501" s="433"/>
      <c r="BG501" s="433"/>
      <c r="BH501" s="433"/>
      <c r="BI501" s="433"/>
      <c r="BJ501" s="433"/>
      <c r="BK501" s="433"/>
      <c r="BL501" s="433"/>
      <c r="BM501" s="433"/>
      <c r="BN501" s="433"/>
      <c r="BO501" s="433"/>
      <c r="BP501" s="433"/>
      <c r="BQ501" s="433"/>
      <c r="BR501" s="433"/>
      <c r="BS501" s="433"/>
      <c r="BT501" s="433"/>
      <c r="BU501" s="433"/>
    </row>
    <row r="502" spans="11:73" x14ac:dyDescent="0.2">
      <c r="K502" s="433"/>
      <c r="L502" s="433"/>
      <c r="M502" s="433"/>
      <c r="N502" s="433"/>
      <c r="O502" s="433"/>
      <c r="P502" s="433"/>
      <c r="Q502" s="433"/>
      <c r="R502" s="433"/>
      <c r="S502" s="433"/>
      <c r="T502" s="433"/>
      <c r="U502" s="433"/>
      <c r="V502" s="433"/>
      <c r="W502" s="433"/>
      <c r="X502" s="433"/>
      <c r="Y502" s="433"/>
      <c r="Z502" s="433"/>
      <c r="AA502" s="433"/>
      <c r="AB502" s="433"/>
      <c r="AC502" s="433"/>
      <c r="AD502" s="433"/>
      <c r="AE502" s="433"/>
      <c r="AF502" s="433"/>
      <c r="AG502" s="433"/>
      <c r="AH502" s="433"/>
      <c r="AI502" s="433"/>
      <c r="AJ502" s="433"/>
      <c r="AK502" s="433"/>
      <c r="AL502" s="433"/>
      <c r="AM502" s="433"/>
      <c r="AN502" s="433"/>
      <c r="AO502" s="433"/>
      <c r="AP502" s="433"/>
      <c r="AQ502" s="433"/>
      <c r="AR502" s="433"/>
      <c r="AS502" s="433"/>
      <c r="AT502" s="433"/>
      <c r="AU502" s="433"/>
      <c r="AV502" s="433"/>
      <c r="AW502" s="433"/>
      <c r="AX502" s="433"/>
      <c r="AY502" s="433"/>
      <c r="AZ502" s="433"/>
      <c r="BA502" s="433"/>
      <c r="BB502" s="433"/>
      <c r="BC502" s="433"/>
      <c r="BD502" s="433"/>
      <c r="BE502" s="433"/>
      <c r="BF502" s="433"/>
      <c r="BG502" s="433"/>
      <c r="BH502" s="433"/>
      <c r="BI502" s="433"/>
      <c r="BJ502" s="433"/>
      <c r="BK502" s="433"/>
      <c r="BL502" s="433"/>
      <c r="BM502" s="433"/>
      <c r="BN502" s="433"/>
      <c r="BO502" s="433"/>
      <c r="BP502" s="433"/>
      <c r="BQ502" s="433"/>
      <c r="BR502" s="433"/>
      <c r="BS502" s="433"/>
      <c r="BT502" s="433"/>
      <c r="BU502" s="433"/>
    </row>
    <row r="503" spans="11:73" x14ac:dyDescent="0.2">
      <c r="K503" s="433"/>
      <c r="L503" s="433"/>
      <c r="M503" s="433"/>
      <c r="N503" s="433"/>
      <c r="O503" s="433"/>
      <c r="P503" s="433"/>
      <c r="Q503" s="433"/>
      <c r="R503" s="433"/>
      <c r="S503" s="433"/>
      <c r="T503" s="433"/>
      <c r="U503" s="433"/>
      <c r="V503" s="433"/>
      <c r="W503" s="433"/>
      <c r="X503" s="433"/>
      <c r="Y503" s="433"/>
      <c r="Z503" s="433"/>
      <c r="AA503" s="433"/>
      <c r="AB503" s="433"/>
      <c r="AC503" s="433"/>
      <c r="AD503" s="433"/>
      <c r="AE503" s="433"/>
      <c r="AF503" s="433"/>
      <c r="AG503" s="433"/>
      <c r="AH503" s="433"/>
      <c r="AI503" s="433"/>
      <c r="AJ503" s="433"/>
      <c r="AK503" s="433"/>
      <c r="AL503" s="433"/>
      <c r="AM503" s="433"/>
      <c r="AN503" s="433"/>
      <c r="AO503" s="433"/>
      <c r="AP503" s="433"/>
      <c r="AQ503" s="433"/>
      <c r="AR503" s="433"/>
      <c r="AS503" s="433"/>
      <c r="AT503" s="433"/>
      <c r="AU503" s="433"/>
      <c r="AV503" s="433"/>
      <c r="AW503" s="433"/>
      <c r="AX503" s="433"/>
      <c r="AY503" s="433"/>
      <c r="AZ503" s="433"/>
      <c r="BA503" s="433"/>
      <c r="BB503" s="433"/>
      <c r="BC503" s="433"/>
      <c r="BD503" s="433"/>
      <c r="BE503" s="433"/>
      <c r="BF503" s="433"/>
      <c r="BG503" s="433"/>
      <c r="BH503" s="433"/>
      <c r="BI503" s="433"/>
      <c r="BJ503" s="433"/>
      <c r="BK503" s="433"/>
      <c r="BL503" s="433"/>
      <c r="BM503" s="433"/>
      <c r="BN503" s="433"/>
      <c r="BO503" s="433"/>
      <c r="BP503" s="433"/>
      <c r="BQ503" s="433"/>
      <c r="BR503" s="433"/>
      <c r="BS503" s="433"/>
      <c r="BT503" s="433"/>
      <c r="BU503" s="433"/>
    </row>
    <row r="504" spans="11:73" x14ac:dyDescent="0.2">
      <c r="K504" s="433"/>
      <c r="L504" s="433"/>
      <c r="M504" s="433"/>
      <c r="N504" s="433"/>
      <c r="O504" s="433"/>
      <c r="P504" s="433"/>
      <c r="Q504" s="433"/>
      <c r="R504" s="433"/>
      <c r="S504" s="433"/>
      <c r="T504" s="433"/>
      <c r="U504" s="433"/>
      <c r="V504" s="433"/>
      <c r="W504" s="433"/>
      <c r="X504" s="433"/>
      <c r="Y504" s="433"/>
      <c r="Z504" s="433"/>
      <c r="AA504" s="433"/>
      <c r="AB504" s="433"/>
      <c r="AC504" s="433"/>
      <c r="AD504" s="433"/>
      <c r="AE504" s="433"/>
      <c r="AF504" s="433"/>
      <c r="AG504" s="433"/>
      <c r="AH504" s="433"/>
      <c r="AI504" s="433"/>
      <c r="AJ504" s="433"/>
      <c r="AK504" s="433"/>
      <c r="AL504" s="433"/>
      <c r="AM504" s="433"/>
      <c r="AN504" s="433"/>
      <c r="AO504" s="433"/>
      <c r="AP504" s="433"/>
      <c r="AQ504" s="433"/>
      <c r="AR504" s="433"/>
      <c r="AS504" s="433"/>
      <c r="AT504" s="433"/>
      <c r="AU504" s="433"/>
      <c r="AV504" s="433"/>
      <c r="AW504" s="433"/>
      <c r="AX504" s="433"/>
      <c r="AY504" s="433"/>
      <c r="AZ504" s="433"/>
      <c r="BA504" s="433"/>
      <c r="BB504" s="433"/>
      <c r="BC504" s="433"/>
      <c r="BD504" s="433"/>
      <c r="BE504" s="433"/>
      <c r="BF504" s="433"/>
      <c r="BG504" s="433"/>
      <c r="BH504" s="433"/>
      <c r="BI504" s="433"/>
      <c r="BJ504" s="433"/>
      <c r="BK504" s="433"/>
      <c r="BL504" s="433"/>
      <c r="BM504" s="433"/>
      <c r="BN504" s="433"/>
      <c r="BO504" s="433"/>
      <c r="BP504" s="433"/>
      <c r="BQ504" s="433"/>
      <c r="BR504" s="433"/>
      <c r="BS504" s="433"/>
      <c r="BT504" s="433"/>
      <c r="BU504" s="433"/>
    </row>
    <row r="505" spans="11:73" x14ac:dyDescent="0.2">
      <c r="K505" s="433"/>
      <c r="L505" s="433"/>
      <c r="M505" s="433"/>
      <c r="N505" s="433"/>
      <c r="O505" s="433"/>
      <c r="P505" s="433"/>
      <c r="Q505" s="433"/>
      <c r="R505" s="433"/>
      <c r="S505" s="433"/>
      <c r="T505" s="433"/>
      <c r="U505" s="433"/>
      <c r="V505" s="433"/>
      <c r="W505" s="433"/>
      <c r="X505" s="433"/>
      <c r="Y505" s="433"/>
      <c r="Z505" s="433"/>
      <c r="AA505" s="433"/>
      <c r="AB505" s="433"/>
      <c r="AC505" s="433"/>
      <c r="AD505" s="433"/>
      <c r="AE505" s="433"/>
      <c r="AF505" s="433"/>
      <c r="AG505" s="433"/>
      <c r="AH505" s="433"/>
      <c r="AI505" s="433"/>
      <c r="AJ505" s="433"/>
      <c r="AK505" s="433"/>
      <c r="AL505" s="433"/>
      <c r="AM505" s="433"/>
      <c r="AN505" s="433"/>
      <c r="AO505" s="433"/>
      <c r="AP505" s="433"/>
      <c r="AQ505" s="433"/>
      <c r="AR505" s="433"/>
      <c r="AS505" s="433"/>
      <c r="AT505" s="433"/>
      <c r="AU505" s="433"/>
      <c r="AV505" s="433"/>
      <c r="AW505" s="433"/>
      <c r="AX505" s="433"/>
      <c r="AY505" s="433"/>
      <c r="AZ505" s="433"/>
      <c r="BA505" s="433"/>
      <c r="BB505" s="433"/>
      <c r="BC505" s="433"/>
      <c r="BD505" s="433"/>
      <c r="BE505" s="433"/>
      <c r="BF505" s="433"/>
      <c r="BG505" s="433"/>
      <c r="BH505" s="433"/>
      <c r="BI505" s="433"/>
      <c r="BJ505" s="433"/>
      <c r="BK505" s="433"/>
      <c r="BL505" s="433"/>
      <c r="BM505" s="433"/>
      <c r="BN505" s="433"/>
      <c r="BO505" s="433"/>
      <c r="BP505" s="433"/>
      <c r="BQ505" s="433"/>
      <c r="BR505" s="433"/>
      <c r="BS505" s="433"/>
      <c r="BT505" s="433"/>
      <c r="BU505" s="433"/>
    </row>
    <row r="506" spans="11:73" x14ac:dyDescent="0.2">
      <c r="K506" s="433"/>
      <c r="L506" s="433"/>
      <c r="M506" s="433"/>
      <c r="N506" s="433"/>
      <c r="O506" s="433"/>
      <c r="P506" s="433"/>
      <c r="Q506" s="433"/>
      <c r="R506" s="433"/>
      <c r="S506" s="433"/>
      <c r="T506" s="433"/>
      <c r="U506" s="433"/>
      <c r="V506" s="433"/>
      <c r="W506" s="433"/>
      <c r="X506" s="433"/>
      <c r="Y506" s="433"/>
      <c r="Z506" s="433"/>
      <c r="AA506" s="433"/>
      <c r="AB506" s="433"/>
      <c r="AC506" s="433"/>
      <c r="AD506" s="433"/>
      <c r="AE506" s="433"/>
      <c r="AF506" s="433"/>
      <c r="AG506" s="433"/>
      <c r="AH506" s="433"/>
      <c r="AI506" s="433"/>
      <c r="AJ506" s="433"/>
      <c r="AK506" s="433"/>
      <c r="AL506" s="433"/>
      <c r="AM506" s="433"/>
      <c r="AN506" s="433"/>
      <c r="AO506" s="433"/>
      <c r="AP506" s="433"/>
      <c r="AQ506" s="433"/>
      <c r="AR506" s="433"/>
      <c r="AS506" s="433"/>
      <c r="AT506" s="433"/>
      <c r="AU506" s="433"/>
      <c r="AV506" s="433"/>
      <c r="AW506" s="433"/>
      <c r="AX506" s="433"/>
      <c r="AY506" s="433"/>
      <c r="AZ506" s="433"/>
      <c r="BA506" s="433"/>
      <c r="BB506" s="433"/>
      <c r="BC506" s="433"/>
      <c r="BD506" s="433"/>
      <c r="BE506" s="433"/>
      <c r="BF506" s="433"/>
      <c r="BG506" s="433"/>
      <c r="BH506" s="433"/>
      <c r="BI506" s="433"/>
      <c r="BJ506" s="433"/>
      <c r="BK506" s="433"/>
      <c r="BL506" s="433"/>
      <c r="BM506" s="433"/>
      <c r="BN506" s="433"/>
      <c r="BO506" s="433"/>
      <c r="BP506" s="433"/>
      <c r="BQ506" s="433"/>
      <c r="BR506" s="433"/>
      <c r="BS506" s="433"/>
      <c r="BT506" s="433"/>
      <c r="BU506" s="433"/>
    </row>
    <row r="507" spans="11:73" x14ac:dyDescent="0.2">
      <c r="K507" s="433"/>
      <c r="L507" s="433"/>
      <c r="M507" s="433"/>
      <c r="N507" s="433"/>
      <c r="O507" s="433"/>
      <c r="P507" s="433"/>
      <c r="Q507" s="433"/>
      <c r="R507" s="433"/>
      <c r="S507" s="433"/>
      <c r="T507" s="433"/>
      <c r="U507" s="433"/>
      <c r="V507" s="433"/>
      <c r="W507" s="433"/>
      <c r="X507" s="433"/>
      <c r="Y507" s="433"/>
      <c r="Z507" s="433"/>
      <c r="AA507" s="433"/>
      <c r="AB507" s="433"/>
      <c r="AC507" s="433"/>
      <c r="AD507" s="433"/>
      <c r="AE507" s="433"/>
      <c r="AF507" s="433"/>
      <c r="AG507" s="433"/>
      <c r="AH507" s="433"/>
      <c r="AI507" s="433"/>
      <c r="AJ507" s="433"/>
      <c r="AK507" s="433"/>
      <c r="AL507" s="433"/>
      <c r="AM507" s="433"/>
      <c r="AN507" s="433"/>
      <c r="AO507" s="433"/>
      <c r="AP507" s="433"/>
      <c r="AQ507" s="433"/>
      <c r="AR507" s="433"/>
      <c r="AS507" s="433"/>
      <c r="AT507" s="433"/>
      <c r="AU507" s="433"/>
      <c r="AV507" s="433"/>
      <c r="AW507" s="433"/>
      <c r="AX507" s="433"/>
      <c r="AY507" s="433"/>
      <c r="AZ507" s="433"/>
      <c r="BA507" s="433"/>
      <c r="BB507" s="433"/>
      <c r="BC507" s="433"/>
      <c r="BD507" s="433"/>
      <c r="BE507" s="433"/>
      <c r="BF507" s="433"/>
      <c r="BG507" s="433"/>
      <c r="BH507" s="433"/>
      <c r="BI507" s="433"/>
      <c r="BJ507" s="433"/>
      <c r="BK507" s="433"/>
      <c r="BL507" s="433"/>
      <c r="BM507" s="433"/>
      <c r="BN507" s="433"/>
      <c r="BO507" s="433"/>
      <c r="BP507" s="433"/>
      <c r="BQ507" s="433"/>
      <c r="BR507" s="433"/>
      <c r="BS507" s="433"/>
      <c r="BT507" s="433"/>
      <c r="BU507" s="433"/>
    </row>
    <row r="508" spans="11:73" x14ac:dyDescent="0.2">
      <c r="K508" s="433"/>
      <c r="L508" s="433"/>
      <c r="M508" s="433"/>
      <c r="N508" s="433"/>
      <c r="O508" s="433"/>
      <c r="P508" s="433"/>
      <c r="Q508" s="433"/>
      <c r="R508" s="433"/>
      <c r="S508" s="433"/>
      <c r="T508" s="433"/>
      <c r="U508" s="433"/>
      <c r="V508" s="433"/>
      <c r="W508" s="433"/>
      <c r="X508" s="433"/>
      <c r="Y508" s="433"/>
      <c r="Z508" s="433"/>
      <c r="AA508" s="433"/>
      <c r="AB508" s="433"/>
      <c r="AC508" s="433"/>
      <c r="AD508" s="433"/>
      <c r="AE508" s="433"/>
      <c r="AF508" s="433"/>
      <c r="AG508" s="433"/>
      <c r="AH508" s="433"/>
      <c r="AI508" s="433"/>
      <c r="AJ508" s="433"/>
      <c r="AK508" s="433"/>
      <c r="AL508" s="433"/>
      <c r="AM508" s="433"/>
      <c r="AN508" s="433"/>
      <c r="AO508" s="433"/>
      <c r="AP508" s="433"/>
      <c r="AQ508" s="433"/>
      <c r="AR508" s="433"/>
      <c r="AS508" s="433"/>
      <c r="AT508" s="433"/>
      <c r="AU508" s="433"/>
      <c r="AV508" s="433"/>
      <c r="AW508" s="433"/>
      <c r="AX508" s="433"/>
      <c r="AY508" s="433"/>
      <c r="AZ508" s="433"/>
      <c r="BA508" s="433"/>
      <c r="BB508" s="433"/>
      <c r="BC508" s="433"/>
      <c r="BD508" s="433"/>
      <c r="BE508" s="433"/>
      <c r="BF508" s="433"/>
      <c r="BG508" s="433"/>
      <c r="BH508" s="433"/>
      <c r="BI508" s="433"/>
      <c r="BJ508" s="433"/>
      <c r="BK508" s="433"/>
      <c r="BL508" s="433"/>
      <c r="BM508" s="433"/>
      <c r="BN508" s="433"/>
      <c r="BO508" s="433"/>
      <c r="BP508" s="433"/>
      <c r="BQ508" s="433"/>
      <c r="BR508" s="433"/>
      <c r="BS508" s="433"/>
      <c r="BT508" s="433"/>
      <c r="BU508" s="433"/>
    </row>
    <row r="509" spans="11:73" x14ac:dyDescent="0.2">
      <c r="K509" s="433"/>
      <c r="L509" s="433"/>
      <c r="M509" s="433"/>
      <c r="N509" s="433"/>
      <c r="O509" s="433"/>
      <c r="P509" s="433"/>
      <c r="Q509" s="433"/>
      <c r="R509" s="433"/>
      <c r="S509" s="433"/>
      <c r="T509" s="433"/>
      <c r="U509" s="433"/>
      <c r="V509" s="433"/>
      <c r="W509" s="433"/>
      <c r="X509" s="433"/>
      <c r="Y509" s="433"/>
      <c r="Z509" s="433"/>
      <c r="AA509" s="433"/>
      <c r="AB509" s="433"/>
      <c r="AC509" s="433"/>
      <c r="AD509" s="433"/>
      <c r="AE509" s="433"/>
      <c r="AF509" s="433"/>
      <c r="AG509" s="433"/>
      <c r="AH509" s="433"/>
      <c r="AI509" s="433"/>
      <c r="AJ509" s="433"/>
      <c r="AK509" s="433"/>
      <c r="AL509" s="433"/>
      <c r="AM509" s="433"/>
      <c r="AN509" s="433"/>
      <c r="AO509" s="433"/>
      <c r="AP509" s="433"/>
      <c r="AQ509" s="433"/>
      <c r="AR509" s="433"/>
      <c r="AS509" s="433"/>
      <c r="AT509" s="433"/>
      <c r="AU509" s="433"/>
      <c r="AV509" s="433"/>
      <c r="AW509" s="433"/>
      <c r="AX509" s="433"/>
      <c r="AY509" s="433"/>
      <c r="AZ509" s="433"/>
      <c r="BA509" s="433"/>
      <c r="BB509" s="433"/>
      <c r="BC509" s="433"/>
      <c r="BD509" s="433"/>
      <c r="BE509" s="433"/>
      <c r="BF509" s="433"/>
      <c r="BG509" s="433"/>
      <c r="BH509" s="433"/>
      <c r="BI509" s="433"/>
      <c r="BJ509" s="433"/>
      <c r="BK509" s="433"/>
      <c r="BL509" s="433"/>
      <c r="BM509" s="433"/>
      <c r="BN509" s="433"/>
      <c r="BO509" s="433"/>
      <c r="BP509" s="433"/>
      <c r="BQ509" s="433"/>
      <c r="BR509" s="433"/>
      <c r="BS509" s="433"/>
      <c r="BT509" s="433"/>
      <c r="BU509" s="433"/>
    </row>
    <row r="510" spans="11:73" x14ac:dyDescent="0.2">
      <c r="K510" s="433"/>
      <c r="L510" s="433"/>
      <c r="M510" s="433"/>
      <c r="N510" s="433"/>
      <c r="O510" s="433"/>
      <c r="P510" s="433"/>
      <c r="Q510" s="433"/>
      <c r="R510" s="433"/>
      <c r="S510" s="433"/>
      <c r="T510" s="433"/>
      <c r="U510" s="433"/>
      <c r="V510" s="433"/>
      <c r="W510" s="433"/>
      <c r="X510" s="433"/>
      <c r="Y510" s="433"/>
      <c r="Z510" s="433"/>
      <c r="AA510" s="433"/>
      <c r="AB510" s="433"/>
      <c r="AC510" s="433"/>
      <c r="AD510" s="433"/>
      <c r="AE510" s="433"/>
      <c r="AF510" s="433"/>
      <c r="AG510" s="433"/>
      <c r="AH510" s="433"/>
      <c r="AI510" s="433"/>
      <c r="AJ510" s="433"/>
      <c r="AK510" s="433"/>
      <c r="AL510" s="433"/>
      <c r="AM510" s="433"/>
      <c r="AN510" s="433"/>
      <c r="AO510" s="433"/>
      <c r="AP510" s="433"/>
      <c r="AQ510" s="433"/>
      <c r="AR510" s="433"/>
      <c r="AS510" s="433"/>
      <c r="AT510" s="433"/>
      <c r="AU510" s="433"/>
      <c r="AV510" s="433"/>
      <c r="AW510" s="433"/>
      <c r="AX510" s="433"/>
      <c r="AY510" s="433"/>
      <c r="AZ510" s="433"/>
      <c r="BA510" s="433"/>
      <c r="BB510" s="433"/>
      <c r="BC510" s="433"/>
      <c r="BD510" s="433"/>
      <c r="BE510" s="433"/>
      <c r="BF510" s="433"/>
      <c r="BG510" s="433"/>
      <c r="BH510" s="433"/>
      <c r="BI510" s="433"/>
      <c r="BJ510" s="433"/>
      <c r="BK510" s="433"/>
      <c r="BL510" s="433"/>
      <c r="BM510" s="433"/>
      <c r="BN510" s="433"/>
      <c r="BO510" s="433"/>
      <c r="BP510" s="433"/>
      <c r="BQ510" s="433"/>
      <c r="BR510" s="433"/>
      <c r="BS510" s="433"/>
      <c r="BT510" s="433"/>
      <c r="BU510" s="433"/>
    </row>
    <row r="511" spans="11:73" x14ac:dyDescent="0.2">
      <c r="K511" s="433"/>
      <c r="L511" s="433"/>
      <c r="M511" s="433"/>
      <c r="N511" s="433"/>
      <c r="O511" s="433"/>
      <c r="P511" s="433"/>
      <c r="Q511" s="433"/>
      <c r="R511" s="433"/>
      <c r="S511" s="433"/>
      <c r="T511" s="433"/>
      <c r="U511" s="433"/>
      <c r="V511" s="433"/>
      <c r="W511" s="433"/>
      <c r="X511" s="433"/>
      <c r="Y511" s="433"/>
      <c r="Z511" s="433"/>
      <c r="AA511" s="433"/>
      <c r="AB511" s="433"/>
      <c r="AC511" s="433"/>
      <c r="AD511" s="433"/>
      <c r="AE511" s="433"/>
      <c r="AF511" s="433"/>
      <c r="AG511" s="433"/>
      <c r="AH511" s="433"/>
      <c r="AI511" s="433"/>
      <c r="AJ511" s="433"/>
      <c r="AK511" s="433"/>
      <c r="AL511" s="433"/>
      <c r="AM511" s="433"/>
      <c r="AN511" s="433"/>
      <c r="AO511" s="433"/>
      <c r="AP511" s="433"/>
      <c r="AQ511" s="433"/>
      <c r="AR511" s="433"/>
      <c r="AS511" s="433"/>
      <c r="AT511" s="433"/>
      <c r="AU511" s="433"/>
      <c r="AV511" s="433"/>
      <c r="AW511" s="433"/>
      <c r="AX511" s="433"/>
      <c r="AY511" s="433"/>
      <c r="AZ511" s="433"/>
      <c r="BA511" s="433"/>
      <c r="BB511" s="433"/>
      <c r="BC511" s="433"/>
      <c r="BD511" s="433"/>
      <c r="BE511" s="433"/>
      <c r="BF511" s="433"/>
      <c r="BG511" s="433"/>
      <c r="BH511" s="433"/>
      <c r="BI511" s="433"/>
      <c r="BJ511" s="433"/>
      <c r="BK511" s="433"/>
      <c r="BL511" s="433"/>
      <c r="BM511" s="433"/>
      <c r="BN511" s="433"/>
      <c r="BO511" s="433"/>
      <c r="BP511" s="433"/>
      <c r="BQ511" s="433"/>
      <c r="BR511" s="433"/>
      <c r="BS511" s="433"/>
      <c r="BT511" s="433"/>
      <c r="BU511" s="433"/>
    </row>
    <row r="512" spans="11:73" x14ac:dyDescent="0.2">
      <c r="K512" s="433"/>
      <c r="L512" s="433"/>
      <c r="M512" s="433"/>
      <c r="N512" s="433"/>
      <c r="O512" s="433"/>
      <c r="P512" s="433"/>
      <c r="Q512" s="433"/>
      <c r="R512" s="433"/>
      <c r="S512" s="433"/>
      <c r="T512" s="433"/>
      <c r="U512" s="433"/>
      <c r="V512" s="433"/>
      <c r="W512" s="433"/>
      <c r="X512" s="433"/>
      <c r="Y512" s="433"/>
      <c r="Z512" s="433"/>
      <c r="AA512" s="433"/>
      <c r="AB512" s="433"/>
      <c r="AC512" s="433"/>
      <c r="AD512" s="433"/>
      <c r="AE512" s="433"/>
      <c r="AF512" s="433"/>
      <c r="AG512" s="433"/>
      <c r="AH512" s="433"/>
      <c r="AI512" s="433"/>
      <c r="AJ512" s="433"/>
      <c r="AK512" s="433"/>
      <c r="AL512" s="433"/>
      <c r="AM512" s="433"/>
      <c r="AN512" s="433"/>
      <c r="AO512" s="433"/>
      <c r="AP512" s="433"/>
      <c r="AQ512" s="433"/>
      <c r="AR512" s="433"/>
      <c r="AS512" s="433"/>
      <c r="AT512" s="433"/>
      <c r="AU512" s="433"/>
      <c r="AV512" s="433"/>
      <c r="AW512" s="433"/>
      <c r="AX512" s="433"/>
      <c r="AY512" s="433"/>
      <c r="AZ512" s="433"/>
      <c r="BA512" s="433"/>
      <c r="BB512" s="433"/>
      <c r="BC512" s="433"/>
      <c r="BD512" s="433"/>
      <c r="BE512" s="433"/>
      <c r="BF512" s="433"/>
      <c r="BG512" s="433"/>
      <c r="BH512" s="433"/>
      <c r="BI512" s="433"/>
      <c r="BJ512" s="433"/>
      <c r="BK512" s="433"/>
      <c r="BL512" s="433"/>
      <c r="BM512" s="433"/>
      <c r="BN512" s="433"/>
      <c r="BO512" s="433"/>
      <c r="BP512" s="433"/>
      <c r="BQ512" s="433"/>
      <c r="BR512" s="433"/>
      <c r="BS512" s="433"/>
      <c r="BT512" s="433"/>
      <c r="BU512" s="433"/>
    </row>
    <row r="513" spans="11:73" x14ac:dyDescent="0.2">
      <c r="K513" s="433"/>
      <c r="L513" s="433"/>
      <c r="M513" s="433"/>
      <c r="N513" s="433"/>
      <c r="O513" s="433"/>
      <c r="P513" s="433"/>
      <c r="Q513" s="433"/>
      <c r="R513" s="433"/>
      <c r="S513" s="433"/>
      <c r="T513" s="433"/>
      <c r="U513" s="433"/>
      <c r="V513" s="433"/>
      <c r="W513" s="433"/>
      <c r="X513" s="433"/>
      <c r="Y513" s="433"/>
      <c r="Z513" s="433"/>
      <c r="AA513" s="433"/>
      <c r="AB513" s="433"/>
      <c r="AC513" s="433"/>
      <c r="AD513" s="433"/>
      <c r="AE513" s="433"/>
      <c r="AF513" s="433"/>
      <c r="AG513" s="433"/>
      <c r="AH513" s="433"/>
      <c r="AI513" s="433"/>
      <c r="AJ513" s="433"/>
      <c r="AK513" s="433"/>
      <c r="AL513" s="433"/>
      <c r="AM513" s="433"/>
      <c r="AN513" s="433"/>
      <c r="AO513" s="433"/>
      <c r="AP513" s="433"/>
      <c r="AQ513" s="433"/>
      <c r="AR513" s="433"/>
      <c r="AS513" s="433"/>
      <c r="AT513" s="433"/>
      <c r="AU513" s="433"/>
      <c r="AV513" s="433"/>
      <c r="AW513" s="433"/>
      <c r="AX513" s="433"/>
      <c r="AY513" s="433"/>
      <c r="AZ513" s="433"/>
      <c r="BA513" s="433"/>
      <c r="BB513" s="433"/>
      <c r="BC513" s="433"/>
      <c r="BD513" s="433"/>
      <c r="BE513" s="433"/>
      <c r="BF513" s="433"/>
      <c r="BG513" s="433"/>
      <c r="BH513" s="433"/>
      <c r="BI513" s="433"/>
      <c r="BJ513" s="433"/>
      <c r="BK513" s="433"/>
      <c r="BL513" s="433"/>
      <c r="BM513" s="433"/>
      <c r="BN513" s="433"/>
      <c r="BO513" s="433"/>
      <c r="BP513" s="433"/>
      <c r="BQ513" s="433"/>
      <c r="BR513" s="433"/>
      <c r="BS513" s="433"/>
      <c r="BT513" s="433"/>
      <c r="BU513" s="433"/>
    </row>
    <row r="514" spans="11:73" x14ac:dyDescent="0.2">
      <c r="K514" s="433"/>
      <c r="L514" s="433"/>
      <c r="M514" s="433"/>
      <c r="N514" s="433"/>
      <c r="O514" s="433"/>
      <c r="P514" s="433"/>
      <c r="Q514" s="433"/>
      <c r="R514" s="433"/>
      <c r="S514" s="433"/>
      <c r="T514" s="433"/>
      <c r="U514" s="433"/>
      <c r="V514" s="433"/>
      <c r="W514" s="433"/>
      <c r="X514" s="433"/>
      <c r="Y514" s="433"/>
      <c r="Z514" s="433"/>
      <c r="AA514" s="433"/>
      <c r="AB514" s="433"/>
      <c r="AC514" s="433"/>
      <c r="AD514" s="433"/>
      <c r="AE514" s="433"/>
      <c r="AF514" s="433"/>
      <c r="AG514" s="433"/>
      <c r="AH514" s="433"/>
      <c r="AI514" s="433"/>
      <c r="AJ514" s="433"/>
      <c r="AK514" s="433"/>
      <c r="AL514" s="433"/>
      <c r="AM514" s="433"/>
      <c r="AN514" s="433"/>
      <c r="AO514" s="433"/>
      <c r="AP514" s="433"/>
      <c r="AQ514" s="433"/>
      <c r="AR514" s="433"/>
      <c r="AS514" s="433"/>
      <c r="AT514" s="433"/>
      <c r="AU514" s="433"/>
      <c r="AV514" s="433"/>
      <c r="AW514" s="433"/>
      <c r="AX514" s="433"/>
      <c r="AY514" s="433"/>
      <c r="AZ514" s="433"/>
      <c r="BA514" s="433"/>
      <c r="BB514" s="433"/>
      <c r="BC514" s="433"/>
      <c r="BD514" s="433"/>
      <c r="BE514" s="433"/>
      <c r="BF514" s="433"/>
      <c r="BG514" s="433"/>
      <c r="BH514" s="433"/>
      <c r="BI514" s="433"/>
      <c r="BJ514" s="433"/>
      <c r="BK514" s="433"/>
      <c r="BL514" s="433"/>
      <c r="BM514" s="433"/>
      <c r="BN514" s="433"/>
      <c r="BO514" s="433"/>
      <c r="BP514" s="433"/>
      <c r="BQ514" s="433"/>
      <c r="BR514" s="433"/>
      <c r="BS514" s="433"/>
      <c r="BT514" s="433"/>
      <c r="BU514" s="433"/>
    </row>
    <row r="515" spans="11:73" x14ac:dyDescent="0.2">
      <c r="K515" s="433"/>
      <c r="L515" s="433"/>
      <c r="M515" s="433"/>
      <c r="N515" s="433"/>
      <c r="O515" s="433"/>
      <c r="P515" s="433"/>
      <c r="Q515" s="433"/>
      <c r="R515" s="433"/>
      <c r="S515" s="433"/>
      <c r="T515" s="433"/>
      <c r="U515" s="433"/>
      <c r="V515" s="433"/>
      <c r="W515" s="433"/>
      <c r="X515" s="433"/>
      <c r="Y515" s="433"/>
      <c r="Z515" s="433"/>
      <c r="AA515" s="433"/>
      <c r="AB515" s="433"/>
      <c r="AC515" s="433"/>
      <c r="AD515" s="433"/>
      <c r="AE515" s="433"/>
      <c r="AF515" s="433"/>
      <c r="AG515" s="433"/>
      <c r="AH515" s="433"/>
      <c r="AI515" s="433"/>
      <c r="AJ515" s="433"/>
      <c r="AK515" s="433"/>
      <c r="AL515" s="433"/>
      <c r="AM515" s="433"/>
      <c r="AN515" s="433"/>
      <c r="AO515" s="433"/>
      <c r="AP515" s="433"/>
      <c r="AQ515" s="433"/>
      <c r="AR515" s="433"/>
      <c r="AS515" s="433"/>
      <c r="AT515" s="433"/>
      <c r="AU515" s="433"/>
      <c r="AV515" s="433"/>
      <c r="AW515" s="433"/>
      <c r="AX515" s="433"/>
      <c r="AY515" s="433"/>
      <c r="AZ515" s="433"/>
      <c r="BA515" s="433"/>
      <c r="BB515" s="433"/>
      <c r="BC515" s="433"/>
      <c r="BD515" s="433"/>
      <c r="BE515" s="433"/>
      <c r="BF515" s="433"/>
      <c r="BG515" s="433"/>
      <c r="BH515" s="433"/>
      <c r="BI515" s="433"/>
      <c r="BJ515" s="433"/>
      <c r="BK515" s="433"/>
      <c r="BL515" s="433"/>
      <c r="BM515" s="433"/>
      <c r="BN515" s="433"/>
      <c r="BO515" s="433"/>
      <c r="BP515" s="433"/>
      <c r="BQ515" s="433"/>
      <c r="BR515" s="433"/>
      <c r="BS515" s="433"/>
      <c r="BT515" s="433"/>
      <c r="BU515" s="433"/>
    </row>
    <row r="516" spans="11:73" x14ac:dyDescent="0.2">
      <c r="K516" s="439"/>
      <c r="L516" s="439"/>
      <c r="M516" s="439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  <c r="AB516" s="433"/>
      <c r="AC516" s="433"/>
      <c r="AD516" s="433"/>
      <c r="AE516" s="433"/>
      <c r="AF516" s="433"/>
      <c r="AG516" s="433"/>
      <c r="AH516" s="433"/>
      <c r="AI516" s="433"/>
      <c r="AJ516" s="433"/>
      <c r="AK516" s="433"/>
      <c r="AL516" s="433"/>
      <c r="AM516" s="433"/>
      <c r="AN516" s="433"/>
      <c r="AO516" s="433"/>
      <c r="AP516" s="433"/>
      <c r="AQ516" s="433"/>
      <c r="AR516" s="433"/>
      <c r="AS516" s="433"/>
      <c r="AT516" s="433"/>
      <c r="AU516" s="433"/>
      <c r="AV516" s="433"/>
      <c r="AW516" s="433"/>
      <c r="AX516" s="433"/>
      <c r="AY516" s="433"/>
      <c r="AZ516" s="433"/>
      <c r="BA516" s="433"/>
      <c r="BB516" s="433"/>
      <c r="BC516" s="433"/>
      <c r="BD516" s="433"/>
      <c r="BE516" s="433"/>
      <c r="BF516" s="433"/>
      <c r="BG516" s="433"/>
      <c r="BH516" s="433"/>
      <c r="BI516" s="433"/>
      <c r="BJ516" s="433"/>
      <c r="BK516" s="433"/>
      <c r="BL516" s="433"/>
      <c r="BM516" s="433"/>
      <c r="BN516" s="433"/>
      <c r="BO516" s="433"/>
      <c r="BP516" s="433"/>
      <c r="BQ516" s="433"/>
      <c r="BR516" s="433"/>
      <c r="BS516" s="433"/>
      <c r="BT516" s="433"/>
      <c r="BU516" s="433"/>
    </row>
    <row r="517" spans="11:73" x14ac:dyDescent="0.2">
      <c r="K517" s="433"/>
      <c r="L517" s="433"/>
      <c r="M517" s="433"/>
      <c r="N517" s="433"/>
      <c r="O517" s="433"/>
      <c r="P517" s="433"/>
      <c r="Q517" s="433"/>
      <c r="R517" s="433"/>
      <c r="S517" s="433"/>
      <c r="T517" s="433"/>
      <c r="U517" s="433"/>
      <c r="V517" s="433"/>
      <c r="W517" s="433"/>
      <c r="X517" s="433"/>
      <c r="Y517" s="433"/>
      <c r="Z517" s="433"/>
      <c r="AA517" s="433"/>
      <c r="AB517" s="433"/>
      <c r="AC517" s="433"/>
      <c r="AD517" s="433"/>
      <c r="AE517" s="433"/>
      <c r="AF517" s="433"/>
      <c r="AG517" s="433"/>
      <c r="AH517" s="433"/>
      <c r="AI517" s="433"/>
      <c r="AJ517" s="433"/>
      <c r="AK517" s="433"/>
      <c r="AL517" s="433"/>
      <c r="AM517" s="433"/>
      <c r="AN517" s="433"/>
      <c r="AO517" s="433"/>
      <c r="AP517" s="433"/>
      <c r="AQ517" s="433"/>
      <c r="AR517" s="433"/>
      <c r="AS517" s="433"/>
      <c r="AT517" s="433"/>
      <c r="AU517" s="433"/>
      <c r="AV517" s="433"/>
      <c r="AW517" s="433"/>
      <c r="AX517" s="433"/>
      <c r="AY517" s="433"/>
      <c r="AZ517" s="433"/>
      <c r="BA517" s="433"/>
      <c r="BB517" s="433"/>
      <c r="BC517" s="433"/>
      <c r="BD517" s="433"/>
      <c r="BE517" s="433"/>
      <c r="BF517" s="433"/>
      <c r="BG517" s="433"/>
      <c r="BH517" s="433"/>
      <c r="BI517" s="433"/>
      <c r="BJ517" s="433"/>
      <c r="BK517" s="433"/>
      <c r="BL517" s="433"/>
      <c r="BM517" s="433"/>
      <c r="BN517" s="433"/>
      <c r="BO517" s="433"/>
      <c r="BP517" s="433"/>
      <c r="BQ517" s="433"/>
      <c r="BR517" s="433"/>
      <c r="BS517" s="433"/>
      <c r="BT517" s="433"/>
      <c r="BU517" s="433"/>
    </row>
    <row r="518" spans="11:73" s="359" customFormat="1" x14ac:dyDescent="0.2">
      <c r="K518" s="438"/>
      <c r="L518" s="438"/>
      <c r="M518" s="438"/>
      <c r="N518" s="438"/>
      <c r="O518" s="440"/>
      <c r="P518" s="440"/>
      <c r="Q518" s="440"/>
      <c r="R518" s="440"/>
      <c r="S518" s="440"/>
      <c r="T518" s="440"/>
      <c r="U518" s="440"/>
      <c r="V518" s="440"/>
      <c r="W518" s="440"/>
      <c r="X518" s="440"/>
      <c r="Y518" s="440"/>
      <c r="Z518" s="440"/>
      <c r="AA518" s="440"/>
      <c r="AB518" s="440"/>
      <c r="AC518" s="440"/>
      <c r="AD518" s="440"/>
      <c r="AE518" s="440"/>
      <c r="AF518" s="440"/>
      <c r="AG518" s="440"/>
      <c r="AH518" s="440"/>
      <c r="AI518" s="440"/>
      <c r="AJ518" s="440"/>
      <c r="AK518" s="440"/>
      <c r="AL518" s="440"/>
      <c r="AM518" s="440"/>
      <c r="AN518" s="440"/>
      <c r="AO518" s="440"/>
      <c r="AP518" s="440"/>
      <c r="AQ518" s="440"/>
      <c r="AR518" s="440"/>
      <c r="AS518" s="440"/>
      <c r="AT518" s="440"/>
      <c r="AU518" s="440"/>
      <c r="AV518" s="440"/>
      <c r="AW518" s="440"/>
      <c r="AX518" s="440"/>
      <c r="AY518" s="440"/>
      <c r="AZ518" s="440"/>
      <c r="BA518" s="440"/>
      <c r="BB518" s="440"/>
      <c r="BC518" s="440"/>
      <c r="BD518" s="440"/>
      <c r="BE518" s="440"/>
      <c r="BF518" s="440"/>
      <c r="BG518" s="440"/>
      <c r="BH518" s="440"/>
      <c r="BI518" s="440"/>
      <c r="BJ518" s="440"/>
      <c r="BK518" s="440"/>
      <c r="BL518" s="440"/>
      <c r="BM518" s="440"/>
      <c r="BN518" s="440"/>
      <c r="BO518" s="440"/>
      <c r="BP518" s="440"/>
      <c r="BQ518" s="440"/>
      <c r="BR518" s="440"/>
      <c r="BS518" s="440"/>
      <c r="BT518" s="440"/>
      <c r="BU518" s="440"/>
    </row>
    <row r="519" spans="11:73" s="359" customFormat="1" x14ac:dyDescent="0.2">
      <c r="K519" s="438"/>
      <c r="L519" s="438"/>
      <c r="M519" s="438"/>
      <c r="N519" s="438"/>
      <c r="O519" s="440"/>
      <c r="P519" s="440"/>
      <c r="Q519" s="440"/>
      <c r="R519" s="440"/>
      <c r="S519" s="440"/>
      <c r="T519" s="440"/>
      <c r="U519" s="440"/>
      <c r="V519" s="440"/>
      <c r="W519" s="440"/>
      <c r="X519" s="440"/>
      <c r="Y519" s="440"/>
      <c r="Z519" s="440"/>
      <c r="AA519" s="440"/>
      <c r="AB519" s="440"/>
      <c r="AC519" s="440"/>
      <c r="AD519" s="440"/>
      <c r="AE519" s="440"/>
      <c r="AF519" s="440"/>
      <c r="AG519" s="440"/>
      <c r="AH519" s="440"/>
      <c r="AI519" s="440"/>
      <c r="AJ519" s="440"/>
      <c r="AK519" s="440"/>
      <c r="AL519" s="440"/>
      <c r="AM519" s="440"/>
      <c r="AN519" s="440"/>
      <c r="AO519" s="440"/>
      <c r="AP519" s="440"/>
      <c r="AQ519" s="440"/>
      <c r="AR519" s="440"/>
      <c r="AS519" s="440"/>
      <c r="AT519" s="440"/>
      <c r="AU519" s="440"/>
      <c r="AV519" s="440"/>
      <c r="AW519" s="440"/>
      <c r="AX519" s="440"/>
      <c r="AY519" s="440"/>
      <c r="AZ519" s="440"/>
      <c r="BA519" s="440"/>
      <c r="BB519" s="440"/>
      <c r="BC519" s="440"/>
      <c r="BD519" s="440"/>
      <c r="BE519" s="440"/>
      <c r="BF519" s="440"/>
      <c r="BG519" s="440"/>
      <c r="BH519" s="440"/>
      <c r="BI519" s="440"/>
      <c r="BJ519" s="440"/>
      <c r="BK519" s="440"/>
      <c r="BL519" s="440"/>
      <c r="BM519" s="440"/>
      <c r="BN519" s="440"/>
      <c r="BO519" s="440"/>
      <c r="BP519" s="440"/>
      <c r="BQ519" s="440"/>
      <c r="BR519" s="440"/>
      <c r="BS519" s="440"/>
      <c r="BT519" s="440"/>
      <c r="BU519" s="440"/>
    </row>
    <row r="520" spans="11:73" s="359" customFormat="1" x14ac:dyDescent="0.2">
      <c r="K520" s="438"/>
      <c r="L520" s="438"/>
      <c r="M520" s="438"/>
      <c r="N520" s="438"/>
      <c r="O520" s="440"/>
      <c r="P520" s="440"/>
      <c r="Q520" s="440"/>
      <c r="R520" s="440"/>
      <c r="S520" s="440"/>
      <c r="T520" s="440"/>
      <c r="U520" s="440"/>
      <c r="V520" s="440"/>
      <c r="W520" s="440"/>
      <c r="X520" s="440"/>
      <c r="Y520" s="440"/>
      <c r="Z520" s="440"/>
      <c r="AA520" s="440"/>
      <c r="AB520" s="440"/>
      <c r="AC520" s="440"/>
      <c r="AD520" s="440"/>
      <c r="AE520" s="440"/>
      <c r="AF520" s="440"/>
      <c r="AG520" s="440"/>
      <c r="AH520" s="440"/>
      <c r="AI520" s="440"/>
      <c r="AJ520" s="440"/>
      <c r="AK520" s="440"/>
      <c r="AL520" s="440"/>
      <c r="AM520" s="440"/>
      <c r="AN520" s="440"/>
      <c r="AO520" s="440"/>
      <c r="AP520" s="440"/>
      <c r="AQ520" s="440"/>
      <c r="AR520" s="440"/>
      <c r="AS520" s="440"/>
      <c r="AT520" s="440"/>
      <c r="AU520" s="440"/>
      <c r="AV520" s="440"/>
      <c r="AW520" s="440"/>
      <c r="AX520" s="440"/>
      <c r="AY520" s="440"/>
      <c r="AZ520" s="440"/>
      <c r="BA520" s="440"/>
      <c r="BB520" s="440"/>
      <c r="BC520" s="440"/>
      <c r="BD520" s="440"/>
      <c r="BE520" s="440"/>
      <c r="BF520" s="440"/>
      <c r="BG520" s="440"/>
      <c r="BH520" s="440"/>
      <c r="BI520" s="440"/>
      <c r="BJ520" s="440"/>
      <c r="BK520" s="440"/>
      <c r="BL520" s="440"/>
      <c r="BM520" s="440"/>
      <c r="BN520" s="440"/>
      <c r="BO520" s="440"/>
      <c r="BP520" s="440"/>
      <c r="BQ520" s="440"/>
      <c r="BR520" s="440"/>
      <c r="BS520" s="440"/>
      <c r="BT520" s="440"/>
      <c r="BU520" s="440"/>
    </row>
    <row r="521" spans="11:73" x14ac:dyDescent="0.2">
      <c r="K521" s="437"/>
      <c r="L521" s="437"/>
      <c r="M521" s="437"/>
      <c r="N521" s="437"/>
      <c r="O521" s="433"/>
      <c r="P521" s="433"/>
      <c r="Q521" s="433"/>
      <c r="R521" s="433"/>
      <c r="S521" s="433"/>
      <c r="T521" s="433"/>
      <c r="U521" s="433"/>
      <c r="V521" s="433"/>
      <c r="W521" s="433"/>
      <c r="X521" s="433"/>
      <c r="Y521" s="433"/>
      <c r="Z521" s="433"/>
      <c r="AA521" s="433"/>
      <c r="AB521" s="433"/>
      <c r="AC521" s="433"/>
      <c r="AD521" s="433"/>
      <c r="AE521" s="433"/>
      <c r="AF521" s="433"/>
      <c r="AG521" s="433"/>
      <c r="AH521" s="433"/>
      <c r="AI521" s="433"/>
      <c r="AJ521" s="433"/>
      <c r="AK521" s="433"/>
      <c r="AL521" s="433"/>
      <c r="AM521" s="433"/>
      <c r="AN521" s="433"/>
      <c r="AO521" s="433"/>
      <c r="AP521" s="433"/>
      <c r="AQ521" s="433"/>
      <c r="AR521" s="433"/>
      <c r="AS521" s="433"/>
      <c r="AT521" s="433"/>
      <c r="AU521" s="433"/>
      <c r="AV521" s="433"/>
      <c r="AW521" s="433"/>
      <c r="AX521" s="433"/>
      <c r="AY521" s="433"/>
      <c r="AZ521" s="433"/>
      <c r="BA521" s="433"/>
      <c r="BB521" s="433"/>
      <c r="BC521" s="433"/>
      <c r="BD521" s="433"/>
      <c r="BE521" s="433"/>
      <c r="BF521" s="433"/>
      <c r="BG521" s="433"/>
      <c r="BH521" s="433"/>
      <c r="BI521" s="433"/>
      <c r="BJ521" s="433"/>
      <c r="BK521" s="433"/>
      <c r="BL521" s="433"/>
      <c r="BM521" s="433"/>
      <c r="BN521" s="433"/>
      <c r="BO521" s="433"/>
      <c r="BP521" s="433"/>
      <c r="BQ521" s="433"/>
      <c r="BR521" s="433"/>
      <c r="BS521" s="433"/>
      <c r="BT521" s="433"/>
      <c r="BU521" s="433"/>
    </row>
    <row r="522" spans="11:73" x14ac:dyDescent="0.2">
      <c r="K522" s="437"/>
      <c r="L522" s="437"/>
      <c r="M522" s="437"/>
      <c r="N522" s="437"/>
      <c r="O522" s="433"/>
      <c r="P522" s="433"/>
      <c r="Q522" s="433"/>
      <c r="R522" s="433"/>
      <c r="S522" s="433"/>
      <c r="T522" s="433"/>
      <c r="U522" s="433"/>
      <c r="V522" s="433"/>
      <c r="W522" s="433"/>
      <c r="X522" s="433"/>
      <c r="Y522" s="433"/>
      <c r="Z522" s="433"/>
      <c r="AA522" s="433"/>
      <c r="AB522" s="433"/>
      <c r="AC522" s="433"/>
      <c r="AD522" s="433"/>
      <c r="AE522" s="433"/>
      <c r="AF522" s="433"/>
      <c r="AG522" s="433"/>
      <c r="AH522" s="433"/>
      <c r="AI522" s="433"/>
      <c r="AJ522" s="433"/>
      <c r="AK522" s="433"/>
      <c r="AL522" s="433"/>
      <c r="AM522" s="433"/>
      <c r="AN522" s="433"/>
      <c r="AO522" s="433"/>
      <c r="AP522" s="433"/>
      <c r="AQ522" s="433"/>
      <c r="AR522" s="433"/>
      <c r="AS522" s="433"/>
      <c r="AT522" s="433"/>
      <c r="AU522" s="433"/>
      <c r="AV522" s="433"/>
      <c r="AW522" s="433"/>
      <c r="AX522" s="433"/>
      <c r="AY522" s="433"/>
      <c r="AZ522" s="433"/>
      <c r="BA522" s="433"/>
      <c r="BB522" s="433"/>
      <c r="BC522" s="433"/>
      <c r="BD522" s="433"/>
      <c r="BE522" s="433"/>
      <c r="BF522" s="433"/>
      <c r="BG522" s="433"/>
      <c r="BH522" s="433"/>
      <c r="BI522" s="433"/>
      <c r="BJ522" s="433"/>
      <c r="BK522" s="433"/>
      <c r="BL522" s="433"/>
      <c r="BM522" s="433"/>
      <c r="BN522" s="433"/>
      <c r="BO522" s="433"/>
      <c r="BP522" s="433"/>
      <c r="BQ522" s="433"/>
      <c r="BR522" s="433"/>
      <c r="BS522" s="433"/>
      <c r="BT522" s="433"/>
      <c r="BU522" s="433"/>
    </row>
    <row r="523" spans="11:73" x14ac:dyDescent="0.2">
      <c r="K523" s="437"/>
      <c r="L523" s="437"/>
      <c r="M523" s="437"/>
      <c r="N523" s="437"/>
      <c r="O523" s="433"/>
      <c r="P523" s="433"/>
      <c r="Q523" s="433"/>
      <c r="R523" s="433"/>
      <c r="S523" s="433"/>
      <c r="T523" s="433"/>
      <c r="U523" s="433"/>
      <c r="V523" s="433"/>
      <c r="W523" s="433"/>
      <c r="X523" s="433"/>
      <c r="Y523" s="433"/>
      <c r="Z523" s="433"/>
      <c r="AA523" s="433"/>
      <c r="AB523" s="433"/>
      <c r="AC523" s="433"/>
      <c r="AD523" s="433"/>
      <c r="AE523" s="433"/>
      <c r="AF523" s="433"/>
      <c r="AG523" s="433"/>
      <c r="AH523" s="433"/>
      <c r="AI523" s="433"/>
      <c r="AJ523" s="433"/>
      <c r="AK523" s="433"/>
      <c r="AL523" s="433"/>
      <c r="AM523" s="433"/>
      <c r="AN523" s="433"/>
      <c r="AO523" s="433"/>
      <c r="AP523" s="433"/>
      <c r="AQ523" s="433"/>
      <c r="AR523" s="433"/>
      <c r="AS523" s="433"/>
      <c r="AT523" s="433"/>
      <c r="AU523" s="433"/>
      <c r="AV523" s="433"/>
      <c r="AW523" s="433"/>
      <c r="AX523" s="433"/>
      <c r="AY523" s="433"/>
      <c r="AZ523" s="433"/>
      <c r="BA523" s="433"/>
      <c r="BB523" s="433"/>
      <c r="BC523" s="433"/>
      <c r="BD523" s="433"/>
      <c r="BE523" s="433"/>
      <c r="BF523" s="433"/>
      <c r="BG523" s="433"/>
      <c r="BH523" s="433"/>
      <c r="BI523" s="433"/>
      <c r="BJ523" s="433"/>
      <c r="BK523" s="433"/>
      <c r="BL523" s="433"/>
      <c r="BM523" s="433"/>
      <c r="BN523" s="433"/>
      <c r="BO523" s="433"/>
      <c r="BP523" s="433"/>
      <c r="BQ523" s="433"/>
      <c r="BR523" s="433"/>
      <c r="BS523" s="433"/>
      <c r="BT523" s="433"/>
      <c r="BU523" s="433"/>
    </row>
    <row r="524" spans="11:73" x14ac:dyDescent="0.2">
      <c r="K524" s="437"/>
      <c r="L524" s="437"/>
      <c r="M524" s="437"/>
      <c r="N524" s="437"/>
      <c r="O524" s="433"/>
      <c r="P524" s="433"/>
      <c r="Q524" s="433"/>
      <c r="R524" s="433"/>
      <c r="S524" s="433"/>
      <c r="T524" s="433"/>
      <c r="U524" s="433"/>
      <c r="V524" s="433"/>
      <c r="W524" s="433"/>
      <c r="X524" s="433"/>
      <c r="Y524" s="433"/>
      <c r="Z524" s="433"/>
      <c r="AA524" s="433"/>
      <c r="AB524" s="433"/>
      <c r="AC524" s="433"/>
      <c r="AD524" s="433"/>
      <c r="AE524" s="433"/>
      <c r="AF524" s="433"/>
      <c r="AG524" s="433"/>
      <c r="AH524" s="433"/>
      <c r="AI524" s="433"/>
      <c r="AJ524" s="433"/>
      <c r="AK524" s="433"/>
      <c r="AL524" s="433"/>
      <c r="AM524" s="433"/>
      <c r="AN524" s="433"/>
      <c r="AO524" s="433"/>
      <c r="AP524" s="433"/>
      <c r="AQ524" s="433"/>
      <c r="AR524" s="433"/>
      <c r="AS524" s="433"/>
      <c r="AT524" s="433"/>
      <c r="AU524" s="433"/>
      <c r="AV524" s="433"/>
      <c r="AW524" s="433"/>
      <c r="AX524" s="433"/>
      <c r="AY524" s="433"/>
      <c r="AZ524" s="433"/>
      <c r="BA524" s="433"/>
      <c r="BB524" s="433"/>
      <c r="BC524" s="433"/>
      <c r="BD524" s="433"/>
      <c r="BE524" s="433"/>
      <c r="BF524" s="433"/>
      <c r="BG524" s="433"/>
      <c r="BH524" s="433"/>
      <c r="BI524" s="433"/>
      <c r="BJ524" s="433"/>
      <c r="BK524" s="433"/>
      <c r="BL524" s="433"/>
      <c r="BM524" s="433"/>
      <c r="BN524" s="433"/>
      <c r="BO524" s="433"/>
      <c r="BP524" s="433"/>
      <c r="BQ524" s="433"/>
      <c r="BR524" s="433"/>
      <c r="BS524" s="433"/>
      <c r="BT524" s="433"/>
      <c r="BU524" s="433"/>
    </row>
    <row r="525" spans="11:73" x14ac:dyDescent="0.2">
      <c r="K525" s="437"/>
      <c r="L525" s="437"/>
      <c r="M525" s="437"/>
      <c r="N525" s="437"/>
      <c r="O525" s="433"/>
      <c r="P525" s="433"/>
      <c r="Q525" s="433"/>
      <c r="R525" s="433"/>
      <c r="S525" s="433"/>
      <c r="T525" s="433"/>
      <c r="U525" s="433"/>
      <c r="V525" s="433"/>
      <c r="W525" s="433"/>
      <c r="X525" s="433"/>
      <c r="Y525" s="433"/>
      <c r="Z525" s="433"/>
      <c r="AA525" s="433"/>
      <c r="AB525" s="433"/>
      <c r="AC525" s="433"/>
      <c r="AD525" s="433"/>
      <c r="AE525" s="433"/>
      <c r="AF525" s="433"/>
      <c r="AG525" s="433"/>
      <c r="AH525" s="433"/>
      <c r="AI525" s="433"/>
      <c r="AJ525" s="433"/>
      <c r="AK525" s="433"/>
      <c r="AL525" s="433"/>
      <c r="AM525" s="433"/>
      <c r="AN525" s="433"/>
      <c r="AO525" s="433"/>
      <c r="AP525" s="433"/>
      <c r="AQ525" s="433"/>
      <c r="AR525" s="433"/>
      <c r="AS525" s="433"/>
      <c r="AT525" s="433"/>
      <c r="AU525" s="433"/>
      <c r="AV525" s="433"/>
      <c r="AW525" s="433"/>
      <c r="AX525" s="433"/>
      <c r="AY525" s="433"/>
      <c r="AZ525" s="433"/>
      <c r="BA525" s="433"/>
      <c r="BB525" s="433"/>
      <c r="BC525" s="433"/>
      <c r="BD525" s="433"/>
      <c r="BE525" s="433"/>
      <c r="BF525" s="433"/>
      <c r="BG525" s="433"/>
      <c r="BH525" s="433"/>
      <c r="BI525" s="433"/>
      <c r="BJ525" s="433"/>
      <c r="BK525" s="433"/>
      <c r="BL525" s="433"/>
      <c r="BM525" s="433"/>
      <c r="BN525" s="433"/>
      <c r="BO525" s="433"/>
      <c r="BP525" s="433"/>
      <c r="BQ525" s="433"/>
      <c r="BR525" s="433"/>
      <c r="BS525" s="433"/>
      <c r="BT525" s="433"/>
      <c r="BU525" s="433"/>
    </row>
    <row r="526" spans="11:73" x14ac:dyDescent="0.2">
      <c r="K526" s="437"/>
      <c r="L526" s="437"/>
      <c r="M526" s="437"/>
      <c r="N526" s="437"/>
      <c r="O526" s="433"/>
      <c r="P526" s="433"/>
      <c r="Q526" s="433"/>
      <c r="R526" s="433"/>
      <c r="S526" s="433"/>
      <c r="T526" s="433"/>
      <c r="U526" s="433"/>
      <c r="V526" s="433"/>
      <c r="W526" s="433"/>
      <c r="X526" s="433"/>
      <c r="Y526" s="433"/>
      <c r="Z526" s="433"/>
      <c r="AA526" s="433"/>
      <c r="AB526" s="433"/>
      <c r="AC526" s="433"/>
      <c r="AD526" s="433"/>
      <c r="AE526" s="433"/>
      <c r="AF526" s="433"/>
      <c r="AG526" s="433"/>
      <c r="AH526" s="433"/>
      <c r="AI526" s="433"/>
      <c r="AJ526" s="433"/>
      <c r="AK526" s="433"/>
      <c r="AL526" s="433"/>
      <c r="AM526" s="433"/>
      <c r="AN526" s="433"/>
      <c r="AO526" s="433"/>
      <c r="AP526" s="433"/>
      <c r="AQ526" s="433"/>
      <c r="AR526" s="433"/>
      <c r="AS526" s="433"/>
      <c r="AT526" s="433"/>
      <c r="AU526" s="433"/>
      <c r="AV526" s="433"/>
      <c r="AW526" s="433"/>
      <c r="AX526" s="433"/>
      <c r="AY526" s="433"/>
      <c r="AZ526" s="433"/>
      <c r="BA526" s="433"/>
      <c r="BB526" s="433"/>
      <c r="BC526" s="433"/>
      <c r="BD526" s="433"/>
      <c r="BE526" s="433"/>
      <c r="BF526" s="433"/>
      <c r="BG526" s="433"/>
      <c r="BH526" s="433"/>
      <c r="BI526" s="433"/>
      <c r="BJ526" s="433"/>
      <c r="BK526" s="433"/>
      <c r="BL526" s="433"/>
      <c r="BM526" s="433"/>
      <c r="BN526" s="433"/>
      <c r="BO526" s="433"/>
      <c r="BP526" s="433"/>
      <c r="BQ526" s="433"/>
      <c r="BR526" s="433"/>
      <c r="BS526" s="433"/>
      <c r="BT526" s="433"/>
      <c r="BU526" s="433"/>
    </row>
    <row r="527" spans="11:73" s="359" customFormat="1" x14ac:dyDescent="0.2">
      <c r="K527" s="438"/>
      <c r="L527" s="438"/>
      <c r="M527" s="438"/>
      <c r="N527" s="438"/>
      <c r="O527" s="440"/>
      <c r="P527" s="440"/>
      <c r="Q527" s="440"/>
      <c r="R527" s="440"/>
      <c r="S527" s="440"/>
      <c r="T527" s="440"/>
      <c r="U527" s="440"/>
      <c r="V527" s="440"/>
      <c r="W527" s="440"/>
      <c r="X527" s="440"/>
      <c r="Y527" s="440"/>
      <c r="Z527" s="440"/>
      <c r="AA527" s="440"/>
      <c r="AB527" s="440"/>
      <c r="AC527" s="440"/>
      <c r="AD527" s="440"/>
      <c r="AE527" s="440"/>
      <c r="AF527" s="440"/>
      <c r="AG527" s="440"/>
      <c r="AH527" s="440"/>
      <c r="AI527" s="440"/>
      <c r="AJ527" s="440"/>
      <c r="AK527" s="440"/>
      <c r="AL527" s="440"/>
      <c r="AM527" s="440"/>
      <c r="AN527" s="440"/>
      <c r="AO527" s="440"/>
      <c r="AP527" s="440"/>
      <c r="AQ527" s="440"/>
      <c r="AR527" s="440"/>
      <c r="AS527" s="440"/>
      <c r="AT527" s="440"/>
      <c r="AU527" s="440"/>
      <c r="AV527" s="440"/>
      <c r="AW527" s="440"/>
      <c r="AX527" s="440"/>
      <c r="AY527" s="440"/>
      <c r="AZ527" s="440"/>
      <c r="BA527" s="440"/>
      <c r="BB527" s="440"/>
      <c r="BC527" s="440"/>
      <c r="BD527" s="440"/>
      <c r="BE527" s="440"/>
      <c r="BF527" s="440"/>
      <c r="BG527" s="440"/>
      <c r="BH527" s="440"/>
      <c r="BI527" s="440"/>
      <c r="BJ527" s="440"/>
      <c r="BK527" s="440"/>
      <c r="BL527" s="440"/>
      <c r="BM527" s="440"/>
      <c r="BN527" s="440"/>
      <c r="BO527" s="440"/>
      <c r="BP527" s="440"/>
      <c r="BQ527" s="440"/>
      <c r="BR527" s="440"/>
      <c r="BS527" s="440"/>
      <c r="BT527" s="440"/>
      <c r="BU527" s="440"/>
    </row>
    <row r="528" spans="11:73" x14ac:dyDescent="0.2">
      <c r="K528" s="437"/>
      <c r="L528" s="437"/>
      <c r="M528" s="437"/>
      <c r="N528" s="437"/>
      <c r="O528" s="433"/>
      <c r="P528" s="433"/>
      <c r="Q528" s="433"/>
      <c r="R528" s="433"/>
      <c r="S528" s="433"/>
      <c r="T528" s="433"/>
      <c r="U528" s="433"/>
      <c r="V528" s="433"/>
      <c r="W528" s="433"/>
      <c r="X528" s="433"/>
      <c r="Y528" s="433"/>
      <c r="Z528" s="433"/>
      <c r="AA528" s="433"/>
      <c r="AB528" s="433"/>
      <c r="AC528" s="433"/>
      <c r="AD528" s="433"/>
      <c r="AE528" s="433"/>
      <c r="AF528" s="433"/>
      <c r="AG528" s="433"/>
      <c r="AH528" s="433"/>
      <c r="AI528" s="433"/>
      <c r="AJ528" s="433"/>
      <c r="AK528" s="433"/>
      <c r="AL528" s="433"/>
      <c r="AM528" s="433"/>
      <c r="AN528" s="433"/>
      <c r="AO528" s="433"/>
      <c r="AP528" s="433"/>
      <c r="AQ528" s="433"/>
      <c r="AR528" s="433"/>
      <c r="AS528" s="433"/>
      <c r="AT528" s="433"/>
      <c r="AU528" s="433"/>
      <c r="AV528" s="433"/>
      <c r="AW528" s="433"/>
      <c r="AX528" s="433"/>
      <c r="AY528" s="433"/>
      <c r="AZ528" s="433"/>
      <c r="BA528" s="433"/>
      <c r="BB528" s="433"/>
      <c r="BC528" s="433"/>
      <c r="BD528" s="433"/>
      <c r="BE528" s="433"/>
      <c r="BF528" s="433"/>
      <c r="BG528" s="433"/>
      <c r="BH528" s="433"/>
      <c r="BI528" s="433"/>
      <c r="BJ528" s="433"/>
      <c r="BK528" s="433"/>
      <c r="BL528" s="433"/>
      <c r="BM528" s="433"/>
      <c r="BN528" s="433"/>
      <c r="BO528" s="433"/>
      <c r="BP528" s="433"/>
      <c r="BQ528" s="433"/>
      <c r="BR528" s="433"/>
      <c r="BS528" s="433"/>
      <c r="BT528" s="433"/>
      <c r="BU528" s="433"/>
    </row>
    <row r="529" spans="11:73" x14ac:dyDescent="0.2">
      <c r="K529" s="437"/>
      <c r="L529" s="437"/>
      <c r="M529" s="437"/>
      <c r="N529" s="437"/>
      <c r="O529" s="433"/>
      <c r="P529" s="433"/>
      <c r="Q529" s="433"/>
      <c r="R529" s="433"/>
      <c r="S529" s="433"/>
      <c r="T529" s="433"/>
      <c r="U529" s="433"/>
      <c r="V529" s="433"/>
      <c r="W529" s="433"/>
      <c r="X529" s="433"/>
      <c r="Y529" s="433"/>
      <c r="Z529" s="433"/>
      <c r="AA529" s="433"/>
      <c r="AB529" s="433"/>
      <c r="AC529" s="433"/>
      <c r="AD529" s="433"/>
      <c r="AE529" s="433"/>
      <c r="AF529" s="433"/>
      <c r="AG529" s="433"/>
      <c r="AH529" s="433"/>
      <c r="AI529" s="433"/>
      <c r="AJ529" s="433"/>
      <c r="AK529" s="433"/>
      <c r="AL529" s="433"/>
      <c r="AM529" s="433"/>
      <c r="AN529" s="433"/>
      <c r="AO529" s="433"/>
      <c r="AP529" s="433"/>
      <c r="AQ529" s="433"/>
      <c r="AR529" s="433"/>
      <c r="AS529" s="433"/>
      <c r="AT529" s="433"/>
      <c r="AU529" s="433"/>
      <c r="AV529" s="433"/>
      <c r="AW529" s="433"/>
      <c r="AX529" s="433"/>
      <c r="AY529" s="433"/>
      <c r="AZ529" s="433"/>
      <c r="BA529" s="433"/>
      <c r="BB529" s="433"/>
      <c r="BC529" s="433"/>
      <c r="BD529" s="433"/>
      <c r="BE529" s="433"/>
      <c r="BF529" s="433"/>
      <c r="BG529" s="433"/>
      <c r="BH529" s="433"/>
      <c r="BI529" s="433"/>
      <c r="BJ529" s="433"/>
      <c r="BK529" s="433"/>
      <c r="BL529" s="433"/>
      <c r="BM529" s="433"/>
      <c r="BN529" s="433"/>
      <c r="BO529" s="433"/>
      <c r="BP529" s="433"/>
      <c r="BQ529" s="433"/>
      <c r="BR529" s="433"/>
      <c r="BS529" s="433"/>
      <c r="BT529" s="433"/>
      <c r="BU529" s="433"/>
    </row>
    <row r="530" spans="11:73" x14ac:dyDescent="0.2">
      <c r="K530" s="437"/>
      <c r="L530" s="437"/>
      <c r="M530" s="437"/>
      <c r="N530" s="437"/>
      <c r="O530" s="433"/>
      <c r="P530" s="433"/>
      <c r="Q530" s="433"/>
      <c r="R530" s="433"/>
      <c r="S530" s="433"/>
      <c r="T530" s="433"/>
      <c r="U530" s="433"/>
      <c r="V530" s="433"/>
      <c r="W530" s="433"/>
      <c r="X530" s="433"/>
      <c r="Y530" s="433"/>
      <c r="Z530" s="433"/>
      <c r="AA530" s="433"/>
      <c r="AB530" s="433"/>
      <c r="AC530" s="433"/>
      <c r="AD530" s="433"/>
      <c r="AE530" s="433"/>
      <c r="AF530" s="433"/>
      <c r="AG530" s="433"/>
      <c r="AH530" s="433"/>
      <c r="AI530" s="433"/>
      <c r="AJ530" s="433"/>
      <c r="AK530" s="433"/>
      <c r="AL530" s="433"/>
      <c r="AM530" s="433"/>
      <c r="AN530" s="433"/>
      <c r="AO530" s="433"/>
      <c r="AP530" s="433"/>
      <c r="AQ530" s="433"/>
      <c r="AR530" s="433"/>
      <c r="AS530" s="433"/>
      <c r="AT530" s="433"/>
      <c r="AU530" s="433"/>
      <c r="AV530" s="433"/>
      <c r="AW530" s="433"/>
      <c r="AX530" s="433"/>
      <c r="AY530" s="433"/>
      <c r="AZ530" s="433"/>
      <c r="BA530" s="433"/>
      <c r="BB530" s="433"/>
      <c r="BC530" s="433"/>
      <c r="BD530" s="433"/>
      <c r="BE530" s="433"/>
      <c r="BF530" s="433"/>
      <c r="BG530" s="433"/>
      <c r="BH530" s="433"/>
      <c r="BI530" s="433"/>
      <c r="BJ530" s="433"/>
      <c r="BK530" s="433"/>
      <c r="BL530" s="433"/>
      <c r="BM530" s="433"/>
      <c r="BN530" s="433"/>
      <c r="BO530" s="433"/>
      <c r="BP530" s="433"/>
      <c r="BQ530" s="433"/>
      <c r="BR530" s="433"/>
      <c r="BS530" s="433"/>
      <c r="BT530" s="433"/>
      <c r="BU530" s="433"/>
    </row>
    <row r="531" spans="11:73" x14ac:dyDescent="0.2">
      <c r="K531" s="437"/>
      <c r="L531" s="437"/>
      <c r="M531" s="437"/>
      <c r="N531" s="437"/>
      <c r="O531" s="433"/>
      <c r="P531" s="433"/>
      <c r="Q531" s="433"/>
      <c r="R531" s="433"/>
      <c r="S531" s="433"/>
      <c r="T531" s="433"/>
      <c r="U531" s="433"/>
      <c r="V531" s="433"/>
      <c r="W531" s="433"/>
      <c r="X531" s="433"/>
      <c r="Y531" s="433"/>
      <c r="Z531" s="433"/>
      <c r="AA531" s="433"/>
      <c r="AB531" s="433"/>
      <c r="AC531" s="433"/>
      <c r="AD531" s="433"/>
      <c r="AE531" s="433"/>
      <c r="AF531" s="433"/>
      <c r="AG531" s="433"/>
      <c r="AH531" s="433"/>
      <c r="AI531" s="433"/>
      <c r="AJ531" s="433"/>
      <c r="AK531" s="433"/>
      <c r="AL531" s="433"/>
      <c r="AM531" s="433"/>
      <c r="AN531" s="433"/>
      <c r="AO531" s="433"/>
      <c r="AP531" s="433"/>
      <c r="AQ531" s="433"/>
      <c r="AR531" s="433"/>
      <c r="AS531" s="433"/>
      <c r="AT531" s="433"/>
      <c r="AU531" s="433"/>
      <c r="AV531" s="433"/>
      <c r="AW531" s="433"/>
      <c r="AX531" s="433"/>
      <c r="AY531" s="433"/>
      <c r="AZ531" s="433"/>
      <c r="BA531" s="433"/>
      <c r="BB531" s="433"/>
      <c r="BC531" s="433"/>
      <c r="BD531" s="433"/>
      <c r="BE531" s="433"/>
      <c r="BF531" s="433"/>
      <c r="BG531" s="433"/>
      <c r="BH531" s="433"/>
      <c r="BI531" s="433"/>
      <c r="BJ531" s="433"/>
      <c r="BK531" s="433"/>
      <c r="BL531" s="433"/>
      <c r="BM531" s="433"/>
      <c r="BN531" s="433"/>
      <c r="BO531" s="433"/>
      <c r="BP531" s="433"/>
      <c r="BQ531" s="433"/>
      <c r="BR531" s="433"/>
      <c r="BS531" s="433"/>
      <c r="BT531" s="433"/>
      <c r="BU531" s="433"/>
    </row>
    <row r="532" spans="11:73" x14ac:dyDescent="0.2">
      <c r="K532" s="437"/>
      <c r="L532" s="437"/>
      <c r="M532" s="437"/>
      <c r="N532" s="437"/>
      <c r="O532" s="433"/>
      <c r="P532" s="433"/>
      <c r="Q532" s="433"/>
      <c r="R532" s="433"/>
      <c r="S532" s="433"/>
      <c r="T532" s="433"/>
      <c r="U532" s="433"/>
      <c r="V532" s="433"/>
      <c r="W532" s="433"/>
      <c r="X532" s="433"/>
      <c r="Y532" s="433"/>
      <c r="Z532" s="433"/>
      <c r="AA532" s="433"/>
      <c r="AB532" s="433"/>
      <c r="AC532" s="433"/>
      <c r="AD532" s="433"/>
      <c r="AE532" s="433"/>
      <c r="AF532" s="433"/>
      <c r="AG532" s="433"/>
      <c r="AH532" s="433"/>
      <c r="AI532" s="433"/>
      <c r="AJ532" s="433"/>
      <c r="AK532" s="433"/>
      <c r="AL532" s="433"/>
      <c r="AM532" s="433"/>
      <c r="AN532" s="433"/>
      <c r="AO532" s="433"/>
      <c r="AP532" s="433"/>
      <c r="AQ532" s="433"/>
      <c r="AR532" s="433"/>
      <c r="AS532" s="433"/>
      <c r="AT532" s="433"/>
      <c r="AU532" s="433"/>
      <c r="AV532" s="433"/>
      <c r="AW532" s="433"/>
      <c r="AX532" s="433"/>
      <c r="AY532" s="433"/>
      <c r="AZ532" s="433"/>
      <c r="BA532" s="433"/>
      <c r="BB532" s="433"/>
      <c r="BC532" s="433"/>
      <c r="BD532" s="433"/>
      <c r="BE532" s="433"/>
      <c r="BF532" s="433"/>
      <c r="BG532" s="433"/>
      <c r="BH532" s="433"/>
      <c r="BI532" s="433"/>
      <c r="BJ532" s="433"/>
      <c r="BK532" s="433"/>
      <c r="BL532" s="433"/>
      <c r="BM532" s="433"/>
      <c r="BN532" s="433"/>
      <c r="BO532" s="433"/>
      <c r="BP532" s="433"/>
      <c r="BQ532" s="433"/>
      <c r="BR532" s="433"/>
      <c r="BS532" s="433"/>
      <c r="BT532" s="433"/>
      <c r="BU532" s="433"/>
    </row>
    <row r="533" spans="11:73" s="359" customFormat="1" x14ac:dyDescent="0.2">
      <c r="K533" s="438"/>
      <c r="L533" s="438"/>
      <c r="M533" s="438"/>
      <c r="N533" s="438"/>
      <c r="O533" s="440"/>
      <c r="P533" s="440"/>
      <c r="Q533" s="440"/>
      <c r="R533" s="440"/>
      <c r="S533" s="440"/>
      <c r="T533" s="440"/>
      <c r="U533" s="440"/>
      <c r="V533" s="440"/>
      <c r="W533" s="440"/>
      <c r="X533" s="440"/>
      <c r="Y533" s="440"/>
      <c r="Z533" s="440"/>
      <c r="AA533" s="440"/>
      <c r="AB533" s="440"/>
      <c r="AC533" s="440"/>
      <c r="AD533" s="440"/>
      <c r="AE533" s="440"/>
      <c r="AF533" s="440"/>
      <c r="AG533" s="440"/>
      <c r="AH533" s="440"/>
      <c r="AI533" s="440"/>
      <c r="AJ533" s="440"/>
      <c r="AK533" s="440"/>
      <c r="AL533" s="440"/>
      <c r="AM533" s="440"/>
      <c r="AN533" s="440"/>
      <c r="AO533" s="440"/>
      <c r="AP533" s="440"/>
      <c r="AQ533" s="440"/>
      <c r="AR533" s="440"/>
      <c r="AS533" s="440"/>
      <c r="AT533" s="440"/>
      <c r="AU533" s="440"/>
      <c r="AV533" s="440"/>
      <c r="AW533" s="440"/>
      <c r="AX533" s="440"/>
      <c r="AY533" s="440"/>
      <c r="AZ533" s="440"/>
      <c r="BA533" s="440"/>
      <c r="BB533" s="440"/>
      <c r="BC533" s="440"/>
      <c r="BD533" s="440"/>
      <c r="BE533" s="440"/>
      <c r="BF533" s="440"/>
      <c r="BG533" s="440"/>
      <c r="BH533" s="440"/>
      <c r="BI533" s="440"/>
      <c r="BJ533" s="440"/>
      <c r="BK533" s="440"/>
      <c r="BL533" s="440"/>
      <c r="BM533" s="440"/>
      <c r="BN533" s="440"/>
      <c r="BO533" s="440"/>
      <c r="BP533" s="440"/>
      <c r="BQ533" s="440"/>
      <c r="BR533" s="440"/>
      <c r="BS533" s="440"/>
      <c r="BT533" s="440"/>
      <c r="BU533" s="440"/>
    </row>
    <row r="534" spans="11:73" x14ac:dyDescent="0.2">
      <c r="K534" s="437"/>
      <c r="L534" s="437"/>
      <c r="M534" s="437"/>
      <c r="N534" s="437"/>
      <c r="O534" s="433"/>
      <c r="P534" s="433"/>
      <c r="Q534" s="433"/>
      <c r="R534" s="433"/>
      <c r="S534" s="433"/>
      <c r="T534" s="433"/>
      <c r="U534" s="433"/>
      <c r="V534" s="433"/>
      <c r="W534" s="433"/>
      <c r="X534" s="433"/>
      <c r="Y534" s="433"/>
      <c r="Z534" s="433"/>
      <c r="AA534" s="433"/>
      <c r="AB534" s="433"/>
      <c r="AC534" s="433"/>
      <c r="AD534" s="433"/>
      <c r="AE534" s="433"/>
      <c r="AF534" s="433"/>
      <c r="AG534" s="433"/>
      <c r="AH534" s="433"/>
      <c r="AI534" s="433"/>
      <c r="AJ534" s="433"/>
      <c r="AK534" s="433"/>
      <c r="AL534" s="433"/>
      <c r="AM534" s="433"/>
      <c r="AN534" s="433"/>
      <c r="AO534" s="433"/>
      <c r="AP534" s="433"/>
      <c r="AQ534" s="433"/>
      <c r="AR534" s="433"/>
      <c r="AS534" s="433"/>
      <c r="AT534" s="433"/>
      <c r="AU534" s="433"/>
      <c r="AV534" s="433"/>
      <c r="AW534" s="433"/>
      <c r="AX534" s="433"/>
      <c r="AY534" s="433"/>
      <c r="AZ534" s="433"/>
      <c r="BA534" s="433"/>
      <c r="BB534" s="433"/>
      <c r="BC534" s="433"/>
      <c r="BD534" s="433"/>
      <c r="BE534" s="433"/>
      <c r="BF534" s="433"/>
      <c r="BG534" s="433"/>
      <c r="BH534" s="433"/>
      <c r="BI534" s="433"/>
      <c r="BJ534" s="433"/>
      <c r="BK534" s="433"/>
      <c r="BL534" s="433"/>
      <c r="BM534" s="433"/>
      <c r="BN534" s="433"/>
      <c r="BO534" s="433"/>
      <c r="BP534" s="433"/>
      <c r="BQ534" s="433"/>
      <c r="BR534" s="433"/>
      <c r="BS534" s="433"/>
      <c r="BT534" s="433"/>
      <c r="BU534" s="433"/>
    </row>
    <row r="535" spans="11:73" s="359" customFormat="1" x14ac:dyDescent="0.2">
      <c r="K535" s="438"/>
      <c r="L535" s="438"/>
      <c r="M535" s="438"/>
      <c r="N535" s="438"/>
      <c r="O535" s="440"/>
      <c r="P535" s="440"/>
      <c r="Q535" s="440"/>
      <c r="R535" s="440"/>
      <c r="S535" s="440"/>
      <c r="T535" s="440"/>
      <c r="U535" s="440"/>
      <c r="V535" s="440"/>
      <c r="W535" s="440"/>
      <c r="X535" s="440"/>
      <c r="Y535" s="440"/>
      <c r="Z535" s="440"/>
      <c r="AA535" s="440"/>
      <c r="AB535" s="440"/>
      <c r="AC535" s="440"/>
      <c r="AD535" s="440"/>
      <c r="AE535" s="440"/>
      <c r="AF535" s="440"/>
      <c r="AG535" s="440"/>
      <c r="AH535" s="440"/>
      <c r="AI535" s="440"/>
      <c r="AJ535" s="440"/>
      <c r="AK535" s="440"/>
      <c r="AL535" s="440"/>
      <c r="AM535" s="440"/>
      <c r="AN535" s="440"/>
      <c r="AO535" s="440"/>
      <c r="AP535" s="440"/>
      <c r="AQ535" s="440"/>
      <c r="AR535" s="440"/>
      <c r="AS535" s="440"/>
      <c r="AT535" s="440"/>
      <c r="AU535" s="440"/>
      <c r="AV535" s="440"/>
      <c r="AW535" s="440"/>
      <c r="AX535" s="440"/>
      <c r="AY535" s="440"/>
      <c r="AZ535" s="440"/>
      <c r="BA535" s="440"/>
      <c r="BB535" s="440"/>
      <c r="BC535" s="440"/>
      <c r="BD535" s="440"/>
      <c r="BE535" s="440"/>
      <c r="BF535" s="440"/>
      <c r="BG535" s="440"/>
      <c r="BH535" s="440"/>
      <c r="BI535" s="440"/>
      <c r="BJ535" s="440"/>
      <c r="BK535" s="440"/>
      <c r="BL535" s="440"/>
      <c r="BM535" s="440"/>
      <c r="BN535" s="440"/>
      <c r="BO535" s="440"/>
      <c r="BP535" s="440"/>
      <c r="BQ535" s="440"/>
      <c r="BR535" s="440"/>
      <c r="BS535" s="440"/>
      <c r="BT535" s="440"/>
      <c r="BU535" s="440"/>
    </row>
    <row r="536" spans="11:73" x14ac:dyDescent="0.2">
      <c r="K536" s="437"/>
      <c r="L536" s="437"/>
      <c r="M536" s="437"/>
      <c r="N536" s="437"/>
      <c r="O536" s="433"/>
      <c r="P536" s="433"/>
      <c r="Q536" s="433"/>
      <c r="R536" s="433"/>
      <c r="S536" s="433"/>
      <c r="T536" s="433"/>
      <c r="U536" s="433"/>
      <c r="V536" s="433"/>
      <c r="W536" s="433"/>
      <c r="X536" s="433"/>
      <c r="Y536" s="433"/>
      <c r="Z536" s="433"/>
      <c r="AA536" s="433"/>
      <c r="AB536" s="433"/>
      <c r="AC536" s="433"/>
      <c r="AD536" s="433"/>
      <c r="AE536" s="433"/>
      <c r="AF536" s="433"/>
      <c r="AG536" s="433"/>
      <c r="AH536" s="433"/>
      <c r="AI536" s="433"/>
      <c r="AJ536" s="433"/>
      <c r="AK536" s="433"/>
      <c r="AL536" s="433"/>
      <c r="AM536" s="433"/>
      <c r="AN536" s="433"/>
      <c r="AO536" s="433"/>
      <c r="AP536" s="433"/>
      <c r="AQ536" s="433"/>
      <c r="AR536" s="433"/>
      <c r="AS536" s="433"/>
      <c r="AT536" s="433"/>
      <c r="AU536" s="433"/>
      <c r="AV536" s="433"/>
      <c r="AW536" s="433"/>
      <c r="AX536" s="433"/>
      <c r="AY536" s="433"/>
      <c r="AZ536" s="433"/>
      <c r="BA536" s="433"/>
      <c r="BB536" s="433"/>
      <c r="BC536" s="433"/>
      <c r="BD536" s="433"/>
      <c r="BE536" s="433"/>
      <c r="BF536" s="433"/>
      <c r="BG536" s="433"/>
      <c r="BH536" s="433"/>
      <c r="BI536" s="433"/>
      <c r="BJ536" s="433"/>
      <c r="BK536" s="433"/>
      <c r="BL536" s="433"/>
      <c r="BM536" s="433"/>
      <c r="BN536" s="433"/>
      <c r="BO536" s="433"/>
      <c r="BP536" s="433"/>
      <c r="BQ536" s="433"/>
      <c r="BR536" s="433"/>
      <c r="BS536" s="433"/>
      <c r="BT536" s="433"/>
      <c r="BU536" s="433"/>
    </row>
    <row r="537" spans="11:73" s="359" customFormat="1" x14ac:dyDescent="0.2">
      <c r="K537" s="438"/>
      <c r="L537" s="438"/>
      <c r="M537" s="438"/>
      <c r="N537" s="438"/>
      <c r="O537" s="440"/>
      <c r="P537" s="440"/>
      <c r="Q537" s="440"/>
      <c r="R537" s="440"/>
      <c r="S537" s="440"/>
      <c r="T537" s="440"/>
      <c r="U537" s="440"/>
      <c r="V537" s="440"/>
      <c r="W537" s="440"/>
      <c r="X537" s="440"/>
      <c r="Y537" s="440"/>
      <c r="Z537" s="440"/>
      <c r="AA537" s="440"/>
      <c r="AB537" s="440"/>
      <c r="AC537" s="440"/>
      <c r="AD537" s="440"/>
      <c r="AE537" s="440"/>
      <c r="AF537" s="440"/>
      <c r="AG537" s="440"/>
      <c r="AH537" s="440"/>
      <c r="AI537" s="440"/>
      <c r="AJ537" s="440"/>
      <c r="AK537" s="440"/>
      <c r="AL537" s="440"/>
      <c r="AM537" s="440"/>
      <c r="AN537" s="440"/>
      <c r="AO537" s="440"/>
      <c r="AP537" s="440"/>
      <c r="AQ537" s="440"/>
      <c r="AR537" s="440"/>
      <c r="AS537" s="440"/>
      <c r="AT537" s="440"/>
      <c r="AU537" s="440"/>
      <c r="AV537" s="440"/>
      <c r="AW537" s="440"/>
      <c r="AX537" s="440"/>
      <c r="AY537" s="440"/>
      <c r="AZ537" s="440"/>
      <c r="BA537" s="440"/>
      <c r="BB537" s="440"/>
      <c r="BC537" s="440"/>
      <c r="BD537" s="440"/>
      <c r="BE537" s="440"/>
      <c r="BF537" s="440"/>
      <c r="BG537" s="440"/>
      <c r="BH537" s="440"/>
      <c r="BI537" s="440"/>
      <c r="BJ537" s="440"/>
      <c r="BK537" s="440"/>
      <c r="BL537" s="440"/>
      <c r="BM537" s="440"/>
      <c r="BN537" s="440"/>
      <c r="BO537" s="440"/>
      <c r="BP537" s="440"/>
      <c r="BQ537" s="440"/>
      <c r="BR537" s="440"/>
      <c r="BS537" s="440"/>
      <c r="BT537" s="440"/>
      <c r="BU537" s="440"/>
    </row>
    <row r="538" spans="11:73" x14ac:dyDescent="0.2">
      <c r="K538" s="437"/>
      <c r="L538" s="437"/>
      <c r="M538" s="437"/>
      <c r="N538" s="437"/>
      <c r="O538" s="433"/>
      <c r="P538" s="433"/>
      <c r="Q538" s="433"/>
      <c r="R538" s="433"/>
      <c r="S538" s="433"/>
      <c r="T538" s="433"/>
      <c r="U538" s="433"/>
      <c r="V538" s="433"/>
      <c r="W538" s="433"/>
      <c r="X538" s="433"/>
      <c r="Y538" s="433"/>
      <c r="Z538" s="433"/>
      <c r="AA538" s="433"/>
      <c r="AB538" s="433"/>
      <c r="AC538" s="433"/>
      <c r="AD538" s="433"/>
      <c r="AE538" s="433"/>
      <c r="AF538" s="433"/>
      <c r="AG538" s="433"/>
      <c r="AH538" s="433"/>
      <c r="AI538" s="433"/>
      <c r="AJ538" s="433"/>
      <c r="AK538" s="433"/>
      <c r="AL538" s="433"/>
      <c r="AM538" s="433"/>
      <c r="AN538" s="433"/>
      <c r="AO538" s="433"/>
      <c r="AP538" s="433"/>
      <c r="AQ538" s="433"/>
      <c r="AR538" s="433"/>
      <c r="AS538" s="433"/>
      <c r="AT538" s="433"/>
      <c r="AU538" s="433"/>
      <c r="AV538" s="433"/>
      <c r="AW538" s="433"/>
      <c r="AX538" s="433"/>
      <c r="AY538" s="433"/>
      <c r="AZ538" s="433"/>
      <c r="BA538" s="433"/>
      <c r="BB538" s="433"/>
      <c r="BC538" s="433"/>
      <c r="BD538" s="433"/>
      <c r="BE538" s="433"/>
      <c r="BF538" s="433"/>
      <c r="BG538" s="433"/>
      <c r="BH538" s="433"/>
      <c r="BI538" s="433"/>
      <c r="BJ538" s="433"/>
      <c r="BK538" s="433"/>
      <c r="BL538" s="433"/>
      <c r="BM538" s="433"/>
      <c r="BN538" s="433"/>
      <c r="BO538" s="433"/>
      <c r="BP538" s="433"/>
      <c r="BQ538" s="433"/>
      <c r="BR538" s="433"/>
      <c r="BS538" s="433"/>
      <c r="BT538" s="433"/>
      <c r="BU538" s="433"/>
    </row>
    <row r="539" spans="11:73" x14ac:dyDescent="0.2">
      <c r="K539" s="437"/>
      <c r="L539" s="437"/>
      <c r="M539" s="437"/>
      <c r="N539" s="437"/>
      <c r="O539" s="433"/>
      <c r="P539" s="433"/>
      <c r="Q539" s="433"/>
      <c r="R539" s="433"/>
      <c r="S539" s="433"/>
      <c r="T539" s="433"/>
      <c r="U539" s="433"/>
      <c r="V539" s="433"/>
      <c r="W539" s="433"/>
      <c r="X539" s="433"/>
      <c r="Y539" s="433"/>
      <c r="Z539" s="433"/>
      <c r="AA539" s="433"/>
      <c r="AB539" s="433"/>
      <c r="AC539" s="433"/>
      <c r="AD539" s="433"/>
      <c r="AE539" s="433"/>
      <c r="AF539" s="433"/>
      <c r="AG539" s="433"/>
      <c r="AH539" s="433"/>
      <c r="AI539" s="433"/>
      <c r="AJ539" s="433"/>
      <c r="AK539" s="433"/>
      <c r="AL539" s="433"/>
      <c r="AM539" s="433"/>
      <c r="AN539" s="433"/>
      <c r="AO539" s="433"/>
      <c r="AP539" s="433"/>
      <c r="AQ539" s="433"/>
      <c r="AR539" s="433"/>
      <c r="AS539" s="433"/>
      <c r="AT539" s="433"/>
      <c r="AU539" s="433"/>
      <c r="AV539" s="433"/>
      <c r="AW539" s="433"/>
      <c r="AX539" s="433"/>
      <c r="AY539" s="433"/>
      <c r="AZ539" s="433"/>
      <c r="BA539" s="433"/>
      <c r="BB539" s="433"/>
      <c r="BC539" s="433"/>
      <c r="BD539" s="433"/>
      <c r="BE539" s="433"/>
      <c r="BF539" s="433"/>
      <c r="BG539" s="433"/>
      <c r="BH539" s="433"/>
      <c r="BI539" s="433"/>
      <c r="BJ539" s="433"/>
      <c r="BK539" s="433"/>
      <c r="BL539" s="433"/>
      <c r="BM539" s="433"/>
      <c r="BN539" s="433"/>
      <c r="BO539" s="433"/>
      <c r="BP539" s="433"/>
      <c r="BQ539" s="433"/>
      <c r="BR539" s="433"/>
      <c r="BS539" s="433"/>
      <c r="BT539" s="433"/>
      <c r="BU539" s="433"/>
    </row>
    <row r="540" spans="11:73" x14ac:dyDescent="0.2">
      <c r="K540" s="437"/>
      <c r="L540" s="437"/>
      <c r="M540" s="437"/>
      <c r="N540" s="437"/>
      <c r="O540" s="433"/>
      <c r="P540" s="433"/>
      <c r="Q540" s="433"/>
      <c r="R540" s="433"/>
      <c r="S540" s="433"/>
      <c r="T540" s="433"/>
      <c r="U540" s="433"/>
      <c r="V540" s="433"/>
      <c r="W540" s="433"/>
      <c r="X540" s="433"/>
      <c r="Y540" s="433"/>
      <c r="Z540" s="433"/>
      <c r="AA540" s="433"/>
      <c r="AB540" s="433"/>
      <c r="AC540" s="433"/>
      <c r="AD540" s="433"/>
      <c r="AE540" s="433"/>
      <c r="AF540" s="433"/>
      <c r="AG540" s="433"/>
      <c r="AH540" s="433"/>
      <c r="AI540" s="433"/>
      <c r="AJ540" s="433"/>
      <c r="AK540" s="433"/>
      <c r="AL540" s="433"/>
      <c r="AM540" s="433"/>
      <c r="AN540" s="433"/>
      <c r="AO540" s="433"/>
      <c r="AP540" s="433"/>
      <c r="AQ540" s="433"/>
      <c r="AR540" s="433"/>
      <c r="AS540" s="433"/>
      <c r="AT540" s="433"/>
      <c r="AU540" s="433"/>
      <c r="AV540" s="433"/>
      <c r="AW540" s="433"/>
      <c r="AX540" s="433"/>
      <c r="AY540" s="433"/>
      <c r="AZ540" s="433"/>
      <c r="BA540" s="433"/>
      <c r="BB540" s="433"/>
      <c r="BC540" s="433"/>
      <c r="BD540" s="433"/>
      <c r="BE540" s="433"/>
      <c r="BF540" s="433"/>
      <c r="BG540" s="433"/>
      <c r="BH540" s="433"/>
      <c r="BI540" s="433"/>
      <c r="BJ540" s="433"/>
      <c r="BK540" s="433"/>
      <c r="BL540" s="433"/>
      <c r="BM540" s="433"/>
      <c r="BN540" s="433"/>
      <c r="BO540" s="433"/>
      <c r="BP540" s="433"/>
      <c r="BQ540" s="433"/>
      <c r="BR540" s="433"/>
      <c r="BS540" s="433"/>
      <c r="BT540" s="433"/>
      <c r="BU540" s="433"/>
    </row>
    <row r="541" spans="11:73" x14ac:dyDescent="0.2">
      <c r="K541" s="437"/>
      <c r="L541" s="437"/>
      <c r="M541" s="437"/>
      <c r="N541" s="437"/>
      <c r="O541" s="433"/>
      <c r="P541" s="433"/>
      <c r="Q541" s="433"/>
      <c r="R541" s="433"/>
      <c r="S541" s="433"/>
      <c r="T541" s="433"/>
      <c r="U541" s="433"/>
      <c r="V541" s="433"/>
      <c r="W541" s="433"/>
      <c r="X541" s="433"/>
      <c r="Y541" s="433"/>
      <c r="Z541" s="433"/>
      <c r="AA541" s="433"/>
      <c r="AB541" s="433"/>
      <c r="AC541" s="433"/>
      <c r="AD541" s="433"/>
      <c r="AE541" s="433"/>
      <c r="AF541" s="433"/>
      <c r="AG541" s="433"/>
      <c r="AH541" s="433"/>
      <c r="AI541" s="433"/>
      <c r="AJ541" s="433"/>
      <c r="AK541" s="433"/>
      <c r="AL541" s="433"/>
      <c r="AM541" s="433"/>
      <c r="AN541" s="433"/>
      <c r="AO541" s="433"/>
      <c r="AP541" s="433"/>
      <c r="AQ541" s="433"/>
      <c r="AR541" s="433"/>
      <c r="AS541" s="433"/>
      <c r="AT541" s="433"/>
      <c r="AU541" s="433"/>
      <c r="AV541" s="433"/>
      <c r="AW541" s="433"/>
      <c r="AX541" s="433"/>
      <c r="AY541" s="433"/>
      <c r="AZ541" s="433"/>
      <c r="BA541" s="433"/>
      <c r="BB541" s="433"/>
      <c r="BC541" s="433"/>
      <c r="BD541" s="433"/>
      <c r="BE541" s="433"/>
      <c r="BF541" s="433"/>
      <c r="BG541" s="433"/>
      <c r="BH541" s="433"/>
      <c r="BI541" s="433"/>
      <c r="BJ541" s="433"/>
      <c r="BK541" s="433"/>
      <c r="BL541" s="433"/>
      <c r="BM541" s="433"/>
      <c r="BN541" s="433"/>
      <c r="BO541" s="433"/>
      <c r="BP541" s="433"/>
      <c r="BQ541" s="433"/>
      <c r="BR541" s="433"/>
      <c r="BS541" s="433"/>
      <c r="BT541" s="433"/>
      <c r="BU541" s="433"/>
    </row>
    <row r="542" spans="11:73" x14ac:dyDescent="0.2">
      <c r="K542" s="437"/>
      <c r="L542" s="437"/>
      <c r="M542" s="437"/>
      <c r="N542" s="437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  <c r="AB542" s="433"/>
      <c r="AC542" s="433"/>
      <c r="AD542" s="433"/>
      <c r="AE542" s="433"/>
      <c r="AF542" s="433"/>
      <c r="AG542" s="433"/>
      <c r="AH542" s="433"/>
      <c r="AI542" s="433"/>
      <c r="AJ542" s="433"/>
      <c r="AK542" s="433"/>
      <c r="AL542" s="433"/>
      <c r="AM542" s="433"/>
      <c r="AN542" s="433"/>
      <c r="AO542" s="433"/>
      <c r="AP542" s="433"/>
      <c r="AQ542" s="433"/>
      <c r="AR542" s="433"/>
      <c r="AS542" s="433"/>
      <c r="AT542" s="433"/>
      <c r="AU542" s="433"/>
      <c r="AV542" s="433"/>
      <c r="AW542" s="433"/>
      <c r="AX542" s="433"/>
      <c r="AY542" s="433"/>
      <c r="AZ542" s="433"/>
      <c r="BA542" s="433"/>
      <c r="BB542" s="433"/>
      <c r="BC542" s="433"/>
      <c r="BD542" s="433"/>
      <c r="BE542" s="433"/>
      <c r="BF542" s="433"/>
      <c r="BG542" s="433"/>
      <c r="BH542" s="433"/>
      <c r="BI542" s="433"/>
      <c r="BJ542" s="433"/>
      <c r="BK542" s="433"/>
      <c r="BL542" s="433"/>
      <c r="BM542" s="433"/>
      <c r="BN542" s="433"/>
      <c r="BO542" s="433"/>
      <c r="BP542" s="433"/>
      <c r="BQ542" s="433"/>
      <c r="BR542" s="433"/>
      <c r="BS542" s="433"/>
      <c r="BT542" s="433"/>
      <c r="BU542" s="433"/>
    </row>
    <row r="543" spans="11:73" x14ac:dyDescent="0.2">
      <c r="K543" s="437"/>
      <c r="L543" s="437"/>
      <c r="M543" s="437"/>
      <c r="N543" s="437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  <c r="AB543" s="433"/>
      <c r="AC543" s="433"/>
      <c r="AD543" s="433"/>
      <c r="AE543" s="433"/>
      <c r="AF543" s="433"/>
      <c r="AG543" s="433"/>
      <c r="AH543" s="433"/>
      <c r="AI543" s="433"/>
      <c r="AJ543" s="433"/>
      <c r="AK543" s="433"/>
      <c r="AL543" s="433"/>
      <c r="AM543" s="433"/>
      <c r="AN543" s="433"/>
      <c r="AO543" s="433"/>
      <c r="AP543" s="433"/>
      <c r="AQ543" s="433"/>
      <c r="AR543" s="433"/>
      <c r="AS543" s="433"/>
      <c r="AT543" s="433"/>
      <c r="AU543" s="433"/>
      <c r="AV543" s="433"/>
      <c r="AW543" s="433"/>
      <c r="AX543" s="433"/>
      <c r="AY543" s="433"/>
      <c r="AZ543" s="433"/>
      <c r="BA543" s="433"/>
      <c r="BB543" s="433"/>
      <c r="BC543" s="433"/>
      <c r="BD543" s="433"/>
      <c r="BE543" s="433"/>
      <c r="BF543" s="433"/>
      <c r="BG543" s="433"/>
      <c r="BH543" s="433"/>
      <c r="BI543" s="433"/>
      <c r="BJ543" s="433"/>
      <c r="BK543" s="433"/>
      <c r="BL543" s="433"/>
      <c r="BM543" s="433"/>
      <c r="BN543" s="433"/>
      <c r="BO543" s="433"/>
      <c r="BP543" s="433"/>
      <c r="BQ543" s="433"/>
      <c r="BR543" s="433"/>
      <c r="BS543" s="433"/>
      <c r="BT543" s="433"/>
      <c r="BU543" s="433"/>
    </row>
    <row r="544" spans="11:73" x14ac:dyDescent="0.2">
      <c r="K544" s="437"/>
      <c r="L544" s="437"/>
      <c r="M544" s="437"/>
      <c r="N544" s="437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  <c r="AB544" s="433"/>
      <c r="AC544" s="433"/>
      <c r="AD544" s="433"/>
      <c r="AE544" s="433"/>
      <c r="AF544" s="433"/>
      <c r="AG544" s="433"/>
      <c r="AH544" s="433"/>
      <c r="AI544" s="433"/>
      <c r="AJ544" s="433"/>
      <c r="AK544" s="433"/>
      <c r="AL544" s="433"/>
      <c r="AM544" s="433"/>
      <c r="AN544" s="433"/>
      <c r="AO544" s="433"/>
      <c r="AP544" s="433"/>
      <c r="AQ544" s="433"/>
      <c r="AR544" s="433"/>
      <c r="AS544" s="433"/>
      <c r="AT544" s="433"/>
      <c r="AU544" s="433"/>
      <c r="AV544" s="433"/>
      <c r="AW544" s="433"/>
      <c r="AX544" s="433"/>
      <c r="AY544" s="433"/>
      <c r="AZ544" s="433"/>
      <c r="BA544" s="433"/>
      <c r="BB544" s="433"/>
      <c r="BC544" s="433"/>
      <c r="BD544" s="433"/>
      <c r="BE544" s="433"/>
      <c r="BF544" s="433"/>
      <c r="BG544" s="433"/>
      <c r="BH544" s="433"/>
      <c r="BI544" s="433"/>
      <c r="BJ544" s="433"/>
      <c r="BK544" s="433"/>
      <c r="BL544" s="433"/>
      <c r="BM544" s="433"/>
      <c r="BN544" s="433"/>
      <c r="BO544" s="433"/>
      <c r="BP544" s="433"/>
      <c r="BQ544" s="433"/>
      <c r="BR544" s="433"/>
      <c r="BS544" s="433"/>
      <c r="BT544" s="433"/>
      <c r="BU544" s="433"/>
    </row>
    <row r="545" spans="1:73" x14ac:dyDescent="0.2">
      <c r="K545" s="437"/>
      <c r="L545" s="437"/>
      <c r="M545" s="437"/>
      <c r="N545" s="437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  <c r="AB545" s="433"/>
      <c r="AC545" s="433"/>
      <c r="AD545" s="433"/>
      <c r="AE545" s="433"/>
      <c r="AF545" s="433"/>
      <c r="AG545" s="433"/>
      <c r="AH545" s="433"/>
      <c r="AI545" s="433"/>
      <c r="AJ545" s="433"/>
      <c r="AK545" s="433"/>
      <c r="AL545" s="433"/>
      <c r="AM545" s="433"/>
      <c r="AN545" s="433"/>
      <c r="AO545" s="433"/>
      <c r="AP545" s="433"/>
      <c r="AQ545" s="433"/>
      <c r="AR545" s="433"/>
      <c r="AS545" s="433"/>
      <c r="AT545" s="433"/>
      <c r="AU545" s="433"/>
      <c r="AV545" s="433"/>
      <c r="AW545" s="433"/>
      <c r="AX545" s="433"/>
      <c r="AY545" s="433"/>
      <c r="AZ545" s="433"/>
      <c r="BA545" s="433"/>
      <c r="BB545" s="433"/>
      <c r="BC545" s="433"/>
      <c r="BD545" s="433"/>
      <c r="BE545" s="433"/>
      <c r="BF545" s="433"/>
      <c r="BG545" s="433"/>
      <c r="BH545" s="433"/>
      <c r="BI545" s="433"/>
      <c r="BJ545" s="433"/>
      <c r="BK545" s="433"/>
      <c r="BL545" s="433"/>
      <c r="BM545" s="433"/>
      <c r="BN545" s="433"/>
      <c r="BO545" s="433"/>
      <c r="BP545" s="433"/>
      <c r="BQ545" s="433"/>
      <c r="BR545" s="433"/>
      <c r="BS545" s="433"/>
      <c r="BT545" s="433"/>
      <c r="BU545" s="433"/>
    </row>
    <row r="546" spans="1:73" x14ac:dyDescent="0.2">
      <c r="K546" s="437"/>
      <c r="L546" s="437"/>
      <c r="M546" s="437"/>
      <c r="N546" s="437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  <c r="AB546" s="433"/>
      <c r="AC546" s="433"/>
      <c r="AD546" s="433"/>
      <c r="AE546" s="433"/>
      <c r="AF546" s="433"/>
      <c r="AG546" s="433"/>
      <c r="AH546" s="433"/>
      <c r="AI546" s="433"/>
      <c r="AJ546" s="433"/>
      <c r="AK546" s="433"/>
      <c r="AL546" s="433"/>
      <c r="AM546" s="433"/>
      <c r="AN546" s="433"/>
      <c r="AO546" s="433"/>
      <c r="AP546" s="433"/>
      <c r="AQ546" s="433"/>
      <c r="AR546" s="433"/>
      <c r="AS546" s="433"/>
      <c r="AT546" s="433"/>
      <c r="AU546" s="433"/>
      <c r="AV546" s="433"/>
      <c r="AW546" s="433"/>
      <c r="AX546" s="433"/>
      <c r="AY546" s="433"/>
      <c r="AZ546" s="433"/>
      <c r="BA546" s="433"/>
      <c r="BB546" s="433"/>
      <c r="BC546" s="433"/>
      <c r="BD546" s="433"/>
      <c r="BE546" s="433"/>
      <c r="BF546" s="433"/>
      <c r="BG546" s="433"/>
      <c r="BH546" s="433"/>
      <c r="BI546" s="433"/>
      <c r="BJ546" s="433"/>
      <c r="BK546" s="433"/>
      <c r="BL546" s="433"/>
      <c r="BM546" s="433"/>
      <c r="BN546" s="433"/>
      <c r="BO546" s="433"/>
      <c r="BP546" s="433"/>
      <c r="BQ546" s="433"/>
      <c r="BR546" s="433"/>
      <c r="BS546" s="433"/>
      <c r="BT546" s="433"/>
      <c r="BU546" s="433"/>
    </row>
    <row r="547" spans="1:73" x14ac:dyDescent="0.2">
      <c r="K547" s="437"/>
      <c r="L547" s="437"/>
      <c r="M547" s="437"/>
      <c r="N547" s="437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  <c r="AB547" s="433"/>
      <c r="AC547" s="433"/>
      <c r="AD547" s="433"/>
      <c r="AE547" s="433"/>
      <c r="AF547" s="433"/>
      <c r="AG547" s="433"/>
      <c r="AH547" s="433"/>
      <c r="AI547" s="433"/>
      <c r="AJ547" s="433"/>
      <c r="AK547" s="433"/>
      <c r="AL547" s="433"/>
      <c r="AM547" s="433"/>
      <c r="AN547" s="433"/>
      <c r="AO547" s="433"/>
      <c r="AP547" s="433"/>
      <c r="AQ547" s="433"/>
      <c r="AR547" s="433"/>
      <c r="AS547" s="433"/>
      <c r="AT547" s="433"/>
      <c r="AU547" s="433"/>
      <c r="AV547" s="433"/>
      <c r="AW547" s="433"/>
      <c r="AX547" s="433"/>
      <c r="AY547" s="433"/>
      <c r="AZ547" s="433"/>
      <c r="BA547" s="433"/>
      <c r="BB547" s="433"/>
      <c r="BC547" s="433"/>
      <c r="BD547" s="433"/>
      <c r="BE547" s="433"/>
      <c r="BF547" s="433"/>
      <c r="BG547" s="433"/>
      <c r="BH547" s="433"/>
      <c r="BI547" s="433"/>
      <c r="BJ547" s="433"/>
      <c r="BK547" s="433"/>
      <c r="BL547" s="433"/>
      <c r="BM547" s="433"/>
      <c r="BN547" s="433"/>
      <c r="BO547" s="433"/>
      <c r="BP547" s="433"/>
      <c r="BQ547" s="433"/>
      <c r="BR547" s="433"/>
      <c r="BS547" s="433"/>
      <c r="BT547" s="433"/>
      <c r="BU547" s="433"/>
    </row>
    <row r="548" spans="1:73" x14ac:dyDescent="0.2">
      <c r="K548" s="437"/>
      <c r="L548" s="437"/>
      <c r="M548" s="437"/>
      <c r="N548" s="437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  <c r="AB548" s="433"/>
      <c r="AC548" s="433"/>
      <c r="AD548" s="433"/>
      <c r="AE548" s="433"/>
      <c r="AF548" s="433"/>
      <c r="AG548" s="433"/>
      <c r="AH548" s="433"/>
      <c r="AI548" s="433"/>
      <c r="AJ548" s="433"/>
      <c r="AK548" s="433"/>
      <c r="AL548" s="433"/>
      <c r="AM548" s="433"/>
      <c r="AN548" s="433"/>
      <c r="AO548" s="433"/>
      <c r="AP548" s="433"/>
      <c r="AQ548" s="433"/>
      <c r="AR548" s="433"/>
      <c r="AS548" s="433"/>
      <c r="AT548" s="433"/>
      <c r="AU548" s="433"/>
      <c r="AV548" s="433"/>
      <c r="AW548" s="433"/>
      <c r="AX548" s="433"/>
      <c r="AY548" s="433"/>
      <c r="AZ548" s="433"/>
      <c r="BA548" s="433"/>
      <c r="BB548" s="433"/>
      <c r="BC548" s="433"/>
      <c r="BD548" s="433"/>
      <c r="BE548" s="433"/>
      <c r="BF548" s="433"/>
      <c r="BG548" s="433"/>
      <c r="BH548" s="433"/>
      <c r="BI548" s="433"/>
      <c r="BJ548" s="433"/>
      <c r="BK548" s="433"/>
      <c r="BL548" s="433"/>
      <c r="BM548" s="433"/>
      <c r="BN548" s="433"/>
      <c r="BO548" s="433"/>
      <c r="BP548" s="433"/>
      <c r="BQ548" s="433"/>
      <c r="BR548" s="433"/>
      <c r="BS548" s="433"/>
      <c r="BT548" s="433"/>
      <c r="BU548" s="433"/>
    </row>
    <row r="549" spans="1:73" x14ac:dyDescent="0.2">
      <c r="K549" s="437"/>
      <c r="L549" s="437"/>
      <c r="M549" s="437"/>
      <c r="N549" s="437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  <c r="AB549" s="433"/>
      <c r="AC549" s="433"/>
      <c r="AD549" s="433"/>
      <c r="AE549" s="433"/>
      <c r="AF549" s="433"/>
      <c r="AG549" s="433"/>
      <c r="AH549" s="433"/>
      <c r="AI549" s="433"/>
      <c r="AJ549" s="433"/>
      <c r="AK549" s="433"/>
      <c r="AL549" s="433"/>
      <c r="AM549" s="433"/>
      <c r="AN549" s="433"/>
      <c r="AO549" s="433"/>
      <c r="AP549" s="433"/>
      <c r="AQ549" s="433"/>
      <c r="AR549" s="433"/>
      <c r="AS549" s="433"/>
      <c r="AT549" s="433"/>
      <c r="AU549" s="433"/>
      <c r="AV549" s="433"/>
      <c r="AW549" s="433"/>
      <c r="AX549" s="433"/>
      <c r="AY549" s="433"/>
      <c r="AZ549" s="433"/>
      <c r="BA549" s="433"/>
      <c r="BB549" s="433"/>
      <c r="BC549" s="433"/>
      <c r="BD549" s="433"/>
      <c r="BE549" s="433"/>
      <c r="BF549" s="433"/>
      <c r="BG549" s="433"/>
      <c r="BH549" s="433"/>
      <c r="BI549" s="433"/>
      <c r="BJ549" s="433"/>
      <c r="BK549" s="433"/>
      <c r="BL549" s="433"/>
      <c r="BM549" s="433"/>
      <c r="BN549" s="433"/>
      <c r="BO549" s="433"/>
      <c r="BP549" s="433"/>
      <c r="BQ549" s="433"/>
      <c r="BR549" s="433"/>
      <c r="BS549" s="433"/>
      <c r="BT549" s="433"/>
      <c r="BU549" s="433"/>
    </row>
    <row r="550" spans="1:73" x14ac:dyDescent="0.2">
      <c r="K550" s="437"/>
      <c r="L550" s="437"/>
      <c r="M550" s="437"/>
      <c r="N550" s="437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  <c r="AB550" s="433"/>
      <c r="AC550" s="433"/>
      <c r="AD550" s="433"/>
      <c r="AE550" s="433"/>
      <c r="AF550" s="433"/>
      <c r="AG550" s="433"/>
      <c r="AH550" s="433"/>
      <c r="AI550" s="433"/>
      <c r="AJ550" s="433"/>
      <c r="AK550" s="433"/>
      <c r="AL550" s="433"/>
      <c r="AM550" s="433"/>
      <c r="AN550" s="433"/>
      <c r="AO550" s="433"/>
      <c r="AP550" s="433"/>
      <c r="AQ550" s="433"/>
      <c r="AR550" s="433"/>
      <c r="AS550" s="433"/>
      <c r="AT550" s="433"/>
      <c r="AU550" s="433"/>
      <c r="AV550" s="433"/>
      <c r="AW550" s="433"/>
      <c r="AX550" s="433"/>
      <c r="AY550" s="433"/>
      <c r="AZ550" s="433"/>
      <c r="BA550" s="433"/>
      <c r="BB550" s="433"/>
      <c r="BC550" s="433"/>
      <c r="BD550" s="433"/>
      <c r="BE550" s="433"/>
      <c r="BF550" s="433"/>
      <c r="BG550" s="433"/>
      <c r="BH550" s="433"/>
      <c r="BI550" s="433"/>
      <c r="BJ550" s="433"/>
      <c r="BK550" s="433"/>
      <c r="BL550" s="433"/>
      <c r="BM550" s="433"/>
      <c r="BN550" s="433"/>
      <c r="BO550" s="433"/>
      <c r="BP550" s="433"/>
      <c r="BQ550" s="433"/>
      <c r="BR550" s="433"/>
      <c r="BS550" s="433"/>
      <c r="BT550" s="433"/>
      <c r="BU550" s="433"/>
    </row>
    <row r="551" spans="1:73" x14ac:dyDescent="0.2">
      <c r="K551" s="437"/>
      <c r="L551" s="437"/>
      <c r="M551" s="437"/>
      <c r="N551" s="437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  <c r="AB551" s="433"/>
      <c r="AC551" s="433"/>
      <c r="AD551" s="433"/>
      <c r="AE551" s="433"/>
      <c r="AF551" s="433"/>
      <c r="AG551" s="433"/>
      <c r="AH551" s="433"/>
      <c r="AI551" s="433"/>
      <c r="AJ551" s="433"/>
      <c r="AK551" s="433"/>
      <c r="AL551" s="433"/>
      <c r="AM551" s="433"/>
      <c r="AN551" s="433"/>
      <c r="AO551" s="433"/>
      <c r="AP551" s="433"/>
      <c r="AQ551" s="433"/>
      <c r="AR551" s="433"/>
      <c r="AS551" s="433"/>
      <c r="AT551" s="433"/>
      <c r="AU551" s="433"/>
      <c r="AV551" s="433"/>
      <c r="AW551" s="433"/>
      <c r="AX551" s="433"/>
      <c r="AY551" s="433"/>
      <c r="AZ551" s="433"/>
      <c r="BA551" s="433"/>
      <c r="BB551" s="433"/>
      <c r="BC551" s="433"/>
      <c r="BD551" s="433"/>
      <c r="BE551" s="433"/>
      <c r="BF551" s="433"/>
      <c r="BG551" s="433"/>
      <c r="BH551" s="433"/>
      <c r="BI551" s="433"/>
      <c r="BJ551" s="433"/>
      <c r="BK551" s="433"/>
      <c r="BL551" s="433"/>
      <c r="BM551" s="433"/>
      <c r="BN551" s="433"/>
      <c r="BO551" s="433"/>
      <c r="BP551" s="433"/>
      <c r="BQ551" s="433"/>
      <c r="BR551" s="433"/>
      <c r="BS551" s="433"/>
      <c r="BT551" s="433"/>
      <c r="BU551" s="433"/>
    </row>
    <row r="552" spans="1:73" x14ac:dyDescent="0.2">
      <c r="K552" s="437"/>
      <c r="L552" s="437"/>
      <c r="M552" s="437"/>
      <c r="N552" s="437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  <c r="AB552" s="433"/>
      <c r="AC552" s="433"/>
      <c r="AD552" s="433"/>
      <c r="AE552" s="433"/>
      <c r="AF552" s="433"/>
      <c r="AG552" s="433"/>
      <c r="AH552" s="433"/>
      <c r="AI552" s="433"/>
      <c r="AJ552" s="433"/>
      <c r="AK552" s="433"/>
      <c r="AL552" s="433"/>
      <c r="AM552" s="433"/>
      <c r="AN552" s="433"/>
      <c r="AO552" s="433"/>
      <c r="AP552" s="433"/>
      <c r="AQ552" s="433"/>
      <c r="AR552" s="433"/>
      <c r="AS552" s="433"/>
      <c r="AT552" s="433"/>
      <c r="AU552" s="433"/>
      <c r="AV552" s="433"/>
      <c r="AW552" s="433"/>
      <c r="AX552" s="433"/>
      <c r="AY552" s="433"/>
      <c r="AZ552" s="433"/>
      <c r="BA552" s="433"/>
      <c r="BB552" s="433"/>
      <c r="BC552" s="433"/>
      <c r="BD552" s="433"/>
      <c r="BE552" s="433"/>
      <c r="BF552" s="433"/>
      <c r="BG552" s="433"/>
      <c r="BH552" s="433"/>
      <c r="BI552" s="433"/>
      <c r="BJ552" s="433"/>
      <c r="BK552" s="433"/>
      <c r="BL552" s="433"/>
      <c r="BM552" s="433"/>
      <c r="BN552" s="433"/>
      <c r="BO552" s="433"/>
      <c r="BP552" s="433"/>
      <c r="BQ552" s="433"/>
      <c r="BR552" s="433"/>
      <c r="BS552" s="433"/>
      <c r="BT552" s="433"/>
      <c r="BU552" s="433"/>
    </row>
    <row r="553" spans="1:73" x14ac:dyDescent="0.2">
      <c r="K553" s="437"/>
      <c r="L553" s="437"/>
      <c r="M553" s="437"/>
      <c r="N553" s="437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  <c r="AB553" s="433"/>
      <c r="AC553" s="433"/>
      <c r="AD553" s="433"/>
      <c r="AE553" s="433"/>
      <c r="AF553" s="433"/>
      <c r="AG553" s="433"/>
      <c r="AH553" s="433"/>
      <c r="AI553" s="433"/>
      <c r="AJ553" s="433"/>
      <c r="AK553" s="433"/>
      <c r="AL553" s="433"/>
      <c r="AM553" s="433"/>
      <c r="AN553" s="433"/>
      <c r="AO553" s="433"/>
      <c r="AP553" s="433"/>
      <c r="AQ553" s="433"/>
      <c r="AR553" s="433"/>
      <c r="AS553" s="433"/>
      <c r="AT553" s="433"/>
      <c r="AU553" s="433"/>
      <c r="AV553" s="433"/>
      <c r="AW553" s="433"/>
      <c r="AX553" s="433"/>
      <c r="AY553" s="433"/>
      <c r="AZ553" s="433"/>
      <c r="BA553" s="433"/>
      <c r="BB553" s="433"/>
      <c r="BC553" s="433"/>
      <c r="BD553" s="433"/>
      <c r="BE553" s="433"/>
      <c r="BF553" s="433"/>
      <c r="BG553" s="433"/>
      <c r="BH553" s="433"/>
      <c r="BI553" s="433"/>
      <c r="BJ553" s="433"/>
      <c r="BK553" s="433"/>
      <c r="BL553" s="433"/>
      <c r="BM553" s="433"/>
      <c r="BN553" s="433"/>
      <c r="BO553" s="433"/>
      <c r="BP553" s="433"/>
      <c r="BQ553" s="433"/>
      <c r="BR553" s="433"/>
      <c r="BS553" s="433"/>
      <c r="BT553" s="433"/>
      <c r="BU553" s="433"/>
    </row>
    <row r="554" spans="1:73" x14ac:dyDescent="0.2">
      <c r="A554" s="433"/>
      <c r="B554" s="437"/>
      <c r="C554" s="437"/>
      <c r="D554" s="437"/>
      <c r="E554" s="437"/>
      <c r="F554" s="437"/>
      <c r="G554" s="437"/>
      <c r="H554" s="437"/>
      <c r="I554" s="437"/>
      <c r="J554" s="437"/>
      <c r="K554" s="437"/>
      <c r="L554" s="437"/>
      <c r="M554" s="437"/>
      <c r="N554" s="437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  <c r="AB554" s="433"/>
      <c r="AC554" s="433"/>
      <c r="AD554" s="433"/>
      <c r="AE554" s="433"/>
      <c r="AF554" s="433"/>
      <c r="AG554" s="433"/>
      <c r="AH554" s="433"/>
      <c r="AI554" s="433"/>
      <c r="AJ554" s="433"/>
      <c r="AK554" s="433"/>
      <c r="AL554" s="433"/>
      <c r="AM554" s="433"/>
      <c r="AN554" s="433"/>
      <c r="AO554" s="433"/>
      <c r="AP554" s="433"/>
      <c r="AQ554" s="433"/>
      <c r="AR554" s="433"/>
      <c r="AS554" s="433"/>
      <c r="AT554" s="433"/>
      <c r="AU554" s="433"/>
      <c r="AV554" s="433"/>
      <c r="AW554" s="433"/>
      <c r="AX554" s="433"/>
      <c r="AY554" s="433"/>
      <c r="AZ554" s="433"/>
      <c r="BA554" s="433"/>
      <c r="BB554" s="433"/>
      <c r="BC554" s="433"/>
      <c r="BD554" s="433"/>
      <c r="BE554" s="433"/>
      <c r="BF554" s="433"/>
      <c r="BG554" s="433"/>
      <c r="BH554" s="433"/>
      <c r="BI554" s="433"/>
      <c r="BJ554" s="433"/>
      <c r="BK554" s="433"/>
      <c r="BL554" s="433"/>
      <c r="BM554" s="433"/>
      <c r="BN554" s="433"/>
      <c r="BO554" s="433"/>
      <c r="BP554" s="433"/>
      <c r="BQ554" s="433"/>
      <c r="BR554" s="433"/>
      <c r="BS554" s="433"/>
      <c r="BT554" s="433"/>
      <c r="BU554" s="433"/>
    </row>
    <row r="555" spans="1:73" x14ac:dyDescent="0.2">
      <c r="A555" s="433"/>
      <c r="B555" s="437"/>
      <c r="C555" s="437"/>
      <c r="D555" s="437"/>
      <c r="E555" s="437"/>
      <c r="F555" s="437"/>
      <c r="G555" s="437"/>
      <c r="H555" s="437"/>
      <c r="I555" s="437"/>
      <c r="J555" s="437"/>
      <c r="K555" s="437"/>
      <c r="L555" s="437"/>
      <c r="M555" s="437"/>
      <c r="N555" s="437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  <c r="AB555" s="433"/>
      <c r="AC555" s="433"/>
      <c r="AD555" s="433"/>
      <c r="AE555" s="433"/>
      <c r="AF555" s="433"/>
      <c r="AG555" s="433"/>
      <c r="AH555" s="433"/>
      <c r="AI555" s="433"/>
      <c r="AJ555" s="433"/>
      <c r="AK555" s="433"/>
      <c r="AL555" s="433"/>
      <c r="AM555" s="433"/>
      <c r="AN555" s="433"/>
      <c r="AO555" s="433"/>
      <c r="AP555" s="433"/>
      <c r="AQ555" s="433"/>
      <c r="AR555" s="433"/>
      <c r="AS555" s="433"/>
      <c r="AT555" s="433"/>
      <c r="AU555" s="433"/>
      <c r="AV555" s="433"/>
      <c r="AW555" s="433"/>
      <c r="AX555" s="433"/>
      <c r="AY555" s="433"/>
      <c r="AZ555" s="433"/>
      <c r="BA555" s="433"/>
      <c r="BB555" s="433"/>
      <c r="BC555" s="433"/>
      <c r="BD555" s="433"/>
      <c r="BE555" s="433"/>
      <c r="BF555" s="433"/>
      <c r="BG555" s="433"/>
      <c r="BH555" s="433"/>
      <c r="BI555" s="433"/>
      <c r="BJ555" s="433"/>
      <c r="BK555" s="433"/>
      <c r="BL555" s="433"/>
      <c r="BM555" s="433"/>
      <c r="BN555" s="433"/>
      <c r="BO555" s="433"/>
      <c r="BP555" s="433"/>
      <c r="BQ555" s="433"/>
      <c r="BR555" s="433"/>
      <c r="BS555" s="433"/>
      <c r="BT555" s="433"/>
      <c r="BU555" s="433"/>
    </row>
    <row r="556" spans="1:73" x14ac:dyDescent="0.2">
      <c r="A556" s="433"/>
      <c r="B556" s="437"/>
      <c r="C556" s="437"/>
      <c r="D556" s="437"/>
      <c r="E556" s="437"/>
      <c r="F556" s="437"/>
      <c r="G556" s="437"/>
      <c r="H556" s="437"/>
      <c r="I556" s="437"/>
      <c r="J556" s="437"/>
      <c r="K556" s="437"/>
      <c r="L556" s="437"/>
      <c r="M556" s="437"/>
      <c r="N556" s="437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  <c r="AB556" s="433"/>
      <c r="AC556" s="433"/>
      <c r="AD556" s="433"/>
      <c r="AE556" s="433"/>
      <c r="AF556" s="433"/>
      <c r="AG556" s="433"/>
      <c r="AH556" s="433"/>
      <c r="AI556" s="433"/>
      <c r="AJ556" s="433"/>
      <c r="AK556" s="433"/>
      <c r="AL556" s="433"/>
      <c r="AM556" s="433"/>
      <c r="AN556" s="433"/>
      <c r="AO556" s="433"/>
      <c r="AP556" s="433"/>
      <c r="AQ556" s="433"/>
      <c r="AR556" s="433"/>
      <c r="AS556" s="433"/>
      <c r="AT556" s="433"/>
      <c r="AU556" s="433"/>
      <c r="AV556" s="433"/>
      <c r="AW556" s="433"/>
      <c r="AX556" s="433"/>
      <c r="AY556" s="433"/>
      <c r="AZ556" s="433"/>
      <c r="BA556" s="433"/>
      <c r="BB556" s="433"/>
      <c r="BC556" s="433"/>
      <c r="BD556" s="433"/>
      <c r="BE556" s="433"/>
      <c r="BF556" s="433"/>
      <c r="BG556" s="433"/>
      <c r="BH556" s="433"/>
      <c r="BI556" s="433"/>
      <c r="BJ556" s="433"/>
      <c r="BK556" s="433"/>
      <c r="BL556" s="433"/>
      <c r="BM556" s="433"/>
      <c r="BN556" s="433"/>
      <c r="BO556" s="433"/>
      <c r="BP556" s="433"/>
      <c r="BQ556" s="433"/>
      <c r="BR556" s="433"/>
      <c r="BS556" s="433"/>
      <c r="BT556" s="433"/>
      <c r="BU556" s="433"/>
    </row>
    <row r="557" spans="1:73" x14ac:dyDescent="0.2">
      <c r="A557" s="433"/>
      <c r="B557" s="437"/>
      <c r="C557" s="437"/>
      <c r="D557" s="437"/>
      <c r="E557" s="437"/>
      <c r="F557" s="437"/>
      <c r="G557" s="437"/>
      <c r="H557" s="437"/>
      <c r="I557" s="437"/>
      <c r="J557" s="437"/>
      <c r="K557" s="437"/>
      <c r="L557" s="437"/>
      <c r="M557" s="437"/>
      <c r="N557" s="437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  <c r="AB557" s="433"/>
      <c r="AC557" s="433"/>
      <c r="AD557" s="433"/>
      <c r="AE557" s="433"/>
      <c r="AF557" s="433"/>
      <c r="AG557" s="433"/>
      <c r="AH557" s="433"/>
      <c r="AI557" s="433"/>
      <c r="AJ557" s="433"/>
      <c r="AK557" s="433"/>
      <c r="AL557" s="433"/>
      <c r="AM557" s="433"/>
      <c r="AN557" s="433"/>
      <c r="AO557" s="433"/>
      <c r="AP557" s="433"/>
      <c r="AQ557" s="433"/>
      <c r="AR557" s="433"/>
      <c r="AS557" s="433"/>
      <c r="AT557" s="433"/>
      <c r="AU557" s="433"/>
      <c r="AV557" s="433"/>
      <c r="AW557" s="433"/>
      <c r="AX557" s="433"/>
      <c r="AY557" s="433"/>
      <c r="AZ557" s="433"/>
      <c r="BA557" s="433"/>
      <c r="BB557" s="433"/>
      <c r="BC557" s="433"/>
      <c r="BD557" s="433"/>
      <c r="BE557" s="433"/>
      <c r="BF557" s="433"/>
      <c r="BG557" s="433"/>
      <c r="BH557" s="433"/>
      <c r="BI557" s="433"/>
      <c r="BJ557" s="433"/>
      <c r="BK557" s="433"/>
      <c r="BL557" s="433"/>
      <c r="BM557" s="433"/>
      <c r="BN557" s="433"/>
      <c r="BO557" s="433"/>
      <c r="BP557" s="433"/>
      <c r="BQ557" s="433"/>
      <c r="BR557" s="433"/>
      <c r="BS557" s="433"/>
      <c r="BT557" s="433"/>
      <c r="BU557" s="433"/>
    </row>
    <row r="558" spans="1:73" x14ac:dyDescent="0.2">
      <c r="A558" s="433"/>
      <c r="B558" s="437"/>
      <c r="C558" s="437"/>
      <c r="D558" s="437"/>
      <c r="E558" s="437"/>
      <c r="F558" s="437"/>
      <c r="G558" s="437"/>
      <c r="H558" s="437"/>
      <c r="I558" s="437"/>
      <c r="J558" s="437"/>
      <c r="K558" s="437"/>
      <c r="L558" s="437"/>
      <c r="M558" s="437"/>
      <c r="N558" s="437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  <c r="AB558" s="433"/>
      <c r="AC558" s="433"/>
      <c r="AD558" s="433"/>
      <c r="AE558" s="433"/>
      <c r="AF558" s="433"/>
      <c r="AG558" s="433"/>
      <c r="AH558" s="433"/>
      <c r="AI558" s="433"/>
      <c r="AJ558" s="433"/>
      <c r="AK558" s="433"/>
      <c r="AL558" s="433"/>
      <c r="AM558" s="433"/>
      <c r="AN558" s="433"/>
      <c r="AO558" s="433"/>
      <c r="AP558" s="433"/>
      <c r="AQ558" s="433"/>
      <c r="AR558" s="433"/>
      <c r="AS558" s="433"/>
      <c r="AT558" s="433"/>
      <c r="AU558" s="433"/>
      <c r="AV558" s="433"/>
      <c r="AW558" s="433"/>
      <c r="AX558" s="433"/>
      <c r="AY558" s="433"/>
      <c r="AZ558" s="433"/>
      <c r="BA558" s="433"/>
      <c r="BB558" s="433"/>
      <c r="BC558" s="433"/>
      <c r="BD558" s="433"/>
      <c r="BE558" s="433"/>
      <c r="BF558" s="433"/>
      <c r="BG558" s="433"/>
      <c r="BH558" s="433"/>
      <c r="BI558" s="433"/>
      <c r="BJ558" s="433"/>
      <c r="BK558" s="433"/>
      <c r="BL558" s="433"/>
      <c r="BM558" s="433"/>
      <c r="BN558" s="433"/>
      <c r="BO558" s="433"/>
      <c r="BP558" s="433"/>
      <c r="BQ558" s="433"/>
      <c r="BR558" s="433"/>
      <c r="BS558" s="433"/>
      <c r="BT558" s="433"/>
      <c r="BU558" s="433"/>
    </row>
    <row r="559" spans="1:73" x14ac:dyDescent="0.2">
      <c r="A559" s="433"/>
      <c r="B559" s="437"/>
      <c r="C559" s="437"/>
      <c r="D559" s="437"/>
      <c r="E559" s="437"/>
      <c r="F559" s="437"/>
      <c r="G559" s="437"/>
      <c r="H559" s="437"/>
      <c r="I559" s="437"/>
      <c r="J559" s="437"/>
      <c r="K559" s="437"/>
      <c r="L559" s="437"/>
      <c r="M559" s="437"/>
      <c r="N559" s="437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  <c r="AB559" s="433"/>
      <c r="AC559" s="433"/>
      <c r="AD559" s="433"/>
      <c r="AE559" s="433"/>
      <c r="AF559" s="433"/>
      <c r="AG559" s="433"/>
      <c r="AH559" s="433"/>
      <c r="AI559" s="433"/>
      <c r="AJ559" s="433"/>
      <c r="AK559" s="433"/>
      <c r="AL559" s="433"/>
      <c r="AM559" s="433"/>
      <c r="AN559" s="433"/>
      <c r="AO559" s="433"/>
      <c r="AP559" s="433"/>
      <c r="AQ559" s="433"/>
      <c r="AR559" s="433"/>
      <c r="AS559" s="433"/>
      <c r="AT559" s="433"/>
      <c r="AU559" s="433"/>
      <c r="AV559" s="433"/>
      <c r="AW559" s="433"/>
      <c r="AX559" s="433"/>
      <c r="AY559" s="433"/>
      <c r="AZ559" s="433"/>
      <c r="BA559" s="433"/>
      <c r="BB559" s="433"/>
      <c r="BC559" s="433"/>
      <c r="BD559" s="433"/>
      <c r="BE559" s="433"/>
      <c r="BF559" s="433"/>
      <c r="BG559" s="433"/>
      <c r="BH559" s="433"/>
      <c r="BI559" s="433"/>
      <c r="BJ559" s="433"/>
      <c r="BK559" s="433"/>
      <c r="BL559" s="433"/>
      <c r="BM559" s="433"/>
      <c r="BN559" s="433"/>
      <c r="BO559" s="433"/>
      <c r="BP559" s="433"/>
      <c r="BQ559" s="433"/>
      <c r="BR559" s="433"/>
      <c r="BS559" s="433"/>
      <c r="BT559" s="433"/>
      <c r="BU559" s="433"/>
    </row>
    <row r="560" spans="1:73" x14ac:dyDescent="0.2">
      <c r="A560" s="433"/>
      <c r="B560" s="437"/>
      <c r="C560" s="437"/>
      <c r="D560" s="437"/>
      <c r="E560" s="437"/>
      <c r="F560" s="437"/>
      <c r="G560" s="437"/>
      <c r="H560" s="437"/>
      <c r="I560" s="437"/>
      <c r="J560" s="437"/>
      <c r="K560" s="437"/>
      <c r="L560" s="437"/>
      <c r="M560" s="437"/>
      <c r="N560" s="437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  <c r="AB560" s="433"/>
      <c r="AC560" s="433"/>
      <c r="AD560" s="433"/>
      <c r="AE560" s="433"/>
      <c r="AF560" s="433"/>
      <c r="AG560" s="433"/>
      <c r="AH560" s="433"/>
      <c r="AI560" s="433"/>
      <c r="AJ560" s="433"/>
      <c r="AK560" s="433"/>
      <c r="AL560" s="433"/>
      <c r="AM560" s="433"/>
      <c r="AN560" s="433"/>
      <c r="AO560" s="433"/>
      <c r="AP560" s="433"/>
      <c r="AQ560" s="433"/>
      <c r="AR560" s="433"/>
      <c r="AS560" s="433"/>
      <c r="AT560" s="433"/>
      <c r="AU560" s="433"/>
      <c r="AV560" s="433"/>
      <c r="AW560" s="433"/>
      <c r="AX560" s="433"/>
      <c r="AY560" s="433"/>
      <c r="AZ560" s="433"/>
      <c r="BA560" s="433"/>
      <c r="BB560" s="433"/>
      <c r="BC560" s="433"/>
      <c r="BD560" s="433"/>
      <c r="BE560" s="433"/>
      <c r="BF560" s="433"/>
      <c r="BG560" s="433"/>
      <c r="BH560" s="433"/>
      <c r="BI560" s="433"/>
      <c r="BJ560" s="433"/>
      <c r="BK560" s="433"/>
      <c r="BL560" s="433"/>
      <c r="BM560" s="433"/>
      <c r="BN560" s="433"/>
      <c r="BO560" s="433"/>
      <c r="BP560" s="433"/>
      <c r="BQ560" s="433"/>
      <c r="BR560" s="433"/>
      <c r="BS560" s="433"/>
      <c r="BT560" s="433"/>
      <c r="BU560" s="433"/>
    </row>
    <row r="561" spans="1:73" x14ac:dyDescent="0.2">
      <c r="A561" s="433"/>
      <c r="B561" s="437"/>
      <c r="C561" s="437"/>
      <c r="D561" s="437"/>
      <c r="E561" s="437"/>
      <c r="F561" s="437"/>
      <c r="G561" s="437"/>
      <c r="H561" s="437"/>
      <c r="I561" s="437"/>
      <c r="J561" s="437"/>
      <c r="K561" s="437"/>
      <c r="L561" s="437"/>
      <c r="M561" s="437"/>
      <c r="N561" s="437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  <c r="AB561" s="433"/>
      <c r="AC561" s="433"/>
      <c r="AD561" s="433"/>
      <c r="AE561" s="433"/>
      <c r="AF561" s="433"/>
      <c r="AG561" s="433"/>
      <c r="AH561" s="433"/>
      <c r="AI561" s="433"/>
      <c r="AJ561" s="433"/>
      <c r="AK561" s="433"/>
      <c r="AL561" s="433"/>
      <c r="AM561" s="433"/>
      <c r="AN561" s="433"/>
      <c r="AO561" s="433"/>
      <c r="AP561" s="433"/>
      <c r="AQ561" s="433"/>
      <c r="AR561" s="433"/>
      <c r="AS561" s="433"/>
      <c r="AT561" s="433"/>
      <c r="AU561" s="433"/>
      <c r="AV561" s="433"/>
      <c r="AW561" s="433"/>
      <c r="AX561" s="433"/>
      <c r="AY561" s="433"/>
      <c r="AZ561" s="433"/>
      <c r="BA561" s="433"/>
      <c r="BB561" s="433"/>
      <c r="BC561" s="433"/>
      <c r="BD561" s="433"/>
      <c r="BE561" s="433"/>
      <c r="BF561" s="433"/>
      <c r="BG561" s="433"/>
      <c r="BH561" s="433"/>
      <c r="BI561" s="433"/>
      <c r="BJ561" s="433"/>
      <c r="BK561" s="433"/>
      <c r="BL561" s="433"/>
      <c r="BM561" s="433"/>
      <c r="BN561" s="433"/>
      <c r="BO561" s="433"/>
      <c r="BP561" s="433"/>
      <c r="BQ561" s="433"/>
      <c r="BR561" s="433"/>
      <c r="BS561" s="433"/>
      <c r="BT561" s="433"/>
      <c r="BU561" s="433"/>
    </row>
    <row r="562" spans="1:73" x14ac:dyDescent="0.2">
      <c r="A562" s="433"/>
      <c r="B562" s="437"/>
      <c r="C562" s="437"/>
      <c r="D562" s="437"/>
      <c r="E562" s="437"/>
      <c r="F562" s="437"/>
      <c r="G562" s="437"/>
      <c r="H562" s="437"/>
      <c r="I562" s="437"/>
      <c r="J562" s="437"/>
      <c r="K562" s="437"/>
      <c r="L562" s="437"/>
      <c r="M562" s="437"/>
      <c r="N562" s="437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  <c r="AB562" s="433"/>
      <c r="AC562" s="433"/>
      <c r="AD562" s="433"/>
      <c r="AE562" s="433"/>
      <c r="AF562" s="433"/>
      <c r="AG562" s="433"/>
      <c r="AH562" s="433"/>
      <c r="AI562" s="433"/>
      <c r="AJ562" s="433"/>
      <c r="AK562" s="433"/>
      <c r="AL562" s="433"/>
      <c r="AM562" s="433"/>
      <c r="AN562" s="433"/>
      <c r="AO562" s="433"/>
      <c r="AP562" s="433"/>
      <c r="AQ562" s="433"/>
      <c r="AR562" s="433"/>
      <c r="AS562" s="433"/>
      <c r="AT562" s="433"/>
      <c r="AU562" s="433"/>
      <c r="AV562" s="433"/>
      <c r="AW562" s="433"/>
      <c r="AX562" s="433"/>
      <c r="AY562" s="433"/>
      <c r="AZ562" s="433"/>
      <c r="BA562" s="433"/>
      <c r="BB562" s="433"/>
      <c r="BC562" s="433"/>
      <c r="BD562" s="433"/>
      <c r="BE562" s="433"/>
      <c r="BF562" s="433"/>
      <c r="BG562" s="433"/>
      <c r="BH562" s="433"/>
      <c r="BI562" s="433"/>
      <c r="BJ562" s="433"/>
      <c r="BK562" s="433"/>
      <c r="BL562" s="433"/>
      <c r="BM562" s="433"/>
      <c r="BN562" s="433"/>
      <c r="BO562" s="433"/>
      <c r="BP562" s="433"/>
      <c r="BQ562" s="433"/>
      <c r="BR562" s="433"/>
      <c r="BS562" s="433"/>
      <c r="BT562" s="433"/>
      <c r="BU562" s="433"/>
    </row>
    <row r="563" spans="1:73" x14ac:dyDescent="0.2">
      <c r="A563" s="433"/>
      <c r="B563" s="437"/>
      <c r="C563" s="437"/>
      <c r="D563" s="437"/>
      <c r="E563" s="437"/>
      <c r="F563" s="437"/>
      <c r="G563" s="437"/>
      <c r="H563" s="437"/>
      <c r="I563" s="437"/>
      <c r="J563" s="437"/>
      <c r="K563" s="437"/>
      <c r="L563" s="437"/>
      <c r="M563" s="437"/>
      <c r="N563" s="437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  <c r="AB563" s="433"/>
      <c r="AC563" s="433"/>
      <c r="AD563" s="433"/>
      <c r="AE563" s="433"/>
      <c r="AF563" s="433"/>
      <c r="AG563" s="433"/>
      <c r="AH563" s="433"/>
      <c r="AI563" s="433"/>
      <c r="AJ563" s="433"/>
      <c r="AK563" s="433"/>
      <c r="AL563" s="433"/>
      <c r="AM563" s="433"/>
      <c r="AN563" s="433"/>
      <c r="AO563" s="433"/>
      <c r="AP563" s="433"/>
      <c r="AQ563" s="433"/>
      <c r="AR563" s="433"/>
      <c r="AS563" s="433"/>
      <c r="AT563" s="433"/>
      <c r="AU563" s="433"/>
      <c r="AV563" s="433"/>
      <c r="AW563" s="433"/>
      <c r="AX563" s="433"/>
      <c r="AY563" s="433"/>
      <c r="AZ563" s="433"/>
      <c r="BA563" s="433"/>
      <c r="BB563" s="433"/>
      <c r="BC563" s="433"/>
      <c r="BD563" s="433"/>
      <c r="BE563" s="433"/>
      <c r="BF563" s="433"/>
      <c r="BG563" s="433"/>
      <c r="BH563" s="433"/>
      <c r="BI563" s="433"/>
      <c r="BJ563" s="433"/>
      <c r="BK563" s="433"/>
      <c r="BL563" s="433"/>
      <c r="BM563" s="433"/>
      <c r="BN563" s="433"/>
      <c r="BO563" s="433"/>
      <c r="BP563" s="433"/>
      <c r="BQ563" s="433"/>
      <c r="BR563" s="433"/>
      <c r="BS563" s="433"/>
      <c r="BT563" s="433"/>
      <c r="BU563" s="433"/>
    </row>
    <row r="564" spans="1:73" x14ac:dyDescent="0.2">
      <c r="A564" s="433"/>
      <c r="B564" s="437"/>
      <c r="C564" s="437"/>
      <c r="D564" s="437"/>
      <c r="E564" s="437"/>
      <c r="F564" s="437"/>
      <c r="G564" s="437"/>
      <c r="H564" s="437"/>
      <c r="I564" s="437"/>
      <c r="J564" s="437"/>
      <c r="K564" s="437"/>
      <c r="L564" s="437"/>
      <c r="M564" s="437"/>
      <c r="N564" s="437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  <c r="AB564" s="433"/>
      <c r="AC564" s="433"/>
      <c r="AD564" s="433"/>
      <c r="AE564" s="433"/>
      <c r="AF564" s="433"/>
      <c r="AG564" s="433"/>
      <c r="AH564" s="433"/>
      <c r="AI564" s="433"/>
      <c r="AJ564" s="433"/>
      <c r="AK564" s="433"/>
      <c r="AL564" s="433"/>
      <c r="AM564" s="433"/>
      <c r="AN564" s="433"/>
      <c r="AO564" s="433"/>
      <c r="AP564" s="433"/>
      <c r="AQ564" s="433"/>
      <c r="AR564" s="433"/>
      <c r="AS564" s="433"/>
      <c r="AT564" s="433"/>
      <c r="AU564" s="433"/>
      <c r="AV564" s="433"/>
      <c r="AW564" s="433"/>
      <c r="AX564" s="433"/>
      <c r="AY564" s="433"/>
      <c r="AZ564" s="433"/>
      <c r="BA564" s="433"/>
      <c r="BB564" s="433"/>
      <c r="BC564" s="433"/>
      <c r="BD564" s="433"/>
      <c r="BE564" s="433"/>
      <c r="BF564" s="433"/>
      <c r="BG564" s="433"/>
      <c r="BH564" s="433"/>
      <c r="BI564" s="433"/>
      <c r="BJ564" s="433"/>
      <c r="BK564" s="433"/>
      <c r="BL564" s="433"/>
      <c r="BM564" s="433"/>
      <c r="BN564" s="433"/>
      <c r="BO564" s="433"/>
      <c r="BP564" s="433"/>
      <c r="BQ564" s="433"/>
      <c r="BR564" s="433"/>
      <c r="BS564" s="433"/>
      <c r="BT564" s="433"/>
      <c r="BU564" s="433"/>
    </row>
    <row r="565" spans="1:73" x14ac:dyDescent="0.2">
      <c r="A565" s="433"/>
      <c r="B565" s="433"/>
      <c r="C565" s="437"/>
      <c r="D565" s="437"/>
      <c r="E565" s="437"/>
      <c r="F565" s="437"/>
      <c r="G565" s="437"/>
      <c r="H565" s="437"/>
      <c r="I565" s="437"/>
      <c r="J565" s="437"/>
      <c r="K565" s="437"/>
      <c r="L565" s="437"/>
      <c r="M565" s="437"/>
      <c r="N565" s="437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  <c r="AB565" s="433"/>
      <c r="AC565" s="433"/>
      <c r="AD565" s="433"/>
      <c r="AE565" s="433"/>
      <c r="AF565" s="433"/>
      <c r="AG565" s="433"/>
      <c r="AH565" s="433"/>
      <c r="AI565" s="433"/>
      <c r="AJ565" s="433"/>
      <c r="AK565" s="433"/>
      <c r="AL565" s="433"/>
      <c r="AM565" s="433"/>
      <c r="AN565" s="433"/>
      <c r="AO565" s="433"/>
      <c r="AP565" s="433"/>
      <c r="AQ565" s="433"/>
      <c r="AR565" s="433"/>
      <c r="AS565" s="433"/>
      <c r="AT565" s="433"/>
      <c r="AU565" s="433"/>
      <c r="AV565" s="433"/>
      <c r="AW565" s="433"/>
      <c r="AX565" s="433"/>
      <c r="AY565" s="433"/>
      <c r="AZ565" s="433"/>
      <c r="BA565" s="433"/>
      <c r="BB565" s="433"/>
      <c r="BC565" s="433"/>
      <c r="BD565" s="433"/>
      <c r="BE565" s="433"/>
      <c r="BF565" s="433"/>
      <c r="BG565" s="433"/>
      <c r="BH565" s="433"/>
      <c r="BI565" s="433"/>
      <c r="BJ565" s="433"/>
      <c r="BK565" s="433"/>
      <c r="BL565" s="433"/>
      <c r="BM565" s="433"/>
      <c r="BN565" s="433"/>
      <c r="BO565" s="433"/>
      <c r="BP565" s="433"/>
      <c r="BQ565" s="433"/>
      <c r="BR565" s="433"/>
      <c r="BS565" s="433"/>
      <c r="BT565" s="433"/>
      <c r="BU565" s="433"/>
    </row>
    <row r="566" spans="1:73" x14ac:dyDescent="0.2">
      <c r="A566" s="433"/>
      <c r="B566" s="433"/>
      <c r="C566" s="437"/>
      <c r="D566" s="437"/>
      <c r="E566" s="437"/>
      <c r="F566" s="437"/>
      <c r="G566" s="437"/>
      <c r="H566" s="437"/>
      <c r="I566" s="437"/>
      <c r="J566" s="437"/>
      <c r="K566" s="437"/>
      <c r="L566" s="437"/>
      <c r="M566" s="437"/>
      <c r="N566" s="437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  <c r="AB566" s="433"/>
      <c r="AC566" s="433"/>
      <c r="AD566" s="433"/>
      <c r="AE566" s="433"/>
      <c r="AF566" s="433"/>
      <c r="AG566" s="433"/>
      <c r="AH566" s="433"/>
      <c r="AI566" s="433"/>
      <c r="AJ566" s="433"/>
      <c r="AK566" s="433"/>
      <c r="AL566" s="433"/>
      <c r="AM566" s="433"/>
      <c r="AN566" s="433"/>
      <c r="AO566" s="433"/>
      <c r="AP566" s="433"/>
      <c r="AQ566" s="433"/>
      <c r="AR566" s="433"/>
      <c r="AS566" s="433"/>
      <c r="AT566" s="433"/>
      <c r="AU566" s="433"/>
      <c r="AV566" s="433"/>
      <c r="AW566" s="433"/>
      <c r="AX566" s="433"/>
      <c r="AY566" s="433"/>
      <c r="AZ566" s="433"/>
      <c r="BA566" s="433"/>
      <c r="BB566" s="433"/>
      <c r="BC566" s="433"/>
      <c r="BD566" s="433"/>
      <c r="BE566" s="433"/>
      <c r="BF566" s="433"/>
      <c r="BG566" s="433"/>
      <c r="BH566" s="433"/>
      <c r="BI566" s="433"/>
      <c r="BJ566" s="433"/>
      <c r="BK566" s="433"/>
      <c r="BL566" s="433"/>
      <c r="BM566" s="433"/>
      <c r="BN566" s="433"/>
      <c r="BO566" s="433"/>
      <c r="BP566" s="433"/>
      <c r="BQ566" s="433"/>
      <c r="BR566" s="433"/>
      <c r="BS566" s="433"/>
      <c r="BT566" s="433"/>
      <c r="BU566" s="433"/>
    </row>
    <row r="567" spans="1:73" x14ac:dyDescent="0.2">
      <c r="A567" s="433"/>
      <c r="B567" s="433"/>
      <c r="C567" s="437"/>
      <c r="D567" s="437"/>
      <c r="E567" s="437"/>
      <c r="F567" s="437"/>
      <c r="G567" s="437"/>
      <c r="H567" s="437"/>
      <c r="I567" s="437"/>
      <c r="J567" s="437"/>
      <c r="K567" s="437"/>
      <c r="L567" s="437"/>
      <c r="M567" s="437"/>
      <c r="N567" s="437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  <c r="AB567" s="433"/>
      <c r="AC567" s="433"/>
      <c r="AD567" s="433"/>
      <c r="AE567" s="433"/>
      <c r="AF567" s="433"/>
      <c r="AG567" s="433"/>
      <c r="AH567" s="433"/>
      <c r="AI567" s="433"/>
      <c r="AJ567" s="433"/>
      <c r="AK567" s="433"/>
      <c r="AL567" s="433"/>
      <c r="AM567" s="433"/>
      <c r="AN567" s="433"/>
      <c r="AO567" s="433"/>
      <c r="AP567" s="433"/>
      <c r="AQ567" s="433"/>
      <c r="AR567" s="433"/>
      <c r="AS567" s="433"/>
      <c r="AT567" s="433"/>
      <c r="AU567" s="433"/>
      <c r="AV567" s="433"/>
      <c r="AW567" s="433"/>
      <c r="AX567" s="433"/>
      <c r="AY567" s="433"/>
      <c r="AZ567" s="433"/>
      <c r="BA567" s="433"/>
      <c r="BB567" s="433"/>
      <c r="BC567" s="433"/>
      <c r="BD567" s="433"/>
      <c r="BE567" s="433"/>
      <c r="BF567" s="433"/>
      <c r="BG567" s="433"/>
      <c r="BH567" s="433"/>
      <c r="BI567" s="433"/>
      <c r="BJ567" s="433"/>
      <c r="BK567" s="433"/>
      <c r="BL567" s="433"/>
      <c r="BM567" s="433"/>
      <c r="BN567" s="433"/>
      <c r="BO567" s="433"/>
      <c r="BP567" s="433"/>
      <c r="BQ567" s="433"/>
      <c r="BR567" s="433"/>
      <c r="BS567" s="433"/>
      <c r="BT567" s="433"/>
      <c r="BU567" s="433"/>
    </row>
    <row r="568" spans="1:73" x14ac:dyDescent="0.2">
      <c r="A568" s="433"/>
      <c r="B568" s="433"/>
      <c r="C568" s="437"/>
      <c r="D568" s="437"/>
      <c r="E568" s="437"/>
      <c r="F568" s="437"/>
      <c r="G568" s="437"/>
      <c r="H568" s="437"/>
      <c r="I568" s="437"/>
      <c r="J568" s="437"/>
      <c r="K568" s="437"/>
      <c r="L568" s="437"/>
      <c r="M568" s="437"/>
      <c r="N568" s="437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  <c r="AB568" s="433"/>
      <c r="AC568" s="433"/>
      <c r="AD568" s="433"/>
      <c r="AE568" s="433"/>
      <c r="AF568" s="433"/>
      <c r="AG568" s="433"/>
      <c r="AH568" s="433"/>
      <c r="AI568" s="433"/>
      <c r="AJ568" s="433"/>
      <c r="AK568" s="433"/>
      <c r="AL568" s="433"/>
      <c r="AM568" s="433"/>
      <c r="AN568" s="433"/>
      <c r="AO568" s="433"/>
      <c r="AP568" s="433"/>
      <c r="AQ568" s="433"/>
      <c r="AR568" s="433"/>
      <c r="AS568" s="433"/>
      <c r="AT568" s="433"/>
      <c r="AU568" s="433"/>
      <c r="AV568" s="433"/>
      <c r="AW568" s="433"/>
      <c r="AX568" s="433"/>
      <c r="AY568" s="433"/>
      <c r="AZ568" s="433"/>
      <c r="BA568" s="433"/>
      <c r="BB568" s="433"/>
      <c r="BC568" s="433"/>
      <c r="BD568" s="433"/>
      <c r="BE568" s="433"/>
      <c r="BF568" s="433"/>
      <c r="BG568" s="433"/>
      <c r="BH568" s="433"/>
      <c r="BI568" s="433"/>
      <c r="BJ568" s="433"/>
      <c r="BK568" s="433"/>
      <c r="BL568" s="433"/>
      <c r="BM568" s="433"/>
      <c r="BN568" s="433"/>
      <c r="BO568" s="433"/>
      <c r="BP568" s="433"/>
      <c r="BQ568" s="433"/>
      <c r="BR568" s="433"/>
      <c r="BS568" s="433"/>
      <c r="BT568" s="433"/>
      <c r="BU568" s="433"/>
    </row>
    <row r="569" spans="1:73" x14ac:dyDescent="0.2">
      <c r="A569" s="433"/>
      <c r="B569" s="433"/>
      <c r="C569" s="437"/>
      <c r="D569" s="437"/>
      <c r="E569" s="437"/>
      <c r="F569" s="437"/>
      <c r="G569" s="437"/>
      <c r="H569" s="437"/>
      <c r="I569" s="437"/>
      <c r="J569" s="437"/>
      <c r="K569" s="437"/>
      <c r="L569" s="437"/>
      <c r="M569" s="437"/>
      <c r="N569" s="437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  <c r="AB569" s="433"/>
      <c r="AC569" s="433"/>
      <c r="AD569" s="433"/>
      <c r="AE569" s="433"/>
      <c r="AF569" s="433"/>
      <c r="AG569" s="433"/>
      <c r="AH569" s="433"/>
      <c r="AI569" s="433"/>
      <c r="AJ569" s="433"/>
      <c r="AK569" s="433"/>
      <c r="AL569" s="433"/>
      <c r="AM569" s="433"/>
      <c r="AN569" s="433"/>
      <c r="AO569" s="433"/>
      <c r="AP569" s="433"/>
      <c r="AQ569" s="433"/>
      <c r="AR569" s="433"/>
      <c r="AS569" s="433"/>
      <c r="AT569" s="433"/>
      <c r="AU569" s="433"/>
      <c r="AV569" s="433"/>
      <c r="AW569" s="433"/>
      <c r="AX569" s="433"/>
      <c r="AY569" s="433"/>
      <c r="AZ569" s="433"/>
      <c r="BA569" s="433"/>
      <c r="BB569" s="433"/>
      <c r="BC569" s="433"/>
      <c r="BD569" s="433"/>
      <c r="BE569" s="433"/>
      <c r="BF569" s="433"/>
      <c r="BG569" s="433"/>
      <c r="BH569" s="433"/>
      <c r="BI569" s="433"/>
      <c r="BJ569" s="433"/>
      <c r="BK569" s="433"/>
      <c r="BL569" s="433"/>
      <c r="BM569" s="433"/>
      <c r="BN569" s="433"/>
      <c r="BO569" s="433"/>
      <c r="BP569" s="433"/>
      <c r="BQ569" s="433"/>
      <c r="BR569" s="433"/>
      <c r="BS569" s="433"/>
      <c r="BT569" s="433"/>
      <c r="BU569" s="433"/>
    </row>
    <row r="570" spans="1:73" x14ac:dyDescent="0.2">
      <c r="A570" s="433"/>
      <c r="B570" s="433"/>
      <c r="C570" s="437"/>
      <c r="D570" s="437"/>
      <c r="E570" s="437"/>
      <c r="F570" s="437"/>
      <c r="G570" s="437"/>
      <c r="H570" s="437"/>
      <c r="I570" s="437"/>
      <c r="J570" s="437"/>
      <c r="K570" s="437"/>
      <c r="L570" s="437"/>
      <c r="M570" s="437"/>
      <c r="N570" s="437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  <c r="AB570" s="433"/>
      <c r="AC570" s="433"/>
      <c r="AD570" s="433"/>
      <c r="AE570" s="433"/>
      <c r="AF570" s="433"/>
      <c r="AG570" s="433"/>
      <c r="AH570" s="433"/>
      <c r="AI570" s="433"/>
      <c r="AJ570" s="433"/>
      <c r="AK570" s="433"/>
      <c r="AL570" s="433"/>
      <c r="AM570" s="433"/>
      <c r="AN570" s="433"/>
      <c r="AO570" s="433"/>
      <c r="AP570" s="433"/>
      <c r="AQ570" s="433"/>
      <c r="AR570" s="433"/>
      <c r="AS570" s="433"/>
      <c r="AT570" s="433"/>
      <c r="AU570" s="433"/>
      <c r="AV570" s="433"/>
      <c r="AW570" s="433"/>
      <c r="AX570" s="433"/>
      <c r="AY570" s="433"/>
      <c r="AZ570" s="433"/>
      <c r="BA570" s="433"/>
      <c r="BB570" s="433"/>
      <c r="BC570" s="433"/>
      <c r="BD570" s="433"/>
      <c r="BE570" s="433"/>
      <c r="BF570" s="433"/>
      <c r="BG570" s="433"/>
      <c r="BH570" s="433"/>
      <c r="BI570" s="433"/>
      <c r="BJ570" s="433"/>
      <c r="BK570" s="433"/>
      <c r="BL570" s="433"/>
      <c r="BM570" s="433"/>
      <c r="BN570" s="433"/>
      <c r="BO570" s="433"/>
      <c r="BP570" s="433"/>
      <c r="BQ570" s="433"/>
      <c r="BR570" s="433"/>
      <c r="BS570" s="433"/>
      <c r="BT570" s="433"/>
      <c r="BU570" s="433"/>
    </row>
    <row r="571" spans="1:73" x14ac:dyDescent="0.2">
      <c r="A571" s="433"/>
      <c r="B571" s="433"/>
      <c r="C571" s="437"/>
      <c r="D571" s="437"/>
      <c r="E571" s="437"/>
      <c r="F571" s="437"/>
      <c r="G571" s="437"/>
      <c r="H571" s="437"/>
      <c r="I571" s="437"/>
      <c r="J571" s="437"/>
      <c r="K571" s="437"/>
      <c r="L571" s="437"/>
      <c r="M571" s="437"/>
      <c r="N571" s="437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  <c r="AB571" s="433"/>
      <c r="AC571" s="433"/>
      <c r="AD571" s="433"/>
      <c r="AE571" s="433"/>
      <c r="AF571" s="433"/>
      <c r="AG571" s="433"/>
      <c r="AH571" s="433"/>
      <c r="AI571" s="433"/>
      <c r="AJ571" s="433"/>
      <c r="AK571" s="433"/>
      <c r="AL571" s="433"/>
      <c r="AM571" s="433"/>
      <c r="AN571" s="433"/>
      <c r="AO571" s="433"/>
      <c r="AP571" s="433"/>
      <c r="AQ571" s="433"/>
      <c r="AR571" s="433"/>
      <c r="AS571" s="433"/>
      <c r="AT571" s="433"/>
      <c r="AU571" s="433"/>
      <c r="AV571" s="433"/>
      <c r="AW571" s="433"/>
      <c r="AX571" s="433"/>
      <c r="AY571" s="433"/>
      <c r="AZ571" s="433"/>
      <c r="BA571" s="433"/>
      <c r="BB571" s="433"/>
      <c r="BC571" s="433"/>
      <c r="BD571" s="433"/>
      <c r="BE571" s="433"/>
      <c r="BF571" s="433"/>
      <c r="BG571" s="433"/>
      <c r="BH571" s="433"/>
      <c r="BI571" s="433"/>
      <c r="BJ571" s="433"/>
      <c r="BK571" s="433"/>
      <c r="BL571" s="433"/>
      <c r="BM571" s="433"/>
      <c r="BN571" s="433"/>
      <c r="BO571" s="433"/>
      <c r="BP571" s="433"/>
      <c r="BQ571" s="433"/>
      <c r="BR571" s="433"/>
      <c r="BS571" s="433"/>
      <c r="BT571" s="433"/>
      <c r="BU571" s="433"/>
    </row>
    <row r="572" spans="1:73" x14ac:dyDescent="0.2">
      <c r="A572" s="433"/>
      <c r="B572" s="433"/>
      <c r="C572" s="437"/>
      <c r="D572" s="437"/>
      <c r="E572" s="437"/>
      <c r="F572" s="437"/>
      <c r="G572" s="437"/>
      <c r="H572" s="437"/>
      <c r="I572" s="437"/>
      <c r="J572" s="437"/>
      <c r="K572" s="437"/>
      <c r="L572" s="437"/>
      <c r="M572" s="437"/>
      <c r="N572" s="437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  <c r="AB572" s="433"/>
      <c r="AC572" s="433"/>
      <c r="AD572" s="433"/>
      <c r="AE572" s="433"/>
      <c r="AF572" s="433"/>
      <c r="AG572" s="433"/>
      <c r="AH572" s="433"/>
      <c r="AI572" s="433"/>
      <c r="AJ572" s="433"/>
      <c r="AK572" s="433"/>
      <c r="AL572" s="433"/>
      <c r="AM572" s="433"/>
      <c r="AN572" s="433"/>
      <c r="AO572" s="433"/>
      <c r="AP572" s="433"/>
      <c r="AQ572" s="433"/>
      <c r="AR572" s="433"/>
      <c r="AS572" s="433"/>
      <c r="AT572" s="433"/>
      <c r="AU572" s="433"/>
      <c r="AV572" s="433"/>
      <c r="AW572" s="433"/>
      <c r="AX572" s="433"/>
      <c r="AY572" s="433"/>
      <c r="AZ572" s="433"/>
      <c r="BA572" s="433"/>
      <c r="BB572" s="433"/>
      <c r="BC572" s="433"/>
      <c r="BD572" s="433"/>
      <c r="BE572" s="433"/>
      <c r="BF572" s="433"/>
      <c r="BG572" s="433"/>
      <c r="BH572" s="433"/>
      <c r="BI572" s="433"/>
      <c r="BJ572" s="433"/>
      <c r="BK572" s="433"/>
      <c r="BL572" s="433"/>
      <c r="BM572" s="433"/>
      <c r="BN572" s="433"/>
      <c r="BO572" s="433"/>
      <c r="BP572" s="433"/>
      <c r="BQ572" s="433"/>
      <c r="BR572" s="433"/>
      <c r="BS572" s="433"/>
      <c r="BT572" s="433"/>
      <c r="BU572" s="433"/>
    </row>
    <row r="573" spans="1:73" x14ac:dyDescent="0.2">
      <c r="A573" s="433"/>
      <c r="B573" s="433"/>
      <c r="C573" s="437"/>
      <c r="D573" s="437"/>
      <c r="E573" s="437"/>
      <c r="F573" s="437"/>
      <c r="G573" s="437"/>
      <c r="H573" s="437"/>
      <c r="I573" s="437"/>
      <c r="J573" s="437"/>
      <c r="K573" s="437"/>
      <c r="L573" s="437"/>
      <c r="M573" s="437"/>
      <c r="N573" s="437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  <c r="AB573" s="433"/>
      <c r="AC573" s="433"/>
      <c r="AD573" s="433"/>
      <c r="AE573" s="433"/>
      <c r="AF573" s="433"/>
      <c r="AG573" s="433"/>
      <c r="AH573" s="433"/>
      <c r="AI573" s="433"/>
      <c r="AJ573" s="433"/>
      <c r="AK573" s="433"/>
      <c r="AL573" s="433"/>
      <c r="AM573" s="433"/>
      <c r="AN573" s="433"/>
      <c r="AO573" s="433"/>
      <c r="AP573" s="433"/>
      <c r="AQ573" s="433"/>
      <c r="AR573" s="433"/>
      <c r="AS573" s="433"/>
      <c r="AT573" s="433"/>
      <c r="AU573" s="433"/>
      <c r="AV573" s="433"/>
      <c r="AW573" s="433"/>
      <c r="AX573" s="433"/>
      <c r="AY573" s="433"/>
      <c r="AZ573" s="433"/>
      <c r="BA573" s="433"/>
      <c r="BB573" s="433"/>
      <c r="BC573" s="433"/>
      <c r="BD573" s="433"/>
      <c r="BE573" s="433"/>
      <c r="BF573" s="433"/>
      <c r="BG573" s="433"/>
      <c r="BH573" s="433"/>
      <c r="BI573" s="433"/>
      <c r="BJ573" s="433"/>
      <c r="BK573" s="433"/>
      <c r="BL573" s="433"/>
      <c r="BM573" s="433"/>
      <c r="BN573" s="433"/>
      <c r="BO573" s="433"/>
      <c r="BP573" s="433"/>
      <c r="BQ573" s="433"/>
      <c r="BR573" s="433"/>
      <c r="BS573" s="433"/>
      <c r="BT573" s="433"/>
      <c r="BU573" s="433"/>
    </row>
    <row r="574" spans="1:73" x14ac:dyDescent="0.2">
      <c r="A574" s="433"/>
      <c r="B574" s="433"/>
      <c r="C574" s="437"/>
      <c r="D574" s="437"/>
      <c r="E574" s="437"/>
      <c r="F574" s="437"/>
      <c r="G574" s="437"/>
      <c r="H574" s="437"/>
      <c r="I574" s="437"/>
      <c r="J574" s="437"/>
      <c r="K574" s="437"/>
      <c r="L574" s="437"/>
      <c r="M574" s="437"/>
      <c r="N574" s="437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  <c r="AB574" s="433"/>
      <c r="AC574" s="433"/>
      <c r="AD574" s="433"/>
      <c r="AE574" s="433"/>
      <c r="AF574" s="433"/>
      <c r="AG574" s="433"/>
      <c r="AH574" s="433"/>
      <c r="AI574" s="433"/>
      <c r="AJ574" s="433"/>
      <c r="AK574" s="433"/>
      <c r="AL574" s="433"/>
      <c r="AM574" s="433"/>
      <c r="AN574" s="433"/>
      <c r="AO574" s="433"/>
      <c r="AP574" s="433"/>
      <c r="AQ574" s="433"/>
      <c r="AR574" s="433"/>
      <c r="AS574" s="433"/>
      <c r="AT574" s="433"/>
      <c r="AU574" s="433"/>
      <c r="AV574" s="433"/>
      <c r="AW574" s="433"/>
      <c r="AX574" s="433"/>
      <c r="AY574" s="433"/>
      <c r="AZ574" s="433"/>
      <c r="BA574" s="433"/>
      <c r="BB574" s="433"/>
      <c r="BC574" s="433"/>
      <c r="BD574" s="433"/>
      <c r="BE574" s="433"/>
      <c r="BF574" s="433"/>
      <c r="BG574" s="433"/>
      <c r="BH574" s="433"/>
      <c r="BI574" s="433"/>
      <c r="BJ574" s="433"/>
      <c r="BK574" s="433"/>
      <c r="BL574" s="433"/>
      <c r="BM574" s="433"/>
      <c r="BN574" s="433"/>
      <c r="BO574" s="433"/>
      <c r="BP574" s="433"/>
      <c r="BQ574" s="433"/>
      <c r="BR574" s="433"/>
      <c r="BS574" s="433"/>
      <c r="BT574" s="433"/>
      <c r="BU574" s="433"/>
    </row>
    <row r="575" spans="1:73" x14ac:dyDescent="0.2">
      <c r="A575" s="433"/>
      <c r="B575" s="433"/>
      <c r="C575" s="437"/>
      <c r="D575" s="437"/>
      <c r="E575" s="437"/>
      <c r="F575" s="437"/>
      <c r="G575" s="437"/>
      <c r="H575" s="437"/>
      <c r="I575" s="437"/>
      <c r="J575" s="437"/>
      <c r="K575" s="437"/>
      <c r="L575" s="437"/>
      <c r="M575" s="437"/>
      <c r="N575" s="437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  <c r="AB575" s="433"/>
      <c r="AC575" s="433"/>
      <c r="AD575" s="433"/>
      <c r="AE575" s="433"/>
      <c r="AF575" s="433"/>
      <c r="AG575" s="433"/>
      <c r="AH575" s="433"/>
      <c r="AI575" s="433"/>
      <c r="AJ575" s="433"/>
      <c r="AK575" s="433"/>
      <c r="AL575" s="433"/>
      <c r="AM575" s="433"/>
      <c r="AN575" s="433"/>
      <c r="AO575" s="433"/>
      <c r="AP575" s="433"/>
      <c r="AQ575" s="433"/>
      <c r="AR575" s="433"/>
      <c r="AS575" s="433"/>
      <c r="AT575" s="433"/>
      <c r="AU575" s="433"/>
      <c r="AV575" s="433"/>
      <c r="AW575" s="433"/>
      <c r="AX575" s="433"/>
      <c r="AY575" s="433"/>
      <c r="AZ575" s="433"/>
      <c r="BA575" s="433"/>
      <c r="BB575" s="433"/>
      <c r="BC575" s="433"/>
      <c r="BD575" s="433"/>
      <c r="BE575" s="433"/>
      <c r="BF575" s="433"/>
      <c r="BG575" s="433"/>
      <c r="BH575" s="433"/>
      <c r="BI575" s="433"/>
      <c r="BJ575" s="433"/>
      <c r="BK575" s="433"/>
      <c r="BL575" s="433"/>
      <c r="BM575" s="433"/>
      <c r="BN575" s="433"/>
      <c r="BO575" s="433"/>
      <c r="BP575" s="433"/>
      <c r="BQ575" s="433"/>
      <c r="BR575" s="433"/>
      <c r="BS575" s="433"/>
      <c r="BT575" s="433"/>
      <c r="BU575" s="433"/>
    </row>
    <row r="576" spans="1:73" x14ac:dyDescent="0.2">
      <c r="A576" s="433"/>
      <c r="B576" s="433"/>
      <c r="C576" s="437"/>
      <c r="D576" s="437"/>
      <c r="E576" s="437"/>
      <c r="F576" s="437"/>
      <c r="G576" s="437"/>
      <c r="H576" s="437"/>
      <c r="I576" s="437"/>
      <c r="J576" s="437"/>
      <c r="K576" s="437"/>
      <c r="L576" s="437"/>
      <c r="M576" s="437"/>
      <c r="N576" s="437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  <c r="AB576" s="433"/>
      <c r="AC576" s="433"/>
      <c r="AD576" s="433"/>
      <c r="AE576" s="433"/>
      <c r="AF576" s="433"/>
      <c r="AG576" s="433"/>
      <c r="AH576" s="433"/>
      <c r="AI576" s="433"/>
      <c r="AJ576" s="433"/>
      <c r="AK576" s="433"/>
      <c r="AL576" s="433"/>
      <c r="AM576" s="433"/>
      <c r="AN576" s="433"/>
      <c r="AO576" s="433"/>
      <c r="AP576" s="433"/>
      <c r="AQ576" s="433"/>
      <c r="AR576" s="433"/>
      <c r="AS576" s="433"/>
      <c r="AT576" s="433"/>
      <c r="AU576" s="433"/>
      <c r="AV576" s="433"/>
      <c r="AW576" s="433"/>
      <c r="AX576" s="433"/>
      <c r="AY576" s="433"/>
      <c r="AZ576" s="433"/>
      <c r="BA576" s="433"/>
      <c r="BB576" s="433"/>
      <c r="BC576" s="433"/>
      <c r="BD576" s="433"/>
      <c r="BE576" s="433"/>
      <c r="BF576" s="433"/>
      <c r="BG576" s="433"/>
      <c r="BH576" s="433"/>
      <c r="BI576" s="433"/>
      <c r="BJ576" s="433"/>
      <c r="BK576" s="433"/>
      <c r="BL576" s="433"/>
      <c r="BM576" s="433"/>
      <c r="BN576" s="433"/>
      <c r="BO576" s="433"/>
      <c r="BP576" s="433"/>
      <c r="BQ576" s="433"/>
      <c r="BR576" s="433"/>
      <c r="BS576" s="433"/>
      <c r="BT576" s="433"/>
      <c r="BU576" s="433"/>
    </row>
    <row r="577" spans="1:73" x14ac:dyDescent="0.2">
      <c r="A577" s="433"/>
      <c r="B577" s="433"/>
      <c r="C577" s="437"/>
      <c r="D577" s="437"/>
      <c r="E577" s="437"/>
      <c r="F577" s="437"/>
      <c r="G577" s="437"/>
      <c r="H577" s="437"/>
      <c r="I577" s="437"/>
      <c r="J577" s="437"/>
      <c r="K577" s="437"/>
      <c r="L577" s="437"/>
      <c r="M577" s="437"/>
      <c r="N577" s="437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  <c r="AB577" s="433"/>
      <c r="AC577" s="433"/>
      <c r="AD577" s="433"/>
      <c r="AE577" s="433"/>
      <c r="AF577" s="433"/>
      <c r="AG577" s="433"/>
      <c r="AH577" s="433"/>
      <c r="AI577" s="433"/>
      <c r="AJ577" s="433"/>
      <c r="AK577" s="433"/>
      <c r="AL577" s="433"/>
      <c r="AM577" s="433"/>
      <c r="AN577" s="433"/>
      <c r="AO577" s="433"/>
      <c r="AP577" s="433"/>
      <c r="AQ577" s="433"/>
      <c r="AR577" s="433"/>
      <c r="AS577" s="433"/>
      <c r="AT577" s="433"/>
      <c r="AU577" s="433"/>
      <c r="AV577" s="433"/>
      <c r="AW577" s="433"/>
      <c r="AX577" s="433"/>
      <c r="AY577" s="433"/>
      <c r="AZ577" s="433"/>
      <c r="BA577" s="433"/>
      <c r="BB577" s="433"/>
      <c r="BC577" s="433"/>
      <c r="BD577" s="433"/>
      <c r="BE577" s="433"/>
      <c r="BF577" s="433"/>
      <c r="BG577" s="433"/>
      <c r="BH577" s="433"/>
      <c r="BI577" s="433"/>
      <c r="BJ577" s="433"/>
      <c r="BK577" s="433"/>
      <c r="BL577" s="433"/>
      <c r="BM577" s="433"/>
      <c r="BN577" s="433"/>
      <c r="BO577" s="433"/>
      <c r="BP577" s="433"/>
      <c r="BQ577" s="433"/>
      <c r="BR577" s="433"/>
      <c r="BS577" s="433"/>
      <c r="BT577" s="433"/>
      <c r="BU577" s="433"/>
    </row>
    <row r="578" spans="1:73" x14ac:dyDescent="0.2">
      <c r="A578" s="433"/>
      <c r="B578" s="433"/>
      <c r="C578" s="437"/>
      <c r="D578" s="437"/>
      <c r="E578" s="437"/>
      <c r="F578" s="437"/>
      <c r="G578" s="437"/>
      <c r="H578" s="437"/>
      <c r="I578" s="437"/>
      <c r="J578" s="437"/>
      <c r="K578" s="437"/>
      <c r="L578" s="437"/>
      <c r="M578" s="437"/>
      <c r="N578" s="437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  <c r="AB578" s="433"/>
      <c r="AC578" s="433"/>
      <c r="AD578" s="433"/>
      <c r="AE578" s="433"/>
      <c r="AF578" s="433"/>
      <c r="AG578" s="433"/>
      <c r="AH578" s="433"/>
      <c r="AI578" s="433"/>
      <c r="AJ578" s="433"/>
      <c r="AK578" s="433"/>
      <c r="AL578" s="433"/>
      <c r="AM578" s="433"/>
      <c r="AN578" s="433"/>
      <c r="AO578" s="433"/>
      <c r="AP578" s="433"/>
      <c r="AQ578" s="433"/>
      <c r="AR578" s="433"/>
      <c r="AS578" s="433"/>
      <c r="AT578" s="433"/>
      <c r="AU578" s="433"/>
      <c r="AV578" s="433"/>
      <c r="AW578" s="433"/>
      <c r="AX578" s="433"/>
      <c r="AY578" s="433"/>
      <c r="AZ578" s="433"/>
      <c r="BA578" s="433"/>
      <c r="BB578" s="433"/>
      <c r="BC578" s="433"/>
      <c r="BD578" s="433"/>
      <c r="BE578" s="433"/>
      <c r="BF578" s="433"/>
      <c r="BG578" s="433"/>
      <c r="BH578" s="433"/>
      <c r="BI578" s="433"/>
      <c r="BJ578" s="433"/>
      <c r="BK578" s="433"/>
      <c r="BL578" s="433"/>
      <c r="BM578" s="433"/>
      <c r="BN578" s="433"/>
      <c r="BO578" s="433"/>
      <c r="BP578" s="433"/>
      <c r="BQ578" s="433"/>
      <c r="BR578" s="433"/>
      <c r="BS578" s="433"/>
      <c r="BT578" s="433"/>
      <c r="BU578" s="433"/>
    </row>
    <row r="579" spans="1:73" x14ac:dyDescent="0.2">
      <c r="A579" s="433"/>
      <c r="B579" s="433"/>
      <c r="C579" s="437"/>
      <c r="D579" s="437"/>
      <c r="E579" s="437"/>
      <c r="F579" s="437"/>
      <c r="G579" s="437"/>
      <c r="H579" s="437"/>
      <c r="I579" s="437"/>
      <c r="J579" s="437"/>
      <c r="K579" s="437"/>
      <c r="L579" s="437"/>
      <c r="M579" s="437"/>
      <c r="N579" s="437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  <c r="AB579" s="433"/>
      <c r="AC579" s="433"/>
      <c r="AD579" s="433"/>
      <c r="AE579" s="433"/>
      <c r="AF579" s="433"/>
      <c r="AG579" s="433"/>
      <c r="AH579" s="433"/>
      <c r="AI579" s="433"/>
      <c r="AJ579" s="433"/>
      <c r="AK579" s="433"/>
      <c r="AL579" s="433"/>
      <c r="AM579" s="433"/>
      <c r="AN579" s="433"/>
      <c r="AO579" s="433"/>
      <c r="AP579" s="433"/>
      <c r="AQ579" s="433"/>
      <c r="AR579" s="433"/>
      <c r="AS579" s="433"/>
      <c r="AT579" s="433"/>
      <c r="AU579" s="433"/>
      <c r="AV579" s="433"/>
      <c r="AW579" s="433"/>
      <c r="AX579" s="433"/>
      <c r="AY579" s="433"/>
      <c r="AZ579" s="433"/>
      <c r="BA579" s="433"/>
      <c r="BB579" s="433"/>
      <c r="BC579" s="433"/>
      <c r="BD579" s="433"/>
      <c r="BE579" s="433"/>
      <c r="BF579" s="433"/>
      <c r="BG579" s="433"/>
      <c r="BH579" s="433"/>
      <c r="BI579" s="433"/>
      <c r="BJ579" s="433"/>
      <c r="BK579" s="433"/>
      <c r="BL579" s="433"/>
      <c r="BM579" s="433"/>
      <c r="BN579" s="433"/>
      <c r="BO579" s="433"/>
      <c r="BP579" s="433"/>
      <c r="BQ579" s="433"/>
      <c r="BR579" s="433"/>
      <c r="BS579" s="433"/>
      <c r="BT579" s="433"/>
      <c r="BU579" s="433"/>
    </row>
    <row r="580" spans="1:73" x14ac:dyDescent="0.2">
      <c r="A580" s="433"/>
      <c r="B580" s="433"/>
      <c r="C580" s="437"/>
      <c r="D580" s="437"/>
      <c r="E580" s="437"/>
      <c r="F580" s="437"/>
      <c r="G580" s="437"/>
      <c r="H580" s="437"/>
      <c r="I580" s="437"/>
      <c r="J580" s="437"/>
      <c r="K580" s="437"/>
      <c r="L580" s="437"/>
      <c r="M580" s="437"/>
      <c r="N580" s="437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  <c r="AB580" s="433"/>
      <c r="AC580" s="433"/>
      <c r="AD580" s="433"/>
      <c r="AE580" s="433"/>
      <c r="AF580" s="433"/>
      <c r="AG580" s="433"/>
      <c r="AH580" s="433"/>
      <c r="AI580" s="433"/>
      <c r="AJ580" s="433"/>
      <c r="AK580" s="433"/>
      <c r="AL580" s="433"/>
      <c r="AM580" s="433"/>
      <c r="AN580" s="433"/>
      <c r="AO580" s="433"/>
      <c r="AP580" s="433"/>
      <c r="AQ580" s="433"/>
      <c r="AR580" s="433"/>
      <c r="AS580" s="433"/>
      <c r="AT580" s="433"/>
      <c r="AU580" s="433"/>
      <c r="AV580" s="433"/>
      <c r="AW580" s="433"/>
      <c r="AX580" s="433"/>
      <c r="AY580" s="433"/>
      <c r="AZ580" s="433"/>
      <c r="BA580" s="433"/>
      <c r="BB580" s="433"/>
      <c r="BC580" s="433"/>
      <c r="BD580" s="433"/>
      <c r="BE580" s="433"/>
      <c r="BF580" s="433"/>
      <c r="BG580" s="433"/>
      <c r="BH580" s="433"/>
      <c r="BI580" s="433"/>
      <c r="BJ580" s="433"/>
      <c r="BK580" s="433"/>
      <c r="BL580" s="433"/>
      <c r="BM580" s="433"/>
      <c r="BN580" s="433"/>
      <c r="BO580" s="433"/>
      <c r="BP580" s="433"/>
      <c r="BQ580" s="433"/>
      <c r="BR580" s="433"/>
      <c r="BS580" s="433"/>
      <c r="BT580" s="433"/>
      <c r="BU580" s="433"/>
    </row>
    <row r="581" spans="1:73" x14ac:dyDescent="0.2">
      <c r="A581" s="433"/>
      <c r="B581" s="433"/>
      <c r="C581" s="437"/>
      <c r="D581" s="437"/>
      <c r="E581" s="437"/>
      <c r="F581" s="437"/>
      <c r="G581" s="437"/>
      <c r="H581" s="437"/>
      <c r="I581" s="437"/>
      <c r="J581" s="437"/>
      <c r="K581" s="437"/>
      <c r="L581" s="437"/>
      <c r="M581" s="437"/>
      <c r="N581" s="437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  <c r="AB581" s="433"/>
      <c r="AC581" s="433"/>
      <c r="AD581" s="433"/>
      <c r="AE581" s="433"/>
      <c r="AF581" s="433"/>
      <c r="AG581" s="433"/>
      <c r="AH581" s="433"/>
      <c r="AI581" s="433"/>
      <c r="AJ581" s="433"/>
      <c r="AK581" s="433"/>
      <c r="AL581" s="433"/>
      <c r="AM581" s="433"/>
      <c r="AN581" s="433"/>
      <c r="AO581" s="433"/>
      <c r="AP581" s="433"/>
      <c r="AQ581" s="433"/>
      <c r="AR581" s="433"/>
      <c r="AS581" s="433"/>
      <c r="AT581" s="433"/>
      <c r="AU581" s="433"/>
      <c r="AV581" s="433"/>
      <c r="AW581" s="433"/>
      <c r="AX581" s="433"/>
      <c r="AY581" s="433"/>
      <c r="AZ581" s="433"/>
      <c r="BA581" s="433"/>
      <c r="BB581" s="433"/>
      <c r="BC581" s="433"/>
      <c r="BD581" s="433"/>
      <c r="BE581" s="433"/>
      <c r="BF581" s="433"/>
      <c r="BG581" s="433"/>
      <c r="BH581" s="433"/>
      <c r="BI581" s="433"/>
      <c r="BJ581" s="433"/>
      <c r="BK581" s="433"/>
      <c r="BL581" s="433"/>
      <c r="BM581" s="433"/>
      <c r="BN581" s="433"/>
      <c r="BO581" s="433"/>
      <c r="BP581" s="433"/>
      <c r="BQ581" s="433"/>
      <c r="BR581" s="433"/>
      <c r="BS581" s="433"/>
      <c r="BT581" s="433"/>
      <c r="BU581" s="433"/>
    </row>
    <row r="582" spans="1:73" x14ac:dyDescent="0.2">
      <c r="A582" s="433"/>
      <c r="B582" s="433"/>
      <c r="C582" s="437"/>
      <c r="D582" s="437"/>
      <c r="E582" s="437"/>
      <c r="F582" s="437"/>
      <c r="G582" s="437"/>
      <c r="H582" s="437"/>
      <c r="I582" s="437"/>
      <c r="J582" s="437"/>
      <c r="K582" s="437"/>
      <c r="L582" s="437"/>
      <c r="M582" s="437"/>
      <c r="N582" s="437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  <c r="AB582" s="433"/>
      <c r="AC582" s="433"/>
      <c r="AD582" s="433"/>
      <c r="AE582" s="433"/>
      <c r="AF582" s="433"/>
      <c r="AG582" s="433"/>
      <c r="AH582" s="433"/>
      <c r="AI582" s="433"/>
      <c r="AJ582" s="433"/>
      <c r="AK582" s="433"/>
      <c r="AL582" s="433"/>
      <c r="AM582" s="433"/>
      <c r="AN582" s="433"/>
      <c r="AO582" s="433"/>
      <c r="AP582" s="433"/>
      <c r="AQ582" s="433"/>
      <c r="AR582" s="433"/>
      <c r="AS582" s="433"/>
      <c r="AT582" s="433"/>
      <c r="AU582" s="433"/>
      <c r="AV582" s="433"/>
      <c r="AW582" s="433"/>
      <c r="AX582" s="433"/>
      <c r="AY582" s="433"/>
      <c r="AZ582" s="433"/>
      <c r="BA582" s="433"/>
      <c r="BB582" s="433"/>
      <c r="BC582" s="433"/>
      <c r="BD582" s="433"/>
      <c r="BE582" s="433"/>
      <c r="BF582" s="433"/>
      <c r="BG582" s="433"/>
      <c r="BH582" s="433"/>
      <c r="BI582" s="433"/>
      <c r="BJ582" s="433"/>
      <c r="BK582" s="433"/>
      <c r="BL582" s="433"/>
      <c r="BM582" s="433"/>
      <c r="BN582" s="433"/>
      <c r="BO582" s="433"/>
      <c r="BP582" s="433"/>
      <c r="BQ582" s="433"/>
      <c r="BR582" s="433"/>
      <c r="BS582" s="433"/>
      <c r="BT582" s="433"/>
      <c r="BU582" s="433"/>
    </row>
    <row r="583" spans="1:73" x14ac:dyDescent="0.2">
      <c r="A583" s="433"/>
      <c r="B583" s="433"/>
      <c r="C583" s="437"/>
      <c r="D583" s="437"/>
      <c r="E583" s="437"/>
      <c r="F583" s="437"/>
      <c r="G583" s="437"/>
      <c r="H583" s="437"/>
      <c r="I583" s="437"/>
      <c r="J583" s="437"/>
      <c r="K583" s="437"/>
      <c r="L583" s="437"/>
      <c r="M583" s="437"/>
      <c r="N583" s="437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  <c r="AB583" s="433"/>
      <c r="AC583" s="433"/>
      <c r="AD583" s="433"/>
      <c r="AE583" s="433"/>
      <c r="AF583" s="433"/>
      <c r="AG583" s="433"/>
      <c r="AH583" s="433"/>
      <c r="AI583" s="433"/>
      <c r="AJ583" s="433"/>
      <c r="AK583" s="433"/>
      <c r="AL583" s="433"/>
      <c r="AM583" s="433"/>
      <c r="AN583" s="433"/>
      <c r="AO583" s="433"/>
      <c r="AP583" s="433"/>
      <c r="AQ583" s="433"/>
      <c r="AR583" s="433"/>
      <c r="AS583" s="433"/>
      <c r="AT583" s="433"/>
      <c r="AU583" s="433"/>
      <c r="AV583" s="433"/>
      <c r="AW583" s="433"/>
      <c r="AX583" s="433"/>
      <c r="AY583" s="433"/>
      <c r="AZ583" s="433"/>
      <c r="BA583" s="433"/>
      <c r="BB583" s="433"/>
      <c r="BC583" s="433"/>
      <c r="BD583" s="433"/>
      <c r="BE583" s="433"/>
      <c r="BF583" s="433"/>
      <c r="BG583" s="433"/>
      <c r="BH583" s="433"/>
      <c r="BI583" s="433"/>
      <c r="BJ583" s="433"/>
      <c r="BK583" s="433"/>
      <c r="BL583" s="433"/>
      <c r="BM583" s="433"/>
      <c r="BN583" s="433"/>
      <c r="BO583" s="433"/>
      <c r="BP583" s="433"/>
      <c r="BQ583" s="433"/>
      <c r="BR583" s="433"/>
      <c r="BS583" s="433"/>
      <c r="BT583" s="433"/>
      <c r="BU583" s="433"/>
    </row>
    <row r="584" spans="1:73" x14ac:dyDescent="0.2">
      <c r="A584" s="433"/>
      <c r="B584" s="433"/>
      <c r="C584" s="437"/>
      <c r="D584" s="437"/>
      <c r="E584" s="437"/>
      <c r="F584" s="437"/>
      <c r="G584" s="437"/>
      <c r="H584" s="437"/>
      <c r="I584" s="437"/>
      <c r="J584" s="437"/>
      <c r="K584" s="437"/>
      <c r="L584" s="437"/>
      <c r="M584" s="437"/>
      <c r="N584" s="437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  <c r="AB584" s="433"/>
      <c r="AC584" s="433"/>
      <c r="AD584" s="433"/>
      <c r="AE584" s="433"/>
      <c r="AF584" s="433"/>
      <c r="AG584" s="433"/>
      <c r="AH584" s="433"/>
      <c r="AI584" s="433"/>
      <c r="AJ584" s="433"/>
      <c r="AK584" s="433"/>
      <c r="AL584" s="433"/>
      <c r="AM584" s="433"/>
      <c r="AN584" s="433"/>
      <c r="AO584" s="433"/>
      <c r="AP584" s="433"/>
      <c r="AQ584" s="433"/>
      <c r="AR584" s="433"/>
      <c r="AS584" s="433"/>
      <c r="AT584" s="433"/>
      <c r="AU584" s="433"/>
      <c r="AV584" s="433"/>
      <c r="AW584" s="433"/>
      <c r="AX584" s="433"/>
      <c r="AY584" s="433"/>
      <c r="AZ584" s="433"/>
      <c r="BA584" s="433"/>
      <c r="BB584" s="433"/>
      <c r="BC584" s="433"/>
      <c r="BD584" s="433"/>
      <c r="BE584" s="433"/>
      <c r="BF584" s="433"/>
      <c r="BG584" s="433"/>
      <c r="BH584" s="433"/>
      <c r="BI584" s="433"/>
      <c r="BJ584" s="433"/>
      <c r="BK584" s="433"/>
      <c r="BL584" s="433"/>
      <c r="BM584" s="433"/>
      <c r="BN584" s="433"/>
      <c r="BO584" s="433"/>
      <c r="BP584" s="433"/>
      <c r="BQ584" s="433"/>
      <c r="BR584" s="433"/>
      <c r="BS584" s="433"/>
      <c r="BT584" s="433"/>
      <c r="BU584" s="433"/>
    </row>
    <row r="585" spans="1:73" x14ac:dyDescent="0.2">
      <c r="A585" s="433"/>
      <c r="B585" s="433"/>
      <c r="C585" s="437"/>
      <c r="D585" s="437"/>
      <c r="E585" s="437"/>
      <c r="F585" s="437"/>
      <c r="G585" s="437"/>
      <c r="H585" s="437"/>
      <c r="I585" s="437"/>
      <c r="J585" s="437"/>
      <c r="K585" s="437"/>
      <c r="L585" s="437"/>
      <c r="M585" s="437"/>
      <c r="N585" s="437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  <c r="AB585" s="433"/>
      <c r="AC585" s="433"/>
      <c r="AD585" s="433"/>
      <c r="AE585" s="433"/>
      <c r="AF585" s="433"/>
      <c r="AG585" s="433"/>
      <c r="AH585" s="433"/>
      <c r="AI585" s="433"/>
      <c r="AJ585" s="433"/>
      <c r="AK585" s="433"/>
      <c r="AL585" s="433"/>
      <c r="AM585" s="433"/>
      <c r="AN585" s="433"/>
      <c r="AO585" s="433"/>
      <c r="AP585" s="433"/>
      <c r="AQ585" s="433"/>
      <c r="AR585" s="433"/>
      <c r="AS585" s="433"/>
      <c r="AT585" s="433"/>
      <c r="AU585" s="433"/>
      <c r="AV585" s="433"/>
      <c r="AW585" s="433"/>
      <c r="AX585" s="433"/>
      <c r="AY585" s="433"/>
      <c r="AZ585" s="433"/>
      <c r="BA585" s="433"/>
      <c r="BB585" s="433"/>
      <c r="BC585" s="433"/>
      <c r="BD585" s="433"/>
      <c r="BE585" s="433"/>
      <c r="BF585" s="433"/>
      <c r="BG585" s="433"/>
      <c r="BH585" s="433"/>
      <c r="BI585" s="433"/>
      <c r="BJ585" s="433"/>
      <c r="BK585" s="433"/>
      <c r="BL585" s="433"/>
      <c r="BM585" s="433"/>
      <c r="BN585" s="433"/>
      <c r="BO585" s="433"/>
      <c r="BP585" s="433"/>
      <c r="BQ585" s="433"/>
      <c r="BR585" s="433"/>
      <c r="BS585" s="433"/>
      <c r="BT585" s="433"/>
      <c r="BU585" s="433"/>
    </row>
    <row r="586" spans="1:73" x14ac:dyDescent="0.2">
      <c r="A586" s="433"/>
      <c r="B586" s="433"/>
      <c r="C586" s="437"/>
      <c r="D586" s="437"/>
      <c r="E586" s="437"/>
      <c r="F586" s="437"/>
      <c r="G586" s="437"/>
      <c r="H586" s="437"/>
      <c r="I586" s="437"/>
      <c r="J586" s="437"/>
      <c r="K586" s="437"/>
      <c r="L586" s="437"/>
      <c r="M586" s="437"/>
      <c r="N586" s="437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  <c r="AB586" s="433"/>
      <c r="AC586" s="433"/>
      <c r="AD586" s="433"/>
      <c r="AE586" s="433"/>
      <c r="AF586" s="433"/>
      <c r="AG586" s="433"/>
      <c r="AH586" s="433"/>
      <c r="AI586" s="433"/>
      <c r="AJ586" s="433"/>
      <c r="AK586" s="433"/>
      <c r="AL586" s="433"/>
      <c r="AM586" s="433"/>
      <c r="AN586" s="433"/>
      <c r="AO586" s="433"/>
      <c r="AP586" s="433"/>
      <c r="AQ586" s="433"/>
      <c r="AR586" s="433"/>
      <c r="AS586" s="433"/>
      <c r="AT586" s="433"/>
      <c r="AU586" s="433"/>
      <c r="AV586" s="433"/>
      <c r="AW586" s="433"/>
      <c r="AX586" s="433"/>
      <c r="AY586" s="433"/>
      <c r="AZ586" s="433"/>
      <c r="BA586" s="433"/>
      <c r="BB586" s="433"/>
      <c r="BC586" s="433"/>
      <c r="BD586" s="433"/>
      <c r="BE586" s="433"/>
      <c r="BF586" s="433"/>
      <c r="BG586" s="433"/>
      <c r="BH586" s="433"/>
      <c r="BI586" s="433"/>
      <c r="BJ586" s="433"/>
      <c r="BK586" s="433"/>
      <c r="BL586" s="433"/>
      <c r="BM586" s="433"/>
      <c r="BN586" s="433"/>
      <c r="BO586" s="433"/>
      <c r="BP586" s="433"/>
      <c r="BQ586" s="433"/>
      <c r="BR586" s="433"/>
      <c r="BS586" s="433"/>
      <c r="BT586" s="433"/>
      <c r="BU586" s="433"/>
    </row>
    <row r="587" spans="1:73" x14ac:dyDescent="0.2">
      <c r="A587" s="433"/>
      <c r="B587" s="433"/>
      <c r="C587" s="437"/>
      <c r="D587" s="437"/>
      <c r="E587" s="437"/>
      <c r="F587" s="437"/>
      <c r="G587" s="437"/>
      <c r="H587" s="437"/>
      <c r="I587" s="437"/>
      <c r="J587" s="437"/>
      <c r="K587" s="437"/>
      <c r="L587" s="437"/>
      <c r="M587" s="437"/>
      <c r="N587" s="437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  <c r="AB587" s="433"/>
      <c r="AC587" s="433"/>
      <c r="AD587" s="433"/>
      <c r="AE587" s="433"/>
      <c r="AF587" s="433"/>
      <c r="AG587" s="433"/>
      <c r="AH587" s="433"/>
      <c r="AI587" s="433"/>
      <c r="AJ587" s="433"/>
      <c r="AK587" s="433"/>
      <c r="AL587" s="433"/>
      <c r="AM587" s="433"/>
      <c r="AN587" s="433"/>
      <c r="AO587" s="433"/>
      <c r="AP587" s="433"/>
      <c r="AQ587" s="433"/>
      <c r="AR587" s="433"/>
      <c r="AS587" s="433"/>
      <c r="AT587" s="433"/>
      <c r="AU587" s="433"/>
      <c r="AV587" s="433"/>
      <c r="AW587" s="433"/>
      <c r="AX587" s="433"/>
      <c r="AY587" s="433"/>
      <c r="AZ587" s="433"/>
      <c r="BA587" s="433"/>
      <c r="BB587" s="433"/>
      <c r="BC587" s="433"/>
      <c r="BD587" s="433"/>
      <c r="BE587" s="433"/>
      <c r="BF587" s="433"/>
      <c r="BG587" s="433"/>
      <c r="BH587" s="433"/>
      <c r="BI587" s="433"/>
      <c r="BJ587" s="433"/>
      <c r="BK587" s="433"/>
      <c r="BL587" s="433"/>
      <c r="BM587" s="433"/>
      <c r="BN587" s="433"/>
      <c r="BO587" s="433"/>
      <c r="BP587" s="433"/>
      <c r="BQ587" s="433"/>
      <c r="BR587" s="433"/>
      <c r="BS587" s="433"/>
      <c r="BT587" s="433"/>
      <c r="BU587" s="433"/>
    </row>
    <row r="588" spans="1:73" x14ac:dyDescent="0.2">
      <c r="A588" s="433"/>
      <c r="B588" s="433"/>
      <c r="C588" s="437"/>
      <c r="D588" s="437"/>
      <c r="E588" s="437"/>
      <c r="F588" s="437"/>
      <c r="G588" s="437"/>
      <c r="H588" s="437"/>
      <c r="I588" s="437"/>
      <c r="J588" s="437"/>
      <c r="K588" s="437"/>
      <c r="L588" s="437"/>
      <c r="M588" s="437"/>
      <c r="N588" s="437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  <c r="AB588" s="433"/>
      <c r="AC588" s="433"/>
      <c r="AD588" s="433"/>
      <c r="AE588" s="433"/>
      <c r="AF588" s="433"/>
      <c r="AG588" s="433"/>
      <c r="AH588" s="433"/>
      <c r="AI588" s="433"/>
      <c r="AJ588" s="433"/>
      <c r="AK588" s="433"/>
      <c r="AL588" s="433"/>
      <c r="AM588" s="433"/>
      <c r="AN588" s="433"/>
      <c r="AO588" s="433"/>
      <c r="AP588" s="433"/>
      <c r="AQ588" s="433"/>
      <c r="AR588" s="433"/>
      <c r="AS588" s="433"/>
      <c r="AT588" s="433"/>
      <c r="AU588" s="433"/>
      <c r="AV588" s="433"/>
      <c r="AW588" s="433"/>
      <c r="AX588" s="433"/>
      <c r="AY588" s="433"/>
      <c r="AZ588" s="433"/>
      <c r="BA588" s="433"/>
      <c r="BB588" s="433"/>
      <c r="BC588" s="433"/>
      <c r="BD588" s="433"/>
      <c r="BE588" s="433"/>
      <c r="BF588" s="433"/>
      <c r="BG588" s="433"/>
      <c r="BH588" s="433"/>
      <c r="BI588" s="433"/>
      <c r="BJ588" s="433"/>
      <c r="BK588" s="433"/>
      <c r="BL588" s="433"/>
      <c r="BM588" s="433"/>
      <c r="BN588" s="433"/>
      <c r="BO588" s="433"/>
      <c r="BP588" s="433"/>
      <c r="BQ588" s="433"/>
      <c r="BR588" s="433"/>
      <c r="BS588" s="433"/>
      <c r="BT588" s="433"/>
      <c r="BU588" s="433"/>
    </row>
    <row r="589" spans="1:73" x14ac:dyDescent="0.2">
      <c r="A589" s="433"/>
      <c r="B589" s="433"/>
      <c r="C589" s="437"/>
      <c r="D589" s="437"/>
      <c r="E589" s="437"/>
      <c r="F589" s="437"/>
      <c r="G589" s="437"/>
      <c r="H589" s="437"/>
      <c r="I589" s="437"/>
      <c r="J589" s="437"/>
      <c r="K589" s="437"/>
      <c r="L589" s="437"/>
      <c r="M589" s="437"/>
      <c r="N589" s="437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  <c r="AB589" s="433"/>
      <c r="AC589" s="433"/>
      <c r="AD589" s="433"/>
      <c r="AE589" s="433"/>
      <c r="AF589" s="433"/>
      <c r="AG589" s="433"/>
      <c r="AH589" s="433"/>
      <c r="AI589" s="433"/>
      <c r="AJ589" s="433"/>
      <c r="AK589" s="433"/>
      <c r="AL589" s="433"/>
      <c r="AM589" s="433"/>
      <c r="AN589" s="433"/>
      <c r="AO589" s="433"/>
      <c r="AP589" s="433"/>
      <c r="AQ589" s="433"/>
      <c r="AR589" s="433"/>
      <c r="AS589" s="433"/>
      <c r="AT589" s="433"/>
      <c r="AU589" s="433"/>
      <c r="AV589" s="433"/>
      <c r="AW589" s="433"/>
      <c r="AX589" s="433"/>
      <c r="AY589" s="433"/>
      <c r="AZ589" s="433"/>
      <c r="BA589" s="433"/>
      <c r="BB589" s="433"/>
      <c r="BC589" s="433"/>
      <c r="BD589" s="433"/>
      <c r="BE589" s="433"/>
      <c r="BF589" s="433"/>
      <c r="BG589" s="433"/>
      <c r="BH589" s="433"/>
      <c r="BI589" s="433"/>
      <c r="BJ589" s="433"/>
      <c r="BK589" s="433"/>
      <c r="BL589" s="433"/>
      <c r="BM589" s="433"/>
      <c r="BN589" s="433"/>
      <c r="BO589" s="433"/>
      <c r="BP589" s="433"/>
      <c r="BQ589" s="433"/>
      <c r="BR589" s="433"/>
      <c r="BS589" s="433"/>
      <c r="BT589" s="433"/>
      <c r="BU589" s="433"/>
    </row>
    <row r="590" spans="1:73" x14ac:dyDescent="0.2">
      <c r="A590" s="433"/>
      <c r="B590" s="433"/>
      <c r="C590" s="437"/>
      <c r="D590" s="437"/>
      <c r="E590" s="437"/>
      <c r="F590" s="437"/>
      <c r="G590" s="437"/>
      <c r="H590" s="437"/>
      <c r="I590" s="437"/>
      <c r="J590" s="437"/>
      <c r="K590" s="437"/>
      <c r="L590" s="437"/>
      <c r="M590" s="437"/>
      <c r="N590" s="437"/>
      <c r="O590" s="433"/>
      <c r="P590" s="433"/>
      <c r="Q590" s="433"/>
      <c r="R590" s="433"/>
      <c r="S590" s="433"/>
      <c r="T590" s="433"/>
      <c r="U590" s="433"/>
      <c r="V590" s="433"/>
      <c r="W590" s="433"/>
      <c r="X590" s="433"/>
      <c r="Y590" s="433"/>
      <c r="Z590" s="433"/>
      <c r="AA590" s="433"/>
      <c r="AB590" s="433"/>
      <c r="AC590" s="433"/>
      <c r="AD590" s="433"/>
      <c r="AE590" s="433"/>
      <c r="AF590" s="433"/>
      <c r="AG590" s="433"/>
      <c r="AH590" s="433"/>
      <c r="AI590" s="433"/>
      <c r="AJ590" s="433"/>
      <c r="AK590" s="433"/>
      <c r="AL590" s="433"/>
      <c r="AM590" s="433"/>
      <c r="AN590" s="433"/>
      <c r="AO590" s="433"/>
      <c r="AP590" s="433"/>
      <c r="AQ590" s="433"/>
      <c r="AR590" s="433"/>
      <c r="AS590" s="433"/>
      <c r="AT590" s="433"/>
      <c r="AU590" s="433"/>
      <c r="AV590" s="433"/>
      <c r="AW590" s="433"/>
      <c r="AX590" s="433"/>
      <c r="AY590" s="433"/>
      <c r="AZ590" s="433"/>
      <c r="BA590" s="433"/>
      <c r="BB590" s="433"/>
      <c r="BC590" s="433"/>
      <c r="BD590" s="433"/>
      <c r="BE590" s="433"/>
      <c r="BF590" s="433"/>
      <c r="BG590" s="433"/>
      <c r="BH590" s="433"/>
      <c r="BI590" s="433"/>
      <c r="BJ590" s="433"/>
      <c r="BK590" s="433"/>
      <c r="BL590" s="433"/>
      <c r="BM590" s="433"/>
      <c r="BN590" s="433"/>
      <c r="BO590" s="433"/>
      <c r="BP590" s="433"/>
      <c r="BQ590" s="433"/>
      <c r="BR590" s="433"/>
      <c r="BS590" s="433"/>
      <c r="BT590" s="433"/>
      <c r="BU590" s="433"/>
    </row>
    <row r="591" spans="1:73" x14ac:dyDescent="0.2">
      <c r="A591" s="433"/>
      <c r="B591" s="433"/>
      <c r="C591" s="437"/>
      <c r="D591" s="437"/>
      <c r="E591" s="437"/>
      <c r="F591" s="437"/>
      <c r="G591" s="437"/>
      <c r="H591" s="437"/>
      <c r="I591" s="437"/>
      <c r="J591" s="437"/>
      <c r="K591" s="437"/>
      <c r="L591" s="437"/>
      <c r="M591" s="437"/>
      <c r="N591" s="437"/>
      <c r="O591" s="433"/>
      <c r="P591" s="433"/>
      <c r="Q591" s="433"/>
      <c r="R591" s="433"/>
      <c r="S591" s="433"/>
      <c r="T591" s="433"/>
      <c r="U591" s="433"/>
      <c r="V591" s="433"/>
      <c r="W591" s="433"/>
      <c r="X591" s="433"/>
      <c r="Y591" s="433"/>
      <c r="Z591" s="433"/>
      <c r="AA591" s="433"/>
      <c r="AB591" s="433"/>
      <c r="AC591" s="433"/>
      <c r="AD591" s="433"/>
      <c r="AE591" s="433"/>
      <c r="AF591" s="433"/>
      <c r="AG591" s="433"/>
      <c r="AH591" s="433"/>
      <c r="AI591" s="433"/>
      <c r="AJ591" s="433"/>
      <c r="AK591" s="433"/>
      <c r="AL591" s="433"/>
      <c r="AM591" s="433"/>
      <c r="AN591" s="433"/>
      <c r="AO591" s="433"/>
      <c r="AP591" s="433"/>
      <c r="AQ591" s="433"/>
      <c r="AR591" s="433"/>
      <c r="AS591" s="433"/>
      <c r="AT591" s="433"/>
      <c r="AU591" s="433"/>
      <c r="AV591" s="433"/>
      <c r="AW591" s="433"/>
      <c r="AX591" s="433"/>
      <c r="AY591" s="433"/>
      <c r="AZ591" s="433"/>
      <c r="BA591" s="433"/>
      <c r="BB591" s="433"/>
      <c r="BC591" s="433"/>
      <c r="BD591" s="433"/>
      <c r="BE591" s="433"/>
      <c r="BF591" s="433"/>
      <c r="BG591" s="433"/>
      <c r="BH591" s="433"/>
      <c r="BI591" s="433"/>
      <c r="BJ591" s="433"/>
      <c r="BK591" s="433"/>
      <c r="BL591" s="433"/>
      <c r="BM591" s="433"/>
      <c r="BN591" s="433"/>
      <c r="BO591" s="433"/>
      <c r="BP591" s="433"/>
      <c r="BQ591" s="433"/>
      <c r="BR591" s="433"/>
      <c r="BS591" s="433"/>
      <c r="BT591" s="433"/>
      <c r="BU591" s="433"/>
    </row>
    <row r="592" spans="1:73" x14ac:dyDescent="0.2">
      <c r="A592" s="433"/>
      <c r="B592" s="433"/>
      <c r="C592" s="437"/>
      <c r="D592" s="437"/>
      <c r="E592" s="437"/>
      <c r="F592" s="437"/>
      <c r="G592" s="437"/>
      <c r="H592" s="437"/>
      <c r="I592" s="437"/>
      <c r="J592" s="437"/>
      <c r="K592" s="437"/>
      <c r="L592" s="437"/>
      <c r="M592" s="437"/>
      <c r="N592" s="437"/>
      <c r="O592" s="433"/>
      <c r="P592" s="433"/>
      <c r="Q592" s="433"/>
      <c r="R592" s="433"/>
      <c r="S592" s="433"/>
      <c r="T592" s="433"/>
      <c r="U592" s="433"/>
      <c r="V592" s="433"/>
      <c r="W592" s="433"/>
      <c r="X592" s="433"/>
      <c r="Y592" s="433"/>
      <c r="Z592" s="433"/>
      <c r="AA592" s="433"/>
      <c r="AB592" s="433"/>
      <c r="AC592" s="433"/>
      <c r="AD592" s="433"/>
      <c r="AE592" s="433"/>
      <c r="AF592" s="433"/>
      <c r="AG592" s="433"/>
      <c r="AH592" s="433"/>
      <c r="AI592" s="433"/>
      <c r="AJ592" s="433"/>
      <c r="AK592" s="433"/>
      <c r="AL592" s="433"/>
      <c r="AM592" s="433"/>
      <c r="AN592" s="433"/>
      <c r="AO592" s="433"/>
      <c r="AP592" s="433"/>
      <c r="AQ592" s="433"/>
      <c r="AR592" s="433"/>
      <c r="AS592" s="433"/>
      <c r="AT592" s="433"/>
      <c r="AU592" s="433"/>
      <c r="AV592" s="433"/>
      <c r="AW592" s="433"/>
      <c r="AX592" s="433"/>
      <c r="AY592" s="433"/>
      <c r="AZ592" s="433"/>
      <c r="BA592" s="433"/>
      <c r="BB592" s="433"/>
      <c r="BC592" s="433"/>
      <c r="BD592" s="433"/>
      <c r="BE592" s="433"/>
      <c r="BF592" s="433"/>
      <c r="BG592" s="433"/>
      <c r="BH592" s="433"/>
      <c r="BI592" s="433"/>
      <c r="BJ592" s="433"/>
      <c r="BK592" s="433"/>
      <c r="BL592" s="433"/>
      <c r="BM592" s="433"/>
      <c r="BN592" s="433"/>
      <c r="BO592" s="433"/>
      <c r="BP592" s="433"/>
      <c r="BQ592" s="433"/>
      <c r="BR592" s="433"/>
      <c r="BS592" s="433"/>
      <c r="BT592" s="433"/>
      <c r="BU592" s="433"/>
    </row>
    <row r="593" spans="1:73" x14ac:dyDescent="0.2">
      <c r="A593" s="433"/>
      <c r="B593" s="433"/>
      <c r="C593" s="437"/>
      <c r="D593" s="437"/>
      <c r="E593" s="437"/>
      <c r="F593" s="437"/>
      <c r="G593" s="437"/>
      <c r="H593" s="437"/>
      <c r="I593" s="437"/>
      <c r="J593" s="437"/>
      <c r="K593" s="437"/>
      <c r="L593" s="437"/>
      <c r="M593" s="437"/>
      <c r="N593" s="437"/>
      <c r="O593" s="433"/>
      <c r="P593" s="433"/>
      <c r="Q593" s="433"/>
      <c r="R593" s="433"/>
      <c r="S593" s="433"/>
      <c r="T593" s="433"/>
      <c r="U593" s="433"/>
      <c r="V593" s="433"/>
      <c r="W593" s="433"/>
      <c r="X593" s="433"/>
      <c r="Y593" s="433"/>
      <c r="Z593" s="433"/>
      <c r="AA593" s="433"/>
      <c r="AB593" s="433"/>
      <c r="AC593" s="433"/>
      <c r="AD593" s="433"/>
      <c r="AE593" s="433"/>
      <c r="AF593" s="433"/>
      <c r="AG593" s="433"/>
      <c r="AH593" s="433"/>
      <c r="AI593" s="433"/>
      <c r="AJ593" s="433"/>
      <c r="AK593" s="433"/>
      <c r="AL593" s="433"/>
      <c r="AM593" s="433"/>
      <c r="AN593" s="433"/>
      <c r="AO593" s="433"/>
      <c r="AP593" s="433"/>
      <c r="AQ593" s="433"/>
      <c r="AR593" s="433"/>
      <c r="AS593" s="433"/>
      <c r="AT593" s="433"/>
      <c r="AU593" s="433"/>
      <c r="AV593" s="433"/>
      <c r="AW593" s="433"/>
      <c r="AX593" s="433"/>
      <c r="AY593" s="433"/>
      <c r="AZ593" s="433"/>
      <c r="BA593" s="433"/>
      <c r="BB593" s="433"/>
      <c r="BC593" s="433"/>
      <c r="BD593" s="433"/>
      <c r="BE593" s="433"/>
      <c r="BF593" s="433"/>
      <c r="BG593" s="433"/>
      <c r="BH593" s="433"/>
      <c r="BI593" s="433"/>
      <c r="BJ593" s="433"/>
      <c r="BK593" s="433"/>
      <c r="BL593" s="433"/>
      <c r="BM593" s="433"/>
      <c r="BN593" s="433"/>
      <c r="BO593" s="433"/>
      <c r="BP593" s="433"/>
      <c r="BQ593" s="433"/>
      <c r="BR593" s="433"/>
      <c r="BS593" s="433"/>
      <c r="BT593" s="433"/>
      <c r="BU593" s="433"/>
    </row>
    <row r="594" spans="1:73" x14ac:dyDescent="0.2">
      <c r="A594" s="433"/>
      <c r="B594" s="433"/>
      <c r="C594" s="437"/>
      <c r="D594" s="437"/>
      <c r="E594" s="437"/>
      <c r="F594" s="437"/>
      <c r="G594" s="437"/>
      <c r="H594" s="437"/>
      <c r="I594" s="437"/>
      <c r="J594" s="437"/>
      <c r="K594" s="437"/>
      <c r="L594" s="437"/>
      <c r="M594" s="437"/>
      <c r="N594" s="437"/>
      <c r="O594" s="433"/>
      <c r="P594" s="433"/>
      <c r="Q594" s="433"/>
      <c r="R594" s="433"/>
      <c r="S594" s="433"/>
      <c r="T594" s="433"/>
      <c r="U594" s="433"/>
      <c r="V594" s="433"/>
      <c r="W594" s="433"/>
      <c r="X594" s="433"/>
      <c r="Y594" s="433"/>
      <c r="Z594" s="433"/>
      <c r="AA594" s="433"/>
      <c r="AB594" s="433"/>
      <c r="AC594" s="433"/>
      <c r="AD594" s="433"/>
      <c r="AE594" s="433"/>
      <c r="AF594" s="433"/>
      <c r="AG594" s="433"/>
      <c r="AH594" s="433"/>
      <c r="AI594" s="433"/>
      <c r="AJ594" s="433"/>
      <c r="AK594" s="433"/>
      <c r="AL594" s="433"/>
      <c r="AM594" s="433"/>
      <c r="AN594" s="433"/>
      <c r="AO594" s="433"/>
      <c r="AP594" s="433"/>
      <c r="AQ594" s="433"/>
      <c r="AR594" s="433"/>
      <c r="AS594" s="433"/>
      <c r="AT594" s="433"/>
      <c r="AU594" s="433"/>
      <c r="AV594" s="433"/>
      <c r="AW594" s="433"/>
      <c r="AX594" s="433"/>
      <c r="AY594" s="433"/>
      <c r="AZ594" s="433"/>
      <c r="BA594" s="433"/>
      <c r="BB594" s="433"/>
      <c r="BC594" s="433"/>
      <c r="BD594" s="433"/>
      <c r="BE594" s="433"/>
      <c r="BF594" s="433"/>
      <c r="BG594" s="433"/>
      <c r="BH594" s="433"/>
      <c r="BI594" s="433"/>
      <c r="BJ594" s="433"/>
      <c r="BK594" s="433"/>
      <c r="BL594" s="433"/>
      <c r="BM594" s="433"/>
      <c r="BN594" s="433"/>
      <c r="BO594" s="433"/>
      <c r="BP594" s="433"/>
      <c r="BQ594" s="433"/>
      <c r="BR594" s="433"/>
      <c r="BS594" s="433"/>
      <c r="BT594" s="433"/>
      <c r="BU594" s="433"/>
    </row>
    <row r="595" spans="1:73" x14ac:dyDescent="0.2">
      <c r="A595" s="433"/>
      <c r="B595" s="433"/>
      <c r="C595" s="437"/>
      <c r="D595" s="437"/>
      <c r="E595" s="437"/>
      <c r="F595" s="437"/>
      <c r="G595" s="437"/>
      <c r="H595" s="437"/>
      <c r="I595" s="437"/>
      <c r="J595" s="437"/>
      <c r="K595" s="437"/>
      <c r="L595" s="437"/>
      <c r="M595" s="437"/>
      <c r="N595" s="437"/>
      <c r="O595" s="433"/>
      <c r="P595" s="433"/>
      <c r="Q595" s="433"/>
      <c r="R595" s="433"/>
      <c r="S595" s="433"/>
      <c r="T595" s="433"/>
      <c r="U595" s="433"/>
      <c r="V595" s="433"/>
      <c r="W595" s="433"/>
      <c r="X595" s="433"/>
      <c r="Y595" s="433"/>
      <c r="Z595" s="433"/>
      <c r="AA595" s="433"/>
      <c r="AB595" s="433"/>
      <c r="AC595" s="433"/>
      <c r="AD595" s="433"/>
      <c r="AE595" s="433"/>
      <c r="AF595" s="433"/>
      <c r="AG595" s="433"/>
      <c r="AH595" s="433"/>
      <c r="AI595" s="433"/>
      <c r="AJ595" s="433"/>
      <c r="AK595" s="433"/>
      <c r="AL595" s="433"/>
      <c r="AM595" s="433"/>
      <c r="AN595" s="433"/>
      <c r="AO595" s="433"/>
      <c r="AP595" s="433"/>
      <c r="AQ595" s="433"/>
      <c r="AR595" s="433"/>
      <c r="AS595" s="433"/>
      <c r="AT595" s="433"/>
      <c r="AU595" s="433"/>
      <c r="AV595" s="433"/>
      <c r="AW595" s="433"/>
      <c r="AX595" s="433"/>
      <c r="AY595" s="433"/>
      <c r="AZ595" s="433"/>
      <c r="BA595" s="433"/>
      <c r="BB595" s="433"/>
      <c r="BC595" s="433"/>
      <c r="BD595" s="433"/>
      <c r="BE595" s="433"/>
      <c r="BF595" s="433"/>
      <c r="BG595" s="433"/>
      <c r="BH595" s="433"/>
      <c r="BI595" s="433"/>
      <c r="BJ595" s="433"/>
      <c r="BK595" s="433"/>
      <c r="BL595" s="433"/>
      <c r="BM595" s="433"/>
      <c r="BN595" s="433"/>
      <c r="BO595" s="433"/>
      <c r="BP595" s="433"/>
      <c r="BQ595" s="433"/>
      <c r="BR595" s="433"/>
      <c r="BS595" s="433"/>
      <c r="BT595" s="433"/>
      <c r="BU595" s="433"/>
    </row>
    <row r="596" spans="1:73" x14ac:dyDescent="0.2">
      <c r="A596" s="433"/>
      <c r="B596" s="433"/>
      <c r="C596" s="437"/>
      <c r="D596" s="437"/>
      <c r="E596" s="437"/>
      <c r="F596" s="437"/>
      <c r="G596" s="437"/>
      <c r="H596" s="437"/>
      <c r="I596" s="437"/>
      <c r="J596" s="437"/>
      <c r="K596" s="437"/>
      <c r="L596" s="437"/>
      <c r="M596" s="437"/>
      <c r="N596" s="437"/>
      <c r="O596" s="433"/>
      <c r="P596" s="433"/>
      <c r="Q596" s="433"/>
      <c r="R596" s="433"/>
      <c r="S596" s="433"/>
      <c r="T596" s="433"/>
      <c r="U596" s="433"/>
      <c r="V596" s="433"/>
      <c r="W596" s="433"/>
      <c r="X596" s="433"/>
      <c r="Y596" s="433"/>
      <c r="Z596" s="433"/>
      <c r="AA596" s="433"/>
      <c r="AB596" s="433"/>
      <c r="AC596" s="433"/>
      <c r="AD596" s="433"/>
      <c r="AE596" s="433"/>
      <c r="AF596" s="433"/>
      <c r="AG596" s="433"/>
      <c r="AH596" s="433"/>
      <c r="AI596" s="433"/>
      <c r="AJ596" s="433"/>
      <c r="AK596" s="433"/>
      <c r="AL596" s="433"/>
      <c r="AM596" s="433"/>
      <c r="AN596" s="433"/>
      <c r="AO596" s="433"/>
      <c r="AP596" s="433"/>
      <c r="AQ596" s="433"/>
      <c r="AR596" s="433"/>
      <c r="AS596" s="433"/>
      <c r="AT596" s="433"/>
      <c r="AU596" s="433"/>
      <c r="AV596" s="433"/>
      <c r="AW596" s="433"/>
      <c r="AX596" s="433"/>
      <c r="AY596" s="433"/>
      <c r="AZ596" s="433"/>
      <c r="BA596" s="433"/>
      <c r="BB596" s="433"/>
      <c r="BC596" s="433"/>
      <c r="BD596" s="433"/>
      <c r="BE596" s="433"/>
      <c r="BF596" s="433"/>
      <c r="BG596" s="433"/>
      <c r="BH596" s="433"/>
      <c r="BI596" s="433"/>
      <c r="BJ596" s="433"/>
      <c r="BK596" s="433"/>
      <c r="BL596" s="433"/>
      <c r="BM596" s="433"/>
      <c r="BN596" s="433"/>
      <c r="BO596" s="433"/>
      <c r="BP596" s="433"/>
      <c r="BQ596" s="433"/>
      <c r="BR596" s="433"/>
      <c r="BS596" s="433"/>
      <c r="BT596" s="433"/>
      <c r="BU596" s="433"/>
    </row>
    <row r="597" spans="1:73" x14ac:dyDescent="0.2">
      <c r="A597" s="433"/>
      <c r="B597" s="433"/>
      <c r="C597" s="437"/>
      <c r="D597" s="437"/>
      <c r="E597" s="437"/>
      <c r="F597" s="437"/>
      <c r="G597" s="437"/>
      <c r="H597" s="437"/>
      <c r="I597" s="437"/>
      <c r="J597" s="437"/>
      <c r="K597" s="437"/>
      <c r="L597" s="437"/>
      <c r="M597" s="437"/>
      <c r="N597" s="437"/>
      <c r="O597" s="433"/>
      <c r="P597" s="433"/>
      <c r="Q597" s="433"/>
      <c r="R597" s="433"/>
      <c r="S597" s="433"/>
      <c r="T597" s="433"/>
      <c r="U597" s="433"/>
      <c r="V597" s="433"/>
      <c r="W597" s="433"/>
      <c r="X597" s="433"/>
      <c r="Y597" s="433"/>
      <c r="Z597" s="433"/>
      <c r="AA597" s="433"/>
      <c r="AB597" s="433"/>
      <c r="AC597" s="433"/>
      <c r="AD597" s="433"/>
      <c r="AE597" s="433"/>
      <c r="AF597" s="433"/>
      <c r="AG597" s="433"/>
      <c r="AH597" s="433"/>
      <c r="AI597" s="433"/>
      <c r="AJ597" s="433"/>
      <c r="AK597" s="433"/>
      <c r="AL597" s="433"/>
      <c r="AM597" s="433"/>
      <c r="AN597" s="433"/>
      <c r="AO597" s="433"/>
      <c r="AP597" s="433"/>
      <c r="AQ597" s="433"/>
      <c r="AR597" s="433"/>
      <c r="AS597" s="433"/>
      <c r="AT597" s="433"/>
      <c r="AU597" s="433"/>
      <c r="AV597" s="433"/>
      <c r="AW597" s="433"/>
      <c r="AX597" s="433"/>
      <c r="AY597" s="433"/>
      <c r="AZ597" s="433"/>
      <c r="BA597" s="433"/>
      <c r="BB597" s="433"/>
      <c r="BC597" s="433"/>
      <c r="BD597" s="433"/>
      <c r="BE597" s="433"/>
      <c r="BF597" s="433"/>
      <c r="BG597" s="433"/>
      <c r="BH597" s="433"/>
      <c r="BI597" s="433"/>
      <c r="BJ597" s="433"/>
      <c r="BK597" s="433"/>
      <c r="BL597" s="433"/>
      <c r="BM597" s="433"/>
      <c r="BN597" s="433"/>
      <c r="BO597" s="433"/>
      <c r="BP597" s="433"/>
      <c r="BQ597" s="433"/>
      <c r="BR597" s="433"/>
      <c r="BS597" s="433"/>
      <c r="BT597" s="433"/>
      <c r="BU597" s="433"/>
    </row>
    <row r="598" spans="1:73" x14ac:dyDescent="0.2">
      <c r="A598" s="433"/>
      <c r="B598" s="433"/>
      <c r="C598" s="437"/>
      <c r="D598" s="437"/>
      <c r="E598" s="437"/>
      <c r="F598" s="437"/>
      <c r="G598" s="437"/>
      <c r="H598" s="437"/>
      <c r="I598" s="437"/>
      <c r="J598" s="437"/>
      <c r="K598" s="437"/>
      <c r="L598" s="437"/>
      <c r="M598" s="437"/>
      <c r="N598" s="437"/>
      <c r="O598" s="433"/>
      <c r="P598" s="433"/>
      <c r="Q598" s="433"/>
      <c r="R598" s="433"/>
      <c r="S598" s="433"/>
      <c r="T598" s="433"/>
      <c r="U598" s="433"/>
      <c r="V598" s="433"/>
      <c r="W598" s="433"/>
      <c r="X598" s="433"/>
      <c r="Y598" s="433"/>
      <c r="Z598" s="433"/>
      <c r="AA598" s="433"/>
      <c r="AB598" s="433"/>
      <c r="AC598" s="433"/>
      <c r="AD598" s="433"/>
      <c r="AE598" s="433"/>
      <c r="AF598" s="433"/>
      <c r="AG598" s="433"/>
      <c r="AH598" s="433"/>
      <c r="AI598" s="433"/>
      <c r="AJ598" s="433"/>
      <c r="AK598" s="433"/>
      <c r="AL598" s="433"/>
      <c r="AM598" s="433"/>
      <c r="AN598" s="433"/>
      <c r="AO598" s="433"/>
      <c r="AP598" s="433"/>
      <c r="AQ598" s="433"/>
      <c r="AR598" s="433"/>
      <c r="AS598" s="433"/>
      <c r="AT598" s="433"/>
      <c r="AU598" s="433"/>
      <c r="AV598" s="433"/>
      <c r="AW598" s="433"/>
      <c r="AX598" s="433"/>
      <c r="AY598" s="433"/>
      <c r="AZ598" s="433"/>
      <c r="BA598" s="433"/>
      <c r="BB598" s="433"/>
      <c r="BC598" s="433"/>
      <c r="BD598" s="433"/>
      <c r="BE598" s="433"/>
      <c r="BF598" s="433"/>
      <c r="BG598" s="433"/>
      <c r="BH598" s="433"/>
      <c r="BI598" s="433"/>
      <c r="BJ598" s="433"/>
      <c r="BK598" s="433"/>
      <c r="BL598" s="433"/>
      <c r="BM598" s="433"/>
      <c r="BN598" s="433"/>
      <c r="BO598" s="433"/>
      <c r="BP598" s="433"/>
      <c r="BQ598" s="433"/>
      <c r="BR598" s="433"/>
      <c r="BS598" s="433"/>
      <c r="BT598" s="433"/>
      <c r="BU598" s="433"/>
    </row>
    <row r="599" spans="1:73" x14ac:dyDescent="0.2">
      <c r="A599" s="433"/>
      <c r="B599" s="433"/>
      <c r="C599" s="437"/>
      <c r="D599" s="437"/>
      <c r="E599" s="437"/>
      <c r="F599" s="437"/>
      <c r="G599" s="437"/>
      <c r="H599" s="437"/>
      <c r="I599" s="437"/>
      <c r="J599" s="437"/>
      <c r="K599" s="437"/>
      <c r="L599" s="437"/>
      <c r="M599" s="437"/>
      <c r="N599" s="437"/>
      <c r="O599" s="433"/>
      <c r="P599" s="433"/>
      <c r="Q599" s="433"/>
      <c r="R599" s="433"/>
      <c r="S599" s="433"/>
      <c r="T599" s="433"/>
      <c r="U599" s="433"/>
      <c r="V599" s="433"/>
      <c r="W599" s="433"/>
      <c r="X599" s="433"/>
      <c r="Y599" s="433"/>
      <c r="Z599" s="433"/>
      <c r="AA599" s="433"/>
      <c r="AB599" s="433"/>
      <c r="AC599" s="433"/>
      <c r="AD599" s="433"/>
      <c r="AE599" s="433"/>
      <c r="AF599" s="433"/>
      <c r="AG599" s="433"/>
      <c r="AH599" s="433"/>
      <c r="AI599" s="433"/>
      <c r="AJ599" s="433"/>
      <c r="AK599" s="433"/>
      <c r="AL599" s="433"/>
      <c r="AM599" s="433"/>
      <c r="AN599" s="433"/>
      <c r="AO599" s="433"/>
      <c r="AP599" s="433"/>
      <c r="AQ599" s="433"/>
      <c r="AR599" s="433"/>
      <c r="AS599" s="433"/>
      <c r="AT599" s="433"/>
      <c r="AU599" s="433"/>
      <c r="AV599" s="433"/>
      <c r="AW599" s="433"/>
      <c r="AX599" s="433"/>
      <c r="AY599" s="433"/>
      <c r="AZ599" s="433"/>
      <c r="BA599" s="433"/>
      <c r="BB599" s="433"/>
      <c r="BC599" s="433"/>
      <c r="BD599" s="433"/>
      <c r="BE599" s="433"/>
      <c r="BF599" s="433"/>
      <c r="BG599" s="433"/>
      <c r="BH599" s="433"/>
      <c r="BI599" s="433"/>
      <c r="BJ599" s="433"/>
      <c r="BK599" s="433"/>
      <c r="BL599" s="433"/>
      <c r="BM599" s="433"/>
      <c r="BN599" s="433"/>
      <c r="BO599" s="433"/>
      <c r="BP599" s="433"/>
      <c r="BQ599" s="433"/>
      <c r="BR599" s="433"/>
      <c r="BS599" s="433"/>
      <c r="BT599" s="433"/>
      <c r="BU599" s="433"/>
    </row>
    <row r="600" spans="1:73" x14ac:dyDescent="0.2">
      <c r="A600" s="433"/>
      <c r="B600" s="433"/>
      <c r="C600" s="437"/>
      <c r="D600" s="437"/>
      <c r="E600" s="437"/>
      <c r="F600" s="437"/>
      <c r="G600" s="437"/>
      <c r="H600" s="437"/>
      <c r="I600" s="437"/>
      <c r="J600" s="437"/>
      <c r="K600" s="437"/>
      <c r="L600" s="437"/>
      <c r="M600" s="437"/>
      <c r="N600" s="437"/>
      <c r="O600" s="433"/>
      <c r="P600" s="433"/>
      <c r="Q600" s="433"/>
      <c r="R600" s="433"/>
      <c r="S600" s="433"/>
      <c r="T600" s="433"/>
      <c r="U600" s="433"/>
      <c r="V600" s="433"/>
      <c r="W600" s="433"/>
      <c r="X600" s="433"/>
      <c r="Y600" s="433"/>
      <c r="Z600" s="433"/>
      <c r="AA600" s="433"/>
      <c r="AB600" s="433"/>
      <c r="AC600" s="433"/>
      <c r="AD600" s="433"/>
      <c r="AE600" s="433"/>
      <c r="AF600" s="433"/>
      <c r="AG600" s="433"/>
      <c r="AH600" s="433"/>
      <c r="AI600" s="433"/>
      <c r="AJ600" s="433"/>
      <c r="AK600" s="433"/>
      <c r="AL600" s="433"/>
      <c r="AM600" s="433"/>
      <c r="AN600" s="433"/>
      <c r="AO600" s="433"/>
      <c r="AP600" s="433"/>
      <c r="AQ600" s="433"/>
      <c r="AR600" s="433"/>
      <c r="AS600" s="433"/>
      <c r="AT600" s="433"/>
      <c r="AU600" s="433"/>
      <c r="AV600" s="433"/>
      <c r="AW600" s="433"/>
      <c r="AX600" s="433"/>
      <c r="AY600" s="433"/>
      <c r="AZ600" s="433"/>
      <c r="BA600" s="433"/>
      <c r="BB600" s="433"/>
      <c r="BC600" s="433"/>
      <c r="BD600" s="433"/>
      <c r="BE600" s="433"/>
      <c r="BF600" s="433"/>
      <c r="BG600" s="433"/>
      <c r="BH600" s="433"/>
      <c r="BI600" s="433"/>
      <c r="BJ600" s="433"/>
      <c r="BK600" s="433"/>
      <c r="BL600" s="433"/>
      <c r="BM600" s="433"/>
      <c r="BN600" s="433"/>
      <c r="BO600" s="433"/>
      <c r="BP600" s="433"/>
      <c r="BQ600" s="433"/>
      <c r="BR600" s="433"/>
      <c r="BS600" s="433"/>
      <c r="BT600" s="433"/>
      <c r="BU600" s="433"/>
    </row>
    <row r="601" spans="1:73" x14ac:dyDescent="0.2">
      <c r="A601" s="433"/>
      <c r="B601" s="433"/>
      <c r="C601" s="437"/>
      <c r="D601" s="437"/>
      <c r="E601" s="437"/>
      <c r="F601" s="437"/>
      <c r="G601" s="437"/>
      <c r="H601" s="437"/>
      <c r="I601" s="437"/>
      <c r="J601" s="437"/>
      <c r="K601" s="437"/>
      <c r="L601" s="437"/>
      <c r="M601" s="437"/>
      <c r="N601" s="437"/>
      <c r="O601" s="433"/>
      <c r="P601" s="433"/>
      <c r="Q601" s="433"/>
      <c r="R601" s="433"/>
      <c r="S601" s="433"/>
      <c r="T601" s="433"/>
      <c r="U601" s="433"/>
      <c r="V601" s="433"/>
      <c r="W601" s="433"/>
      <c r="X601" s="433"/>
      <c r="Y601" s="433"/>
      <c r="Z601" s="433"/>
      <c r="AA601" s="433"/>
      <c r="AB601" s="433"/>
      <c r="AC601" s="433"/>
      <c r="AD601" s="433"/>
      <c r="AE601" s="433"/>
      <c r="AF601" s="433"/>
      <c r="AG601" s="433"/>
      <c r="AH601" s="433"/>
      <c r="AI601" s="433"/>
      <c r="AJ601" s="433"/>
      <c r="AK601" s="433"/>
      <c r="AL601" s="433"/>
      <c r="AM601" s="433"/>
      <c r="AN601" s="433"/>
      <c r="AO601" s="433"/>
      <c r="AP601" s="433"/>
      <c r="AQ601" s="433"/>
      <c r="AR601" s="433"/>
      <c r="AS601" s="433"/>
      <c r="AT601" s="433"/>
      <c r="AU601" s="433"/>
      <c r="AV601" s="433"/>
      <c r="AW601" s="433"/>
      <c r="AX601" s="433"/>
      <c r="AY601" s="433"/>
      <c r="AZ601" s="433"/>
      <c r="BA601" s="433"/>
      <c r="BB601" s="433"/>
      <c r="BC601" s="433"/>
      <c r="BD601" s="433"/>
      <c r="BE601" s="433"/>
      <c r="BF601" s="433"/>
      <c r="BG601" s="433"/>
      <c r="BH601" s="433"/>
      <c r="BI601" s="433"/>
      <c r="BJ601" s="433"/>
      <c r="BK601" s="433"/>
      <c r="BL601" s="433"/>
      <c r="BM601" s="433"/>
      <c r="BN601" s="433"/>
      <c r="BO601" s="433"/>
      <c r="BP601" s="433"/>
      <c r="BQ601" s="433"/>
      <c r="BR601" s="433"/>
      <c r="BS601" s="433"/>
      <c r="BT601" s="433"/>
      <c r="BU601" s="433"/>
    </row>
    <row r="602" spans="1:73" x14ac:dyDescent="0.2">
      <c r="A602" s="433"/>
      <c r="B602" s="433"/>
      <c r="C602" s="437"/>
      <c r="D602" s="437"/>
      <c r="E602" s="437"/>
      <c r="F602" s="437"/>
      <c r="G602" s="437"/>
      <c r="H602" s="437"/>
      <c r="I602" s="437"/>
      <c r="J602" s="437"/>
      <c r="K602" s="437"/>
      <c r="L602" s="437"/>
      <c r="M602" s="437"/>
      <c r="N602" s="437"/>
      <c r="O602" s="433"/>
      <c r="P602" s="433"/>
      <c r="Q602" s="433"/>
      <c r="R602" s="433"/>
      <c r="S602" s="433"/>
      <c r="T602" s="433"/>
      <c r="U602" s="433"/>
      <c r="V602" s="433"/>
      <c r="W602" s="433"/>
      <c r="X602" s="433"/>
      <c r="Y602" s="433"/>
      <c r="Z602" s="433"/>
      <c r="AA602" s="433"/>
      <c r="AB602" s="433"/>
      <c r="AC602" s="433"/>
      <c r="AD602" s="433"/>
      <c r="AE602" s="433"/>
      <c r="AF602" s="433"/>
      <c r="AG602" s="433"/>
      <c r="AH602" s="433"/>
      <c r="AI602" s="433"/>
      <c r="AJ602" s="433"/>
      <c r="AK602" s="433"/>
      <c r="AL602" s="433"/>
      <c r="AM602" s="433"/>
      <c r="AN602" s="433"/>
      <c r="AO602" s="433"/>
      <c r="AP602" s="433"/>
      <c r="AQ602" s="433"/>
      <c r="AR602" s="433"/>
      <c r="AS602" s="433"/>
      <c r="AT602" s="433"/>
      <c r="AU602" s="433"/>
      <c r="AV602" s="433"/>
      <c r="AW602" s="433"/>
      <c r="AX602" s="433"/>
      <c r="AY602" s="433"/>
      <c r="AZ602" s="433"/>
      <c r="BA602" s="433"/>
      <c r="BB602" s="433"/>
      <c r="BC602" s="433"/>
      <c r="BD602" s="433"/>
      <c r="BE602" s="433"/>
      <c r="BF602" s="433"/>
      <c r="BG602" s="433"/>
      <c r="BH602" s="433"/>
      <c r="BI602" s="433"/>
      <c r="BJ602" s="433"/>
      <c r="BK602" s="433"/>
      <c r="BL602" s="433"/>
      <c r="BM602" s="433"/>
      <c r="BN602" s="433"/>
      <c r="BO602" s="433"/>
      <c r="BP602" s="433"/>
      <c r="BQ602" s="433"/>
      <c r="BR602" s="433"/>
      <c r="BS602" s="433"/>
      <c r="BT602" s="433"/>
      <c r="BU602" s="433"/>
    </row>
    <row r="603" spans="1:73" x14ac:dyDescent="0.2">
      <c r="A603" s="433"/>
      <c r="B603" s="433"/>
      <c r="C603" s="437"/>
      <c r="D603" s="437"/>
      <c r="E603" s="437"/>
      <c r="F603" s="437"/>
      <c r="G603" s="437"/>
      <c r="H603" s="437"/>
      <c r="I603" s="437"/>
      <c r="J603" s="437"/>
      <c r="K603" s="437"/>
      <c r="L603" s="437"/>
      <c r="M603" s="437"/>
      <c r="N603" s="437"/>
      <c r="O603" s="433"/>
      <c r="P603" s="433"/>
      <c r="Q603" s="433"/>
      <c r="R603" s="433"/>
      <c r="S603" s="433"/>
      <c r="T603" s="433"/>
      <c r="U603" s="433"/>
      <c r="V603" s="433"/>
      <c r="W603" s="433"/>
      <c r="X603" s="433"/>
      <c r="Y603" s="433"/>
      <c r="Z603" s="433"/>
      <c r="AA603" s="433"/>
      <c r="AB603" s="433"/>
      <c r="AC603" s="433"/>
      <c r="AD603" s="433"/>
      <c r="AE603" s="433"/>
      <c r="AF603" s="433"/>
      <c r="AG603" s="433"/>
      <c r="AH603" s="433"/>
      <c r="AI603" s="433"/>
      <c r="AJ603" s="433"/>
      <c r="AK603" s="433"/>
      <c r="AL603" s="433"/>
      <c r="AM603" s="433"/>
      <c r="AN603" s="433"/>
      <c r="AO603" s="433"/>
      <c r="AP603" s="433"/>
      <c r="AQ603" s="433"/>
      <c r="AR603" s="433"/>
      <c r="AS603" s="433"/>
      <c r="AT603" s="433"/>
      <c r="AU603" s="433"/>
      <c r="AV603" s="433"/>
      <c r="AW603" s="433"/>
      <c r="AX603" s="433"/>
      <c r="AY603" s="433"/>
      <c r="AZ603" s="433"/>
      <c r="BA603" s="433"/>
      <c r="BB603" s="433"/>
      <c r="BC603" s="433"/>
      <c r="BD603" s="433"/>
      <c r="BE603" s="433"/>
      <c r="BF603" s="433"/>
      <c r="BG603" s="433"/>
      <c r="BH603" s="433"/>
      <c r="BI603" s="433"/>
      <c r="BJ603" s="433"/>
      <c r="BK603" s="433"/>
      <c r="BL603" s="433"/>
      <c r="BM603" s="433"/>
      <c r="BN603" s="433"/>
      <c r="BO603" s="433"/>
      <c r="BP603" s="433"/>
      <c r="BQ603" s="433"/>
      <c r="BR603" s="433"/>
      <c r="BS603" s="433"/>
      <c r="BT603" s="433"/>
      <c r="BU603" s="433"/>
    </row>
    <row r="604" spans="1:73" x14ac:dyDescent="0.2">
      <c r="A604" s="433"/>
      <c r="B604" s="433"/>
      <c r="C604" s="437"/>
      <c r="D604" s="437"/>
      <c r="E604" s="437"/>
      <c r="F604" s="437"/>
      <c r="G604" s="437"/>
      <c r="H604" s="437"/>
      <c r="I604" s="437"/>
      <c r="J604" s="437"/>
      <c r="K604" s="437"/>
      <c r="L604" s="437"/>
      <c r="M604" s="437"/>
      <c r="N604" s="437"/>
      <c r="O604" s="433"/>
      <c r="P604" s="433"/>
      <c r="Q604" s="433"/>
      <c r="R604" s="433"/>
      <c r="S604" s="433"/>
      <c r="T604" s="433"/>
      <c r="U604" s="433"/>
      <c r="V604" s="433"/>
      <c r="W604" s="433"/>
      <c r="X604" s="433"/>
      <c r="Y604" s="433"/>
      <c r="Z604" s="433"/>
      <c r="AA604" s="433"/>
      <c r="AB604" s="433"/>
      <c r="AC604" s="433"/>
      <c r="AD604" s="433"/>
      <c r="AE604" s="433"/>
      <c r="AF604" s="433"/>
      <c r="AG604" s="433"/>
      <c r="AH604" s="433"/>
      <c r="AI604" s="433"/>
      <c r="AJ604" s="433"/>
      <c r="AK604" s="433"/>
      <c r="AL604" s="433"/>
      <c r="AM604" s="433"/>
      <c r="AN604" s="433"/>
      <c r="AO604" s="433"/>
      <c r="AP604" s="433"/>
      <c r="AQ604" s="433"/>
      <c r="AR604" s="433"/>
      <c r="AS604" s="433"/>
      <c r="AT604" s="433"/>
      <c r="AU604" s="433"/>
      <c r="AV604" s="433"/>
      <c r="AW604" s="433"/>
      <c r="AX604" s="433"/>
      <c r="AY604" s="433"/>
      <c r="AZ604" s="433"/>
      <c r="BA604" s="433"/>
      <c r="BB604" s="433"/>
      <c r="BC604" s="433"/>
      <c r="BD604" s="433"/>
      <c r="BE604" s="433"/>
      <c r="BF604" s="433"/>
      <c r="BG604" s="433"/>
      <c r="BH604" s="433"/>
      <c r="BI604" s="433"/>
      <c r="BJ604" s="433"/>
      <c r="BK604" s="433"/>
      <c r="BL604" s="433"/>
      <c r="BM604" s="433"/>
      <c r="BN604" s="433"/>
      <c r="BO604" s="433"/>
      <c r="BP604" s="433"/>
      <c r="BQ604" s="433"/>
      <c r="BR604" s="433"/>
      <c r="BS604" s="433"/>
      <c r="BT604" s="433"/>
      <c r="BU604" s="433"/>
    </row>
    <row r="605" spans="1:73" x14ac:dyDescent="0.2">
      <c r="A605" s="433"/>
      <c r="B605" s="433"/>
      <c r="C605" s="437"/>
      <c r="D605" s="437"/>
      <c r="E605" s="437"/>
      <c r="F605" s="437"/>
      <c r="G605" s="437"/>
      <c r="H605" s="437"/>
      <c r="I605" s="437"/>
      <c r="J605" s="437"/>
      <c r="K605" s="437"/>
      <c r="L605" s="437"/>
      <c r="M605" s="437"/>
      <c r="N605" s="437"/>
      <c r="O605" s="433"/>
      <c r="P605" s="433"/>
      <c r="Q605" s="433"/>
      <c r="R605" s="433"/>
      <c r="S605" s="433"/>
      <c r="T605" s="433"/>
      <c r="U605" s="433"/>
      <c r="V605" s="433"/>
      <c r="W605" s="433"/>
      <c r="X605" s="433"/>
      <c r="Y605" s="433"/>
      <c r="Z605" s="433"/>
      <c r="AA605" s="433"/>
      <c r="AB605" s="433"/>
      <c r="AC605" s="433"/>
      <c r="AD605" s="433"/>
      <c r="AE605" s="433"/>
      <c r="AF605" s="433"/>
      <c r="AG605" s="433"/>
      <c r="AH605" s="433"/>
      <c r="AI605" s="433"/>
      <c r="AJ605" s="433"/>
      <c r="AK605" s="433"/>
      <c r="AL605" s="433"/>
      <c r="AM605" s="433"/>
      <c r="AN605" s="433"/>
      <c r="AO605" s="433"/>
      <c r="AP605" s="433"/>
      <c r="AQ605" s="433"/>
      <c r="AR605" s="433"/>
      <c r="AS605" s="433"/>
      <c r="AT605" s="433"/>
      <c r="AU605" s="433"/>
      <c r="AV605" s="433"/>
      <c r="AW605" s="433"/>
      <c r="AX605" s="433"/>
      <c r="AY605" s="433"/>
      <c r="AZ605" s="433"/>
      <c r="BA605" s="433"/>
      <c r="BB605" s="433"/>
      <c r="BC605" s="433"/>
      <c r="BD605" s="433"/>
      <c r="BE605" s="433"/>
      <c r="BF605" s="433"/>
      <c r="BG605" s="433"/>
      <c r="BH605" s="433"/>
      <c r="BI605" s="433"/>
      <c r="BJ605" s="433"/>
      <c r="BK605" s="433"/>
      <c r="BL605" s="433"/>
      <c r="BM605" s="433"/>
      <c r="BN605" s="433"/>
      <c r="BO605" s="433"/>
      <c r="BP605" s="433"/>
      <c r="BQ605" s="433"/>
      <c r="BR605" s="433"/>
      <c r="BS605" s="433"/>
      <c r="BT605" s="433"/>
      <c r="BU605" s="433"/>
    </row>
    <row r="606" spans="1:73" x14ac:dyDescent="0.2">
      <c r="A606" s="433"/>
      <c r="B606" s="433"/>
      <c r="C606" s="437"/>
      <c r="D606" s="437"/>
      <c r="E606" s="437"/>
      <c r="F606" s="437"/>
      <c r="G606" s="437"/>
      <c r="H606" s="437"/>
      <c r="I606" s="437"/>
      <c r="J606" s="437"/>
      <c r="K606" s="437"/>
      <c r="L606" s="437"/>
      <c r="M606" s="437"/>
      <c r="N606" s="437"/>
      <c r="O606" s="433"/>
      <c r="P606" s="433"/>
      <c r="Q606" s="433"/>
      <c r="R606" s="433"/>
      <c r="S606" s="433"/>
      <c r="T606" s="433"/>
      <c r="U606" s="433"/>
      <c r="V606" s="433"/>
      <c r="W606" s="433"/>
      <c r="X606" s="433"/>
      <c r="Y606" s="433"/>
      <c r="Z606" s="433"/>
      <c r="AA606" s="433"/>
      <c r="AB606" s="433"/>
      <c r="AC606" s="433"/>
      <c r="AD606" s="433"/>
      <c r="AE606" s="433"/>
      <c r="AF606" s="433"/>
      <c r="AG606" s="433"/>
      <c r="AH606" s="433"/>
      <c r="AI606" s="433"/>
      <c r="AJ606" s="433"/>
      <c r="AK606" s="433"/>
      <c r="AL606" s="433"/>
      <c r="AM606" s="433"/>
      <c r="AN606" s="433"/>
      <c r="AO606" s="433"/>
      <c r="AP606" s="433"/>
      <c r="AQ606" s="433"/>
      <c r="AR606" s="433"/>
      <c r="AS606" s="433"/>
      <c r="AT606" s="433"/>
      <c r="AU606" s="433"/>
      <c r="AV606" s="433"/>
      <c r="AW606" s="433"/>
      <c r="AX606" s="433"/>
      <c r="AY606" s="433"/>
      <c r="AZ606" s="433"/>
      <c r="BA606" s="433"/>
      <c r="BB606" s="433"/>
      <c r="BC606" s="433"/>
      <c r="BD606" s="433"/>
      <c r="BE606" s="433"/>
      <c r="BF606" s="433"/>
      <c r="BG606" s="433"/>
      <c r="BH606" s="433"/>
      <c r="BI606" s="433"/>
      <c r="BJ606" s="433"/>
      <c r="BK606" s="433"/>
      <c r="BL606" s="433"/>
      <c r="BM606" s="433"/>
      <c r="BN606" s="433"/>
      <c r="BO606" s="433"/>
      <c r="BP606" s="433"/>
      <c r="BQ606" s="433"/>
      <c r="BR606" s="433"/>
      <c r="BS606" s="433"/>
      <c r="BT606" s="433"/>
      <c r="BU606" s="433"/>
    </row>
    <row r="607" spans="1:73" x14ac:dyDescent="0.2">
      <c r="A607" s="433"/>
      <c r="B607" s="433"/>
      <c r="C607" s="437"/>
      <c r="D607" s="437"/>
      <c r="E607" s="437"/>
      <c r="F607" s="437"/>
      <c r="G607" s="437"/>
      <c r="H607" s="437"/>
      <c r="I607" s="437"/>
      <c r="J607" s="437"/>
      <c r="K607" s="437"/>
      <c r="L607" s="437"/>
      <c r="M607" s="437"/>
      <c r="N607" s="437"/>
      <c r="O607" s="433"/>
      <c r="P607" s="433"/>
      <c r="Q607" s="433"/>
      <c r="R607" s="433"/>
      <c r="S607" s="433"/>
      <c r="T607" s="433"/>
      <c r="U607" s="433"/>
      <c r="V607" s="433"/>
      <c r="W607" s="433"/>
      <c r="X607" s="433"/>
      <c r="Y607" s="433"/>
      <c r="Z607" s="433"/>
      <c r="AA607" s="433"/>
      <c r="AB607" s="433"/>
      <c r="AC607" s="433"/>
      <c r="AD607" s="433"/>
      <c r="AE607" s="433"/>
      <c r="AF607" s="433"/>
      <c r="AG607" s="433"/>
      <c r="AH607" s="433"/>
      <c r="AI607" s="433"/>
      <c r="AJ607" s="433"/>
      <c r="AK607" s="433"/>
      <c r="AL607" s="433"/>
      <c r="AM607" s="433"/>
      <c r="AN607" s="433"/>
      <c r="AO607" s="433"/>
      <c r="AP607" s="433"/>
      <c r="AQ607" s="433"/>
      <c r="AR607" s="433"/>
      <c r="AS607" s="433"/>
      <c r="AT607" s="433"/>
      <c r="AU607" s="433"/>
      <c r="AV607" s="433"/>
      <c r="AW607" s="433"/>
      <c r="AX607" s="433"/>
      <c r="AY607" s="433"/>
      <c r="AZ607" s="433"/>
      <c r="BA607" s="433"/>
      <c r="BB607" s="433"/>
      <c r="BC607" s="433"/>
      <c r="BD607" s="433"/>
      <c r="BE607" s="433"/>
      <c r="BF607" s="433"/>
      <c r="BG607" s="433"/>
      <c r="BH607" s="433"/>
      <c r="BI607" s="433"/>
      <c r="BJ607" s="433"/>
      <c r="BK607" s="433"/>
      <c r="BL607" s="433"/>
      <c r="BM607" s="433"/>
      <c r="BN607" s="433"/>
      <c r="BO607" s="433"/>
      <c r="BP607" s="433"/>
      <c r="BQ607" s="433"/>
      <c r="BR607" s="433"/>
      <c r="BS607" s="433"/>
      <c r="BT607" s="433"/>
      <c r="BU607" s="433"/>
    </row>
    <row r="608" spans="1:73" x14ac:dyDescent="0.2">
      <c r="A608" s="433"/>
      <c r="B608" s="433"/>
      <c r="C608" s="437"/>
      <c r="D608" s="437"/>
      <c r="E608" s="437"/>
      <c r="F608" s="437"/>
      <c r="G608" s="437"/>
      <c r="H608" s="437"/>
      <c r="I608" s="437"/>
      <c r="J608" s="437"/>
      <c r="K608" s="437"/>
      <c r="L608" s="437"/>
      <c r="M608" s="437"/>
      <c r="N608" s="437"/>
      <c r="O608" s="433"/>
      <c r="P608" s="433"/>
      <c r="Q608" s="433"/>
      <c r="R608" s="433"/>
      <c r="S608" s="433"/>
      <c r="T608" s="433"/>
      <c r="U608" s="433"/>
      <c r="V608" s="433"/>
      <c r="W608" s="433"/>
      <c r="X608" s="433"/>
      <c r="Y608" s="433"/>
      <c r="Z608" s="433"/>
      <c r="AA608" s="433"/>
      <c r="AB608" s="433"/>
      <c r="AC608" s="433"/>
      <c r="AD608" s="433"/>
      <c r="AE608" s="433"/>
      <c r="AF608" s="433"/>
      <c r="AG608" s="433"/>
      <c r="AH608" s="433"/>
      <c r="AI608" s="433"/>
      <c r="AJ608" s="433"/>
      <c r="AK608" s="433"/>
      <c r="AL608" s="433"/>
      <c r="AM608" s="433"/>
      <c r="AN608" s="433"/>
      <c r="AO608" s="433"/>
      <c r="AP608" s="433"/>
      <c r="AQ608" s="433"/>
      <c r="AR608" s="433"/>
      <c r="AS608" s="433"/>
      <c r="AT608" s="433"/>
      <c r="AU608" s="433"/>
      <c r="AV608" s="433"/>
      <c r="AW608" s="433"/>
      <c r="AX608" s="433"/>
      <c r="AY608" s="433"/>
      <c r="AZ608" s="433"/>
      <c r="BA608" s="433"/>
      <c r="BB608" s="433"/>
      <c r="BC608" s="433"/>
      <c r="BD608" s="433"/>
      <c r="BE608" s="433"/>
      <c r="BF608" s="433"/>
      <c r="BG608" s="433"/>
      <c r="BH608" s="433"/>
      <c r="BI608" s="433"/>
      <c r="BJ608" s="433"/>
      <c r="BK608" s="433"/>
      <c r="BL608" s="433"/>
      <c r="BM608" s="433"/>
      <c r="BN608" s="433"/>
      <c r="BO608" s="433"/>
      <c r="BP608" s="433"/>
      <c r="BQ608" s="433"/>
      <c r="BR608" s="433"/>
      <c r="BS608" s="433"/>
      <c r="BT608" s="433"/>
      <c r="BU608" s="433"/>
    </row>
    <row r="609" spans="1:73" x14ac:dyDescent="0.2">
      <c r="A609" s="433"/>
      <c r="B609" s="433"/>
      <c r="C609" s="437"/>
      <c r="D609" s="437"/>
      <c r="E609" s="437"/>
      <c r="F609" s="437"/>
      <c r="G609" s="437"/>
      <c r="H609" s="437"/>
      <c r="I609" s="437"/>
      <c r="J609" s="437"/>
      <c r="K609" s="437"/>
      <c r="L609" s="437"/>
      <c r="M609" s="437"/>
      <c r="N609" s="437"/>
      <c r="O609" s="433"/>
      <c r="P609" s="433"/>
      <c r="Q609" s="433"/>
      <c r="R609" s="433"/>
      <c r="S609" s="433"/>
      <c r="T609" s="433"/>
      <c r="U609" s="433"/>
      <c r="V609" s="433"/>
      <c r="W609" s="433"/>
      <c r="X609" s="433"/>
      <c r="Y609" s="433"/>
      <c r="Z609" s="433"/>
      <c r="AA609" s="433"/>
      <c r="AB609" s="433"/>
      <c r="AC609" s="433"/>
      <c r="AD609" s="433"/>
      <c r="AE609" s="433"/>
      <c r="AF609" s="433"/>
      <c r="AG609" s="433"/>
      <c r="AH609" s="433"/>
      <c r="AI609" s="433"/>
      <c r="AJ609" s="433"/>
      <c r="AK609" s="433"/>
      <c r="AL609" s="433"/>
      <c r="AM609" s="433"/>
      <c r="AN609" s="433"/>
      <c r="AO609" s="433"/>
      <c r="AP609" s="433"/>
      <c r="AQ609" s="433"/>
      <c r="AR609" s="433"/>
      <c r="AS609" s="433"/>
      <c r="AT609" s="433"/>
      <c r="AU609" s="433"/>
      <c r="AV609" s="433"/>
      <c r="AW609" s="433"/>
      <c r="AX609" s="433"/>
      <c r="AY609" s="433"/>
      <c r="AZ609" s="433"/>
      <c r="BA609" s="433"/>
      <c r="BB609" s="433"/>
      <c r="BC609" s="433"/>
      <c r="BD609" s="433"/>
      <c r="BE609" s="433"/>
      <c r="BF609" s="433"/>
      <c r="BG609" s="433"/>
      <c r="BH609" s="433"/>
      <c r="BI609" s="433"/>
      <c r="BJ609" s="433"/>
      <c r="BK609" s="433"/>
      <c r="BL609" s="433"/>
      <c r="BM609" s="433"/>
      <c r="BN609" s="433"/>
      <c r="BO609" s="433"/>
      <c r="BP609" s="433"/>
      <c r="BQ609" s="433"/>
      <c r="BR609" s="433"/>
      <c r="BS609" s="433"/>
      <c r="BT609" s="433"/>
      <c r="BU609" s="433"/>
    </row>
    <row r="610" spans="1:73" x14ac:dyDescent="0.2">
      <c r="A610" s="433"/>
      <c r="B610" s="433"/>
      <c r="C610" s="437"/>
      <c r="D610" s="437"/>
      <c r="E610" s="437"/>
      <c r="F610" s="437"/>
      <c r="G610" s="437"/>
      <c r="H610" s="437"/>
      <c r="I610" s="437"/>
      <c r="J610" s="437"/>
      <c r="K610" s="437"/>
      <c r="L610" s="437"/>
      <c r="M610" s="437"/>
      <c r="N610" s="437"/>
      <c r="O610" s="433"/>
      <c r="P610" s="433"/>
      <c r="Q610" s="433"/>
      <c r="R610" s="433"/>
      <c r="S610" s="433"/>
      <c r="T610" s="433"/>
      <c r="U610" s="433"/>
      <c r="V610" s="433"/>
      <c r="W610" s="433"/>
      <c r="X610" s="433"/>
      <c r="Y610" s="433"/>
      <c r="Z610" s="433"/>
      <c r="AA610" s="433"/>
      <c r="AB610" s="433"/>
      <c r="AC610" s="433"/>
      <c r="AD610" s="433"/>
      <c r="AE610" s="433"/>
      <c r="AF610" s="433"/>
      <c r="AG610" s="433"/>
      <c r="AH610" s="433"/>
      <c r="AI610" s="433"/>
      <c r="AJ610" s="433"/>
      <c r="AK610" s="433"/>
      <c r="AL610" s="433"/>
      <c r="AM610" s="433"/>
      <c r="AN610" s="433"/>
      <c r="AO610" s="433"/>
      <c r="AP610" s="433"/>
      <c r="AQ610" s="433"/>
      <c r="AR610" s="433"/>
      <c r="AS610" s="433"/>
      <c r="AT610" s="433"/>
      <c r="AU610" s="433"/>
      <c r="AV610" s="433"/>
      <c r="AW610" s="433"/>
      <c r="AX610" s="433"/>
      <c r="AY610" s="433"/>
      <c r="AZ610" s="433"/>
      <c r="BA610" s="433"/>
      <c r="BB610" s="433"/>
      <c r="BC610" s="433"/>
      <c r="BD610" s="433"/>
      <c r="BE610" s="433"/>
      <c r="BF610" s="433"/>
      <c r="BG610" s="433"/>
      <c r="BH610" s="433"/>
      <c r="BI610" s="433"/>
      <c r="BJ610" s="433"/>
      <c r="BK610" s="433"/>
      <c r="BL610" s="433"/>
      <c r="BM610" s="433"/>
      <c r="BN610" s="433"/>
      <c r="BO610" s="433"/>
      <c r="BP610" s="433"/>
      <c r="BQ610" s="433"/>
      <c r="BR610" s="433"/>
      <c r="BS610" s="433"/>
      <c r="BT610" s="433"/>
      <c r="BU610" s="433"/>
    </row>
    <row r="611" spans="1:73" x14ac:dyDescent="0.2">
      <c r="A611" s="433"/>
      <c r="B611" s="433"/>
      <c r="C611" s="437"/>
      <c r="D611" s="437"/>
      <c r="E611" s="437"/>
      <c r="F611" s="437"/>
      <c r="G611" s="437"/>
      <c r="H611" s="437"/>
      <c r="I611" s="437"/>
      <c r="J611" s="437"/>
      <c r="K611" s="437"/>
      <c r="L611" s="437"/>
      <c r="M611" s="437"/>
      <c r="N611" s="437"/>
      <c r="O611" s="433"/>
      <c r="P611" s="433"/>
      <c r="Q611" s="433"/>
      <c r="R611" s="433"/>
      <c r="S611" s="433"/>
      <c r="T611" s="433"/>
      <c r="U611" s="433"/>
      <c r="V611" s="433"/>
      <c r="W611" s="433"/>
      <c r="X611" s="433"/>
      <c r="Y611" s="433"/>
      <c r="Z611" s="433"/>
      <c r="AA611" s="433"/>
      <c r="AB611" s="433"/>
      <c r="AC611" s="433"/>
      <c r="AD611" s="433"/>
      <c r="AE611" s="433"/>
      <c r="AF611" s="433"/>
      <c r="AG611" s="433"/>
      <c r="AH611" s="433"/>
      <c r="AI611" s="433"/>
      <c r="AJ611" s="433"/>
      <c r="AK611" s="433"/>
      <c r="AL611" s="433"/>
      <c r="AM611" s="433"/>
      <c r="AN611" s="433"/>
      <c r="AO611" s="433"/>
      <c r="AP611" s="433"/>
      <c r="AQ611" s="433"/>
      <c r="AR611" s="433"/>
      <c r="AS611" s="433"/>
      <c r="AT611" s="433"/>
      <c r="AU611" s="433"/>
      <c r="AV611" s="433"/>
      <c r="AW611" s="433"/>
      <c r="AX611" s="433"/>
      <c r="AY611" s="433"/>
      <c r="AZ611" s="433"/>
      <c r="BA611" s="433"/>
      <c r="BB611" s="433"/>
      <c r="BC611" s="433"/>
      <c r="BD611" s="433"/>
      <c r="BE611" s="433"/>
      <c r="BF611" s="433"/>
      <c r="BG611" s="433"/>
      <c r="BH611" s="433"/>
      <c r="BI611" s="433"/>
      <c r="BJ611" s="433"/>
      <c r="BK611" s="433"/>
      <c r="BL611" s="433"/>
      <c r="BM611" s="433"/>
      <c r="BN611" s="433"/>
      <c r="BO611" s="433"/>
      <c r="BP611" s="433"/>
      <c r="BQ611" s="433"/>
      <c r="BR611" s="433"/>
      <c r="BS611" s="433"/>
      <c r="BT611" s="433"/>
      <c r="BU611" s="433"/>
    </row>
    <row r="612" spans="1:73" x14ac:dyDescent="0.2">
      <c r="A612" s="433"/>
      <c r="B612" s="433"/>
      <c r="C612" s="437"/>
      <c r="D612" s="437"/>
      <c r="E612" s="437"/>
      <c r="F612" s="437"/>
      <c r="G612" s="437"/>
      <c r="H612" s="437"/>
      <c r="I612" s="437"/>
      <c r="J612" s="437"/>
      <c r="K612" s="437"/>
      <c r="L612" s="437"/>
      <c r="M612" s="437"/>
      <c r="N612" s="437"/>
      <c r="O612" s="433"/>
      <c r="P612" s="433"/>
      <c r="Q612" s="433"/>
      <c r="R612" s="433"/>
      <c r="S612" s="433"/>
      <c r="T612" s="433"/>
      <c r="U612" s="433"/>
      <c r="V612" s="433"/>
      <c r="W612" s="433"/>
      <c r="X612" s="433"/>
      <c r="Y612" s="433"/>
      <c r="Z612" s="433"/>
      <c r="AA612" s="433"/>
      <c r="AB612" s="433"/>
      <c r="AC612" s="433"/>
      <c r="AD612" s="433"/>
      <c r="AE612" s="433"/>
      <c r="AF612" s="433"/>
      <c r="AG612" s="433"/>
      <c r="AH612" s="433"/>
      <c r="AI612" s="433"/>
      <c r="AJ612" s="433"/>
      <c r="AK612" s="433"/>
      <c r="AL612" s="433"/>
      <c r="AM612" s="433"/>
      <c r="AN612" s="433"/>
      <c r="AO612" s="433"/>
      <c r="AP612" s="433"/>
      <c r="AQ612" s="433"/>
      <c r="AR612" s="433"/>
      <c r="AS612" s="433"/>
      <c r="AT612" s="433"/>
      <c r="AU612" s="433"/>
      <c r="AV612" s="433"/>
      <c r="AW612" s="433"/>
      <c r="AX612" s="433"/>
      <c r="AY612" s="433"/>
      <c r="AZ612" s="433"/>
      <c r="BA612" s="433"/>
      <c r="BB612" s="433"/>
      <c r="BC612" s="433"/>
      <c r="BD612" s="433"/>
      <c r="BE612" s="433"/>
      <c r="BF612" s="433"/>
      <c r="BG612" s="433"/>
      <c r="BH612" s="433"/>
      <c r="BI612" s="433"/>
      <c r="BJ612" s="433"/>
      <c r="BK612" s="433"/>
      <c r="BL612" s="433"/>
      <c r="BM612" s="433"/>
      <c r="BN612" s="433"/>
      <c r="BO612" s="433"/>
      <c r="BP612" s="433"/>
      <c r="BQ612" s="433"/>
      <c r="BR612" s="433"/>
      <c r="BS612" s="433"/>
      <c r="BT612" s="433"/>
      <c r="BU612" s="433"/>
    </row>
    <row r="613" spans="1:73" x14ac:dyDescent="0.2">
      <c r="A613" s="433"/>
      <c r="B613" s="433"/>
      <c r="C613" s="437"/>
      <c r="D613" s="437"/>
      <c r="E613" s="437"/>
      <c r="F613" s="437"/>
      <c r="G613" s="437"/>
      <c r="H613" s="437"/>
      <c r="I613" s="437"/>
      <c r="J613" s="437"/>
      <c r="K613" s="437"/>
      <c r="L613" s="437"/>
      <c r="M613" s="437"/>
      <c r="N613" s="437"/>
      <c r="O613" s="433"/>
      <c r="P613" s="433"/>
      <c r="Q613" s="433"/>
      <c r="R613" s="433"/>
      <c r="S613" s="433"/>
      <c r="T613" s="433"/>
      <c r="U613" s="433"/>
      <c r="V613" s="433"/>
      <c r="W613" s="433"/>
      <c r="X613" s="433"/>
      <c r="Y613" s="433"/>
      <c r="Z613" s="433"/>
      <c r="AA613" s="433"/>
      <c r="AB613" s="433"/>
      <c r="AC613" s="433"/>
      <c r="AD613" s="433"/>
      <c r="AE613" s="433"/>
      <c r="AF613" s="433"/>
      <c r="AG613" s="433"/>
      <c r="AH613" s="433"/>
      <c r="AI613" s="433"/>
      <c r="AJ613" s="433"/>
      <c r="AK613" s="433"/>
      <c r="AL613" s="433"/>
      <c r="AM613" s="433"/>
      <c r="AN613" s="433"/>
      <c r="AO613" s="433"/>
      <c r="AP613" s="433"/>
      <c r="AQ613" s="433"/>
      <c r="AR613" s="433"/>
      <c r="AS613" s="433"/>
      <c r="AT613" s="433"/>
      <c r="AU613" s="433"/>
      <c r="AV613" s="433"/>
      <c r="AW613" s="433"/>
      <c r="AX613" s="433"/>
      <c r="AY613" s="433"/>
      <c r="AZ613" s="433"/>
      <c r="BA613" s="433"/>
      <c r="BB613" s="433"/>
      <c r="BC613" s="433"/>
      <c r="BD613" s="433"/>
      <c r="BE613" s="433"/>
      <c r="BF613" s="433"/>
      <c r="BG613" s="433"/>
      <c r="BH613" s="433"/>
      <c r="BI613" s="433"/>
      <c r="BJ613" s="433"/>
      <c r="BK613" s="433"/>
      <c r="BL613" s="433"/>
      <c r="BM613" s="433"/>
      <c r="BN613" s="433"/>
      <c r="BO613" s="433"/>
      <c r="BP613" s="433"/>
      <c r="BQ613" s="433"/>
      <c r="BR613" s="433"/>
      <c r="BS613" s="433"/>
      <c r="BT613" s="433"/>
      <c r="BU613" s="433"/>
    </row>
    <row r="614" spans="1:73" x14ac:dyDescent="0.2">
      <c r="A614" s="433"/>
      <c r="B614" s="433"/>
      <c r="C614" s="437"/>
      <c r="D614" s="437"/>
      <c r="E614" s="437"/>
      <c r="F614" s="437"/>
      <c r="G614" s="437"/>
      <c r="H614" s="437"/>
      <c r="I614" s="437"/>
      <c r="J614" s="437"/>
      <c r="K614" s="437"/>
      <c r="L614" s="437"/>
      <c r="M614" s="437"/>
      <c r="N614" s="437"/>
      <c r="O614" s="433"/>
      <c r="P614" s="433"/>
      <c r="Q614" s="433"/>
      <c r="R614" s="433"/>
      <c r="S614" s="433"/>
      <c r="T614" s="433"/>
      <c r="U614" s="433"/>
      <c r="V614" s="433"/>
      <c r="W614" s="433"/>
      <c r="X614" s="433"/>
      <c r="Y614" s="433"/>
      <c r="Z614" s="433"/>
      <c r="AA614" s="433"/>
      <c r="AB614" s="433"/>
      <c r="AC614" s="433"/>
      <c r="AD614" s="433"/>
      <c r="AE614" s="433"/>
      <c r="AF614" s="433"/>
      <c r="AG614" s="433"/>
      <c r="AH614" s="433"/>
      <c r="AI614" s="433"/>
      <c r="AJ614" s="433"/>
      <c r="AK614" s="433"/>
      <c r="AL614" s="433"/>
      <c r="AM614" s="433"/>
      <c r="AN614" s="433"/>
      <c r="AO614" s="433"/>
      <c r="AP614" s="433"/>
      <c r="AQ614" s="433"/>
      <c r="AR614" s="433"/>
      <c r="AS614" s="433"/>
      <c r="AT614" s="433"/>
      <c r="AU614" s="433"/>
      <c r="AV614" s="433"/>
      <c r="AW614" s="433"/>
      <c r="AX614" s="433"/>
      <c r="AY614" s="433"/>
      <c r="AZ614" s="433"/>
      <c r="BA614" s="433"/>
      <c r="BB614" s="433"/>
      <c r="BC614" s="433"/>
      <c r="BD614" s="433"/>
      <c r="BE614" s="433"/>
      <c r="BF614" s="433"/>
      <c r="BG614" s="433"/>
      <c r="BH614" s="433"/>
      <c r="BI614" s="433"/>
      <c r="BJ614" s="433"/>
      <c r="BK614" s="433"/>
      <c r="BL614" s="433"/>
      <c r="BM614" s="433"/>
      <c r="BN614" s="433"/>
      <c r="BO614" s="433"/>
      <c r="BP614" s="433"/>
      <c r="BQ614" s="433"/>
      <c r="BR614" s="433"/>
      <c r="BS614" s="433"/>
      <c r="BT614" s="433"/>
      <c r="BU614" s="433"/>
    </row>
    <row r="615" spans="1:73" x14ac:dyDescent="0.2">
      <c r="A615" s="433"/>
      <c r="B615" s="433"/>
      <c r="C615" s="437"/>
      <c r="D615" s="437"/>
      <c r="E615" s="437"/>
      <c r="F615" s="437"/>
      <c r="G615" s="437"/>
      <c r="H615" s="437"/>
      <c r="I615" s="437"/>
      <c r="J615" s="437"/>
      <c r="K615" s="437"/>
      <c r="L615" s="437"/>
      <c r="M615" s="437"/>
      <c r="N615" s="437"/>
      <c r="O615" s="433"/>
      <c r="P615" s="433"/>
      <c r="Q615" s="433"/>
      <c r="R615" s="433"/>
      <c r="S615" s="433"/>
      <c r="T615" s="433"/>
      <c r="U615" s="433"/>
      <c r="V615" s="433"/>
      <c r="W615" s="433"/>
      <c r="X615" s="433"/>
      <c r="Y615" s="433"/>
      <c r="Z615" s="433"/>
      <c r="AA615" s="433"/>
      <c r="AB615" s="433"/>
      <c r="AC615" s="433"/>
      <c r="AD615" s="433"/>
      <c r="AE615" s="433"/>
      <c r="AF615" s="433"/>
      <c r="AG615" s="433"/>
      <c r="AH615" s="433"/>
      <c r="AI615" s="433"/>
      <c r="AJ615" s="433"/>
      <c r="AK615" s="433"/>
      <c r="AL615" s="433"/>
      <c r="AM615" s="433"/>
      <c r="AN615" s="433"/>
      <c r="AO615" s="433"/>
      <c r="AP615" s="433"/>
      <c r="AQ615" s="433"/>
      <c r="AR615" s="433"/>
      <c r="AS615" s="433"/>
      <c r="AT615" s="433"/>
      <c r="AU615" s="433"/>
      <c r="AV615" s="433"/>
      <c r="AW615" s="433"/>
      <c r="AX615" s="433"/>
      <c r="AY615" s="433"/>
      <c r="AZ615" s="433"/>
      <c r="BA615" s="433"/>
      <c r="BB615" s="433"/>
      <c r="BC615" s="433"/>
      <c r="BD615" s="433"/>
      <c r="BE615" s="433"/>
      <c r="BF615" s="433"/>
      <c r="BG615" s="433"/>
      <c r="BH615" s="433"/>
      <c r="BI615" s="433"/>
      <c r="BJ615" s="433"/>
      <c r="BK615" s="433"/>
      <c r="BL615" s="433"/>
      <c r="BM615" s="433"/>
      <c r="BN615" s="433"/>
      <c r="BO615" s="433"/>
      <c r="BP615" s="433"/>
      <c r="BQ615" s="433"/>
      <c r="BR615" s="433"/>
      <c r="BS615" s="433"/>
      <c r="BT615" s="433"/>
      <c r="BU615" s="433"/>
    </row>
    <row r="616" spans="1:73" x14ac:dyDescent="0.2">
      <c r="A616" s="433"/>
      <c r="B616" s="433"/>
      <c r="C616" s="437"/>
      <c r="D616" s="437"/>
      <c r="E616" s="437"/>
      <c r="F616" s="437"/>
      <c r="G616" s="437"/>
      <c r="H616" s="437"/>
      <c r="I616" s="437"/>
      <c r="J616" s="437"/>
      <c r="K616" s="437"/>
      <c r="L616" s="437"/>
      <c r="M616" s="437"/>
      <c r="N616" s="437"/>
      <c r="O616" s="433"/>
      <c r="P616" s="433"/>
      <c r="Q616" s="433"/>
      <c r="R616" s="433"/>
      <c r="S616" s="433"/>
      <c r="T616" s="433"/>
      <c r="U616" s="433"/>
      <c r="V616" s="433"/>
      <c r="W616" s="433"/>
      <c r="X616" s="433"/>
      <c r="Y616" s="433"/>
      <c r="Z616" s="433"/>
      <c r="AA616" s="433"/>
      <c r="AB616" s="433"/>
      <c r="AC616" s="433"/>
      <c r="AD616" s="433"/>
      <c r="AE616" s="433"/>
      <c r="AF616" s="433"/>
      <c r="AG616" s="433"/>
      <c r="AH616" s="433"/>
      <c r="AI616" s="433"/>
      <c r="AJ616" s="433"/>
      <c r="AK616" s="433"/>
      <c r="AL616" s="433"/>
      <c r="AM616" s="433"/>
      <c r="AN616" s="433"/>
      <c r="AO616" s="433"/>
      <c r="AP616" s="433"/>
      <c r="AQ616" s="433"/>
      <c r="AR616" s="433"/>
      <c r="AS616" s="433"/>
      <c r="AT616" s="433"/>
      <c r="AU616" s="433"/>
      <c r="AV616" s="433"/>
      <c r="AW616" s="433"/>
      <c r="AX616" s="433"/>
      <c r="AY616" s="433"/>
      <c r="AZ616" s="433"/>
      <c r="BA616" s="433"/>
      <c r="BB616" s="433"/>
      <c r="BC616" s="433"/>
      <c r="BD616" s="433"/>
      <c r="BE616" s="433"/>
      <c r="BF616" s="433"/>
      <c r="BG616" s="433"/>
      <c r="BH616" s="433"/>
      <c r="BI616" s="433"/>
      <c r="BJ616" s="433"/>
      <c r="BK616" s="433"/>
      <c r="BL616" s="433"/>
      <c r="BM616" s="433"/>
      <c r="BN616" s="433"/>
      <c r="BO616" s="433"/>
      <c r="BP616" s="433"/>
      <c r="BQ616" s="433"/>
      <c r="BR616" s="433"/>
      <c r="BS616" s="433"/>
      <c r="BT616" s="433"/>
      <c r="BU616" s="433"/>
    </row>
    <row r="617" spans="1:73" x14ac:dyDescent="0.2">
      <c r="A617" s="433"/>
      <c r="B617" s="433"/>
      <c r="C617" s="437"/>
      <c r="D617" s="437"/>
      <c r="E617" s="437"/>
      <c r="F617" s="437"/>
      <c r="G617" s="437"/>
      <c r="H617" s="437"/>
      <c r="I617" s="437"/>
      <c r="J617" s="437"/>
      <c r="K617" s="437"/>
      <c r="L617" s="437"/>
      <c r="M617" s="437"/>
      <c r="N617" s="437"/>
      <c r="O617" s="433"/>
      <c r="P617" s="433"/>
      <c r="Q617" s="433"/>
      <c r="R617" s="433"/>
      <c r="S617" s="433"/>
      <c r="T617" s="433"/>
      <c r="U617" s="433"/>
      <c r="V617" s="433"/>
      <c r="W617" s="433"/>
      <c r="X617" s="433"/>
      <c r="Y617" s="433"/>
      <c r="Z617" s="433"/>
      <c r="AA617" s="433"/>
      <c r="AB617" s="433"/>
      <c r="AC617" s="433"/>
      <c r="AD617" s="433"/>
      <c r="AE617" s="433"/>
      <c r="AF617" s="433"/>
      <c r="AG617" s="433"/>
      <c r="AH617" s="433"/>
      <c r="AI617" s="433"/>
      <c r="AJ617" s="433"/>
      <c r="AK617" s="433"/>
      <c r="AL617" s="433"/>
      <c r="AM617" s="433"/>
      <c r="AN617" s="433"/>
      <c r="AO617" s="433"/>
      <c r="AP617" s="433"/>
      <c r="AQ617" s="433"/>
      <c r="AR617" s="433"/>
      <c r="AS617" s="433"/>
      <c r="AT617" s="433"/>
      <c r="AU617" s="433"/>
      <c r="AV617" s="433"/>
      <c r="AW617" s="433"/>
      <c r="AX617" s="433"/>
      <c r="AY617" s="433"/>
      <c r="AZ617" s="433"/>
      <c r="BA617" s="433"/>
      <c r="BB617" s="433"/>
      <c r="BC617" s="433"/>
      <c r="BD617" s="433"/>
      <c r="BE617" s="433"/>
      <c r="BF617" s="433"/>
      <c r="BG617" s="433"/>
      <c r="BH617" s="433"/>
      <c r="BI617" s="433"/>
      <c r="BJ617" s="433"/>
      <c r="BK617" s="433"/>
      <c r="BL617" s="433"/>
      <c r="BM617" s="433"/>
      <c r="BN617" s="433"/>
      <c r="BO617" s="433"/>
      <c r="BP617" s="433"/>
      <c r="BQ617" s="433"/>
      <c r="BR617" s="433"/>
      <c r="BS617" s="433"/>
      <c r="BT617" s="433"/>
      <c r="BU617" s="433"/>
    </row>
    <row r="618" spans="1:73" x14ac:dyDescent="0.2">
      <c r="A618" s="433"/>
      <c r="B618" s="433"/>
      <c r="C618" s="437"/>
      <c r="D618" s="437"/>
      <c r="E618" s="437"/>
      <c r="F618" s="437"/>
      <c r="G618" s="437"/>
      <c r="H618" s="437"/>
      <c r="I618" s="437"/>
      <c r="J618" s="437"/>
      <c r="K618" s="437"/>
      <c r="L618" s="437"/>
      <c r="M618" s="437"/>
      <c r="N618" s="437"/>
      <c r="O618" s="433"/>
      <c r="P618" s="433"/>
      <c r="Q618" s="433"/>
      <c r="R618" s="433"/>
      <c r="S618" s="433"/>
      <c r="T618" s="433"/>
      <c r="U618" s="433"/>
      <c r="V618" s="433"/>
      <c r="W618" s="433"/>
      <c r="X618" s="433"/>
      <c r="Y618" s="433"/>
      <c r="Z618" s="433"/>
      <c r="AA618" s="433"/>
      <c r="AB618" s="433"/>
      <c r="AC618" s="433"/>
      <c r="AD618" s="433"/>
      <c r="AE618" s="433"/>
      <c r="AF618" s="433"/>
      <c r="AG618" s="433"/>
      <c r="AH618" s="433"/>
      <c r="AI618" s="433"/>
      <c r="AJ618" s="433"/>
      <c r="AK618" s="433"/>
      <c r="AL618" s="433"/>
      <c r="AM618" s="433"/>
      <c r="AN618" s="433"/>
      <c r="AO618" s="433"/>
      <c r="AP618" s="433"/>
      <c r="AQ618" s="433"/>
      <c r="AR618" s="433"/>
      <c r="AS618" s="433"/>
      <c r="AT618" s="433"/>
      <c r="AU618" s="433"/>
      <c r="AV618" s="433"/>
      <c r="AW618" s="433"/>
      <c r="AX618" s="433"/>
      <c r="AY618" s="433"/>
      <c r="AZ618" s="433"/>
      <c r="BA618" s="433"/>
      <c r="BB618" s="433"/>
      <c r="BC618" s="433"/>
      <c r="BD618" s="433"/>
      <c r="BE618" s="433"/>
      <c r="BF618" s="433"/>
      <c r="BG618" s="433"/>
      <c r="BH618" s="433"/>
      <c r="BI618" s="433"/>
      <c r="BJ618" s="433"/>
      <c r="BK618" s="433"/>
      <c r="BL618" s="433"/>
      <c r="BM618" s="433"/>
      <c r="BN618" s="433"/>
      <c r="BO618" s="433"/>
      <c r="BP618" s="433"/>
      <c r="BQ618" s="433"/>
      <c r="BR618" s="433"/>
      <c r="BS618" s="433"/>
      <c r="BT618" s="433"/>
      <c r="BU618" s="433"/>
    </row>
  </sheetData>
  <mergeCells count="3">
    <mergeCell ref="A1:J1"/>
    <mergeCell ref="A2:J2"/>
    <mergeCell ref="A3:J3"/>
  </mergeCells>
  <hyperlinks>
    <hyperlink ref="A80" location="'indice cap.1'!A1" display="regresar al índice" xr:uid="{00000000-0004-0000-1100-000000000000}"/>
  </hyperlinks>
  <pageMargins left="0.39370078740157483" right="0" top="0.59055118110236227" bottom="0.59055118110236227" header="0" footer="0"/>
  <pageSetup paperSize="9" scale="72" orientation="landscape" verticalDpi="599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9"/>
  <sheetViews>
    <sheetView showGridLines="0" workbookViewId="0">
      <selection activeCell="A5" sqref="A5"/>
    </sheetView>
  </sheetViews>
  <sheetFormatPr defaultColWidth="11.42578125" defaultRowHeight="15" x14ac:dyDescent="0.25"/>
  <cols>
    <col min="1" max="1" width="49.7109375" customWidth="1"/>
  </cols>
  <sheetData>
    <row r="1" spans="1:14" x14ac:dyDescent="0.25">
      <c r="A1" s="573" t="s">
        <v>892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473"/>
    </row>
    <row r="2" spans="1:14" x14ac:dyDescent="0.25">
      <c r="A2" s="471" t="s">
        <v>869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4"/>
    </row>
    <row r="3" spans="1:14" x14ac:dyDescent="0.25">
      <c r="A3" s="471" t="s">
        <v>86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4"/>
    </row>
    <row r="4" spans="1:14" x14ac:dyDescent="0.25">
      <c r="A4" s="432"/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0"/>
      <c r="M4" s="430"/>
      <c r="N4" s="430"/>
    </row>
    <row r="5" spans="1:14" x14ac:dyDescent="0.25">
      <c r="A5" s="452" t="s">
        <v>148</v>
      </c>
      <c r="B5" s="453" t="s">
        <v>330</v>
      </c>
      <c r="C5" s="453" t="s">
        <v>331</v>
      </c>
      <c r="D5" s="453" t="s">
        <v>332</v>
      </c>
      <c r="E5" s="453" t="s">
        <v>333</v>
      </c>
      <c r="F5" s="453" t="s">
        <v>334</v>
      </c>
      <c r="G5" s="453" t="s">
        <v>335</v>
      </c>
      <c r="H5" s="453" t="s">
        <v>336</v>
      </c>
      <c r="I5" s="453" t="s">
        <v>337</v>
      </c>
      <c r="J5" s="453" t="s">
        <v>338</v>
      </c>
      <c r="K5" s="453" t="s">
        <v>339</v>
      </c>
      <c r="L5" s="453" t="s">
        <v>340</v>
      </c>
      <c r="M5" s="454" t="s">
        <v>341</v>
      </c>
      <c r="N5" s="303"/>
    </row>
    <row r="6" spans="1:14" x14ac:dyDescent="0.25">
      <c r="A6" s="433"/>
      <c r="B6" s="433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303"/>
    </row>
    <row r="7" spans="1:14" x14ac:dyDescent="0.25">
      <c r="A7" s="459" t="s">
        <v>165</v>
      </c>
      <c r="B7" s="475">
        <v>10.6</v>
      </c>
      <c r="C7" s="475">
        <v>10.84</v>
      </c>
      <c r="D7" s="475">
        <v>13.99</v>
      </c>
      <c r="E7" s="475">
        <v>14.76</v>
      </c>
      <c r="F7" s="475">
        <v>15.84</v>
      </c>
      <c r="G7" s="475">
        <v>14.57</v>
      </c>
      <c r="H7" s="475">
        <v>14.2</v>
      </c>
      <c r="I7" s="475">
        <v>13.78</v>
      </c>
      <c r="J7" s="475">
        <v>14.04</v>
      </c>
      <c r="K7" s="475">
        <v>13.5</v>
      </c>
      <c r="L7" s="475">
        <v>13.5</v>
      </c>
      <c r="M7" s="475">
        <v>13.5</v>
      </c>
      <c r="N7" s="303"/>
    </row>
    <row r="8" spans="1:14" x14ac:dyDescent="0.25">
      <c r="A8" s="440"/>
      <c r="B8" s="440"/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303"/>
    </row>
    <row r="9" spans="1:14" x14ac:dyDescent="0.25">
      <c r="A9" s="459" t="s">
        <v>166</v>
      </c>
      <c r="B9" s="467"/>
      <c r="C9" s="467"/>
      <c r="D9" s="467"/>
      <c r="E9" s="467"/>
      <c r="F9" s="467"/>
      <c r="G9" s="467"/>
      <c r="H9" s="467"/>
      <c r="I9" s="467"/>
      <c r="J9" s="467"/>
      <c r="K9" s="467"/>
      <c r="L9" s="467"/>
      <c r="M9" s="467"/>
      <c r="N9" s="303"/>
    </row>
    <row r="10" spans="1:14" x14ac:dyDescent="0.25">
      <c r="A10" s="459" t="s">
        <v>342</v>
      </c>
      <c r="B10" s="465">
        <v>53.38</v>
      </c>
      <c r="C10" s="465">
        <v>50.370999999999995</v>
      </c>
      <c r="D10" s="465">
        <v>41.128999999999998</v>
      </c>
      <c r="E10" s="465">
        <v>40.856999999999999</v>
      </c>
      <c r="F10" s="465">
        <v>79.063999999999993</v>
      </c>
      <c r="G10" s="465">
        <v>115.145</v>
      </c>
      <c r="H10" s="465">
        <v>206.80600000000001</v>
      </c>
      <c r="I10" s="465">
        <v>359.53</v>
      </c>
      <c r="J10" s="465">
        <v>467.37299999999993</v>
      </c>
      <c r="K10" s="465">
        <v>364.95499999999998</v>
      </c>
      <c r="L10" s="465">
        <v>396.14100000000002</v>
      </c>
      <c r="M10" s="465">
        <v>343.01400000000001</v>
      </c>
      <c r="N10" s="303"/>
    </row>
    <row r="11" spans="1:14" x14ac:dyDescent="0.25">
      <c r="A11" s="463"/>
      <c r="B11" s="464"/>
      <c r="C11" s="464"/>
      <c r="D11" s="464"/>
      <c r="E11" s="464"/>
      <c r="F11" s="462"/>
      <c r="G11" s="462"/>
      <c r="H11" s="462"/>
      <c r="I11" s="462"/>
      <c r="J11" s="462"/>
      <c r="K11" s="462"/>
      <c r="L11" s="464"/>
      <c r="M11" s="462"/>
      <c r="N11" s="303"/>
    </row>
    <row r="12" spans="1:14" x14ac:dyDescent="0.25">
      <c r="A12" s="463" t="s">
        <v>343</v>
      </c>
      <c r="B12" s="464">
        <v>31.315999999999999</v>
      </c>
      <c r="C12" s="464">
        <v>36.363</v>
      </c>
      <c r="D12" s="464">
        <v>32.466999999999999</v>
      </c>
      <c r="E12" s="464">
        <v>36.055999999999997</v>
      </c>
      <c r="F12" s="464">
        <v>52.351999999999997</v>
      </c>
      <c r="G12" s="464">
        <v>70.427999999999997</v>
      </c>
      <c r="H12" s="464">
        <v>130.12200000000001</v>
      </c>
      <c r="I12" s="464">
        <v>231.9</v>
      </c>
      <c r="J12" s="464">
        <v>288.27699999999999</v>
      </c>
      <c r="K12" s="464">
        <v>288.14499999999998</v>
      </c>
      <c r="L12" s="464">
        <v>272.72500000000002</v>
      </c>
      <c r="M12" s="464">
        <v>274.06299999999999</v>
      </c>
      <c r="N12" s="303"/>
    </row>
    <row r="13" spans="1:14" x14ac:dyDescent="0.25">
      <c r="A13" s="463" t="s">
        <v>344</v>
      </c>
      <c r="B13" s="476" t="s">
        <v>10</v>
      </c>
      <c r="C13" s="476" t="s">
        <v>10</v>
      </c>
      <c r="D13" s="476" t="s">
        <v>10</v>
      </c>
      <c r="E13" s="476" t="s">
        <v>10</v>
      </c>
      <c r="F13" s="476" t="s">
        <v>10</v>
      </c>
      <c r="G13" s="464">
        <v>1.6120000000000001</v>
      </c>
      <c r="H13" s="476" t="s">
        <v>10</v>
      </c>
      <c r="I13" s="476" t="s">
        <v>10</v>
      </c>
      <c r="J13" s="476" t="s">
        <v>10</v>
      </c>
      <c r="K13" s="476" t="s">
        <v>10</v>
      </c>
      <c r="L13" s="464">
        <v>16.875</v>
      </c>
      <c r="M13" s="464">
        <v>16.875</v>
      </c>
      <c r="N13" s="303"/>
    </row>
    <row r="14" spans="1:14" x14ac:dyDescent="0.25">
      <c r="A14" s="463" t="s">
        <v>345</v>
      </c>
      <c r="B14" s="476" t="s">
        <v>10</v>
      </c>
      <c r="C14" s="476" t="s">
        <v>10</v>
      </c>
      <c r="D14" s="464">
        <v>3.9769999999999999</v>
      </c>
      <c r="E14" s="464">
        <v>2.8409999999999997</v>
      </c>
      <c r="F14" s="464">
        <v>8.5670000000000002</v>
      </c>
      <c r="G14" s="476">
        <v>0</v>
      </c>
      <c r="H14" s="464">
        <v>3.323</v>
      </c>
      <c r="I14" s="464">
        <v>3.7490000000000001</v>
      </c>
      <c r="J14" s="464">
        <v>0.35899999999999999</v>
      </c>
      <c r="K14" s="464">
        <v>0.72699999999999998</v>
      </c>
      <c r="L14" s="464">
        <v>0</v>
      </c>
      <c r="M14" s="464">
        <v>0.91500000000000004</v>
      </c>
      <c r="N14" s="303"/>
    </row>
    <row r="15" spans="1:14" x14ac:dyDescent="0.25">
      <c r="A15" s="463" t="s">
        <v>346</v>
      </c>
      <c r="B15" s="464">
        <v>22.064</v>
      </c>
      <c r="C15" s="464">
        <v>14.007999999999999</v>
      </c>
      <c r="D15" s="464">
        <v>4.6849999999999996</v>
      </c>
      <c r="E15" s="464">
        <v>1.96</v>
      </c>
      <c r="F15" s="464">
        <v>18.145</v>
      </c>
      <c r="G15" s="464">
        <v>43.104999999999997</v>
      </c>
      <c r="H15" s="464">
        <v>73.36099999999999</v>
      </c>
      <c r="I15" s="464">
        <v>123.881</v>
      </c>
      <c r="J15" s="464">
        <v>178.73699999999999</v>
      </c>
      <c r="K15" s="464">
        <v>76.082999999999998</v>
      </c>
      <c r="L15" s="464">
        <v>106.541</v>
      </c>
      <c r="M15" s="464">
        <v>51.161000000000001</v>
      </c>
      <c r="N15" s="303"/>
    </row>
    <row r="16" spans="1:14" x14ac:dyDescent="0.25">
      <c r="A16" s="459"/>
      <c r="B16" s="464"/>
      <c r="C16" s="464"/>
      <c r="D16" s="464"/>
      <c r="E16" s="464"/>
      <c r="F16" s="464"/>
      <c r="G16" s="464"/>
      <c r="H16" s="464"/>
      <c r="I16" s="464"/>
      <c r="J16" s="464"/>
      <c r="K16" s="464"/>
      <c r="L16" s="464"/>
      <c r="M16" s="464"/>
      <c r="N16" s="303"/>
    </row>
    <row r="17" spans="1:14" x14ac:dyDescent="0.25">
      <c r="A17" s="459" t="s">
        <v>347</v>
      </c>
      <c r="B17" s="465"/>
      <c r="C17" s="465"/>
      <c r="D17" s="465"/>
      <c r="E17" s="465"/>
      <c r="F17" s="465"/>
      <c r="G17" s="465"/>
      <c r="H17" s="465"/>
      <c r="I17" s="465"/>
      <c r="J17" s="465"/>
      <c r="K17" s="465"/>
      <c r="L17" s="465"/>
      <c r="M17" s="465"/>
      <c r="N17" s="303"/>
    </row>
    <row r="18" spans="1:14" x14ac:dyDescent="0.25">
      <c r="A18" s="459" t="s">
        <v>348</v>
      </c>
      <c r="B18" s="465">
        <v>3.5720000000000001</v>
      </c>
      <c r="C18" s="465">
        <v>9.3989999999999991</v>
      </c>
      <c r="D18" s="465">
        <v>1.1220000000000001</v>
      </c>
      <c r="E18" s="465">
        <v>4.3079999999999998</v>
      </c>
      <c r="F18" s="465">
        <v>16.456</v>
      </c>
      <c r="G18" s="465">
        <v>15.955</v>
      </c>
      <c r="H18" s="465">
        <v>28.120999999999999</v>
      </c>
      <c r="I18" s="465">
        <v>33.698</v>
      </c>
      <c r="J18" s="465">
        <v>17.933</v>
      </c>
      <c r="K18" s="465">
        <v>80.421999999999997</v>
      </c>
      <c r="L18" s="465">
        <v>112.029</v>
      </c>
      <c r="M18" s="465">
        <v>32.343000000000004</v>
      </c>
      <c r="N18" s="303"/>
    </row>
    <row r="19" spans="1:14" x14ac:dyDescent="0.25">
      <c r="A19" s="459"/>
      <c r="B19" s="465"/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303"/>
    </row>
    <row r="20" spans="1:14" x14ac:dyDescent="0.25">
      <c r="A20" s="459" t="s">
        <v>349</v>
      </c>
      <c r="B20" s="476" t="s">
        <v>10</v>
      </c>
      <c r="C20" s="476" t="s">
        <v>10</v>
      </c>
      <c r="D20" s="476" t="s">
        <v>10</v>
      </c>
      <c r="E20" s="476" t="s">
        <v>10</v>
      </c>
      <c r="F20" s="476" t="s">
        <v>10</v>
      </c>
      <c r="G20" s="476" t="s">
        <v>10</v>
      </c>
      <c r="H20" s="476" t="s">
        <v>10</v>
      </c>
      <c r="I20" s="476" t="s">
        <v>10</v>
      </c>
      <c r="J20" s="476" t="s">
        <v>10</v>
      </c>
      <c r="K20" s="476" t="s">
        <v>10</v>
      </c>
      <c r="L20" s="465">
        <v>50.625</v>
      </c>
      <c r="M20" s="465">
        <v>50.625</v>
      </c>
      <c r="N20" s="303"/>
    </row>
    <row r="21" spans="1:14" x14ac:dyDescent="0.25">
      <c r="A21" s="459"/>
      <c r="B21" s="465"/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303"/>
    </row>
    <row r="22" spans="1:14" x14ac:dyDescent="0.25">
      <c r="A22" s="459" t="s">
        <v>350</v>
      </c>
      <c r="B22" s="465">
        <v>0.85</v>
      </c>
      <c r="C22" s="465">
        <v>0.16800000000000001</v>
      </c>
      <c r="D22" s="465">
        <v>1.8089999999999999</v>
      </c>
      <c r="E22" s="465">
        <v>1.944</v>
      </c>
      <c r="F22" s="465">
        <v>7.4109999999999996</v>
      </c>
      <c r="G22" s="465">
        <v>6.6</v>
      </c>
      <c r="H22" s="465">
        <v>5.0350000000000001</v>
      </c>
      <c r="I22" s="465">
        <v>3.23</v>
      </c>
      <c r="J22" s="465">
        <v>17.056999999999999</v>
      </c>
      <c r="K22" s="465">
        <v>14.205</v>
      </c>
      <c r="L22" s="465">
        <v>12.785</v>
      </c>
      <c r="M22" s="465">
        <v>40.210999999999999</v>
      </c>
      <c r="N22" s="303"/>
    </row>
    <row r="23" spans="1:14" x14ac:dyDescent="0.25">
      <c r="A23" s="459" t="s">
        <v>351</v>
      </c>
      <c r="B23" s="465">
        <v>0</v>
      </c>
      <c r="C23" s="465">
        <v>2.456</v>
      </c>
      <c r="D23" s="465">
        <v>2.8119999999999998</v>
      </c>
      <c r="E23" s="465">
        <v>9.6579999999999995</v>
      </c>
      <c r="F23" s="465">
        <v>7.931</v>
      </c>
      <c r="G23" s="465">
        <v>13.381</v>
      </c>
      <c r="H23" s="465">
        <v>11.497999999999999</v>
      </c>
      <c r="I23" s="465">
        <v>20.088000000000001</v>
      </c>
      <c r="J23" s="465">
        <v>8.7170000000000005</v>
      </c>
      <c r="K23" s="465">
        <v>9.27</v>
      </c>
      <c r="L23" s="465">
        <v>13.964</v>
      </c>
      <c r="M23" s="465">
        <v>13.122999999999999</v>
      </c>
      <c r="N23" s="303"/>
    </row>
    <row r="24" spans="1:14" x14ac:dyDescent="0.25">
      <c r="A24" s="462"/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  <c r="M24" s="464"/>
      <c r="N24" s="303"/>
    </row>
    <row r="25" spans="1:14" x14ac:dyDescent="0.25">
      <c r="A25" s="459" t="s">
        <v>352</v>
      </c>
      <c r="B25" s="465">
        <v>40.594999999999999</v>
      </c>
      <c r="C25" s="465">
        <v>52.192</v>
      </c>
      <c r="D25" s="465">
        <v>55.391000000000005</v>
      </c>
      <c r="E25" s="465">
        <v>54.706000000000003</v>
      </c>
      <c r="F25" s="465">
        <v>51.140999999999991</v>
      </c>
      <c r="G25" s="465">
        <v>70.13</v>
      </c>
      <c r="H25" s="465">
        <v>64.600999999999999</v>
      </c>
      <c r="I25" s="465">
        <v>61.616479999999996</v>
      </c>
      <c r="J25" s="465">
        <v>75.531000000000006</v>
      </c>
      <c r="K25" s="465">
        <v>140.22499999999999</v>
      </c>
      <c r="L25" s="465">
        <v>186.023</v>
      </c>
      <c r="M25" s="465">
        <v>196.32600000000002</v>
      </c>
      <c r="N25" s="303"/>
    </row>
    <row r="26" spans="1:14" x14ac:dyDescent="0.25">
      <c r="A26" s="459" t="s">
        <v>353</v>
      </c>
      <c r="B26" s="465">
        <v>22.088999999999999</v>
      </c>
      <c r="C26" s="465">
        <v>22.666</v>
      </c>
      <c r="D26" s="465">
        <v>46.695</v>
      </c>
      <c r="E26" s="465">
        <v>21.667000000000002</v>
      </c>
      <c r="F26" s="465">
        <v>19.691999999999997</v>
      </c>
      <c r="G26" s="465">
        <v>24.772000000000002</v>
      </c>
      <c r="H26" s="465">
        <v>19.002000000000002</v>
      </c>
      <c r="I26" s="465">
        <v>15.293479999999999</v>
      </c>
      <c r="J26" s="465">
        <v>6.7169999999999996</v>
      </c>
      <c r="K26" s="465">
        <v>9.0510000000000002</v>
      </c>
      <c r="L26" s="465">
        <v>9.1630000000000003</v>
      </c>
      <c r="M26" s="465">
        <v>90.16</v>
      </c>
      <c r="N26" s="303"/>
    </row>
    <row r="27" spans="1:14" x14ac:dyDescent="0.25">
      <c r="A27" s="463" t="s">
        <v>354</v>
      </c>
      <c r="B27" s="464">
        <v>0</v>
      </c>
      <c r="C27" s="464">
        <v>0</v>
      </c>
      <c r="D27" s="464">
        <v>2.024</v>
      </c>
      <c r="E27" s="464">
        <v>1.002</v>
      </c>
      <c r="F27" s="464">
        <v>1.1060000000000001</v>
      </c>
      <c r="G27" s="464">
        <v>0.26300000000000001</v>
      </c>
      <c r="H27" s="464">
        <v>7.1999999999999995E-2</v>
      </c>
      <c r="I27" s="464">
        <v>3.7479999999999999E-2</v>
      </c>
      <c r="J27" s="464">
        <v>0.189</v>
      </c>
      <c r="K27" s="464">
        <v>0.42499999999999999</v>
      </c>
      <c r="L27" s="464">
        <v>0.11899999999999999</v>
      </c>
      <c r="M27" s="464">
        <v>2.4860000000000002</v>
      </c>
      <c r="N27" s="303"/>
    </row>
    <row r="28" spans="1:14" x14ac:dyDescent="0.25">
      <c r="A28" s="463" t="s">
        <v>355</v>
      </c>
      <c r="B28" s="464">
        <v>0</v>
      </c>
      <c r="C28" s="464">
        <v>0</v>
      </c>
      <c r="D28" s="464">
        <v>1.55</v>
      </c>
      <c r="E28" s="464">
        <v>0.53700000000000003</v>
      </c>
      <c r="F28" s="464">
        <v>0.68899999999999995</v>
      </c>
      <c r="G28" s="464">
        <v>1.4510000000000001</v>
      </c>
      <c r="H28" s="464">
        <v>0.52600000000000002</v>
      </c>
      <c r="I28" s="464">
        <v>0.35</v>
      </c>
      <c r="J28" s="464">
        <v>0.122</v>
      </c>
      <c r="K28" s="464">
        <v>4.3170000000000002</v>
      </c>
      <c r="L28" s="464">
        <v>2.609</v>
      </c>
      <c r="M28" s="464">
        <v>28.632000000000001</v>
      </c>
      <c r="N28" s="303"/>
    </row>
    <row r="29" spans="1:14" x14ac:dyDescent="0.25">
      <c r="A29" s="463" t="s">
        <v>356</v>
      </c>
      <c r="B29" s="464">
        <v>0</v>
      </c>
      <c r="C29" s="464">
        <v>0</v>
      </c>
      <c r="D29" s="464">
        <v>3.6019999999999999</v>
      </c>
      <c r="E29" s="464">
        <v>5.2249999999999996</v>
      </c>
      <c r="F29" s="464">
        <v>3.3180000000000001</v>
      </c>
      <c r="G29" s="464">
        <v>1.1140000000000001</v>
      </c>
      <c r="H29" s="464">
        <v>1.1850000000000001</v>
      </c>
      <c r="I29" s="464">
        <v>0.378</v>
      </c>
      <c r="J29" s="464">
        <v>5.3280000000000003</v>
      </c>
      <c r="K29" s="464">
        <v>2.9359999999999999</v>
      </c>
      <c r="L29" s="464">
        <v>5.415</v>
      </c>
      <c r="M29" s="464">
        <v>47.198</v>
      </c>
      <c r="N29" s="303"/>
    </row>
    <row r="30" spans="1:14" x14ac:dyDescent="0.25">
      <c r="A30" s="463" t="s">
        <v>357</v>
      </c>
      <c r="B30" s="464">
        <v>22.088999999999999</v>
      </c>
      <c r="C30" s="464">
        <v>22.666</v>
      </c>
      <c r="D30" s="464">
        <v>24.920999999999999</v>
      </c>
      <c r="E30" s="464">
        <v>3.7090000000000001</v>
      </c>
      <c r="F30" s="464">
        <v>3.9940000000000002</v>
      </c>
      <c r="G30" s="464">
        <v>4.327</v>
      </c>
      <c r="H30" s="464">
        <v>5.8170000000000002</v>
      </c>
      <c r="I30" s="464">
        <v>7.3</v>
      </c>
      <c r="J30" s="464">
        <v>0</v>
      </c>
      <c r="K30" s="464">
        <v>0</v>
      </c>
      <c r="L30" s="464">
        <v>0</v>
      </c>
      <c r="M30" s="464">
        <v>0</v>
      </c>
      <c r="N30" s="303"/>
    </row>
    <row r="31" spans="1:14" x14ac:dyDescent="0.25">
      <c r="A31" s="463" t="s">
        <v>358</v>
      </c>
      <c r="B31" s="464">
        <v>0</v>
      </c>
      <c r="C31" s="464">
        <v>0</v>
      </c>
      <c r="D31" s="464">
        <v>8.4359999999999999</v>
      </c>
      <c r="E31" s="464">
        <v>10.051</v>
      </c>
      <c r="F31" s="464">
        <v>8.3699999999999992</v>
      </c>
      <c r="G31" s="464">
        <v>15.883000000000001</v>
      </c>
      <c r="H31" s="464">
        <v>10.259</v>
      </c>
      <c r="I31" s="464">
        <v>6.2279999999999998</v>
      </c>
      <c r="J31" s="464">
        <v>0.36899999999999999</v>
      </c>
      <c r="K31" s="464">
        <v>0</v>
      </c>
      <c r="L31" s="464">
        <v>0</v>
      </c>
      <c r="M31" s="464">
        <v>8.43</v>
      </c>
      <c r="N31" s="303"/>
    </row>
    <row r="32" spans="1:14" x14ac:dyDescent="0.25">
      <c r="A32" s="463" t="s">
        <v>359</v>
      </c>
      <c r="B32" s="464">
        <v>0</v>
      </c>
      <c r="C32" s="464">
        <v>0</v>
      </c>
      <c r="D32" s="464">
        <v>0</v>
      </c>
      <c r="E32" s="464">
        <v>0</v>
      </c>
      <c r="F32" s="464">
        <v>0.64400000000000002</v>
      </c>
      <c r="G32" s="464">
        <v>0.28299999999999997</v>
      </c>
      <c r="H32" s="464">
        <v>0.29899999999999999</v>
      </c>
      <c r="I32" s="464">
        <v>0.14799999999999999</v>
      </c>
      <c r="J32" s="464">
        <v>0</v>
      </c>
      <c r="K32" s="464">
        <v>0.12</v>
      </c>
      <c r="L32" s="464">
        <v>0.38500000000000001</v>
      </c>
      <c r="M32" s="464">
        <v>0.68600000000000005</v>
      </c>
      <c r="N32" s="303"/>
    </row>
    <row r="33" spans="1:14" x14ac:dyDescent="0.25">
      <c r="A33" s="463" t="s">
        <v>360</v>
      </c>
      <c r="B33" s="464">
        <v>0</v>
      </c>
      <c r="C33" s="464">
        <v>0</v>
      </c>
      <c r="D33" s="464">
        <v>6.1620000000000008</v>
      </c>
      <c r="E33" s="464">
        <v>1.143</v>
      </c>
      <c r="F33" s="464">
        <v>1.571</v>
      </c>
      <c r="G33" s="464">
        <v>1.4510000000000001</v>
      </c>
      <c r="H33" s="464">
        <v>0.84399999999999997</v>
      </c>
      <c r="I33" s="464">
        <v>0.85199999999999998</v>
      </c>
      <c r="J33" s="464">
        <v>0.70899999999999996</v>
      </c>
      <c r="K33" s="464">
        <v>1.2529999999999999</v>
      </c>
      <c r="L33" s="464">
        <v>0.63500000000000001</v>
      </c>
      <c r="M33" s="464">
        <v>2.7280000000000002</v>
      </c>
      <c r="N33" s="303"/>
    </row>
    <row r="34" spans="1:14" x14ac:dyDescent="0.25">
      <c r="A34" s="459" t="s">
        <v>361</v>
      </c>
      <c r="B34" s="465">
        <v>1.135</v>
      </c>
      <c r="C34" s="465">
        <v>3.5259999999999998</v>
      </c>
      <c r="D34" s="465">
        <v>3.8919999999999999</v>
      </c>
      <c r="E34" s="465">
        <v>3.8050000000000002</v>
      </c>
      <c r="F34" s="465">
        <v>5.4729999999999999</v>
      </c>
      <c r="G34" s="465">
        <v>8.0590000000000011</v>
      </c>
      <c r="H34" s="465">
        <v>8.9260000000000002</v>
      </c>
      <c r="I34" s="465">
        <v>12.773999999999999</v>
      </c>
      <c r="J34" s="465">
        <v>8.6199999999999992</v>
      </c>
      <c r="K34" s="465">
        <v>26.465</v>
      </c>
      <c r="L34" s="465">
        <v>23.782999999999998</v>
      </c>
      <c r="M34" s="465">
        <v>2.0150000000000001</v>
      </c>
      <c r="N34" s="303"/>
    </row>
    <row r="35" spans="1:14" x14ac:dyDescent="0.25">
      <c r="A35" s="463" t="s">
        <v>362</v>
      </c>
      <c r="B35" s="464">
        <v>1.135</v>
      </c>
      <c r="C35" s="464">
        <v>3.5259999999999998</v>
      </c>
      <c r="D35" s="464">
        <v>3.8919999999999999</v>
      </c>
      <c r="E35" s="464">
        <v>3.8050000000000002</v>
      </c>
      <c r="F35" s="464">
        <v>5.4729999999999999</v>
      </c>
      <c r="G35" s="464">
        <v>6.9470000000000001</v>
      </c>
      <c r="H35" s="464">
        <v>8.9260000000000002</v>
      </c>
      <c r="I35" s="464">
        <v>12.363</v>
      </c>
      <c r="J35" s="464">
        <v>8.6199999999999992</v>
      </c>
      <c r="K35" s="464">
        <v>24.154</v>
      </c>
      <c r="L35" s="464">
        <v>23.782999999999998</v>
      </c>
      <c r="M35" s="464">
        <v>1.1000000000000001</v>
      </c>
      <c r="N35" s="303"/>
    </row>
    <row r="36" spans="1:14" x14ac:dyDescent="0.25">
      <c r="A36" s="463" t="s">
        <v>363</v>
      </c>
      <c r="B36" s="476" t="s">
        <v>10</v>
      </c>
      <c r="C36" s="476" t="s">
        <v>10</v>
      </c>
      <c r="D36" s="476" t="s">
        <v>10</v>
      </c>
      <c r="E36" s="476" t="s">
        <v>10</v>
      </c>
      <c r="F36" s="476" t="s">
        <v>10</v>
      </c>
      <c r="G36" s="476" t="s">
        <v>10</v>
      </c>
      <c r="H36" s="476" t="s">
        <v>10</v>
      </c>
      <c r="I36" s="476" t="s">
        <v>10</v>
      </c>
      <c r="J36" s="476" t="s">
        <v>10</v>
      </c>
      <c r="K36" s="476" t="s">
        <v>10</v>
      </c>
      <c r="L36" s="476" t="s">
        <v>10</v>
      </c>
      <c r="M36" s="476" t="s">
        <v>10</v>
      </c>
      <c r="N36" s="303"/>
    </row>
    <row r="37" spans="1:14" x14ac:dyDescent="0.25">
      <c r="A37" s="463" t="s">
        <v>364</v>
      </c>
      <c r="B37" s="476" t="s">
        <v>10</v>
      </c>
      <c r="C37" s="476" t="s">
        <v>10</v>
      </c>
      <c r="D37" s="476" t="s">
        <v>10</v>
      </c>
      <c r="E37" s="476" t="s">
        <v>10</v>
      </c>
      <c r="F37" s="476" t="s">
        <v>10</v>
      </c>
      <c r="G37" s="464">
        <v>1.1120000000000001</v>
      </c>
      <c r="H37" s="464">
        <v>0</v>
      </c>
      <c r="I37" s="464">
        <v>0.41099999999999998</v>
      </c>
      <c r="J37" s="464">
        <v>0</v>
      </c>
      <c r="K37" s="464">
        <v>2.3109999999999999</v>
      </c>
      <c r="L37" s="464">
        <v>0</v>
      </c>
      <c r="M37" s="464">
        <v>0.61199999999999999</v>
      </c>
      <c r="N37" s="303"/>
    </row>
    <row r="38" spans="1:14" x14ac:dyDescent="0.25">
      <c r="A38" s="459" t="s">
        <v>365</v>
      </c>
      <c r="B38" s="465">
        <v>17.370999999999999</v>
      </c>
      <c r="C38" s="465">
        <v>26</v>
      </c>
      <c r="D38" s="465">
        <v>4.8040000000000003</v>
      </c>
      <c r="E38" s="465">
        <v>29.233999999999998</v>
      </c>
      <c r="F38" s="465">
        <v>25.975999999999999</v>
      </c>
      <c r="G38" s="465">
        <v>37.298999999999999</v>
      </c>
      <c r="H38" s="465">
        <v>36.673000000000002</v>
      </c>
      <c r="I38" s="465">
        <v>33.548999999999999</v>
      </c>
      <c r="J38" s="465">
        <v>60.194000000000003</v>
      </c>
      <c r="K38" s="465">
        <v>104.70899999999999</v>
      </c>
      <c r="L38" s="465">
        <v>153.077</v>
      </c>
      <c r="M38" s="465">
        <v>104.151</v>
      </c>
      <c r="N38" s="303"/>
    </row>
    <row r="39" spans="1:14" x14ac:dyDescent="0.25">
      <c r="A39" s="463" t="s">
        <v>366</v>
      </c>
      <c r="B39" s="464">
        <v>17.370999999999999</v>
      </c>
      <c r="C39" s="464">
        <v>26</v>
      </c>
      <c r="D39" s="464">
        <v>4.8040000000000003</v>
      </c>
      <c r="E39" s="464">
        <v>5.1739999999999995</v>
      </c>
      <c r="F39" s="464">
        <v>2.7</v>
      </c>
      <c r="G39" s="464">
        <v>14.83</v>
      </c>
      <c r="H39" s="464">
        <v>15.037000000000001</v>
      </c>
      <c r="I39" s="464">
        <v>12.766999999999999</v>
      </c>
      <c r="J39" s="464">
        <v>40.295000000000002</v>
      </c>
      <c r="K39" s="464">
        <v>1.2310000000000001</v>
      </c>
      <c r="L39" s="464">
        <v>14.324</v>
      </c>
      <c r="M39" s="464">
        <v>8.6989999999999998</v>
      </c>
      <c r="N39" s="303"/>
    </row>
    <row r="40" spans="1:14" x14ac:dyDescent="0.25">
      <c r="A40" s="463" t="s">
        <v>367</v>
      </c>
      <c r="B40" s="476" t="s">
        <v>10</v>
      </c>
      <c r="C40" s="476" t="s">
        <v>10</v>
      </c>
      <c r="D40" s="476" t="s">
        <v>10</v>
      </c>
      <c r="E40" s="464">
        <v>24.06</v>
      </c>
      <c r="F40" s="464">
        <v>23.276</v>
      </c>
      <c r="G40" s="464">
        <v>22.469000000000001</v>
      </c>
      <c r="H40" s="464">
        <v>21.635999999999999</v>
      </c>
      <c r="I40" s="464">
        <v>20.782</v>
      </c>
      <c r="J40" s="464">
        <v>19.899000000000001</v>
      </c>
      <c r="K40" s="464">
        <v>103.47799999999999</v>
      </c>
      <c r="L40" s="464">
        <v>138.75299999999999</v>
      </c>
      <c r="M40" s="464">
        <v>95.451999999999998</v>
      </c>
      <c r="N40" s="303"/>
    </row>
    <row r="41" spans="1:14" x14ac:dyDescent="0.25">
      <c r="A41" s="459"/>
      <c r="B41" s="464"/>
      <c r="C41" s="464"/>
      <c r="D41" s="464"/>
      <c r="E41" s="464"/>
      <c r="F41" s="464"/>
      <c r="G41" s="464"/>
      <c r="H41" s="464"/>
      <c r="I41" s="464"/>
      <c r="J41" s="464"/>
      <c r="K41" s="464"/>
      <c r="L41" s="464"/>
      <c r="M41" s="464"/>
      <c r="N41" s="303"/>
    </row>
    <row r="42" spans="1:14" x14ac:dyDescent="0.25">
      <c r="A42" s="459" t="s">
        <v>368</v>
      </c>
      <c r="B42" s="465">
        <v>11.609</v>
      </c>
      <c r="C42" s="465">
        <v>9.6859999999999999</v>
      </c>
      <c r="D42" s="465">
        <v>8.5830000000000002</v>
      </c>
      <c r="E42" s="465">
        <v>2.8050000000000002</v>
      </c>
      <c r="F42" s="465">
        <v>2.0190000000000001</v>
      </c>
      <c r="G42" s="465">
        <v>3.177</v>
      </c>
      <c r="H42" s="465">
        <v>16.46</v>
      </c>
      <c r="I42" s="465">
        <v>27.369</v>
      </c>
      <c r="J42" s="465">
        <v>23.667999999999999</v>
      </c>
      <c r="K42" s="465">
        <v>69.588999999999999</v>
      </c>
      <c r="L42" s="465">
        <v>69.980999999999995</v>
      </c>
      <c r="M42" s="465">
        <v>39.688000000000002</v>
      </c>
      <c r="N42" s="303"/>
    </row>
    <row r="43" spans="1:14" x14ac:dyDescent="0.25">
      <c r="A43" s="459"/>
      <c r="B43" s="465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303"/>
    </row>
    <row r="44" spans="1:14" x14ac:dyDescent="0.25">
      <c r="A44" s="459" t="s">
        <v>369</v>
      </c>
      <c r="B44" s="477" t="s">
        <v>10</v>
      </c>
      <c r="C44" s="465">
        <v>0.71</v>
      </c>
      <c r="D44" s="465">
        <v>0</v>
      </c>
      <c r="E44" s="465">
        <v>8.1959999999999997</v>
      </c>
      <c r="F44" s="465">
        <v>7.556</v>
      </c>
      <c r="G44" s="465">
        <v>7.1180000000000003</v>
      </c>
      <c r="H44" s="465">
        <v>7.0469999999999997</v>
      </c>
      <c r="I44" s="465">
        <v>6.976</v>
      </c>
      <c r="J44" s="465">
        <v>27.073</v>
      </c>
      <c r="K44" s="465">
        <v>5.4290000000000003</v>
      </c>
      <c r="L44" s="465">
        <v>12.223000000000001</v>
      </c>
      <c r="M44" s="465">
        <v>9.52</v>
      </c>
      <c r="N44" s="303"/>
    </row>
    <row r="45" spans="1:14" x14ac:dyDescent="0.25">
      <c r="A45" s="459" t="s">
        <v>370</v>
      </c>
      <c r="B45" s="465">
        <v>1.806</v>
      </c>
      <c r="C45" s="465">
        <v>1.998</v>
      </c>
      <c r="D45" s="465">
        <v>2.2789999999999999</v>
      </c>
      <c r="E45" s="465">
        <v>2.6669999999999998</v>
      </c>
      <c r="F45" s="465">
        <v>3.714</v>
      </c>
      <c r="G45" s="465">
        <v>5.2930000000000001</v>
      </c>
      <c r="H45" s="465">
        <v>6.0019999999999998</v>
      </c>
      <c r="I45" s="465">
        <v>5.8109999999999999</v>
      </c>
      <c r="J45" s="465">
        <v>4.4420000000000002</v>
      </c>
      <c r="K45" s="465">
        <v>3.3879999999999999</v>
      </c>
      <c r="L45" s="465">
        <v>2.1749999999999998</v>
      </c>
      <c r="M45" s="465">
        <v>1.3680000000000001</v>
      </c>
      <c r="N45" s="303"/>
    </row>
    <row r="46" spans="1:14" x14ac:dyDescent="0.25">
      <c r="A46" s="459"/>
      <c r="B46" s="465"/>
      <c r="C46" s="465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303"/>
    </row>
    <row r="47" spans="1:14" x14ac:dyDescent="0.25">
      <c r="A47" s="459" t="s">
        <v>371</v>
      </c>
      <c r="B47" s="477" t="s">
        <v>10</v>
      </c>
      <c r="C47" s="477" t="s">
        <v>10</v>
      </c>
      <c r="D47" s="477" t="s">
        <v>10</v>
      </c>
      <c r="E47" s="477" t="s">
        <v>10</v>
      </c>
      <c r="F47" s="477" t="s">
        <v>10</v>
      </c>
      <c r="G47" s="477" t="s">
        <v>10</v>
      </c>
      <c r="H47" s="477" t="s">
        <v>10</v>
      </c>
      <c r="I47" s="477" t="s">
        <v>10</v>
      </c>
      <c r="J47" s="477" t="s">
        <v>10</v>
      </c>
      <c r="K47" s="465">
        <v>5.24</v>
      </c>
      <c r="L47" s="465">
        <v>2.3039999999999998</v>
      </c>
      <c r="M47" s="465">
        <v>3</v>
      </c>
      <c r="N47" s="303"/>
    </row>
    <row r="48" spans="1:14" x14ac:dyDescent="0.25">
      <c r="A48" s="459"/>
      <c r="B48" s="464"/>
      <c r="C48" s="464"/>
      <c r="D48" s="464"/>
      <c r="E48" s="464"/>
      <c r="F48" s="464"/>
      <c r="G48" s="464"/>
      <c r="H48" s="464"/>
      <c r="I48" s="464"/>
      <c r="J48" s="464"/>
      <c r="K48" s="464"/>
      <c r="L48" s="464"/>
      <c r="M48" s="464"/>
      <c r="N48" s="303"/>
    </row>
    <row r="49" spans="1:14" x14ac:dyDescent="0.25">
      <c r="A49" s="459" t="s">
        <v>372</v>
      </c>
      <c r="B49" s="465">
        <v>0</v>
      </c>
      <c r="C49" s="465">
        <v>16.048999999999999</v>
      </c>
      <c r="D49" s="465">
        <v>5.8610000000000007</v>
      </c>
      <c r="E49" s="465">
        <v>3.2570000000000001</v>
      </c>
      <c r="F49" s="465">
        <v>0.26500000000000001</v>
      </c>
      <c r="G49" s="465">
        <v>0.26800000000000002</v>
      </c>
      <c r="H49" s="465">
        <v>4.4180000000000001</v>
      </c>
      <c r="I49" s="465">
        <v>16.419</v>
      </c>
      <c r="J49" s="465">
        <v>18.084</v>
      </c>
      <c r="K49" s="465">
        <v>0.505</v>
      </c>
      <c r="L49" s="465">
        <v>0.623</v>
      </c>
      <c r="M49" s="465">
        <v>1.0069999999999999</v>
      </c>
      <c r="N49" s="303"/>
    </row>
    <row r="50" spans="1:14" x14ac:dyDescent="0.25">
      <c r="A50" s="459"/>
      <c r="B50" s="465"/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303"/>
    </row>
    <row r="51" spans="1:14" x14ac:dyDescent="0.25">
      <c r="A51" s="459" t="s">
        <v>206</v>
      </c>
      <c r="B51" s="465">
        <v>111.81199999999998</v>
      </c>
      <c r="C51" s="465">
        <v>143.029</v>
      </c>
      <c r="D51" s="465">
        <v>118.986</v>
      </c>
      <c r="E51" s="465">
        <v>128.39800000000002</v>
      </c>
      <c r="F51" s="465">
        <v>175.55699999999999</v>
      </c>
      <c r="G51" s="465">
        <v>237.06699999999998</v>
      </c>
      <c r="H51" s="465">
        <v>349.98800000000006</v>
      </c>
      <c r="I51" s="465">
        <v>534.73748000000001</v>
      </c>
      <c r="J51" s="465">
        <v>659.87799999999982</v>
      </c>
      <c r="K51" s="465">
        <v>693.22799999999995</v>
      </c>
      <c r="L51" s="465">
        <v>858.87300000000005</v>
      </c>
      <c r="M51" s="465">
        <v>730.22500000000002</v>
      </c>
      <c r="N51" s="303"/>
    </row>
    <row r="52" spans="1:14" x14ac:dyDescent="0.25">
      <c r="A52" s="436"/>
      <c r="B52" s="436"/>
      <c r="C52" s="436"/>
      <c r="D52" s="436"/>
      <c r="E52" s="436"/>
      <c r="F52" s="436"/>
      <c r="G52" s="436"/>
      <c r="H52" s="436"/>
      <c r="I52" s="436"/>
      <c r="J52" s="436"/>
      <c r="K52" s="436"/>
      <c r="L52" s="436"/>
      <c r="M52" s="436"/>
      <c r="N52" s="303"/>
    </row>
    <row r="53" spans="1:14" x14ac:dyDescent="0.25">
      <c r="A53" s="459" t="s">
        <v>207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4"/>
      <c r="M53" s="466"/>
      <c r="N53" s="303"/>
    </row>
    <row r="54" spans="1:14" x14ac:dyDescent="0.25">
      <c r="A54" s="431"/>
      <c r="B54" s="433"/>
      <c r="C54" s="433"/>
      <c r="D54" s="433"/>
      <c r="E54" s="433"/>
      <c r="F54" s="433"/>
      <c r="G54" s="433"/>
      <c r="H54" s="433"/>
      <c r="I54" s="433"/>
      <c r="J54" s="433"/>
      <c r="K54" s="433"/>
      <c r="L54" s="437"/>
      <c r="M54" s="437"/>
      <c r="N54" s="303"/>
    </row>
    <row r="55" spans="1:14" x14ac:dyDescent="0.25">
      <c r="A55" s="459" t="s">
        <v>373</v>
      </c>
      <c r="B55" s="465">
        <v>95.295000000000002</v>
      </c>
      <c r="C55" s="465">
        <v>121.58199999999999</v>
      </c>
      <c r="D55" s="465">
        <v>102.05</v>
      </c>
      <c r="E55" s="465">
        <v>107.352</v>
      </c>
      <c r="F55" s="465">
        <v>130.93599999999998</v>
      </c>
      <c r="G55" s="465">
        <v>189.76499999999999</v>
      </c>
      <c r="H55" s="465">
        <v>294.79899999999998</v>
      </c>
      <c r="I55" s="465">
        <v>409.1</v>
      </c>
      <c r="J55" s="465">
        <v>597.98500000000001</v>
      </c>
      <c r="K55" s="465">
        <v>589.36799999999994</v>
      </c>
      <c r="L55" s="465">
        <v>710.66705400000001</v>
      </c>
      <c r="M55" s="465">
        <v>641.22900000000004</v>
      </c>
      <c r="N55" s="303"/>
    </row>
    <row r="56" spans="1:14" x14ac:dyDescent="0.25">
      <c r="A56" s="459"/>
      <c r="B56" s="462"/>
      <c r="C56" s="462"/>
      <c r="D56" s="462"/>
      <c r="E56" s="462"/>
      <c r="F56" s="462"/>
      <c r="G56" s="462"/>
      <c r="H56" s="464"/>
      <c r="I56" s="462"/>
      <c r="J56" s="462"/>
      <c r="K56" s="462"/>
      <c r="L56" s="464"/>
      <c r="M56" s="464"/>
      <c r="N56" s="303"/>
    </row>
    <row r="57" spans="1:14" x14ac:dyDescent="0.25">
      <c r="A57" s="459" t="s">
        <v>374</v>
      </c>
      <c r="B57" s="465">
        <v>56.6</v>
      </c>
      <c r="C57" s="465">
        <v>67.5</v>
      </c>
      <c r="D57" s="465">
        <v>68.84</v>
      </c>
      <c r="E57" s="465">
        <v>68.84</v>
      </c>
      <c r="F57" s="465">
        <v>77.894999999999996</v>
      </c>
      <c r="G57" s="465">
        <v>115.74800000000002</v>
      </c>
      <c r="H57" s="465">
        <v>169.34</v>
      </c>
      <c r="I57" s="465">
        <v>229.96800000000002</v>
      </c>
      <c r="J57" s="465">
        <v>312.995</v>
      </c>
      <c r="K57" s="465">
        <v>335.483</v>
      </c>
      <c r="L57" s="465">
        <v>361.69600000000003</v>
      </c>
      <c r="M57" s="465">
        <v>338.49099999999999</v>
      </c>
      <c r="N57" s="303"/>
    </row>
    <row r="58" spans="1:14" x14ac:dyDescent="0.25">
      <c r="A58" s="463" t="s">
        <v>375</v>
      </c>
      <c r="B58" s="464">
        <v>88.311999999999998</v>
      </c>
      <c r="C58" s="464">
        <v>92.19</v>
      </c>
      <c r="D58" s="464">
        <v>90</v>
      </c>
      <c r="E58" s="462">
        <v>90</v>
      </c>
      <c r="F58" s="464">
        <v>98.635999999999996</v>
      </c>
      <c r="G58" s="464">
        <v>145.80000000000001</v>
      </c>
      <c r="H58" s="464">
        <v>202.20400000000001</v>
      </c>
      <c r="I58" s="464">
        <v>278.41000000000003</v>
      </c>
      <c r="J58" s="464">
        <v>356.73399999999998</v>
      </c>
      <c r="K58" s="464">
        <v>434.81799999999998</v>
      </c>
      <c r="L58" s="464">
        <v>418.29</v>
      </c>
      <c r="M58" s="464">
        <v>423.94</v>
      </c>
      <c r="N58" s="303"/>
    </row>
    <row r="59" spans="1:14" x14ac:dyDescent="0.25">
      <c r="A59" s="463" t="s">
        <v>376</v>
      </c>
      <c r="B59" s="464">
        <v>-31.712</v>
      </c>
      <c r="C59" s="464">
        <v>-24.69</v>
      </c>
      <c r="D59" s="464">
        <v>-21.16</v>
      </c>
      <c r="E59" s="464">
        <v>-21.16</v>
      </c>
      <c r="F59" s="464">
        <v>-20.741</v>
      </c>
      <c r="G59" s="464">
        <v>-30.052</v>
      </c>
      <c r="H59" s="464">
        <v>-32.863999999999997</v>
      </c>
      <c r="I59" s="464">
        <v>-48.442</v>
      </c>
      <c r="J59" s="464">
        <v>-43.738999999999997</v>
      </c>
      <c r="K59" s="464">
        <v>-99.334999999999994</v>
      </c>
      <c r="L59" s="464">
        <v>-56.594000000000001</v>
      </c>
      <c r="M59" s="464">
        <v>-85.448999999999998</v>
      </c>
      <c r="N59" s="303"/>
    </row>
    <row r="60" spans="1:14" x14ac:dyDescent="0.25">
      <c r="A60" s="459"/>
      <c r="B60" s="464"/>
      <c r="C60" s="464"/>
      <c r="D60" s="462"/>
      <c r="E60" s="462"/>
      <c r="F60" s="464"/>
      <c r="G60" s="464"/>
      <c r="H60" s="464"/>
      <c r="I60" s="464"/>
      <c r="J60" s="464"/>
      <c r="K60" s="464"/>
      <c r="L60" s="464"/>
      <c r="M60" s="464"/>
      <c r="N60" s="303"/>
    </row>
    <row r="61" spans="1:14" x14ac:dyDescent="0.25">
      <c r="A61" s="459" t="s">
        <v>377</v>
      </c>
      <c r="B61" s="465">
        <v>38.695</v>
      </c>
      <c r="C61" s="465">
        <v>54.081999999999994</v>
      </c>
      <c r="D61" s="465">
        <v>33.21</v>
      </c>
      <c r="E61" s="465">
        <v>38.512</v>
      </c>
      <c r="F61" s="465">
        <v>53.040999999999997</v>
      </c>
      <c r="G61" s="465">
        <v>74.016999999999996</v>
      </c>
      <c r="H61" s="465">
        <v>125.459</v>
      </c>
      <c r="I61" s="465">
        <v>179.13200000000001</v>
      </c>
      <c r="J61" s="465">
        <v>284.99</v>
      </c>
      <c r="K61" s="465">
        <v>253.88499999999999</v>
      </c>
      <c r="L61" s="465">
        <v>348.97105399999998</v>
      </c>
      <c r="M61" s="465">
        <v>302.738</v>
      </c>
      <c r="N61" s="303"/>
    </row>
    <row r="62" spans="1:14" x14ac:dyDescent="0.25">
      <c r="A62" s="463" t="s">
        <v>378</v>
      </c>
      <c r="B62" s="464">
        <v>9.7609999999999992</v>
      </c>
      <c r="C62" s="464">
        <v>9.6170000000000009</v>
      </c>
      <c r="D62" s="464">
        <v>6.407</v>
      </c>
      <c r="E62" s="464">
        <v>9.516</v>
      </c>
      <c r="F62" s="464">
        <v>13.984999999999999</v>
      </c>
      <c r="G62" s="464">
        <v>19.306000000000001</v>
      </c>
      <c r="H62" s="464">
        <v>27.571000000000002</v>
      </c>
      <c r="I62" s="464">
        <v>50.499000000000002</v>
      </c>
      <c r="J62" s="464">
        <v>39.564</v>
      </c>
      <c r="K62" s="464">
        <v>37.939</v>
      </c>
      <c r="L62" s="464">
        <v>42.948999999999998</v>
      </c>
      <c r="M62" s="464">
        <v>45.744</v>
      </c>
      <c r="N62" s="303"/>
    </row>
    <row r="63" spans="1:14" x14ac:dyDescent="0.25">
      <c r="A63" s="463" t="s">
        <v>379</v>
      </c>
      <c r="B63" s="464">
        <v>0</v>
      </c>
      <c r="C63" s="464">
        <v>0</v>
      </c>
      <c r="D63" s="464">
        <v>0</v>
      </c>
      <c r="E63" s="464">
        <v>0</v>
      </c>
      <c r="F63" s="464">
        <v>0</v>
      </c>
      <c r="G63" s="464">
        <v>0</v>
      </c>
      <c r="H63" s="464">
        <v>0</v>
      </c>
      <c r="I63" s="464">
        <v>0</v>
      </c>
      <c r="J63" s="464">
        <v>0</v>
      </c>
      <c r="K63" s="464">
        <v>0</v>
      </c>
      <c r="L63" s="464">
        <v>50.625</v>
      </c>
      <c r="M63" s="464">
        <v>50.622999999999998</v>
      </c>
      <c r="N63" s="303"/>
    </row>
    <row r="64" spans="1:14" x14ac:dyDescent="0.25">
      <c r="A64" s="463" t="s">
        <v>380</v>
      </c>
      <c r="B64" s="464">
        <v>0</v>
      </c>
      <c r="C64" s="464">
        <v>0</v>
      </c>
      <c r="D64" s="464">
        <v>0</v>
      </c>
      <c r="E64" s="464">
        <v>0</v>
      </c>
      <c r="F64" s="464">
        <v>0</v>
      </c>
      <c r="G64" s="464">
        <v>0</v>
      </c>
      <c r="H64" s="464">
        <v>0</v>
      </c>
      <c r="I64" s="464">
        <v>0</v>
      </c>
      <c r="J64" s="464">
        <v>0</v>
      </c>
      <c r="K64" s="464">
        <v>0</v>
      </c>
      <c r="L64" s="464">
        <v>3.456</v>
      </c>
      <c r="M64" s="464">
        <v>7.7759999999999998</v>
      </c>
      <c r="N64" s="303"/>
    </row>
    <row r="65" spans="1:14" x14ac:dyDescent="0.25">
      <c r="A65" s="463" t="s">
        <v>381</v>
      </c>
      <c r="B65" s="464">
        <v>23.425000000000001</v>
      </c>
      <c r="C65" s="464">
        <v>30.765999999999998</v>
      </c>
      <c r="D65" s="464">
        <v>20.309999999999999</v>
      </c>
      <c r="E65" s="464">
        <v>20.536999999999999</v>
      </c>
      <c r="F65" s="464">
        <v>31.247</v>
      </c>
      <c r="G65" s="464">
        <v>42.357999999999997</v>
      </c>
      <c r="H65" s="464">
        <v>71.197000000000003</v>
      </c>
      <c r="I65" s="464">
        <v>89.141000000000005</v>
      </c>
      <c r="J65" s="464">
        <v>192.91800000000001</v>
      </c>
      <c r="K65" s="464">
        <v>175.13800000000001</v>
      </c>
      <c r="L65" s="464">
        <v>212.49100000000001</v>
      </c>
      <c r="M65" s="464">
        <v>137.477</v>
      </c>
      <c r="N65" s="303"/>
    </row>
    <row r="66" spans="1:14" x14ac:dyDescent="0.25">
      <c r="A66" s="463" t="s">
        <v>382</v>
      </c>
      <c r="B66" s="464">
        <v>0</v>
      </c>
      <c r="C66" s="464">
        <v>0</v>
      </c>
      <c r="D66" s="464">
        <v>0</v>
      </c>
      <c r="E66" s="464">
        <v>0</v>
      </c>
      <c r="F66" s="464">
        <v>0</v>
      </c>
      <c r="G66" s="464">
        <v>0</v>
      </c>
      <c r="H66" s="464">
        <v>0</v>
      </c>
      <c r="I66" s="464">
        <v>0</v>
      </c>
      <c r="J66" s="464">
        <v>0</v>
      </c>
      <c r="K66" s="464">
        <v>0</v>
      </c>
      <c r="L66" s="464">
        <v>0.93300000000000005</v>
      </c>
      <c r="M66" s="464">
        <v>4.5940000000000003</v>
      </c>
      <c r="N66" s="303"/>
    </row>
    <row r="67" spans="1:14" x14ac:dyDescent="0.25">
      <c r="A67" s="459" t="s">
        <v>383</v>
      </c>
      <c r="B67" s="465">
        <v>5.5090000000000003</v>
      </c>
      <c r="C67" s="465">
        <v>13.699</v>
      </c>
      <c r="D67" s="465">
        <v>6.4930000000000003</v>
      </c>
      <c r="E67" s="465">
        <v>8.4589999999999996</v>
      </c>
      <c r="F67" s="465">
        <v>7.8090000000000002</v>
      </c>
      <c r="G67" s="465">
        <v>12.353000000000002</v>
      </c>
      <c r="H67" s="465">
        <v>26.690999999999999</v>
      </c>
      <c r="I67" s="465">
        <v>39.49199999999999</v>
      </c>
      <c r="J67" s="465">
        <v>52.508000000000003</v>
      </c>
      <c r="K67" s="465">
        <v>40.807999999999993</v>
      </c>
      <c r="L67" s="465">
        <v>38.517054000000002</v>
      </c>
      <c r="M67" s="465">
        <v>56.524000000000001</v>
      </c>
      <c r="N67" s="303"/>
    </row>
    <row r="68" spans="1:14" x14ac:dyDescent="0.25">
      <c r="A68" s="463" t="s">
        <v>384</v>
      </c>
      <c r="B68" s="464">
        <v>0</v>
      </c>
      <c r="C68" s="464">
        <v>0</v>
      </c>
      <c r="D68" s="464">
        <v>0</v>
      </c>
      <c r="E68" s="464">
        <v>3.4430000000000001</v>
      </c>
      <c r="F68" s="464">
        <v>0</v>
      </c>
      <c r="G68" s="464">
        <v>0.36599999999999999</v>
      </c>
      <c r="H68" s="464">
        <v>7.0039999999999996</v>
      </c>
      <c r="I68" s="464">
        <v>0</v>
      </c>
      <c r="J68" s="464">
        <v>0</v>
      </c>
      <c r="K68" s="464">
        <v>0</v>
      </c>
      <c r="L68" s="464">
        <v>1.5054E-2</v>
      </c>
      <c r="M68" s="464">
        <v>10.88</v>
      </c>
      <c r="N68" s="303"/>
    </row>
    <row r="69" spans="1:14" x14ac:dyDescent="0.25">
      <c r="A69" s="463" t="s">
        <v>385</v>
      </c>
      <c r="B69" s="464">
        <v>0</v>
      </c>
      <c r="C69" s="464">
        <v>0</v>
      </c>
      <c r="D69" s="464">
        <v>0</v>
      </c>
      <c r="E69" s="464">
        <v>0</v>
      </c>
      <c r="F69" s="464">
        <v>2.9790000000000001</v>
      </c>
      <c r="G69" s="464">
        <v>1.7110000000000001</v>
      </c>
      <c r="H69" s="464">
        <v>5.7240000000000002</v>
      </c>
      <c r="I69" s="464">
        <v>15.564</v>
      </c>
      <c r="J69" s="464">
        <v>25.751000000000001</v>
      </c>
      <c r="K69" s="464">
        <v>7.5629999999999997</v>
      </c>
      <c r="L69" s="464">
        <v>9.1229999999999993</v>
      </c>
      <c r="M69" s="464">
        <v>11.000999999999999</v>
      </c>
      <c r="N69" s="303"/>
    </row>
    <row r="70" spans="1:14" x14ac:dyDescent="0.25">
      <c r="A70" s="463" t="s">
        <v>386</v>
      </c>
      <c r="B70" s="464">
        <v>5.5090000000000003</v>
      </c>
      <c r="C70" s="464">
        <v>11.253</v>
      </c>
      <c r="D70" s="464">
        <v>6.4930000000000003</v>
      </c>
      <c r="E70" s="464">
        <v>4.9260000000000002</v>
      </c>
      <c r="F70" s="464">
        <v>4.7549999999999999</v>
      </c>
      <c r="G70" s="464">
        <v>9.0920000000000005</v>
      </c>
      <c r="H70" s="464">
        <v>10.818</v>
      </c>
      <c r="I70" s="464">
        <v>18.956</v>
      </c>
      <c r="J70" s="464">
        <v>17.498000000000001</v>
      </c>
      <c r="K70" s="464">
        <v>20.113</v>
      </c>
      <c r="L70" s="464">
        <v>21.236999999999998</v>
      </c>
      <c r="M70" s="464">
        <v>0.85099999999999998</v>
      </c>
      <c r="N70" s="303"/>
    </row>
    <row r="71" spans="1:14" x14ac:dyDescent="0.25">
      <c r="A71" s="463" t="s">
        <v>387</v>
      </c>
      <c r="B71" s="464">
        <v>0</v>
      </c>
      <c r="C71" s="464">
        <v>0</v>
      </c>
      <c r="D71" s="464">
        <v>0</v>
      </c>
      <c r="E71" s="464">
        <v>0.09</v>
      </c>
      <c r="F71" s="464">
        <v>7.4999999999999997E-2</v>
      </c>
      <c r="G71" s="464">
        <v>8.3000000000000004E-2</v>
      </c>
      <c r="H71" s="464">
        <v>0.123</v>
      </c>
      <c r="I71" s="464">
        <v>0.23599999999999999</v>
      </c>
      <c r="J71" s="464">
        <v>0.23400000000000001</v>
      </c>
      <c r="K71" s="464">
        <v>0.33600000000000002</v>
      </c>
      <c r="L71" s="464">
        <v>0.29099999999999998</v>
      </c>
      <c r="M71" s="464">
        <v>26.390999999999998</v>
      </c>
      <c r="N71" s="303"/>
    </row>
    <row r="72" spans="1:14" x14ac:dyDescent="0.25">
      <c r="A72" s="463" t="s">
        <v>388</v>
      </c>
      <c r="B72" s="464">
        <v>0</v>
      </c>
      <c r="C72" s="464">
        <v>0</v>
      </c>
      <c r="D72" s="464">
        <v>0</v>
      </c>
      <c r="E72" s="464">
        <v>0</v>
      </c>
      <c r="F72" s="464">
        <v>0</v>
      </c>
      <c r="G72" s="464">
        <v>1.101</v>
      </c>
      <c r="H72" s="464">
        <v>3.0219999999999998</v>
      </c>
      <c r="I72" s="464">
        <v>4.7359999999999998</v>
      </c>
      <c r="J72" s="464">
        <v>9.0250000000000004</v>
      </c>
      <c r="K72" s="464">
        <v>12.795999999999999</v>
      </c>
      <c r="L72" s="464">
        <v>7.851</v>
      </c>
      <c r="M72" s="464">
        <v>7.4009999999999998</v>
      </c>
      <c r="N72" s="303"/>
    </row>
    <row r="73" spans="1:14" x14ac:dyDescent="0.25">
      <c r="A73" s="463" t="s">
        <v>389</v>
      </c>
      <c r="B73" s="464">
        <v>0</v>
      </c>
      <c r="C73" s="464">
        <v>0</v>
      </c>
      <c r="D73" s="464">
        <v>0</v>
      </c>
      <c r="E73" s="464">
        <v>0</v>
      </c>
      <c r="F73" s="464">
        <v>0</v>
      </c>
      <c r="G73" s="464">
        <v>0</v>
      </c>
      <c r="H73" s="464">
        <v>0</v>
      </c>
      <c r="I73" s="464">
        <v>0</v>
      </c>
      <c r="J73" s="464">
        <v>0</v>
      </c>
      <c r="K73" s="464">
        <v>0</v>
      </c>
      <c r="L73" s="464">
        <v>0</v>
      </c>
      <c r="M73" s="464">
        <v>0</v>
      </c>
      <c r="N73" s="303"/>
    </row>
    <row r="74" spans="1:14" x14ac:dyDescent="0.25">
      <c r="A74" s="463"/>
      <c r="B74" s="464"/>
      <c r="C74" s="464"/>
      <c r="D74" s="462"/>
      <c r="E74" s="464"/>
      <c r="F74" s="464"/>
      <c r="G74" s="464"/>
      <c r="H74" s="464"/>
      <c r="I74" s="464"/>
      <c r="J74" s="462"/>
      <c r="K74" s="464"/>
      <c r="L74" s="464"/>
      <c r="M74" s="464"/>
      <c r="N74" s="303"/>
    </row>
    <row r="75" spans="1:14" x14ac:dyDescent="0.25">
      <c r="A75" s="459" t="s">
        <v>390</v>
      </c>
      <c r="B75" s="465">
        <v>5.093</v>
      </c>
      <c r="C75" s="465">
        <v>0</v>
      </c>
      <c r="D75" s="465">
        <v>1.1220000000000001</v>
      </c>
      <c r="E75" s="465">
        <v>3.9649999999999999</v>
      </c>
      <c r="F75" s="465">
        <v>16.448999999999998</v>
      </c>
      <c r="G75" s="465">
        <v>15.951000000000001</v>
      </c>
      <c r="H75" s="465">
        <v>28.114999999999998</v>
      </c>
      <c r="I75" s="465">
        <v>33.692999999999998</v>
      </c>
      <c r="J75" s="465">
        <v>17.928000000000001</v>
      </c>
      <c r="K75" s="465">
        <v>74.323000000000008</v>
      </c>
      <c r="L75" s="465">
        <v>112.024</v>
      </c>
      <c r="M75" s="465">
        <v>32.338999999999999</v>
      </c>
      <c r="N75" s="303"/>
    </row>
    <row r="76" spans="1:14" x14ac:dyDescent="0.25">
      <c r="A76" s="463" t="s">
        <v>378</v>
      </c>
      <c r="B76" s="464">
        <v>5.093</v>
      </c>
      <c r="C76" s="464">
        <v>0.34599999999999997</v>
      </c>
      <c r="D76" s="464">
        <v>1.1220000000000001</v>
      </c>
      <c r="E76" s="464">
        <v>2.87</v>
      </c>
      <c r="F76" s="464">
        <v>15.167</v>
      </c>
      <c r="G76" s="464">
        <v>13.865</v>
      </c>
      <c r="H76" s="464">
        <v>27.332999999999998</v>
      </c>
      <c r="I76" s="464">
        <v>28.111999999999998</v>
      </c>
      <c r="J76" s="464">
        <v>14.685</v>
      </c>
      <c r="K76" s="464">
        <v>73.173000000000002</v>
      </c>
      <c r="L76" s="464">
        <v>107.07599999999999</v>
      </c>
      <c r="M76" s="464">
        <v>28.262</v>
      </c>
      <c r="N76" s="303"/>
    </row>
    <row r="77" spans="1:14" x14ac:dyDescent="0.25">
      <c r="A77" s="463" t="s">
        <v>381</v>
      </c>
      <c r="B77" s="464">
        <v>0.34599999999999997</v>
      </c>
      <c r="C77" s="464">
        <v>0.34599999999999997</v>
      </c>
      <c r="D77" s="464">
        <v>0.34599999999999997</v>
      </c>
      <c r="E77" s="464">
        <v>0.34300000000000003</v>
      </c>
      <c r="F77" s="464">
        <v>4.65E-2</v>
      </c>
      <c r="G77" s="464">
        <v>4.6530000000000002E-2</v>
      </c>
      <c r="H77" s="464">
        <v>4.607E-2</v>
      </c>
      <c r="I77" s="464">
        <v>4.607E-3</v>
      </c>
      <c r="J77" s="464"/>
      <c r="K77" s="464">
        <v>0</v>
      </c>
      <c r="L77" s="464">
        <v>4.589E-2</v>
      </c>
      <c r="M77" s="464">
        <v>0.34599999999999997</v>
      </c>
      <c r="N77" s="303"/>
    </row>
    <row r="78" spans="1:14" x14ac:dyDescent="0.25">
      <c r="A78" s="463" t="s">
        <v>383</v>
      </c>
      <c r="B78" s="464">
        <v>0</v>
      </c>
      <c r="C78" s="464">
        <v>0</v>
      </c>
      <c r="D78" s="464">
        <v>0</v>
      </c>
      <c r="E78" s="464">
        <v>1.095</v>
      </c>
      <c r="F78" s="464">
        <v>1.2819999999999998</v>
      </c>
      <c r="G78" s="464">
        <v>2.0859999999999999</v>
      </c>
      <c r="H78" s="464">
        <v>0.78200000000000003</v>
      </c>
      <c r="I78" s="464">
        <v>5.5809999999999995</v>
      </c>
      <c r="J78" s="464">
        <v>3.2430000000000003</v>
      </c>
      <c r="K78" s="464">
        <v>1.1499999999999999</v>
      </c>
      <c r="L78" s="464">
        <v>4.9480000000000004</v>
      </c>
      <c r="M78" s="464">
        <v>4.077</v>
      </c>
      <c r="N78" s="303"/>
    </row>
    <row r="79" spans="1:14" x14ac:dyDescent="0.25">
      <c r="A79" s="463" t="s">
        <v>384</v>
      </c>
      <c r="B79" s="464">
        <v>0.34599999999999997</v>
      </c>
      <c r="C79" s="464">
        <v>0.34599999999999997</v>
      </c>
      <c r="D79" s="464">
        <v>0.34599999999999997</v>
      </c>
      <c r="E79" s="464">
        <v>0.501</v>
      </c>
      <c r="F79" s="464">
        <v>3.3000000000000002E-2</v>
      </c>
      <c r="G79" s="464">
        <v>1.76</v>
      </c>
      <c r="H79" s="464">
        <v>0.19700000000000001</v>
      </c>
      <c r="I79" s="464">
        <v>2.1339999999999999</v>
      </c>
      <c r="J79" s="464">
        <v>0.34499999999999997</v>
      </c>
      <c r="K79" s="464">
        <v>0.318</v>
      </c>
      <c r="L79" s="464">
        <v>1.9059999999999999</v>
      </c>
      <c r="M79" s="464">
        <v>0.25700000000000001</v>
      </c>
      <c r="N79" s="303"/>
    </row>
    <row r="80" spans="1:14" x14ac:dyDescent="0.25">
      <c r="A80" s="463" t="s">
        <v>385</v>
      </c>
      <c r="B80" s="464">
        <v>0.34599999999999997</v>
      </c>
      <c r="C80" s="464">
        <v>0.34599999999999997</v>
      </c>
      <c r="D80" s="464">
        <v>0.34599999999999997</v>
      </c>
      <c r="E80" s="464">
        <v>0.47299999999999998</v>
      </c>
      <c r="F80" s="464">
        <v>1.208</v>
      </c>
      <c r="G80" s="464">
        <v>0.22600000000000001</v>
      </c>
      <c r="H80" s="464">
        <v>0.442</v>
      </c>
      <c r="I80" s="464">
        <v>3.0710000000000002</v>
      </c>
      <c r="J80" s="464">
        <v>2.35</v>
      </c>
      <c r="K80" s="464">
        <v>0.34599999999999997</v>
      </c>
      <c r="L80" s="464">
        <v>1.776</v>
      </c>
      <c r="M80" s="464">
        <v>3.4279999999999999</v>
      </c>
      <c r="N80" s="303"/>
    </row>
    <row r="81" spans="1:14" x14ac:dyDescent="0.25">
      <c r="A81" s="463" t="s">
        <v>386</v>
      </c>
      <c r="B81" s="464">
        <v>0.34599999999999997</v>
      </c>
      <c r="C81" s="464">
        <v>0.34599999999999997</v>
      </c>
      <c r="D81" s="464">
        <v>0.34599999999999997</v>
      </c>
      <c r="E81" s="464">
        <v>0.121</v>
      </c>
      <c r="F81" s="464">
        <v>4.1000000000000002E-2</v>
      </c>
      <c r="G81" s="464">
        <v>0.34599999999999997</v>
      </c>
      <c r="H81" s="464">
        <v>5.3999999999999999E-2</v>
      </c>
      <c r="I81" s="464">
        <v>0.3</v>
      </c>
      <c r="J81" s="464">
        <v>0.47599999999999998</v>
      </c>
      <c r="K81" s="464">
        <v>0.83199999999999996</v>
      </c>
      <c r="L81" s="464">
        <v>1.266</v>
      </c>
      <c r="M81" s="464">
        <v>0.34799999999999998</v>
      </c>
      <c r="N81" s="303"/>
    </row>
    <row r="82" spans="1:14" x14ac:dyDescent="0.25">
      <c r="A82" s="463" t="s">
        <v>391</v>
      </c>
      <c r="B82" s="464">
        <v>0.34599999999999997</v>
      </c>
      <c r="C82" s="464">
        <v>0.34599999999999997</v>
      </c>
      <c r="D82" s="464">
        <v>0.34599999999999997</v>
      </c>
      <c r="E82" s="464">
        <v>0.34599999999999997</v>
      </c>
      <c r="F82" s="464">
        <v>0.34599999999999997</v>
      </c>
      <c r="G82" s="464">
        <v>4.7E-2</v>
      </c>
      <c r="H82" s="464">
        <v>0.34599999999999997</v>
      </c>
      <c r="I82" s="464">
        <v>0.34599999999999997</v>
      </c>
      <c r="J82" s="464">
        <v>0.34599999999999997</v>
      </c>
      <c r="K82" s="464">
        <v>0.34599999999999997</v>
      </c>
      <c r="L82" s="464">
        <v>0</v>
      </c>
      <c r="M82" s="464">
        <v>4.3999999999999997E-2</v>
      </c>
      <c r="N82" s="303"/>
    </row>
    <row r="83" spans="1:14" x14ac:dyDescent="0.25">
      <c r="A83" s="463" t="s">
        <v>388</v>
      </c>
      <c r="B83" s="464">
        <v>0.34599999999999997</v>
      </c>
      <c r="C83" s="464">
        <v>0.34599999999999997</v>
      </c>
      <c r="D83" s="464">
        <v>0.34599999999999997</v>
      </c>
      <c r="E83" s="464">
        <v>0.34599999999999997</v>
      </c>
      <c r="F83" s="464">
        <v>0.34599999999999997</v>
      </c>
      <c r="G83" s="464">
        <v>5.2999999999999999E-2</v>
      </c>
      <c r="H83" s="464">
        <v>8.8999999999999996E-2</v>
      </c>
      <c r="I83" s="464">
        <v>7.5999999999999998E-2</v>
      </c>
      <c r="J83" s="464">
        <v>7.1999999999999995E-2</v>
      </c>
      <c r="K83" s="464">
        <v>0.34599999999999997</v>
      </c>
      <c r="L83" s="464">
        <v>0.34599999999999997</v>
      </c>
      <c r="M83" s="464">
        <v>0.34599999999999997</v>
      </c>
      <c r="N83" s="303"/>
    </row>
    <row r="84" spans="1:14" x14ac:dyDescent="0.25">
      <c r="A84" s="463"/>
      <c r="B84" s="464"/>
      <c r="C84" s="464"/>
      <c r="D84" s="464"/>
      <c r="E84" s="464"/>
      <c r="F84" s="464"/>
      <c r="G84" s="464"/>
      <c r="H84" s="464"/>
      <c r="I84" s="464"/>
      <c r="J84" s="464"/>
      <c r="K84" s="464"/>
      <c r="L84" s="464"/>
      <c r="M84" s="464"/>
      <c r="N84" s="303"/>
    </row>
    <row r="85" spans="1:14" x14ac:dyDescent="0.25">
      <c r="A85" s="459" t="s">
        <v>368</v>
      </c>
      <c r="B85" s="465">
        <v>4</v>
      </c>
      <c r="C85" s="465">
        <v>9.1150000000000002</v>
      </c>
      <c r="D85" s="465">
        <v>2.3279999999999998</v>
      </c>
      <c r="E85" s="465">
        <v>4.58</v>
      </c>
      <c r="F85" s="465">
        <v>1.5859999999999999</v>
      </c>
      <c r="G85" s="465">
        <v>3.45</v>
      </c>
      <c r="H85" s="465">
        <v>5.6460000000000008</v>
      </c>
      <c r="I85" s="465">
        <v>64.834000000000003</v>
      </c>
      <c r="J85" s="465">
        <v>25.876999999999999</v>
      </c>
      <c r="K85" s="465">
        <v>1.4930000000000001</v>
      </c>
      <c r="L85" s="465">
        <v>2.3119999999999998</v>
      </c>
      <c r="M85" s="465">
        <v>12.917999999999999</v>
      </c>
      <c r="N85" s="303"/>
    </row>
    <row r="86" spans="1:14" x14ac:dyDescent="0.25">
      <c r="A86" s="463"/>
      <c r="B86" s="464"/>
      <c r="C86" s="464"/>
      <c r="D86" s="464"/>
      <c r="E86" s="464"/>
      <c r="F86" s="464"/>
      <c r="G86" s="464"/>
      <c r="H86" s="464"/>
      <c r="I86" s="464"/>
      <c r="J86" s="462"/>
      <c r="K86" s="464"/>
      <c r="L86" s="464"/>
      <c r="M86" s="464"/>
      <c r="N86" s="303"/>
    </row>
    <row r="87" spans="1:14" x14ac:dyDescent="0.25">
      <c r="A87" s="459" t="s">
        <v>259</v>
      </c>
      <c r="B87" s="465">
        <v>104.38799999999999</v>
      </c>
      <c r="C87" s="465">
        <v>130.697</v>
      </c>
      <c r="D87" s="465">
        <v>105.5</v>
      </c>
      <c r="E87" s="465">
        <v>115.89700000000001</v>
      </c>
      <c r="F87" s="465">
        <v>148.971</v>
      </c>
      <c r="G87" s="465">
        <v>209.166</v>
      </c>
      <c r="H87" s="465">
        <v>328.56</v>
      </c>
      <c r="I87" s="465">
        <v>507.62700000000001</v>
      </c>
      <c r="J87" s="465">
        <v>641.79</v>
      </c>
      <c r="K87" s="465">
        <v>665.18399999999997</v>
      </c>
      <c r="L87" s="465">
        <v>825.00305400000002</v>
      </c>
      <c r="M87" s="465">
        <v>686.48599999999999</v>
      </c>
      <c r="N87" s="303"/>
    </row>
    <row r="88" spans="1:14" x14ac:dyDescent="0.25">
      <c r="A88" s="467"/>
      <c r="B88" s="465"/>
      <c r="C88" s="465"/>
      <c r="D88" s="465"/>
      <c r="E88" s="465"/>
      <c r="F88" s="465"/>
      <c r="G88" s="465"/>
      <c r="H88" s="465"/>
      <c r="I88" s="465"/>
      <c r="J88" s="467"/>
      <c r="K88" s="465"/>
      <c r="L88" s="465"/>
      <c r="M88" s="465"/>
      <c r="N88" s="303"/>
    </row>
    <row r="89" spans="1:14" x14ac:dyDescent="0.25">
      <c r="A89" s="459" t="s">
        <v>260</v>
      </c>
      <c r="B89" s="465">
        <v>6.8380000000000001</v>
      </c>
      <c r="C89" s="465">
        <v>7.0540000000000003</v>
      </c>
      <c r="D89" s="465">
        <v>11.468</v>
      </c>
      <c r="E89" s="465">
        <v>10.783999999999999</v>
      </c>
      <c r="F89" s="465">
        <v>25.905000000000001</v>
      </c>
      <c r="G89" s="465">
        <v>27.068999999999999</v>
      </c>
      <c r="H89" s="465">
        <v>19.957999999999998</v>
      </c>
      <c r="I89" s="465">
        <v>25.568999999999999</v>
      </c>
      <c r="J89" s="465">
        <v>16.564</v>
      </c>
      <c r="K89" s="465">
        <v>25.081</v>
      </c>
      <c r="L89" s="465">
        <v>30.96</v>
      </c>
      <c r="M89" s="465">
        <v>38.732999999999997</v>
      </c>
      <c r="N89" s="303"/>
    </row>
    <row r="90" spans="1:14" x14ac:dyDescent="0.25">
      <c r="A90" s="467"/>
      <c r="B90" s="465"/>
      <c r="C90" s="465"/>
      <c r="D90" s="465"/>
      <c r="E90" s="465"/>
      <c r="F90" s="465"/>
      <c r="G90" s="465"/>
      <c r="H90" s="465"/>
      <c r="I90" s="465"/>
      <c r="J90" s="465"/>
      <c r="K90" s="465"/>
      <c r="L90" s="465"/>
      <c r="M90" s="465"/>
      <c r="N90" s="303"/>
    </row>
    <row r="91" spans="1:14" x14ac:dyDescent="0.25">
      <c r="A91" s="459" t="s">
        <v>261</v>
      </c>
      <c r="B91" s="465">
        <v>112.27899999999998</v>
      </c>
      <c r="C91" s="465">
        <v>142.90100000000001</v>
      </c>
      <c r="D91" s="465">
        <v>118.68700000000001</v>
      </c>
      <c r="E91" s="465">
        <v>127.54800000000002</v>
      </c>
      <c r="F91" s="465">
        <v>175.625</v>
      </c>
      <c r="G91" s="465">
        <v>237.21799999999999</v>
      </c>
      <c r="H91" s="465">
        <v>350.05600000000004</v>
      </c>
      <c r="I91" s="465">
        <v>534.89499999999998</v>
      </c>
      <c r="J91" s="465">
        <v>660.04899999999998</v>
      </c>
      <c r="K91" s="465">
        <v>693.29700000000003</v>
      </c>
      <c r="L91" s="465">
        <v>859.47705400000007</v>
      </c>
      <c r="M91" s="465">
        <v>730.0379999999999</v>
      </c>
      <c r="N91" s="303"/>
    </row>
    <row r="92" spans="1:14" x14ac:dyDescent="0.25">
      <c r="A92" s="467"/>
      <c r="B92" s="465"/>
      <c r="C92" s="465"/>
      <c r="D92" s="465"/>
      <c r="E92" s="465"/>
      <c r="F92" s="465"/>
      <c r="G92" s="465"/>
      <c r="H92" s="465"/>
      <c r="I92" s="465"/>
      <c r="J92" s="465"/>
      <c r="K92" s="465"/>
      <c r="L92" s="465"/>
      <c r="M92" s="465"/>
      <c r="N92" s="303"/>
    </row>
    <row r="93" spans="1:14" x14ac:dyDescent="0.25">
      <c r="A93" s="459" t="s">
        <v>262</v>
      </c>
      <c r="B93" s="465">
        <v>129.548</v>
      </c>
      <c r="C93" s="465">
        <v>142.71299999999999</v>
      </c>
      <c r="D93" s="465">
        <v>152.27500000000001</v>
      </c>
      <c r="E93" s="465">
        <v>228.34</v>
      </c>
      <c r="F93" s="465">
        <v>297.654</v>
      </c>
      <c r="G93" s="465">
        <v>219.13</v>
      </c>
      <c r="H93" s="465">
        <v>275.80399999999997</v>
      </c>
      <c r="I93" s="465">
        <v>261.428</v>
      </c>
      <c r="J93" s="465">
        <v>578.548</v>
      </c>
      <c r="K93" s="465">
        <v>615.197</v>
      </c>
      <c r="L93" s="465">
        <v>609.69399999999996</v>
      </c>
      <c r="M93" s="465">
        <v>628.08699999999999</v>
      </c>
      <c r="N93" s="303"/>
    </row>
    <row r="94" spans="1:14" x14ac:dyDescent="0.25">
      <c r="A94" s="468"/>
      <c r="B94" s="469"/>
      <c r="C94" s="469"/>
      <c r="D94" s="469"/>
      <c r="E94" s="469"/>
      <c r="F94" s="469"/>
      <c r="G94" s="470"/>
      <c r="H94" s="469"/>
      <c r="I94" s="470"/>
      <c r="J94" s="469"/>
      <c r="K94" s="469"/>
      <c r="L94" s="469"/>
      <c r="M94" s="469"/>
      <c r="N94" s="303"/>
    </row>
    <row r="97" spans="1:1" x14ac:dyDescent="0.25">
      <c r="A97" s="410"/>
    </row>
    <row r="98" spans="1:1" x14ac:dyDescent="0.25">
      <c r="A98" s="128" t="s">
        <v>598</v>
      </c>
    </row>
    <row r="99" spans="1:1" x14ac:dyDescent="0.25">
      <c r="A99" s="108"/>
    </row>
  </sheetData>
  <mergeCells count="1">
    <mergeCell ref="A1:M1"/>
  </mergeCells>
  <hyperlinks>
    <hyperlink ref="A98" location="'indice cap.1'!A1" display="regresar al índice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96"/>
  <sheetViews>
    <sheetView showGridLines="0" workbookViewId="0">
      <selection activeCell="A5" sqref="A5"/>
    </sheetView>
  </sheetViews>
  <sheetFormatPr defaultColWidth="11.42578125" defaultRowHeight="15" x14ac:dyDescent="0.25"/>
  <cols>
    <col min="1" max="1" width="52.42578125" customWidth="1"/>
  </cols>
  <sheetData>
    <row r="1" spans="1:29" x14ac:dyDescent="0.25">
      <c r="A1" s="576" t="s">
        <v>893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</row>
    <row r="2" spans="1:29" x14ac:dyDescent="0.25">
      <c r="A2" s="578" t="s">
        <v>870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  <c r="AB2" s="577"/>
      <c r="AC2" s="577"/>
    </row>
    <row r="3" spans="1:29" x14ac:dyDescent="0.25">
      <c r="A3" s="578" t="s">
        <v>86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  <c r="AC3" s="577"/>
    </row>
    <row r="4" spans="1:29" x14ac:dyDescent="0.25">
      <c r="A4" s="440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9" x14ac:dyDescent="0.25">
      <c r="A5" s="452" t="s">
        <v>148</v>
      </c>
      <c r="B5" s="453" t="s">
        <v>263</v>
      </c>
      <c r="C5" s="453" t="s">
        <v>264</v>
      </c>
      <c r="D5" s="453" t="s">
        <v>265</v>
      </c>
      <c r="E5" s="453" t="s">
        <v>266</v>
      </c>
      <c r="F5" s="453" t="s">
        <v>267</v>
      </c>
      <c r="G5" s="453" t="s">
        <v>268</v>
      </c>
      <c r="H5" s="453" t="s">
        <v>269</v>
      </c>
      <c r="I5" s="453" t="s">
        <v>270</v>
      </c>
      <c r="J5" s="453" t="s">
        <v>271</v>
      </c>
      <c r="K5" s="453" t="s">
        <v>272</v>
      </c>
      <c r="L5" s="453" t="s">
        <v>273</v>
      </c>
      <c r="M5" s="453" t="s">
        <v>274</v>
      </c>
      <c r="N5" s="453" t="s">
        <v>275</v>
      </c>
      <c r="O5" s="453" t="s">
        <v>276</v>
      </c>
      <c r="P5" s="453" t="s">
        <v>277</v>
      </c>
      <c r="Q5" s="453" t="s">
        <v>278</v>
      </c>
      <c r="R5" s="453" t="s">
        <v>279</v>
      </c>
      <c r="S5" s="453" t="s">
        <v>280</v>
      </c>
      <c r="T5" s="453" t="s">
        <v>281</v>
      </c>
      <c r="U5" s="453" t="s">
        <v>282</v>
      </c>
      <c r="V5" s="453" t="s">
        <v>283</v>
      </c>
      <c r="W5" s="453" t="s">
        <v>284</v>
      </c>
      <c r="X5" s="453" t="s">
        <v>285</v>
      </c>
      <c r="Y5" s="453" t="s">
        <v>286</v>
      </c>
      <c r="Z5" s="453" t="s">
        <v>287</v>
      </c>
      <c r="AA5" s="453" t="s">
        <v>288</v>
      </c>
      <c r="AB5" s="453" t="s">
        <v>289</v>
      </c>
      <c r="AC5" s="454" t="s">
        <v>290</v>
      </c>
    </row>
    <row r="6" spans="1:29" x14ac:dyDescent="0.25">
      <c r="A6" s="433"/>
      <c r="B6" s="433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</row>
    <row r="7" spans="1:29" x14ac:dyDescent="0.25">
      <c r="A7" s="459" t="s">
        <v>165</v>
      </c>
      <c r="B7" s="475">
        <v>13.5</v>
      </c>
      <c r="C7" s="475">
        <v>13.5</v>
      </c>
      <c r="D7" s="475">
        <v>14.85</v>
      </c>
      <c r="E7" s="475">
        <v>15</v>
      </c>
      <c r="F7" s="475">
        <v>15</v>
      </c>
      <c r="G7" s="475">
        <v>15</v>
      </c>
      <c r="H7" s="475">
        <v>15</v>
      </c>
      <c r="I7" s="475">
        <v>15</v>
      </c>
      <c r="J7" s="475">
        <v>15</v>
      </c>
      <c r="K7" s="475">
        <v>15</v>
      </c>
      <c r="L7" s="475">
        <v>15</v>
      </c>
      <c r="M7" s="475">
        <v>15</v>
      </c>
      <c r="N7" s="475">
        <v>15</v>
      </c>
      <c r="O7" s="475">
        <v>18</v>
      </c>
      <c r="P7" s="475">
        <v>18</v>
      </c>
      <c r="Q7" s="475">
        <v>18</v>
      </c>
      <c r="R7" s="475">
        <v>18</v>
      </c>
      <c r="S7" s="475">
        <v>18</v>
      </c>
      <c r="T7" s="475">
        <v>18</v>
      </c>
      <c r="U7" s="475">
        <v>18</v>
      </c>
      <c r="V7" s="475">
        <v>18</v>
      </c>
      <c r="W7" s="475">
        <v>18</v>
      </c>
      <c r="X7" s="475">
        <v>25</v>
      </c>
      <c r="Y7" s="475">
        <v>25</v>
      </c>
      <c r="Z7" s="475">
        <v>25</v>
      </c>
      <c r="AA7" s="475">
        <v>25</v>
      </c>
      <c r="AB7" s="475">
        <v>25</v>
      </c>
      <c r="AC7" s="475">
        <v>25</v>
      </c>
    </row>
    <row r="8" spans="1:29" x14ac:dyDescent="0.25">
      <c r="A8" s="433"/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  <c r="AB8" s="433"/>
      <c r="AC8" s="433"/>
    </row>
    <row r="9" spans="1:29" x14ac:dyDescent="0.25">
      <c r="A9" s="459" t="s">
        <v>166</v>
      </c>
      <c r="B9" s="462"/>
      <c r="C9" s="462"/>
      <c r="D9" s="462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</row>
    <row r="10" spans="1:29" x14ac:dyDescent="0.25">
      <c r="A10" s="459" t="s">
        <v>291</v>
      </c>
      <c r="B10" s="478">
        <v>442.70799999999997</v>
      </c>
      <c r="C10" s="478">
        <v>424.74800000000005</v>
      </c>
      <c r="D10" s="478">
        <v>635.38499999999999</v>
      </c>
      <c r="E10" s="478">
        <v>537.69000000000005</v>
      </c>
      <c r="F10" s="478">
        <v>727.41100000000006</v>
      </c>
      <c r="G10" s="478">
        <v>657.25299999999993</v>
      </c>
      <c r="H10" s="478">
        <v>652.27800000000002</v>
      </c>
      <c r="I10" s="478">
        <v>581.17100000000005</v>
      </c>
      <c r="J10" s="478">
        <v>624.59900000000005</v>
      </c>
      <c r="K10" s="478">
        <v>736.11099999999999</v>
      </c>
      <c r="L10" s="478">
        <v>679.14599999999996</v>
      </c>
      <c r="M10" s="478">
        <v>822.92099999999994</v>
      </c>
      <c r="N10" s="478">
        <v>780.14400000000001</v>
      </c>
      <c r="O10" s="478">
        <v>959.89300000000003</v>
      </c>
      <c r="P10" s="478">
        <v>1048.152</v>
      </c>
      <c r="Q10" s="478">
        <v>1198.75</v>
      </c>
      <c r="R10" s="478">
        <v>1235.3819999999998</v>
      </c>
      <c r="S10" s="478">
        <v>1186.982</v>
      </c>
      <c r="T10" s="478">
        <v>1550.6</v>
      </c>
      <c r="U10" s="478">
        <v>1694.5409999999999</v>
      </c>
      <c r="V10" s="478">
        <v>1472.973</v>
      </c>
      <c r="W10" s="478">
        <v>1619.4590000000001</v>
      </c>
      <c r="X10" s="478">
        <v>2906.9949999999999</v>
      </c>
      <c r="Y10" s="478">
        <v>2395.098</v>
      </c>
      <c r="Z10" s="478">
        <v>4368.3450000000003</v>
      </c>
      <c r="AA10" s="478">
        <v>6726.7259999999997</v>
      </c>
      <c r="AB10" s="478">
        <v>10526.808999999999</v>
      </c>
      <c r="AC10" s="478">
        <v>9070.8529999999992</v>
      </c>
    </row>
    <row r="11" spans="1:29" x14ac:dyDescent="0.25">
      <c r="A11" s="463" t="s">
        <v>292</v>
      </c>
      <c r="B11" s="466">
        <v>375.20799999999997</v>
      </c>
      <c r="C11" s="466">
        <v>357.24800000000005</v>
      </c>
      <c r="D11" s="466">
        <v>560.38499999999999</v>
      </c>
      <c r="E11" s="466">
        <v>462.69</v>
      </c>
      <c r="F11" s="466">
        <v>652.41100000000006</v>
      </c>
      <c r="G11" s="466">
        <v>582.25299999999993</v>
      </c>
      <c r="H11" s="466">
        <v>577.27800000000002</v>
      </c>
      <c r="I11" s="466">
        <v>506.17099999999999</v>
      </c>
      <c r="J11" s="466">
        <v>474.59900000000005</v>
      </c>
      <c r="K11" s="466">
        <v>586.11099999999999</v>
      </c>
      <c r="L11" s="466">
        <v>529.14599999999996</v>
      </c>
      <c r="M11" s="466">
        <v>597.92099999999994</v>
      </c>
      <c r="N11" s="466">
        <v>555.14400000000001</v>
      </c>
      <c r="O11" s="466">
        <v>689.89300000000003</v>
      </c>
      <c r="P11" s="466">
        <v>778.15200000000004</v>
      </c>
      <c r="Q11" s="466">
        <v>928.75</v>
      </c>
      <c r="R11" s="466">
        <v>875.38199999999983</v>
      </c>
      <c r="S11" s="466">
        <v>826.98199999999997</v>
      </c>
      <c r="T11" s="466">
        <v>1100.5999999999999</v>
      </c>
      <c r="U11" s="466">
        <v>1244.5409999999999</v>
      </c>
      <c r="V11" s="466">
        <v>1022.973</v>
      </c>
      <c r="W11" s="466">
        <v>1169.4590000000001</v>
      </c>
      <c r="X11" s="466">
        <v>2081.9949999999999</v>
      </c>
      <c r="Y11" s="466">
        <v>1570.0980000000002</v>
      </c>
      <c r="Z11" s="466">
        <v>3543.3460000000005</v>
      </c>
      <c r="AA11" s="466">
        <v>5859.1679999999997</v>
      </c>
      <c r="AB11" s="466">
        <v>9531.1029999999992</v>
      </c>
      <c r="AC11" s="466">
        <v>8092.5879999999997</v>
      </c>
    </row>
    <row r="12" spans="1:29" x14ac:dyDescent="0.25">
      <c r="A12" s="463" t="s">
        <v>293</v>
      </c>
      <c r="B12" s="466">
        <v>277.65699999999998</v>
      </c>
      <c r="C12" s="466">
        <v>278.64800000000002</v>
      </c>
      <c r="D12" s="466">
        <v>281.255</v>
      </c>
      <c r="E12" s="466">
        <v>335.61799999999999</v>
      </c>
      <c r="F12" s="466">
        <v>338.64100000000002</v>
      </c>
      <c r="G12" s="466">
        <v>341.92399999999998</v>
      </c>
      <c r="H12" s="466">
        <v>342.904</v>
      </c>
      <c r="I12" s="466">
        <v>343.65800000000002</v>
      </c>
      <c r="J12" s="466">
        <v>325.16300000000001</v>
      </c>
      <c r="K12" s="466">
        <v>324.82299999999998</v>
      </c>
      <c r="L12" s="466">
        <v>324.76900000000001</v>
      </c>
      <c r="M12" s="466">
        <v>306.07799999999997</v>
      </c>
      <c r="N12" s="466">
        <v>299.96600000000001</v>
      </c>
      <c r="O12" s="466">
        <v>346.00200000000001</v>
      </c>
      <c r="P12" s="466">
        <v>343.00400000000002</v>
      </c>
      <c r="Q12" s="466">
        <v>335.98599999999999</v>
      </c>
      <c r="R12" s="466">
        <v>201.733</v>
      </c>
      <c r="S12" s="466">
        <v>200.75399999999999</v>
      </c>
      <c r="T12" s="466">
        <v>197.97900000000001</v>
      </c>
      <c r="U12" s="466">
        <v>308.07100000000003</v>
      </c>
      <c r="V12" s="466">
        <v>472.12700000000001</v>
      </c>
      <c r="W12" s="466">
        <v>397.88200000000001</v>
      </c>
      <c r="X12" s="466">
        <v>476</v>
      </c>
      <c r="Y12" s="466">
        <v>466.346</v>
      </c>
      <c r="Z12" s="466">
        <v>310.73099999999999</v>
      </c>
      <c r="AA12" s="466">
        <v>407.49099999999999</v>
      </c>
      <c r="AB12" s="466">
        <v>407.483</v>
      </c>
      <c r="AC12" s="466">
        <v>407</v>
      </c>
    </row>
    <row r="13" spans="1:29" x14ac:dyDescent="0.25">
      <c r="A13" s="463" t="s">
        <v>294</v>
      </c>
      <c r="B13" s="466">
        <v>97.551000000000002</v>
      </c>
      <c r="C13" s="466">
        <v>77.867999999999995</v>
      </c>
      <c r="D13" s="466">
        <v>274.64400000000001</v>
      </c>
      <c r="E13" s="466">
        <v>126.405</v>
      </c>
      <c r="F13" s="466">
        <v>312.95800000000003</v>
      </c>
      <c r="G13" s="466">
        <v>234.33799999999999</v>
      </c>
      <c r="H13" s="466">
        <v>233.10599999999999</v>
      </c>
      <c r="I13" s="466">
        <v>161.386</v>
      </c>
      <c r="J13" s="466">
        <v>146.815</v>
      </c>
      <c r="K13" s="466">
        <v>256.45</v>
      </c>
      <c r="L13" s="466">
        <v>184.93899999999999</v>
      </c>
      <c r="M13" s="466">
        <v>246.614</v>
      </c>
      <c r="N13" s="466">
        <v>221.74299999999999</v>
      </c>
      <c r="O13" s="466">
        <v>299.61799999999999</v>
      </c>
      <c r="P13" s="466">
        <v>364.65699999999998</v>
      </c>
      <c r="Q13" s="466">
        <v>484.19299999999998</v>
      </c>
      <c r="R13" s="466">
        <v>327.529</v>
      </c>
      <c r="S13" s="466">
        <v>548</v>
      </c>
      <c r="T13" s="466">
        <v>814.67700000000002</v>
      </c>
      <c r="U13" s="466">
        <v>852.56700000000001</v>
      </c>
      <c r="V13" s="466">
        <v>444.04500000000002</v>
      </c>
      <c r="W13" s="466">
        <v>642.49900000000002</v>
      </c>
      <c r="X13" s="466">
        <v>1239.8869999999999</v>
      </c>
      <c r="Y13" s="466">
        <v>881.53800000000001</v>
      </c>
      <c r="Z13" s="466">
        <v>2611.4520000000002</v>
      </c>
      <c r="AA13" s="466">
        <v>4860.3519999999999</v>
      </c>
      <c r="AB13" s="466">
        <v>7493.8440000000001</v>
      </c>
      <c r="AC13" s="466">
        <v>5713.1490000000003</v>
      </c>
    </row>
    <row r="14" spans="1:29" x14ac:dyDescent="0.25">
      <c r="A14" s="463" t="s">
        <v>295</v>
      </c>
      <c r="B14" s="479" t="s">
        <v>10</v>
      </c>
      <c r="C14" s="466">
        <v>0.73199999999999998</v>
      </c>
      <c r="D14" s="466">
        <v>4.4859999999999998</v>
      </c>
      <c r="E14" s="466">
        <v>0.66700000000000004</v>
      </c>
      <c r="F14" s="466">
        <v>0.81200000000000006</v>
      </c>
      <c r="G14" s="466">
        <v>5.9909999999999997</v>
      </c>
      <c r="H14" s="466">
        <v>1.268</v>
      </c>
      <c r="I14" s="466">
        <v>1.127</v>
      </c>
      <c r="J14" s="466">
        <v>1.1359999999999999</v>
      </c>
      <c r="K14" s="466">
        <v>1.2529999999999999</v>
      </c>
      <c r="L14" s="466">
        <v>1.093</v>
      </c>
      <c r="M14" s="466">
        <v>15.183999999999999</v>
      </c>
      <c r="N14" s="479">
        <v>0</v>
      </c>
      <c r="O14" s="479">
        <v>0</v>
      </c>
      <c r="P14" s="466">
        <v>16.135000000000002</v>
      </c>
      <c r="Q14" s="466">
        <v>54.069000000000003</v>
      </c>
      <c r="R14" s="466">
        <v>270.214</v>
      </c>
      <c r="S14" s="479">
        <v>0</v>
      </c>
      <c r="T14" s="466">
        <v>23.231999999999999</v>
      </c>
      <c r="U14" s="466">
        <v>1.1910000000000001</v>
      </c>
      <c r="V14" s="466">
        <v>13.289</v>
      </c>
      <c r="W14" s="466">
        <v>60.765999999999998</v>
      </c>
      <c r="X14" s="466">
        <v>9.6059999999999999</v>
      </c>
      <c r="Y14" s="466">
        <v>22.766999999999999</v>
      </c>
      <c r="Z14" s="466">
        <v>44.491999999999997</v>
      </c>
      <c r="AA14" s="466">
        <v>105.524</v>
      </c>
      <c r="AB14" s="466">
        <v>103.268</v>
      </c>
      <c r="AC14" s="466">
        <v>96.486000000000004</v>
      </c>
    </row>
    <row r="15" spans="1:29" x14ac:dyDescent="0.25">
      <c r="A15" s="463" t="s">
        <v>296</v>
      </c>
      <c r="B15" s="479" t="s">
        <v>10</v>
      </c>
      <c r="C15" s="479" t="s">
        <v>10</v>
      </c>
      <c r="D15" s="479" t="s">
        <v>10</v>
      </c>
      <c r="E15" s="479" t="s">
        <v>10</v>
      </c>
      <c r="F15" s="479" t="s">
        <v>10</v>
      </c>
      <c r="G15" s="479" t="s">
        <v>10</v>
      </c>
      <c r="H15" s="479" t="s">
        <v>10</v>
      </c>
      <c r="I15" s="479" t="s">
        <v>10</v>
      </c>
      <c r="J15" s="479" t="s">
        <v>10</v>
      </c>
      <c r="K15" s="479" t="s">
        <v>10</v>
      </c>
      <c r="L15" s="479" t="s">
        <v>10</v>
      </c>
      <c r="M15" s="479" t="s">
        <v>10</v>
      </c>
      <c r="N15" s="479" t="s">
        <v>10</v>
      </c>
      <c r="O15" s="479" t="s">
        <v>10</v>
      </c>
      <c r="P15" s="479" t="s">
        <v>10</v>
      </c>
      <c r="Q15" s="479" t="s">
        <v>10</v>
      </c>
      <c r="R15" s="479" t="s">
        <v>10</v>
      </c>
      <c r="S15" s="479" t="s">
        <v>10</v>
      </c>
      <c r="T15" s="479" t="s">
        <v>10</v>
      </c>
      <c r="U15" s="479" t="s">
        <v>10</v>
      </c>
      <c r="V15" s="479" t="s">
        <v>10</v>
      </c>
      <c r="W15" s="479" t="s">
        <v>10</v>
      </c>
      <c r="X15" s="479" t="s">
        <v>10</v>
      </c>
      <c r="Y15" s="479" t="s">
        <v>10</v>
      </c>
      <c r="Z15" s="479" t="s">
        <v>10</v>
      </c>
      <c r="AA15" s="466">
        <v>157</v>
      </c>
      <c r="AB15" s="466">
        <v>1072.5999999999999</v>
      </c>
      <c r="AC15" s="466">
        <v>1323.0029999999999</v>
      </c>
    </row>
    <row r="16" spans="1:29" x14ac:dyDescent="0.25">
      <c r="A16" s="463" t="s">
        <v>297</v>
      </c>
      <c r="B16" s="479" t="s">
        <v>10</v>
      </c>
      <c r="C16" s="479" t="s">
        <v>10</v>
      </c>
      <c r="D16" s="479" t="s">
        <v>10</v>
      </c>
      <c r="E16" s="479" t="s">
        <v>10</v>
      </c>
      <c r="F16" s="479" t="s">
        <v>10</v>
      </c>
      <c r="G16" s="479" t="s">
        <v>10</v>
      </c>
      <c r="H16" s="479" t="s">
        <v>10</v>
      </c>
      <c r="I16" s="479" t="s">
        <v>10</v>
      </c>
      <c r="J16" s="479" t="s">
        <v>10</v>
      </c>
      <c r="K16" s="479" t="s">
        <v>10</v>
      </c>
      <c r="L16" s="479" t="s">
        <v>10</v>
      </c>
      <c r="M16" s="479" t="s">
        <v>10</v>
      </c>
      <c r="N16" s="479" t="s">
        <v>10</v>
      </c>
      <c r="O16" s="479" t="s">
        <v>10</v>
      </c>
      <c r="P16" s="479" t="s">
        <v>10</v>
      </c>
      <c r="Q16" s="479" t="s">
        <v>10</v>
      </c>
      <c r="R16" s="479" t="s">
        <v>10</v>
      </c>
      <c r="S16" s="479" t="s">
        <v>10</v>
      </c>
      <c r="T16" s="479" t="s">
        <v>10</v>
      </c>
      <c r="U16" s="479" t="s">
        <v>10</v>
      </c>
      <c r="V16" s="479" t="s">
        <v>10</v>
      </c>
      <c r="W16" s="479" t="s">
        <v>10</v>
      </c>
      <c r="X16" s="466">
        <v>2.8740000000000001</v>
      </c>
      <c r="Y16" s="466">
        <v>83.668999999999997</v>
      </c>
      <c r="Z16" s="466">
        <v>167.726</v>
      </c>
      <c r="AA16" s="466">
        <v>167.928</v>
      </c>
      <c r="AB16" s="466">
        <v>195.554</v>
      </c>
      <c r="AC16" s="466">
        <v>186.52199999999999</v>
      </c>
    </row>
    <row r="17" spans="1:29" x14ac:dyDescent="0.25">
      <c r="A17" s="463" t="s">
        <v>298</v>
      </c>
      <c r="B17" s="479" t="s">
        <v>10</v>
      </c>
      <c r="C17" s="479" t="s">
        <v>10</v>
      </c>
      <c r="D17" s="479" t="s">
        <v>10</v>
      </c>
      <c r="E17" s="479" t="s">
        <v>10</v>
      </c>
      <c r="F17" s="479" t="s">
        <v>10</v>
      </c>
      <c r="G17" s="479" t="s">
        <v>10</v>
      </c>
      <c r="H17" s="479" t="s">
        <v>10</v>
      </c>
      <c r="I17" s="479" t="s">
        <v>10</v>
      </c>
      <c r="J17" s="466">
        <v>1.4850000000000001</v>
      </c>
      <c r="K17" s="466">
        <v>3.585</v>
      </c>
      <c r="L17" s="466">
        <v>18.344999999999999</v>
      </c>
      <c r="M17" s="466">
        <v>30.045000000000002</v>
      </c>
      <c r="N17" s="466">
        <v>33.435000000000002</v>
      </c>
      <c r="O17" s="466">
        <v>44.273000000000003</v>
      </c>
      <c r="P17" s="466">
        <v>54.356000000000002</v>
      </c>
      <c r="Q17" s="466">
        <v>54.502000000000002</v>
      </c>
      <c r="R17" s="466">
        <v>75.906000000000006</v>
      </c>
      <c r="S17" s="466">
        <v>78.227999999999994</v>
      </c>
      <c r="T17" s="466">
        <v>64.712000000000003</v>
      </c>
      <c r="U17" s="466">
        <v>82.712000000000003</v>
      </c>
      <c r="V17" s="466">
        <v>93.512</v>
      </c>
      <c r="W17" s="466">
        <v>68.311999999999998</v>
      </c>
      <c r="X17" s="466">
        <v>353.62799999999999</v>
      </c>
      <c r="Y17" s="466">
        <v>115.77800000000001</v>
      </c>
      <c r="Z17" s="466">
        <v>408.94499999999999</v>
      </c>
      <c r="AA17" s="466">
        <v>160.87299999999999</v>
      </c>
      <c r="AB17" s="466">
        <v>258.35399999999998</v>
      </c>
      <c r="AC17" s="466">
        <v>366.428</v>
      </c>
    </row>
    <row r="18" spans="1:29" x14ac:dyDescent="0.25">
      <c r="A18" s="459" t="s">
        <v>299</v>
      </c>
      <c r="B18" s="478">
        <v>67.5</v>
      </c>
      <c r="C18" s="478">
        <v>67.5</v>
      </c>
      <c r="D18" s="478">
        <v>75</v>
      </c>
      <c r="E18" s="478">
        <v>75</v>
      </c>
      <c r="F18" s="478">
        <v>75</v>
      </c>
      <c r="G18" s="478">
        <v>75</v>
      </c>
      <c r="H18" s="478">
        <v>75</v>
      </c>
      <c r="I18" s="478">
        <v>75</v>
      </c>
      <c r="J18" s="478">
        <v>150</v>
      </c>
      <c r="K18" s="478">
        <v>150</v>
      </c>
      <c r="L18" s="478">
        <v>150</v>
      </c>
      <c r="M18" s="478">
        <v>225</v>
      </c>
      <c r="N18" s="478">
        <v>225</v>
      </c>
      <c r="O18" s="478">
        <v>270</v>
      </c>
      <c r="P18" s="478">
        <v>270</v>
      </c>
      <c r="Q18" s="478">
        <v>270</v>
      </c>
      <c r="R18" s="478">
        <v>360</v>
      </c>
      <c r="S18" s="478">
        <v>360</v>
      </c>
      <c r="T18" s="478">
        <v>450</v>
      </c>
      <c r="U18" s="478">
        <v>450</v>
      </c>
      <c r="V18" s="478">
        <v>450</v>
      </c>
      <c r="W18" s="478">
        <v>450</v>
      </c>
      <c r="X18" s="478">
        <v>825</v>
      </c>
      <c r="Y18" s="478">
        <v>825</v>
      </c>
      <c r="Z18" s="478">
        <v>824.99900000000002</v>
      </c>
      <c r="AA18" s="478">
        <v>867.55799999999999</v>
      </c>
      <c r="AB18" s="478">
        <v>995.70600000000002</v>
      </c>
      <c r="AC18" s="478">
        <v>978.26499999999999</v>
      </c>
    </row>
    <row r="19" spans="1:29" x14ac:dyDescent="0.25">
      <c r="A19" s="459" t="s">
        <v>177</v>
      </c>
      <c r="B19" s="478">
        <v>87.596000000000004</v>
      </c>
      <c r="C19" s="478">
        <v>78.923000000000002</v>
      </c>
      <c r="D19" s="478">
        <v>78.620999999999995</v>
      </c>
      <c r="E19" s="478">
        <v>77.552000000000007</v>
      </c>
      <c r="F19" s="478">
        <v>77.617000000000004</v>
      </c>
      <c r="G19" s="478">
        <v>80.885000000000005</v>
      </c>
      <c r="H19" s="478">
        <v>77.474999999999994</v>
      </c>
      <c r="I19" s="478">
        <v>82.191000000000003</v>
      </c>
      <c r="J19" s="478">
        <v>86.183000000000007</v>
      </c>
      <c r="K19" s="478">
        <v>100.157</v>
      </c>
      <c r="L19" s="478">
        <v>75.332999999999998</v>
      </c>
      <c r="M19" s="478">
        <v>82.563000000000002</v>
      </c>
      <c r="N19" s="478">
        <v>86.498000000000005</v>
      </c>
      <c r="O19" s="478">
        <v>87.977999999999994</v>
      </c>
      <c r="P19" s="478">
        <v>75.007000000000005</v>
      </c>
      <c r="Q19" s="478">
        <v>82.158000000000001</v>
      </c>
      <c r="R19" s="478">
        <v>78.971000000000004</v>
      </c>
      <c r="S19" s="478">
        <v>92.382000000000005</v>
      </c>
      <c r="T19" s="478">
        <v>106.24</v>
      </c>
      <c r="U19" s="478">
        <v>110.605</v>
      </c>
      <c r="V19" s="478">
        <v>138.52199999999999</v>
      </c>
      <c r="W19" s="478">
        <v>149.499</v>
      </c>
      <c r="X19" s="478">
        <v>181.46</v>
      </c>
      <c r="Y19" s="478">
        <v>175.328</v>
      </c>
      <c r="Z19" s="478">
        <v>199.953</v>
      </c>
      <c r="AA19" s="478">
        <v>252.11099999999999</v>
      </c>
      <c r="AB19" s="478">
        <v>353.72199999999998</v>
      </c>
      <c r="AC19" s="478">
        <v>452</v>
      </c>
    </row>
    <row r="20" spans="1:29" x14ac:dyDescent="0.25">
      <c r="A20" s="459" t="s">
        <v>178</v>
      </c>
      <c r="B20" s="478">
        <v>241.833</v>
      </c>
      <c r="C20" s="478">
        <v>412.65299999999996</v>
      </c>
      <c r="D20" s="478">
        <v>297.30899999999997</v>
      </c>
      <c r="E20" s="478">
        <v>369.57400000000007</v>
      </c>
      <c r="F20" s="478">
        <v>370.238</v>
      </c>
      <c r="G20" s="478">
        <v>521.89400000000001</v>
      </c>
      <c r="H20" s="478">
        <v>555.23099999999999</v>
      </c>
      <c r="I20" s="478">
        <v>690.94399999999996</v>
      </c>
      <c r="J20" s="478">
        <v>811.3370000000001</v>
      </c>
      <c r="K20" s="478">
        <v>848.00599999999997</v>
      </c>
      <c r="L20" s="478">
        <v>784.35399999999993</v>
      </c>
      <c r="M20" s="478">
        <v>794.44699999999989</v>
      </c>
      <c r="N20" s="478">
        <v>1221.7730000000001</v>
      </c>
      <c r="O20" s="478">
        <v>1280.797</v>
      </c>
      <c r="P20" s="478">
        <v>1303.4179999999999</v>
      </c>
      <c r="Q20" s="478">
        <v>1377.34</v>
      </c>
      <c r="R20" s="478">
        <v>1510.1560000000002</v>
      </c>
      <c r="S20" s="478">
        <v>1644.2420000000002</v>
      </c>
      <c r="T20" s="478">
        <v>1895.251</v>
      </c>
      <c r="U20" s="478">
        <v>1801.566</v>
      </c>
      <c r="V20" s="478">
        <v>2431.1419999999998</v>
      </c>
      <c r="W20" s="478">
        <v>3824.5649999999991</v>
      </c>
      <c r="X20" s="478">
        <v>4890.5659999999998</v>
      </c>
      <c r="Y20" s="478">
        <v>5076.6279999999997</v>
      </c>
      <c r="Z20" s="478">
        <v>5786.4359999999997</v>
      </c>
      <c r="AA20" s="478">
        <v>6117.2580000000007</v>
      </c>
      <c r="AB20" s="478">
        <v>8794.2030000000013</v>
      </c>
      <c r="AC20" s="478">
        <v>11055.405999999999</v>
      </c>
    </row>
    <row r="21" spans="1:29" x14ac:dyDescent="0.25">
      <c r="A21" s="463" t="s">
        <v>179</v>
      </c>
      <c r="B21" s="466">
        <v>51.613</v>
      </c>
      <c r="C21" s="466">
        <v>51.304000000000002</v>
      </c>
      <c r="D21" s="466">
        <v>54.792999999999999</v>
      </c>
      <c r="E21" s="466">
        <v>51.582999999999998</v>
      </c>
      <c r="F21" s="466">
        <v>63.389000000000003</v>
      </c>
      <c r="G21" s="466">
        <v>87.436000000000007</v>
      </c>
      <c r="H21" s="466">
        <v>80.319999999999993</v>
      </c>
      <c r="I21" s="466">
        <v>100.19</v>
      </c>
      <c r="J21" s="466">
        <v>156.5</v>
      </c>
      <c r="K21" s="466">
        <v>149.16200000000001</v>
      </c>
      <c r="L21" s="466">
        <v>141.642</v>
      </c>
      <c r="M21" s="466">
        <v>130.54900000000001</v>
      </c>
      <c r="N21" s="466">
        <v>415.92599999999999</v>
      </c>
      <c r="O21" s="466">
        <v>398.83199999999999</v>
      </c>
      <c r="P21" s="466">
        <v>381.39</v>
      </c>
      <c r="Q21" s="466">
        <v>460.28199999999998</v>
      </c>
      <c r="R21" s="466">
        <v>456.39499999999998</v>
      </c>
      <c r="S21" s="466">
        <v>537.23500000000001</v>
      </c>
      <c r="T21" s="466">
        <v>842.35299999999995</v>
      </c>
      <c r="U21" s="466">
        <v>756.52700000000004</v>
      </c>
      <c r="V21" s="466">
        <v>1087.7339999999999</v>
      </c>
      <c r="W21" s="466">
        <v>2068.2959999999998</v>
      </c>
      <c r="X21" s="466">
        <v>2607.9270000000001</v>
      </c>
      <c r="Y21" s="466">
        <v>2816.49</v>
      </c>
      <c r="Z21" s="466">
        <v>3338.7469999999998</v>
      </c>
      <c r="AA21" s="466">
        <v>3254.4</v>
      </c>
      <c r="AB21" s="466">
        <v>3174.0720000000001</v>
      </c>
      <c r="AC21" s="466">
        <v>2922.4560000000001</v>
      </c>
    </row>
    <row r="22" spans="1:29" x14ac:dyDescent="0.25">
      <c r="A22" s="463" t="s">
        <v>180</v>
      </c>
      <c r="B22" s="479" t="s">
        <v>10</v>
      </c>
      <c r="C22" s="479" t="s">
        <v>10</v>
      </c>
      <c r="D22" s="479" t="s">
        <v>10</v>
      </c>
      <c r="E22" s="479" t="s">
        <v>10</v>
      </c>
      <c r="F22" s="479" t="s">
        <v>10</v>
      </c>
      <c r="G22" s="479" t="s">
        <v>10</v>
      </c>
      <c r="H22" s="479" t="s">
        <v>10</v>
      </c>
      <c r="I22" s="479" t="s">
        <v>10</v>
      </c>
      <c r="J22" s="479" t="s">
        <v>10</v>
      </c>
      <c r="K22" s="479" t="s">
        <v>10</v>
      </c>
      <c r="L22" s="479" t="s">
        <v>10</v>
      </c>
      <c r="M22" s="479" t="s">
        <v>10</v>
      </c>
      <c r="N22" s="479" t="s">
        <v>10</v>
      </c>
      <c r="O22" s="479" t="s">
        <v>10</v>
      </c>
      <c r="P22" s="479" t="s">
        <v>10</v>
      </c>
      <c r="Q22" s="479" t="s">
        <v>10</v>
      </c>
      <c r="R22" s="479" t="s">
        <v>10</v>
      </c>
      <c r="S22" s="479" t="s">
        <v>10</v>
      </c>
      <c r="T22" s="479" t="s">
        <v>10</v>
      </c>
      <c r="U22" s="479" t="s">
        <v>10</v>
      </c>
      <c r="V22" s="479" t="s">
        <v>10</v>
      </c>
      <c r="W22" s="479" t="s">
        <v>10</v>
      </c>
      <c r="X22" s="479" t="s">
        <v>10</v>
      </c>
      <c r="Y22" s="479" t="s">
        <v>10</v>
      </c>
      <c r="Z22" s="479" t="s">
        <v>10</v>
      </c>
      <c r="AA22" s="479" t="s">
        <v>10</v>
      </c>
      <c r="AB22" s="479" t="s">
        <v>10</v>
      </c>
      <c r="AC22" s="479" t="s">
        <v>10</v>
      </c>
    </row>
    <row r="23" spans="1:29" x14ac:dyDescent="0.25">
      <c r="A23" s="463" t="s">
        <v>181</v>
      </c>
      <c r="B23" s="466">
        <v>34.781999999999996</v>
      </c>
      <c r="C23" s="466">
        <v>35.718000000000004</v>
      </c>
      <c r="D23" s="466">
        <v>39.378</v>
      </c>
      <c r="E23" s="466">
        <v>61.639000000000003</v>
      </c>
      <c r="F23" s="466">
        <v>49.289000000000001</v>
      </c>
      <c r="G23" s="466">
        <v>82.040999999999997</v>
      </c>
      <c r="H23" s="466">
        <v>129.577</v>
      </c>
      <c r="I23" s="466">
        <v>149.85499999999999</v>
      </c>
      <c r="J23" s="466">
        <v>174.35400000000001</v>
      </c>
      <c r="K23" s="466">
        <v>137.12899999999999</v>
      </c>
      <c r="L23" s="466">
        <v>90.686999999999998</v>
      </c>
      <c r="M23" s="466">
        <v>133.541</v>
      </c>
      <c r="N23" s="466">
        <v>209.36600000000001</v>
      </c>
      <c r="O23" s="466">
        <v>211.63399999999999</v>
      </c>
      <c r="P23" s="466">
        <v>261.81799999999998</v>
      </c>
      <c r="Q23" s="466">
        <v>272.95600000000002</v>
      </c>
      <c r="R23" s="466">
        <v>233.16200000000001</v>
      </c>
      <c r="S23" s="466">
        <v>235.58600000000001</v>
      </c>
      <c r="T23" s="466">
        <v>181.92099999999999</v>
      </c>
      <c r="U23" s="466">
        <v>174.57300000000001</v>
      </c>
      <c r="V23" s="466">
        <v>260.90899999999999</v>
      </c>
      <c r="W23" s="466">
        <v>323.91199999999998</v>
      </c>
      <c r="X23" s="466">
        <v>525.36199999999997</v>
      </c>
      <c r="Y23" s="466">
        <v>419.65600000000001</v>
      </c>
      <c r="Z23" s="466">
        <v>692.31100000000004</v>
      </c>
      <c r="AA23" s="466">
        <v>829.49599999999998</v>
      </c>
      <c r="AB23" s="466">
        <v>1857.069</v>
      </c>
      <c r="AC23" s="466">
        <v>1597.4639999999999</v>
      </c>
    </row>
    <row r="24" spans="1:29" x14ac:dyDescent="0.25">
      <c r="A24" s="463" t="s">
        <v>182</v>
      </c>
      <c r="B24" s="466">
        <v>28.475999999999999</v>
      </c>
      <c r="C24" s="466">
        <v>179.05</v>
      </c>
      <c r="D24" s="466">
        <v>82.165000000000006</v>
      </c>
      <c r="E24" s="466">
        <v>68.230999999999995</v>
      </c>
      <c r="F24" s="466">
        <v>80.004000000000005</v>
      </c>
      <c r="G24" s="466">
        <v>119.23099999999999</v>
      </c>
      <c r="H24" s="466">
        <v>127.437</v>
      </c>
      <c r="I24" s="466">
        <v>204.18199999999999</v>
      </c>
      <c r="J24" s="466">
        <v>180.61600000000001</v>
      </c>
      <c r="K24" s="466">
        <v>183.76499999999999</v>
      </c>
      <c r="L24" s="466">
        <v>194.00899999999999</v>
      </c>
      <c r="M24" s="466">
        <v>177.18899999999999</v>
      </c>
      <c r="N24" s="466">
        <v>134.863</v>
      </c>
      <c r="O24" s="466">
        <v>205.87799999999999</v>
      </c>
      <c r="P24" s="466">
        <v>186.68299999999999</v>
      </c>
      <c r="Q24" s="466">
        <v>176.947</v>
      </c>
      <c r="R24" s="466">
        <v>205.071</v>
      </c>
      <c r="S24" s="466">
        <v>216.68700000000001</v>
      </c>
      <c r="T24" s="466">
        <v>216.547</v>
      </c>
      <c r="U24" s="466">
        <v>228.30500000000001</v>
      </c>
      <c r="V24" s="466">
        <v>267.04599999999999</v>
      </c>
      <c r="W24" s="466">
        <v>479.19400000000002</v>
      </c>
      <c r="X24" s="466">
        <v>473.209</v>
      </c>
      <c r="Y24" s="466">
        <v>514.13</v>
      </c>
      <c r="Z24" s="466">
        <v>502.14600000000002</v>
      </c>
      <c r="AA24" s="466">
        <v>748.26599999999996</v>
      </c>
      <c r="AB24" s="466">
        <v>1852.3</v>
      </c>
      <c r="AC24" s="466">
        <v>3504.4549999999999</v>
      </c>
    </row>
    <row r="25" spans="1:29" x14ac:dyDescent="0.25">
      <c r="A25" s="463" t="s">
        <v>183</v>
      </c>
      <c r="B25" s="479" t="s">
        <v>10</v>
      </c>
      <c r="C25" s="479" t="s">
        <v>10</v>
      </c>
      <c r="D25" s="479" t="s">
        <v>10</v>
      </c>
      <c r="E25" s="479" t="s">
        <v>10</v>
      </c>
      <c r="F25" s="479" t="s">
        <v>10</v>
      </c>
      <c r="G25" s="479" t="s">
        <v>10</v>
      </c>
      <c r="H25" s="479" t="s">
        <v>10</v>
      </c>
      <c r="I25" s="479" t="s">
        <v>10</v>
      </c>
      <c r="J25" s="479" t="s">
        <v>10</v>
      </c>
      <c r="K25" s="479" t="s">
        <v>10</v>
      </c>
      <c r="L25" s="479" t="s">
        <v>10</v>
      </c>
      <c r="M25" s="479" t="s">
        <v>10</v>
      </c>
      <c r="N25" s="479" t="s">
        <v>10</v>
      </c>
      <c r="O25" s="479" t="s">
        <v>10</v>
      </c>
      <c r="P25" s="479" t="s">
        <v>10</v>
      </c>
      <c r="Q25" s="479" t="s">
        <v>10</v>
      </c>
      <c r="R25" s="479" t="s">
        <v>10</v>
      </c>
      <c r="S25" s="479" t="s">
        <v>10</v>
      </c>
      <c r="T25" s="479" t="s">
        <v>10</v>
      </c>
      <c r="U25" s="479" t="s">
        <v>10</v>
      </c>
      <c r="V25" s="479" t="s">
        <v>10</v>
      </c>
      <c r="W25" s="479" t="s">
        <v>10</v>
      </c>
      <c r="X25" s="479" t="s">
        <v>10</v>
      </c>
      <c r="Y25" s="479" t="s">
        <v>10</v>
      </c>
      <c r="Z25" s="479" t="s">
        <v>10</v>
      </c>
      <c r="AA25" s="479" t="s">
        <v>10</v>
      </c>
      <c r="AB25" s="479" t="s">
        <v>10</v>
      </c>
      <c r="AC25" s="479" t="s">
        <v>10</v>
      </c>
    </row>
    <row r="26" spans="1:29" x14ac:dyDescent="0.25">
      <c r="A26" s="463" t="s">
        <v>184</v>
      </c>
      <c r="B26" s="466">
        <v>16.382999999999999</v>
      </c>
      <c r="C26" s="466">
        <v>18.495000000000001</v>
      </c>
      <c r="D26" s="466">
        <v>18.66</v>
      </c>
      <c r="E26" s="466">
        <v>13.805</v>
      </c>
      <c r="F26" s="466">
        <v>10.635999999999999</v>
      </c>
      <c r="G26" s="466">
        <v>9.6270000000000007</v>
      </c>
      <c r="H26" s="466">
        <v>7.24</v>
      </c>
      <c r="I26" s="466">
        <v>9.5730000000000004</v>
      </c>
      <c r="J26" s="466">
        <v>15.542</v>
      </c>
      <c r="K26" s="466">
        <v>6.6440000000000001</v>
      </c>
      <c r="L26" s="466">
        <v>17.687999999999999</v>
      </c>
      <c r="M26" s="466">
        <v>20.957999999999998</v>
      </c>
      <c r="N26" s="466">
        <v>21.908000000000001</v>
      </c>
      <c r="O26" s="466">
        <v>21.459</v>
      </c>
      <c r="P26" s="466">
        <v>37.593000000000004</v>
      </c>
      <c r="Q26" s="466">
        <v>25.791</v>
      </c>
      <c r="R26" s="466">
        <v>31.774999999999999</v>
      </c>
      <c r="S26" s="466">
        <v>74.278000000000006</v>
      </c>
      <c r="T26" s="466">
        <v>42.945999999999998</v>
      </c>
      <c r="U26" s="466">
        <v>87.87</v>
      </c>
      <c r="V26" s="466">
        <v>96.167000000000002</v>
      </c>
      <c r="W26" s="466">
        <v>82.585999999999999</v>
      </c>
      <c r="X26" s="466">
        <v>118.986</v>
      </c>
      <c r="Y26" s="466">
        <v>45.634999999999998</v>
      </c>
      <c r="Z26" s="466">
        <v>63.738999999999997</v>
      </c>
      <c r="AA26" s="466">
        <v>107.70099999999999</v>
      </c>
      <c r="AB26" s="466">
        <v>401.45299999999997</v>
      </c>
      <c r="AC26" s="466">
        <v>764.827</v>
      </c>
    </row>
    <row r="27" spans="1:29" x14ac:dyDescent="0.25">
      <c r="A27" s="463" t="s">
        <v>185</v>
      </c>
      <c r="B27" s="479" t="s">
        <v>10</v>
      </c>
      <c r="C27" s="479" t="s">
        <v>10</v>
      </c>
      <c r="D27" s="479" t="s">
        <v>10</v>
      </c>
      <c r="E27" s="479" t="s">
        <v>10</v>
      </c>
      <c r="F27" s="479" t="s">
        <v>10</v>
      </c>
      <c r="G27" s="479" t="s">
        <v>10</v>
      </c>
      <c r="H27" s="479" t="s">
        <v>10</v>
      </c>
      <c r="I27" s="479" t="s">
        <v>10</v>
      </c>
      <c r="J27" s="479" t="s">
        <v>10</v>
      </c>
      <c r="K27" s="479" t="s">
        <v>10</v>
      </c>
      <c r="L27" s="479" t="s">
        <v>10</v>
      </c>
      <c r="M27" s="479" t="s">
        <v>10</v>
      </c>
      <c r="N27" s="479" t="s">
        <v>10</v>
      </c>
      <c r="O27" s="479" t="s">
        <v>10</v>
      </c>
      <c r="P27" s="479" t="s">
        <v>10</v>
      </c>
      <c r="Q27" s="479" t="s">
        <v>10</v>
      </c>
      <c r="R27" s="479" t="s">
        <v>10</v>
      </c>
      <c r="S27" s="479" t="s">
        <v>10</v>
      </c>
      <c r="T27" s="479" t="s">
        <v>10</v>
      </c>
      <c r="U27" s="479" t="s">
        <v>10</v>
      </c>
      <c r="V27" s="479" t="s">
        <v>10</v>
      </c>
      <c r="W27" s="479" t="s">
        <v>10</v>
      </c>
      <c r="X27" s="479" t="s">
        <v>10</v>
      </c>
      <c r="Y27" s="479" t="s">
        <v>10</v>
      </c>
      <c r="Z27" s="479" t="s">
        <v>10</v>
      </c>
      <c r="AA27" s="479" t="s">
        <v>10</v>
      </c>
      <c r="AB27" s="479" t="s">
        <v>10</v>
      </c>
      <c r="AC27" s="479" t="s">
        <v>10</v>
      </c>
    </row>
    <row r="28" spans="1:29" x14ac:dyDescent="0.25">
      <c r="A28" s="463" t="s">
        <v>186</v>
      </c>
      <c r="B28" s="466">
        <v>85.97</v>
      </c>
      <c r="C28" s="466">
        <v>103.33799999999999</v>
      </c>
      <c r="D28" s="466">
        <v>94.62</v>
      </c>
      <c r="E28" s="466">
        <v>164.04300000000001</v>
      </c>
      <c r="F28" s="466">
        <v>161.083</v>
      </c>
      <c r="G28" s="466">
        <v>217.52500000000001</v>
      </c>
      <c r="H28" s="466">
        <v>198.22800000000001</v>
      </c>
      <c r="I28" s="466">
        <v>215.18299999999999</v>
      </c>
      <c r="J28" s="466">
        <v>273.00900000000001</v>
      </c>
      <c r="K28" s="466">
        <v>360.70299999999997</v>
      </c>
      <c r="L28" s="466">
        <v>330.02</v>
      </c>
      <c r="M28" s="466">
        <v>323.89100000000002</v>
      </c>
      <c r="N28" s="466">
        <v>417.964</v>
      </c>
      <c r="O28" s="466">
        <v>426.09800000000001</v>
      </c>
      <c r="P28" s="466">
        <v>421.07100000000003</v>
      </c>
      <c r="Q28" s="466">
        <v>433.54399999999998</v>
      </c>
      <c r="R28" s="466">
        <v>564.87900000000002</v>
      </c>
      <c r="S28" s="466">
        <v>562.23</v>
      </c>
      <c r="T28" s="466">
        <v>584.57000000000005</v>
      </c>
      <c r="U28" s="466">
        <v>549.05499999999995</v>
      </c>
      <c r="V28" s="466">
        <v>711.73199999999997</v>
      </c>
      <c r="W28" s="466">
        <v>824.81200000000001</v>
      </c>
      <c r="X28" s="466">
        <v>1094.1690000000001</v>
      </c>
      <c r="Y28" s="466">
        <v>1154.048</v>
      </c>
      <c r="Z28" s="466">
        <v>1055.866</v>
      </c>
      <c r="AA28" s="466">
        <v>1056.971</v>
      </c>
      <c r="AB28" s="466">
        <v>1406.182</v>
      </c>
      <c r="AC28" s="466">
        <v>2178.462</v>
      </c>
    </row>
    <row r="29" spans="1:29" x14ac:dyDescent="0.25">
      <c r="A29" s="463" t="s">
        <v>187</v>
      </c>
      <c r="B29" s="479" t="s">
        <v>10</v>
      </c>
      <c r="C29" s="479" t="s">
        <v>10</v>
      </c>
      <c r="D29" s="479" t="s">
        <v>10</v>
      </c>
      <c r="E29" s="479" t="s">
        <v>10</v>
      </c>
      <c r="F29" s="479" t="s">
        <v>10</v>
      </c>
      <c r="G29" s="479" t="s">
        <v>10</v>
      </c>
      <c r="H29" s="479" t="s">
        <v>10</v>
      </c>
      <c r="I29" s="479" t="s">
        <v>10</v>
      </c>
      <c r="J29" s="479" t="s">
        <v>10</v>
      </c>
      <c r="K29" s="479" t="s">
        <v>10</v>
      </c>
      <c r="L29" s="479" t="s">
        <v>10</v>
      </c>
      <c r="M29" s="479" t="s">
        <v>10</v>
      </c>
      <c r="N29" s="479" t="s">
        <v>10</v>
      </c>
      <c r="O29" s="479" t="s">
        <v>10</v>
      </c>
      <c r="P29" s="479" t="s">
        <v>10</v>
      </c>
      <c r="Q29" s="479" t="s">
        <v>10</v>
      </c>
      <c r="R29" s="479" t="s">
        <v>10</v>
      </c>
      <c r="S29" s="479" t="s">
        <v>10</v>
      </c>
      <c r="T29" s="479" t="s">
        <v>10</v>
      </c>
      <c r="U29" s="479" t="s">
        <v>10</v>
      </c>
      <c r="V29" s="479" t="s">
        <v>10</v>
      </c>
      <c r="W29" s="479" t="s">
        <v>10</v>
      </c>
      <c r="X29" s="479" t="s">
        <v>10</v>
      </c>
      <c r="Y29" s="479" t="s">
        <v>10</v>
      </c>
      <c r="Z29" s="479" t="s">
        <v>10</v>
      </c>
      <c r="AA29" s="479" t="s">
        <v>10</v>
      </c>
      <c r="AB29" s="479" t="s">
        <v>10</v>
      </c>
      <c r="AC29" s="479" t="s">
        <v>10</v>
      </c>
    </row>
    <row r="30" spans="1:29" x14ac:dyDescent="0.25">
      <c r="A30" s="463" t="s">
        <v>300</v>
      </c>
      <c r="B30" s="479" t="s">
        <v>10</v>
      </c>
      <c r="C30" s="479" t="s">
        <v>10</v>
      </c>
      <c r="D30" s="479" t="s">
        <v>10</v>
      </c>
      <c r="E30" s="479" t="s">
        <v>10</v>
      </c>
      <c r="F30" s="479" t="s">
        <v>10</v>
      </c>
      <c r="G30" s="479" t="s">
        <v>10</v>
      </c>
      <c r="H30" s="479" t="s">
        <v>10</v>
      </c>
      <c r="I30" s="479" t="s">
        <v>10</v>
      </c>
      <c r="J30" s="479" t="s">
        <v>10</v>
      </c>
      <c r="K30" s="479" t="s">
        <v>10</v>
      </c>
      <c r="L30" s="479" t="s">
        <v>10</v>
      </c>
      <c r="M30" s="479" t="s">
        <v>10</v>
      </c>
      <c r="N30" s="479" t="s">
        <v>10</v>
      </c>
      <c r="O30" s="479" t="s">
        <v>10</v>
      </c>
      <c r="P30" s="479" t="s">
        <v>10</v>
      </c>
      <c r="Q30" s="479" t="s">
        <v>10</v>
      </c>
      <c r="R30" s="479" t="s">
        <v>10</v>
      </c>
      <c r="S30" s="479" t="s">
        <v>10</v>
      </c>
      <c r="T30" s="479" t="s">
        <v>10</v>
      </c>
      <c r="U30" s="479" t="s">
        <v>10</v>
      </c>
      <c r="V30" s="479" t="s">
        <v>10</v>
      </c>
      <c r="W30" s="479" t="s">
        <v>10</v>
      </c>
      <c r="X30" s="479" t="s">
        <v>10</v>
      </c>
      <c r="Y30" s="479" t="s">
        <v>10</v>
      </c>
      <c r="Z30" s="479" t="s">
        <v>10</v>
      </c>
      <c r="AA30" s="479" t="s">
        <v>10</v>
      </c>
      <c r="AB30" s="479" t="s">
        <v>10</v>
      </c>
      <c r="AC30" s="479" t="s">
        <v>10</v>
      </c>
    </row>
    <row r="31" spans="1:29" x14ac:dyDescent="0.25">
      <c r="A31" s="463" t="s">
        <v>301</v>
      </c>
      <c r="B31" s="479" t="s">
        <v>10</v>
      </c>
      <c r="C31" s="479" t="s">
        <v>10</v>
      </c>
      <c r="D31" s="479" t="s">
        <v>10</v>
      </c>
      <c r="E31" s="479" t="s">
        <v>10</v>
      </c>
      <c r="F31" s="479" t="s">
        <v>10</v>
      </c>
      <c r="G31" s="479" t="s">
        <v>10</v>
      </c>
      <c r="H31" s="479" t="s">
        <v>10</v>
      </c>
      <c r="I31" s="479" t="s">
        <v>10</v>
      </c>
      <c r="J31" s="479" t="s">
        <v>10</v>
      </c>
      <c r="K31" s="479" t="s">
        <v>10</v>
      </c>
      <c r="L31" s="479" t="s">
        <v>10</v>
      </c>
      <c r="M31" s="479" t="s">
        <v>10</v>
      </c>
      <c r="N31" s="479" t="s">
        <v>10</v>
      </c>
      <c r="O31" s="479" t="s">
        <v>10</v>
      </c>
      <c r="P31" s="479" t="s">
        <v>10</v>
      </c>
      <c r="Q31" s="479" t="s">
        <v>10</v>
      </c>
      <c r="R31" s="479" t="s">
        <v>10</v>
      </c>
      <c r="S31" s="479" t="s">
        <v>10</v>
      </c>
      <c r="T31" s="479" t="s">
        <v>10</v>
      </c>
      <c r="U31" s="479" t="s">
        <v>10</v>
      </c>
      <c r="V31" s="479" t="s">
        <v>10</v>
      </c>
      <c r="W31" s="479" t="s">
        <v>10</v>
      </c>
      <c r="X31" s="479" t="s">
        <v>10</v>
      </c>
      <c r="Y31" s="479" t="s">
        <v>10</v>
      </c>
      <c r="Z31" s="479" t="s">
        <v>10</v>
      </c>
      <c r="AA31" s="479" t="s">
        <v>10</v>
      </c>
      <c r="AB31" s="479" t="s">
        <v>10</v>
      </c>
      <c r="AC31" s="479" t="s">
        <v>10</v>
      </c>
    </row>
    <row r="32" spans="1:29" x14ac:dyDescent="0.25">
      <c r="A32" s="463" t="s">
        <v>302</v>
      </c>
      <c r="B32" s="479" t="s">
        <v>10</v>
      </c>
      <c r="C32" s="479" t="s">
        <v>10</v>
      </c>
      <c r="D32" s="479" t="s">
        <v>10</v>
      </c>
      <c r="E32" s="479" t="s">
        <v>10</v>
      </c>
      <c r="F32" s="479" t="s">
        <v>10</v>
      </c>
      <c r="G32" s="479" t="s">
        <v>10</v>
      </c>
      <c r="H32" s="479" t="s">
        <v>10</v>
      </c>
      <c r="I32" s="479" t="s">
        <v>10</v>
      </c>
      <c r="J32" s="479" t="s">
        <v>10</v>
      </c>
      <c r="K32" s="479" t="s">
        <v>10</v>
      </c>
      <c r="L32" s="479" t="s">
        <v>10</v>
      </c>
      <c r="M32" s="479" t="s">
        <v>10</v>
      </c>
      <c r="N32" s="479" t="s">
        <v>10</v>
      </c>
      <c r="O32" s="479" t="s">
        <v>10</v>
      </c>
      <c r="P32" s="479" t="s">
        <v>10</v>
      </c>
      <c r="Q32" s="479" t="s">
        <v>10</v>
      </c>
      <c r="R32" s="479" t="s">
        <v>10</v>
      </c>
      <c r="S32" s="479" t="s">
        <v>10</v>
      </c>
      <c r="T32" s="479" t="s">
        <v>10</v>
      </c>
      <c r="U32" s="479" t="s">
        <v>10</v>
      </c>
      <c r="V32" s="479" t="s">
        <v>10</v>
      </c>
      <c r="W32" s="479" t="s">
        <v>10</v>
      </c>
      <c r="X32" s="479" t="s">
        <v>10</v>
      </c>
      <c r="Y32" s="479" t="s">
        <v>10</v>
      </c>
      <c r="Z32" s="479" t="s">
        <v>10</v>
      </c>
      <c r="AA32" s="479" t="s">
        <v>10</v>
      </c>
      <c r="AB32" s="479" t="s">
        <v>10</v>
      </c>
      <c r="AC32" s="479" t="s">
        <v>10</v>
      </c>
    </row>
    <row r="33" spans="1:29" x14ac:dyDescent="0.25">
      <c r="A33" s="463" t="s">
        <v>303</v>
      </c>
      <c r="B33" s="479" t="s">
        <v>10</v>
      </c>
      <c r="C33" s="479" t="s">
        <v>10</v>
      </c>
      <c r="D33" s="479" t="s">
        <v>10</v>
      </c>
      <c r="E33" s="479" t="s">
        <v>10</v>
      </c>
      <c r="F33" s="479" t="s">
        <v>10</v>
      </c>
      <c r="G33" s="479" t="s">
        <v>10</v>
      </c>
      <c r="H33" s="479" t="s">
        <v>10</v>
      </c>
      <c r="I33" s="479" t="s">
        <v>10</v>
      </c>
      <c r="J33" s="479" t="s">
        <v>10</v>
      </c>
      <c r="K33" s="479" t="s">
        <v>10</v>
      </c>
      <c r="L33" s="479" t="s">
        <v>10</v>
      </c>
      <c r="M33" s="479" t="s">
        <v>10</v>
      </c>
      <c r="N33" s="479" t="s">
        <v>10</v>
      </c>
      <c r="O33" s="479" t="s">
        <v>10</v>
      </c>
      <c r="P33" s="479" t="s">
        <v>10</v>
      </c>
      <c r="Q33" s="479" t="s">
        <v>10</v>
      </c>
      <c r="R33" s="479" t="s">
        <v>10</v>
      </c>
      <c r="S33" s="479" t="s">
        <v>10</v>
      </c>
      <c r="T33" s="479" t="s">
        <v>10</v>
      </c>
      <c r="U33" s="479" t="s">
        <v>10</v>
      </c>
      <c r="V33" s="479" t="s">
        <v>10</v>
      </c>
      <c r="W33" s="479" t="s">
        <v>10</v>
      </c>
      <c r="X33" s="479" t="s">
        <v>10</v>
      </c>
      <c r="Y33" s="479" t="s">
        <v>10</v>
      </c>
      <c r="Z33" s="479" t="s">
        <v>10</v>
      </c>
      <c r="AA33" s="479" t="s">
        <v>10</v>
      </c>
      <c r="AB33" s="479" t="s">
        <v>10</v>
      </c>
      <c r="AC33" s="479" t="s">
        <v>10</v>
      </c>
    </row>
    <row r="34" spans="1:29" x14ac:dyDescent="0.25">
      <c r="A34" s="463" t="s">
        <v>304</v>
      </c>
      <c r="B34" s="466">
        <v>24.608999999999998</v>
      </c>
      <c r="C34" s="466">
        <v>24.747999999999998</v>
      </c>
      <c r="D34" s="466">
        <v>7.6929999999999996</v>
      </c>
      <c r="E34" s="466">
        <v>10.273</v>
      </c>
      <c r="F34" s="466">
        <v>5.8369999999999997</v>
      </c>
      <c r="G34" s="466">
        <v>6.0340000000000007</v>
      </c>
      <c r="H34" s="466">
        <v>12.429</v>
      </c>
      <c r="I34" s="466">
        <v>11.960999999999999</v>
      </c>
      <c r="J34" s="466">
        <v>11.316000000000001</v>
      </c>
      <c r="K34" s="466">
        <v>10.603</v>
      </c>
      <c r="L34" s="466">
        <v>10.308</v>
      </c>
      <c r="M34" s="466">
        <v>8.3189999999999991</v>
      </c>
      <c r="N34" s="466">
        <v>21.745999999999995</v>
      </c>
      <c r="O34" s="466">
        <v>16.896000000000001</v>
      </c>
      <c r="P34" s="466">
        <v>14.863</v>
      </c>
      <c r="Q34" s="466">
        <v>7.82</v>
      </c>
      <c r="R34" s="466">
        <v>18.873999999999999</v>
      </c>
      <c r="S34" s="466">
        <v>18.225999999999999</v>
      </c>
      <c r="T34" s="466">
        <v>26.913999999999998</v>
      </c>
      <c r="U34" s="466">
        <v>5.2359999999999998</v>
      </c>
      <c r="V34" s="466">
        <v>7.5540000000000003</v>
      </c>
      <c r="W34" s="466">
        <v>45.765000000000001</v>
      </c>
      <c r="X34" s="466">
        <v>70.912999999999997</v>
      </c>
      <c r="Y34" s="466">
        <v>126.669</v>
      </c>
      <c r="Z34" s="466">
        <v>133.62699999999998</v>
      </c>
      <c r="AA34" s="466">
        <v>120.42400000000001</v>
      </c>
      <c r="AB34" s="466">
        <v>103.12700000000001</v>
      </c>
      <c r="AC34" s="466">
        <v>87.742000000000004</v>
      </c>
    </row>
    <row r="35" spans="1:29" x14ac:dyDescent="0.25">
      <c r="A35" s="463" t="s">
        <v>305</v>
      </c>
      <c r="B35" s="479" t="s">
        <v>10</v>
      </c>
      <c r="C35" s="479" t="s">
        <v>10</v>
      </c>
      <c r="D35" s="479" t="s">
        <v>10</v>
      </c>
      <c r="E35" s="479" t="s">
        <v>10</v>
      </c>
      <c r="F35" s="479" t="s">
        <v>10</v>
      </c>
      <c r="G35" s="479" t="s">
        <v>10</v>
      </c>
      <c r="H35" s="479" t="s">
        <v>10</v>
      </c>
      <c r="I35" s="479" t="s">
        <v>10</v>
      </c>
      <c r="J35" s="479" t="s">
        <v>10</v>
      </c>
      <c r="K35" s="479" t="s">
        <v>10</v>
      </c>
      <c r="L35" s="479" t="s">
        <v>10</v>
      </c>
      <c r="M35" s="466">
        <v>0.58499999999999996</v>
      </c>
      <c r="N35" s="466">
        <v>15.090999999999999</v>
      </c>
      <c r="O35" s="466">
        <v>10.397</v>
      </c>
      <c r="P35" s="466">
        <v>5.6559999999999997</v>
      </c>
      <c r="Q35" s="466">
        <v>0.96499999999999997</v>
      </c>
      <c r="R35" s="466">
        <v>12.215999999999999</v>
      </c>
      <c r="S35" s="466">
        <v>12.41</v>
      </c>
      <c r="T35" s="466">
        <v>21.59</v>
      </c>
      <c r="U35" s="466">
        <v>0.21</v>
      </c>
      <c r="V35" s="466">
        <v>0.21</v>
      </c>
      <c r="W35" s="466">
        <v>7.73</v>
      </c>
      <c r="X35" s="466">
        <v>58.564999999999998</v>
      </c>
      <c r="Y35" s="466">
        <v>117.52200000000001</v>
      </c>
      <c r="Z35" s="466">
        <v>128.88499999999999</v>
      </c>
      <c r="AA35" s="466">
        <v>116.762</v>
      </c>
      <c r="AB35" s="466">
        <v>99.56</v>
      </c>
      <c r="AC35" s="466">
        <v>83.41</v>
      </c>
    </row>
    <row r="36" spans="1:29" x14ac:dyDescent="0.25">
      <c r="A36" s="463" t="s">
        <v>306</v>
      </c>
      <c r="B36" s="479" t="s">
        <v>10</v>
      </c>
      <c r="C36" s="479" t="s">
        <v>10</v>
      </c>
      <c r="D36" s="479" t="s">
        <v>10</v>
      </c>
      <c r="E36" s="479" t="s">
        <v>10</v>
      </c>
      <c r="F36" s="479" t="s">
        <v>10</v>
      </c>
      <c r="G36" s="479" t="s">
        <v>10</v>
      </c>
      <c r="H36" s="479" t="s">
        <v>10</v>
      </c>
      <c r="I36" s="479" t="s">
        <v>10</v>
      </c>
      <c r="J36" s="479" t="s">
        <v>10</v>
      </c>
      <c r="K36" s="479" t="s">
        <v>10</v>
      </c>
      <c r="L36" s="479" t="s">
        <v>10</v>
      </c>
      <c r="M36" s="479" t="s">
        <v>10</v>
      </c>
      <c r="N36" s="479" t="s">
        <v>10</v>
      </c>
      <c r="O36" s="479" t="s">
        <v>10</v>
      </c>
      <c r="P36" s="479" t="s">
        <v>10</v>
      </c>
      <c r="Q36" s="479" t="s">
        <v>10</v>
      </c>
      <c r="R36" s="479" t="s">
        <v>10</v>
      </c>
      <c r="S36" s="479" t="s">
        <v>10</v>
      </c>
      <c r="T36" s="479" t="s">
        <v>10</v>
      </c>
      <c r="U36" s="479" t="s">
        <v>10</v>
      </c>
      <c r="V36" s="479" t="s">
        <v>10</v>
      </c>
      <c r="W36" s="479" t="s">
        <v>10</v>
      </c>
      <c r="X36" s="479" t="s">
        <v>10</v>
      </c>
      <c r="Y36" s="479" t="s">
        <v>10</v>
      </c>
      <c r="Z36" s="479" t="s">
        <v>10</v>
      </c>
      <c r="AA36" s="479" t="s">
        <v>10</v>
      </c>
      <c r="AB36" s="479" t="s">
        <v>10</v>
      </c>
      <c r="AC36" s="479" t="s">
        <v>10</v>
      </c>
    </row>
    <row r="37" spans="1:29" x14ac:dyDescent="0.25">
      <c r="A37" s="463" t="s">
        <v>307</v>
      </c>
      <c r="B37" s="466">
        <v>6.2859999999999996</v>
      </c>
      <c r="C37" s="466">
        <v>6.1470000000000002</v>
      </c>
      <c r="D37" s="466">
        <v>5.9870000000000001</v>
      </c>
      <c r="E37" s="466">
        <v>5.9080000000000004</v>
      </c>
      <c r="F37" s="466">
        <v>2.1480000000000001</v>
      </c>
      <c r="G37" s="466">
        <v>2.2320000000000002</v>
      </c>
      <c r="H37" s="466">
        <v>2.1030000000000002</v>
      </c>
      <c r="I37" s="466">
        <v>2.0390000000000001</v>
      </c>
      <c r="J37" s="466">
        <v>1.8759999999999999</v>
      </c>
      <c r="K37" s="466">
        <v>1.6930000000000001</v>
      </c>
      <c r="L37" s="466">
        <v>1.4239999999999999</v>
      </c>
      <c r="M37" s="466">
        <v>1.319</v>
      </c>
      <c r="N37" s="466">
        <v>1.0960000000000001</v>
      </c>
      <c r="O37" s="466">
        <v>1.0649999999999999</v>
      </c>
      <c r="P37" s="466">
        <v>1.0649999999999999</v>
      </c>
      <c r="Q37" s="466">
        <v>1.01</v>
      </c>
      <c r="R37" s="466">
        <v>0.97</v>
      </c>
      <c r="S37" s="466">
        <v>0.97</v>
      </c>
      <c r="T37" s="466">
        <v>0.93500000000000005</v>
      </c>
      <c r="U37" s="466">
        <v>0.92500000000000004</v>
      </c>
      <c r="V37" s="466">
        <v>3.2429999999999999</v>
      </c>
      <c r="W37" s="466">
        <v>14.438000000000001</v>
      </c>
      <c r="X37" s="466">
        <v>3.1779999999999999</v>
      </c>
      <c r="Y37" s="466">
        <v>3.133</v>
      </c>
      <c r="Z37" s="466">
        <v>3.0419999999999998</v>
      </c>
      <c r="AA37" s="466">
        <v>2.9620000000000002</v>
      </c>
      <c r="AB37" s="466">
        <v>2.867</v>
      </c>
      <c r="AC37" s="466">
        <v>3.6320000000000001</v>
      </c>
    </row>
    <row r="38" spans="1:29" x14ac:dyDescent="0.25">
      <c r="A38" s="463" t="s">
        <v>308</v>
      </c>
      <c r="B38" s="479" t="s">
        <v>10</v>
      </c>
      <c r="C38" s="479" t="s">
        <v>10</v>
      </c>
      <c r="D38" s="466">
        <v>1.0049999999999999</v>
      </c>
      <c r="E38" s="466">
        <v>1.526</v>
      </c>
      <c r="F38" s="466">
        <v>0</v>
      </c>
      <c r="G38" s="466">
        <v>0</v>
      </c>
      <c r="H38" s="466">
        <v>1.6E-2</v>
      </c>
      <c r="I38" s="466">
        <v>1.4999999999999999E-2</v>
      </c>
      <c r="J38" s="466">
        <v>1.2999999999999999E-2</v>
      </c>
      <c r="K38" s="466">
        <v>3.7999999999999999E-2</v>
      </c>
      <c r="L38" s="466">
        <v>2.8000000000000001E-2</v>
      </c>
      <c r="M38" s="466">
        <v>1.7000000000000001E-2</v>
      </c>
      <c r="N38" s="466">
        <v>8.0000000000000002E-3</v>
      </c>
      <c r="O38" s="466">
        <v>8.0000000000000002E-3</v>
      </c>
      <c r="P38" s="466">
        <v>0</v>
      </c>
      <c r="Q38" s="466">
        <v>0</v>
      </c>
      <c r="R38" s="466">
        <v>0</v>
      </c>
      <c r="S38" s="466">
        <v>0</v>
      </c>
      <c r="T38" s="466">
        <v>0</v>
      </c>
      <c r="U38" s="466">
        <v>0</v>
      </c>
      <c r="V38" s="466">
        <v>0</v>
      </c>
      <c r="W38" s="466">
        <v>0</v>
      </c>
      <c r="X38" s="466">
        <v>0</v>
      </c>
      <c r="Y38" s="466">
        <v>0</v>
      </c>
      <c r="Z38" s="466">
        <v>0</v>
      </c>
      <c r="AA38" s="466">
        <v>0</v>
      </c>
      <c r="AB38" s="466">
        <v>0</v>
      </c>
      <c r="AC38" s="466">
        <v>0</v>
      </c>
    </row>
    <row r="39" spans="1:29" x14ac:dyDescent="0.25">
      <c r="A39" s="463" t="s">
        <v>309</v>
      </c>
      <c r="B39" s="479" t="s">
        <v>10</v>
      </c>
      <c r="C39" s="479" t="s">
        <v>10</v>
      </c>
      <c r="D39" s="479" t="s">
        <v>10</v>
      </c>
      <c r="E39" s="479" t="s">
        <v>10</v>
      </c>
      <c r="F39" s="479" t="s">
        <v>10</v>
      </c>
      <c r="G39" s="479" t="s">
        <v>10</v>
      </c>
      <c r="H39" s="479" t="s">
        <v>10</v>
      </c>
      <c r="I39" s="479" t="s">
        <v>10</v>
      </c>
      <c r="J39" s="479" t="s">
        <v>10</v>
      </c>
      <c r="K39" s="479" t="s">
        <v>10</v>
      </c>
      <c r="L39" s="479" t="s">
        <v>10</v>
      </c>
      <c r="M39" s="479" t="s">
        <v>10</v>
      </c>
      <c r="N39" s="479" t="s">
        <v>10</v>
      </c>
      <c r="O39" s="479" t="s">
        <v>10</v>
      </c>
      <c r="P39" s="479" t="s">
        <v>10</v>
      </c>
      <c r="Q39" s="479" t="s">
        <v>10</v>
      </c>
      <c r="R39" s="479" t="s">
        <v>10</v>
      </c>
      <c r="S39" s="479" t="s">
        <v>10</v>
      </c>
      <c r="T39" s="479" t="s">
        <v>10</v>
      </c>
      <c r="U39" s="479" t="s">
        <v>10</v>
      </c>
      <c r="V39" s="479" t="s">
        <v>10</v>
      </c>
      <c r="W39" s="479" t="s">
        <v>10</v>
      </c>
      <c r="X39" s="479" t="s">
        <v>10</v>
      </c>
      <c r="Y39" s="479" t="s">
        <v>10</v>
      </c>
      <c r="Z39" s="479" t="s">
        <v>10</v>
      </c>
      <c r="AA39" s="479" t="s">
        <v>10</v>
      </c>
      <c r="AB39" s="479" t="s">
        <v>10</v>
      </c>
      <c r="AC39" s="479" t="s">
        <v>10</v>
      </c>
    </row>
    <row r="40" spans="1:29" x14ac:dyDescent="0.25">
      <c r="A40" s="463" t="s">
        <v>310</v>
      </c>
      <c r="B40" s="466">
        <v>18.245999999999999</v>
      </c>
      <c r="C40" s="466">
        <v>18.54</v>
      </c>
      <c r="D40" s="466">
        <v>0.64900000000000002</v>
      </c>
      <c r="E40" s="466">
        <v>2.7909999999999999</v>
      </c>
      <c r="F40" s="466">
        <v>3.641</v>
      </c>
      <c r="G40" s="466">
        <v>3.754</v>
      </c>
      <c r="H40" s="466">
        <v>10.285</v>
      </c>
      <c r="I40" s="466">
        <v>9.8829999999999991</v>
      </c>
      <c r="J40" s="466">
        <v>9.4030000000000005</v>
      </c>
      <c r="K40" s="466">
        <v>8.8529999999999998</v>
      </c>
      <c r="L40" s="466">
        <v>8.4079999999999995</v>
      </c>
      <c r="M40" s="466">
        <v>6.3979999999999997</v>
      </c>
      <c r="N40" s="466">
        <v>5.5510000000000002</v>
      </c>
      <c r="O40" s="466">
        <v>5.4260000000000002</v>
      </c>
      <c r="P40" s="466">
        <v>8.1419999999999995</v>
      </c>
      <c r="Q40" s="466">
        <v>5.8449999999999998</v>
      </c>
      <c r="R40" s="466">
        <v>5.6879999999999997</v>
      </c>
      <c r="S40" s="466">
        <v>4.8460000000000001</v>
      </c>
      <c r="T40" s="466">
        <v>4.3890000000000002</v>
      </c>
      <c r="U40" s="466">
        <v>4.101</v>
      </c>
      <c r="V40" s="466">
        <v>4.101</v>
      </c>
      <c r="W40" s="466">
        <v>23.597000000000001</v>
      </c>
      <c r="X40" s="466">
        <v>9.17</v>
      </c>
      <c r="Y40" s="466">
        <v>6.0140000000000002</v>
      </c>
      <c r="Z40" s="466">
        <v>1.7</v>
      </c>
      <c r="AA40" s="466">
        <v>0.7</v>
      </c>
      <c r="AB40" s="466">
        <v>0.7</v>
      </c>
      <c r="AC40" s="466">
        <v>0.7</v>
      </c>
    </row>
    <row r="41" spans="1:29" x14ac:dyDescent="0.25">
      <c r="A41" s="463" t="s">
        <v>311</v>
      </c>
      <c r="B41" s="479" t="s">
        <v>10</v>
      </c>
      <c r="C41" s="479" t="s">
        <v>10</v>
      </c>
      <c r="D41" s="479" t="s">
        <v>10</v>
      </c>
      <c r="E41" s="479" t="s">
        <v>10</v>
      </c>
      <c r="F41" s="479" t="s">
        <v>10</v>
      </c>
      <c r="G41" s="479" t="s">
        <v>10</v>
      </c>
      <c r="H41" s="479" t="s">
        <v>10</v>
      </c>
      <c r="I41" s="479" t="s">
        <v>10</v>
      </c>
      <c r="J41" s="479" t="s">
        <v>10</v>
      </c>
      <c r="K41" s="479" t="s">
        <v>10</v>
      </c>
      <c r="L41" s="479" t="s">
        <v>10</v>
      </c>
      <c r="M41" s="479" t="s">
        <v>10</v>
      </c>
      <c r="N41" s="479" t="s">
        <v>10</v>
      </c>
      <c r="O41" s="479" t="s">
        <v>10</v>
      </c>
      <c r="P41" s="479" t="s">
        <v>10</v>
      </c>
      <c r="Q41" s="479" t="s">
        <v>10</v>
      </c>
      <c r="R41" s="479" t="s">
        <v>10</v>
      </c>
      <c r="S41" s="479" t="s">
        <v>10</v>
      </c>
      <c r="T41" s="479" t="s">
        <v>10</v>
      </c>
      <c r="U41" s="479" t="s">
        <v>10</v>
      </c>
      <c r="V41" s="479" t="s">
        <v>10</v>
      </c>
      <c r="W41" s="479" t="s">
        <v>10</v>
      </c>
      <c r="X41" s="479" t="s">
        <v>10</v>
      </c>
      <c r="Y41" s="479" t="s">
        <v>10</v>
      </c>
      <c r="Z41" s="479" t="s">
        <v>10</v>
      </c>
      <c r="AA41" s="479" t="s">
        <v>10</v>
      </c>
      <c r="AB41" s="479" t="s">
        <v>10</v>
      </c>
      <c r="AC41" s="479" t="s">
        <v>10</v>
      </c>
    </row>
    <row r="42" spans="1:29" x14ac:dyDescent="0.25">
      <c r="A42" s="463" t="s">
        <v>312</v>
      </c>
      <c r="B42" s="479" t="s">
        <v>10</v>
      </c>
      <c r="C42" s="479" t="s">
        <v>10</v>
      </c>
      <c r="D42" s="479" t="s">
        <v>10</v>
      </c>
      <c r="E42" s="479" t="s">
        <v>10</v>
      </c>
      <c r="F42" s="479" t="s">
        <v>10</v>
      </c>
      <c r="G42" s="479" t="s">
        <v>10</v>
      </c>
      <c r="H42" s="479" t="s">
        <v>10</v>
      </c>
      <c r="I42" s="479" t="s">
        <v>10</v>
      </c>
      <c r="J42" s="479" t="s">
        <v>10</v>
      </c>
      <c r="K42" s="479" t="s">
        <v>10</v>
      </c>
      <c r="L42" s="479" t="s">
        <v>10</v>
      </c>
      <c r="M42" s="479" t="s">
        <v>10</v>
      </c>
      <c r="N42" s="479" t="s">
        <v>10</v>
      </c>
      <c r="O42" s="479" t="s">
        <v>10</v>
      </c>
      <c r="P42" s="479" t="s">
        <v>10</v>
      </c>
      <c r="Q42" s="479" t="s">
        <v>10</v>
      </c>
      <c r="R42" s="479" t="s">
        <v>10</v>
      </c>
      <c r="S42" s="479" t="s">
        <v>10</v>
      </c>
      <c r="T42" s="479" t="s">
        <v>10</v>
      </c>
      <c r="U42" s="479" t="s">
        <v>10</v>
      </c>
      <c r="V42" s="479" t="s">
        <v>10</v>
      </c>
      <c r="W42" s="479" t="s">
        <v>10</v>
      </c>
      <c r="X42" s="479" t="s">
        <v>10</v>
      </c>
      <c r="Y42" s="479" t="s">
        <v>10</v>
      </c>
      <c r="Z42" s="479" t="s">
        <v>10</v>
      </c>
      <c r="AA42" s="479" t="s">
        <v>10</v>
      </c>
      <c r="AB42" s="479" t="s">
        <v>10</v>
      </c>
      <c r="AC42" s="479" t="s">
        <v>10</v>
      </c>
    </row>
    <row r="43" spans="1:29" x14ac:dyDescent="0.25">
      <c r="A43" s="459" t="s">
        <v>203</v>
      </c>
      <c r="B43" s="478"/>
      <c r="C43" s="478"/>
      <c r="D43" s="478"/>
      <c r="E43" s="478"/>
      <c r="F43" s="478"/>
      <c r="G43" s="478"/>
      <c r="H43" s="478"/>
      <c r="I43" s="478"/>
      <c r="J43" s="478"/>
      <c r="K43" s="478"/>
      <c r="L43" s="478"/>
      <c r="M43" s="478"/>
      <c r="N43" s="478"/>
      <c r="O43" s="478"/>
      <c r="P43" s="478"/>
      <c r="Q43" s="478"/>
      <c r="R43" s="478"/>
      <c r="S43" s="478"/>
      <c r="T43" s="478"/>
      <c r="U43" s="478"/>
      <c r="V43" s="478"/>
      <c r="W43" s="478"/>
      <c r="X43" s="478"/>
      <c r="Y43" s="478"/>
      <c r="Z43" s="478"/>
      <c r="AA43" s="478"/>
      <c r="AB43" s="478"/>
      <c r="AC43" s="478">
        <v>325.35599999999999</v>
      </c>
    </row>
    <row r="44" spans="1:29" x14ac:dyDescent="0.25">
      <c r="A44" s="459" t="s">
        <v>204</v>
      </c>
      <c r="B44" s="478">
        <v>17.344999999999999</v>
      </c>
      <c r="C44" s="478">
        <v>43.424999999999997</v>
      </c>
      <c r="D44" s="478">
        <v>80.578000000000003</v>
      </c>
      <c r="E44" s="478">
        <v>84.343999999999994</v>
      </c>
      <c r="F44" s="478">
        <v>59.704999999999998</v>
      </c>
      <c r="G44" s="478">
        <v>71.122</v>
      </c>
      <c r="H44" s="478">
        <v>80.754000000000005</v>
      </c>
      <c r="I44" s="478">
        <v>107.76600000000001</v>
      </c>
      <c r="J44" s="478">
        <v>126.131</v>
      </c>
      <c r="K44" s="478">
        <v>116.48399999999999</v>
      </c>
      <c r="L44" s="478">
        <v>138.56</v>
      </c>
      <c r="M44" s="478">
        <v>150.721</v>
      </c>
      <c r="N44" s="478">
        <v>167.45599999999999</v>
      </c>
      <c r="O44" s="478">
        <v>167.80199999999999</v>
      </c>
      <c r="P44" s="478">
        <v>168.11500000000001</v>
      </c>
      <c r="Q44" s="478">
        <v>203.357</v>
      </c>
      <c r="R44" s="478">
        <v>246.18100000000001</v>
      </c>
      <c r="S44" s="478">
        <v>199.54</v>
      </c>
      <c r="T44" s="478">
        <v>231.64</v>
      </c>
      <c r="U44" s="478">
        <v>322.71499999999997</v>
      </c>
      <c r="V44" s="478">
        <v>384.72300000000001</v>
      </c>
      <c r="W44" s="478">
        <v>584.654</v>
      </c>
      <c r="X44" s="478">
        <v>946.87800000000004</v>
      </c>
      <c r="Y44" s="478">
        <v>1008.027</v>
      </c>
      <c r="Z44" s="478">
        <v>1246.662</v>
      </c>
      <c r="AA44" s="478">
        <v>1451.3979999999999</v>
      </c>
      <c r="AB44" s="478">
        <v>1575.489</v>
      </c>
      <c r="AC44" s="478">
        <v>2359.4899999999998</v>
      </c>
    </row>
    <row r="45" spans="1:29" x14ac:dyDescent="0.25">
      <c r="A45" s="459" t="s">
        <v>205</v>
      </c>
      <c r="B45" s="478">
        <v>2.8759999999999999</v>
      </c>
      <c r="C45" s="478">
        <v>13.398</v>
      </c>
      <c r="D45" s="478">
        <v>8.7390000000000008</v>
      </c>
      <c r="E45" s="478">
        <v>10.945</v>
      </c>
      <c r="F45" s="478">
        <v>14.238</v>
      </c>
      <c r="G45" s="478">
        <v>18.602</v>
      </c>
      <c r="H45" s="478">
        <v>19.693999999999999</v>
      </c>
      <c r="I45" s="478">
        <v>61.082000000000001</v>
      </c>
      <c r="J45" s="478">
        <v>15.66</v>
      </c>
      <c r="K45" s="478">
        <v>18.175000000000001</v>
      </c>
      <c r="L45" s="478">
        <v>34.073999999999998</v>
      </c>
      <c r="M45" s="478">
        <v>38.308999999999997</v>
      </c>
      <c r="N45" s="478">
        <v>31.946000000000002</v>
      </c>
      <c r="O45" s="478">
        <v>31.734999999999999</v>
      </c>
      <c r="P45" s="478">
        <v>48.975999999999999</v>
      </c>
      <c r="Q45" s="478">
        <v>73.712000000000003</v>
      </c>
      <c r="R45" s="478">
        <v>99.036000000000001</v>
      </c>
      <c r="S45" s="478">
        <v>102.983</v>
      </c>
      <c r="T45" s="478">
        <v>103.217</v>
      </c>
      <c r="U45" s="478">
        <v>187.25200000000001</v>
      </c>
      <c r="V45" s="478">
        <v>215.04300000000001</v>
      </c>
      <c r="W45" s="478">
        <v>207.87299999999999</v>
      </c>
      <c r="X45" s="478">
        <v>745.33299999999997</v>
      </c>
      <c r="Y45" s="478">
        <v>655.67399999999998</v>
      </c>
      <c r="Z45" s="478">
        <v>225.09800000000001</v>
      </c>
      <c r="AA45" s="478">
        <v>222.74299999999999</v>
      </c>
      <c r="AB45" s="478">
        <v>344.48399999999998</v>
      </c>
      <c r="AC45" s="478">
        <v>214.87</v>
      </c>
    </row>
    <row r="46" spans="1:29" x14ac:dyDescent="0.25">
      <c r="A46" s="467"/>
      <c r="B46" s="478"/>
      <c r="C46" s="478"/>
      <c r="D46" s="478"/>
      <c r="E46" s="478"/>
      <c r="F46" s="478"/>
      <c r="G46" s="478"/>
      <c r="H46" s="478"/>
      <c r="I46" s="478"/>
      <c r="J46" s="478"/>
      <c r="K46" s="478"/>
      <c r="L46" s="478"/>
      <c r="M46" s="478"/>
      <c r="N46" s="478"/>
      <c r="O46" s="478"/>
      <c r="P46" s="478"/>
      <c r="Q46" s="478"/>
      <c r="R46" s="478"/>
      <c r="S46" s="478"/>
      <c r="T46" s="478"/>
      <c r="U46" s="478"/>
      <c r="V46" s="478"/>
      <c r="W46" s="478"/>
      <c r="X46" s="478"/>
      <c r="Y46" s="478"/>
      <c r="Z46" s="478"/>
      <c r="AA46" s="478"/>
      <c r="AB46" s="478"/>
      <c r="AC46" s="478"/>
    </row>
    <row r="47" spans="1:29" x14ac:dyDescent="0.25">
      <c r="A47" s="459" t="s">
        <v>206</v>
      </c>
      <c r="B47" s="478">
        <v>792.35799999999995</v>
      </c>
      <c r="C47" s="478">
        <v>973.14700000000005</v>
      </c>
      <c r="D47" s="478">
        <v>1100.6320000000001</v>
      </c>
      <c r="E47" s="478">
        <v>1080.105</v>
      </c>
      <c r="F47" s="478">
        <v>1249.2090000000001</v>
      </c>
      <c r="G47" s="478">
        <v>1349.7560000000001</v>
      </c>
      <c r="H47" s="478">
        <v>1385.4319999999998</v>
      </c>
      <c r="I47" s="478">
        <v>1523.1540000000002</v>
      </c>
      <c r="J47" s="478">
        <v>1663.91</v>
      </c>
      <c r="K47" s="478">
        <v>1818.9329999999998</v>
      </c>
      <c r="L47" s="478">
        <v>1711.4669999999999</v>
      </c>
      <c r="M47" s="478">
        <v>1888.9609999999998</v>
      </c>
      <c r="N47" s="478">
        <v>2287.817</v>
      </c>
      <c r="O47" s="478">
        <v>2528.2049999999999</v>
      </c>
      <c r="P47" s="478">
        <v>2643.6680000000001</v>
      </c>
      <c r="Q47" s="478">
        <v>2935.3169999999996</v>
      </c>
      <c r="R47" s="478">
        <v>3169.7260000000001</v>
      </c>
      <c r="S47" s="478">
        <v>3226.1290000000004</v>
      </c>
      <c r="T47" s="478">
        <v>3886.9480000000003</v>
      </c>
      <c r="U47" s="478">
        <v>4116.6790000000001</v>
      </c>
      <c r="V47" s="478">
        <v>4642.4029999999993</v>
      </c>
      <c r="W47" s="478">
        <v>6386.05</v>
      </c>
      <c r="X47" s="478">
        <v>9671.232</v>
      </c>
      <c r="Y47" s="478">
        <v>9310.755000000001</v>
      </c>
      <c r="Z47" s="478">
        <v>11826.494000000001</v>
      </c>
      <c r="AA47" s="478">
        <v>14770.236000000001</v>
      </c>
      <c r="AB47" s="478">
        <v>21594.707000000002</v>
      </c>
      <c r="AC47" s="478">
        <v>23477.974999999995</v>
      </c>
    </row>
    <row r="48" spans="1:29" x14ac:dyDescent="0.25">
      <c r="A48" s="467"/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6"/>
      <c r="M48" s="466"/>
      <c r="N48" s="466"/>
      <c r="O48" s="466"/>
      <c r="P48" s="466"/>
      <c r="Q48" s="466"/>
      <c r="R48" s="466"/>
      <c r="S48" s="466"/>
      <c r="T48" s="466"/>
      <c r="U48" s="466"/>
      <c r="V48" s="466"/>
      <c r="W48" s="466"/>
      <c r="X48" s="466"/>
      <c r="Y48" s="466"/>
      <c r="Z48" s="466"/>
      <c r="AA48" s="466"/>
      <c r="AB48" s="466"/>
      <c r="AC48" s="466"/>
    </row>
    <row r="49" spans="1:29" x14ac:dyDescent="0.25">
      <c r="A49" s="436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  <c r="AB49" s="436"/>
      <c r="AC49" s="436"/>
    </row>
    <row r="50" spans="1:29" x14ac:dyDescent="0.25">
      <c r="A50" s="459" t="s">
        <v>207</v>
      </c>
      <c r="B50" s="466"/>
      <c r="C50" s="466"/>
      <c r="D50" s="466"/>
      <c r="E50" s="466"/>
      <c r="F50" s="466"/>
      <c r="G50" s="466"/>
      <c r="H50" s="466"/>
      <c r="I50" s="466"/>
      <c r="J50" s="466"/>
      <c r="K50" s="466"/>
      <c r="L50" s="466"/>
      <c r="M50" s="466"/>
      <c r="N50" s="466"/>
      <c r="O50" s="466"/>
      <c r="P50" s="466"/>
      <c r="Q50" s="466"/>
      <c r="R50" s="466"/>
      <c r="S50" s="466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</row>
    <row r="51" spans="1:29" x14ac:dyDescent="0.25">
      <c r="A51" s="433"/>
      <c r="B51" s="433"/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</row>
    <row r="52" spans="1:29" x14ac:dyDescent="0.25">
      <c r="A52" s="459" t="s">
        <v>313</v>
      </c>
      <c r="B52" s="478">
        <v>79.543000000000006</v>
      </c>
      <c r="C52" s="478">
        <v>223.74600000000001</v>
      </c>
      <c r="D52" s="478">
        <v>102.982</v>
      </c>
      <c r="E52" s="478">
        <v>132.05199999999999</v>
      </c>
      <c r="F52" s="478">
        <v>135.845</v>
      </c>
      <c r="G52" s="478">
        <v>171.554</v>
      </c>
      <c r="H52" s="478">
        <v>140.57400000000001</v>
      </c>
      <c r="I52" s="478">
        <v>230.08</v>
      </c>
      <c r="J52" s="478">
        <v>231.87700000000001</v>
      </c>
      <c r="K52" s="478">
        <v>365.72399999999999</v>
      </c>
      <c r="L52" s="478">
        <v>268.51400000000001</v>
      </c>
      <c r="M52" s="478">
        <v>323.17200000000003</v>
      </c>
      <c r="N52" s="478">
        <v>361.04</v>
      </c>
      <c r="O52" s="478">
        <v>585.93299999999999</v>
      </c>
      <c r="P52" s="478">
        <v>467.58690000000001</v>
      </c>
      <c r="Q52" s="478">
        <v>467.04500000000002</v>
      </c>
      <c r="R52" s="478">
        <v>424.48900000000003</v>
      </c>
      <c r="S52" s="478">
        <v>581.33000000000004</v>
      </c>
      <c r="T52" s="478">
        <v>746.43</v>
      </c>
      <c r="U52" s="478">
        <v>724.43600000000004</v>
      </c>
      <c r="V52" s="478">
        <v>727.96299999999997</v>
      </c>
      <c r="W52" s="478">
        <v>917.21300000000008</v>
      </c>
      <c r="X52" s="478">
        <v>1681.2580000000003</v>
      </c>
      <c r="Y52" s="478">
        <v>1960.279</v>
      </c>
      <c r="Z52" s="478">
        <v>1376.8509999999999</v>
      </c>
      <c r="AA52" s="478">
        <v>1160.097</v>
      </c>
      <c r="AB52" s="478">
        <v>3731.884</v>
      </c>
      <c r="AC52" s="478">
        <v>4095.0719999999997</v>
      </c>
    </row>
    <row r="53" spans="1:29" x14ac:dyDescent="0.25">
      <c r="A53" s="463" t="s">
        <v>314</v>
      </c>
      <c r="B53" s="466">
        <v>16.736000000000001</v>
      </c>
      <c r="C53" s="466">
        <v>163.35900000000001</v>
      </c>
      <c r="D53" s="466">
        <v>35.94</v>
      </c>
      <c r="E53" s="466">
        <v>62.301000000000002</v>
      </c>
      <c r="F53" s="466">
        <v>66.915999999999997</v>
      </c>
      <c r="G53" s="466">
        <v>104.068</v>
      </c>
      <c r="H53" s="466">
        <v>59.072000000000003</v>
      </c>
      <c r="I53" s="466">
        <v>160.85400000000001</v>
      </c>
      <c r="J53" s="466">
        <v>104.691</v>
      </c>
      <c r="K53" s="466">
        <v>90.531999999999996</v>
      </c>
      <c r="L53" s="466">
        <v>77.558999999999997</v>
      </c>
      <c r="M53" s="466">
        <v>57.610999999999997</v>
      </c>
      <c r="N53" s="466">
        <v>92.453000000000003</v>
      </c>
      <c r="O53" s="466">
        <v>106.932</v>
      </c>
      <c r="P53" s="466">
        <v>16.888000000000002</v>
      </c>
      <c r="Q53" s="466">
        <v>39.703000000000003</v>
      </c>
      <c r="R53" s="466">
        <v>65.260999999999996</v>
      </c>
      <c r="S53" s="466">
        <v>59.731000000000002</v>
      </c>
      <c r="T53" s="466">
        <v>41.512</v>
      </c>
      <c r="U53" s="466">
        <v>19.867999999999999</v>
      </c>
      <c r="V53" s="466">
        <v>201.84700000000001</v>
      </c>
      <c r="W53" s="466">
        <v>141.09700000000001</v>
      </c>
      <c r="X53" s="466">
        <v>479.51</v>
      </c>
      <c r="Y53" s="466">
        <v>930.28899999999999</v>
      </c>
      <c r="Z53" s="466">
        <v>233.82400000000001</v>
      </c>
      <c r="AA53" s="466">
        <v>347.61399999999998</v>
      </c>
      <c r="AB53" s="466">
        <v>1572.847</v>
      </c>
      <c r="AC53" s="466">
        <v>1571.502</v>
      </c>
    </row>
    <row r="54" spans="1:29" x14ac:dyDescent="0.25">
      <c r="A54" s="463" t="s">
        <v>315</v>
      </c>
      <c r="B54" s="466">
        <v>12.189</v>
      </c>
      <c r="C54" s="466">
        <v>9.7680000000000007</v>
      </c>
      <c r="D54" s="466">
        <v>10.798</v>
      </c>
      <c r="E54" s="466">
        <v>13.509</v>
      </c>
      <c r="F54" s="466">
        <v>12.686</v>
      </c>
      <c r="G54" s="466">
        <v>11.243</v>
      </c>
      <c r="H54" s="466">
        <v>25.259</v>
      </c>
      <c r="I54" s="466">
        <v>12.983000000000001</v>
      </c>
      <c r="J54" s="466">
        <v>14.698</v>
      </c>
      <c r="K54" s="466">
        <v>87.703999999999994</v>
      </c>
      <c r="L54" s="466">
        <v>78.454999999999998</v>
      </c>
      <c r="M54" s="466">
        <v>96.811000000000007</v>
      </c>
      <c r="N54" s="466">
        <v>99.840999999999994</v>
      </c>
      <c r="O54" s="466">
        <v>24.506</v>
      </c>
      <c r="P54" s="466">
        <v>34.99</v>
      </c>
      <c r="Q54" s="466">
        <v>70.438999999999993</v>
      </c>
      <c r="R54" s="466">
        <v>53.228999999999999</v>
      </c>
      <c r="S54" s="466">
        <v>53.600999999999999</v>
      </c>
      <c r="T54" s="466">
        <v>56.92</v>
      </c>
      <c r="U54" s="466">
        <v>71.414000000000001</v>
      </c>
      <c r="V54" s="466">
        <v>85.116</v>
      </c>
      <c r="W54" s="466">
        <v>105.613</v>
      </c>
      <c r="X54" s="466">
        <v>32.993000000000002</v>
      </c>
      <c r="Y54" s="466">
        <v>67.494</v>
      </c>
      <c r="Z54" s="466">
        <v>111.773</v>
      </c>
      <c r="AA54" s="466">
        <v>127.45699999999999</v>
      </c>
      <c r="AB54" s="466">
        <v>1443.0540000000001</v>
      </c>
      <c r="AC54" s="466">
        <v>1937.4970000000001</v>
      </c>
    </row>
    <row r="55" spans="1:29" x14ac:dyDescent="0.25">
      <c r="A55" s="463" t="s">
        <v>316</v>
      </c>
      <c r="B55" s="466">
        <v>50.618000000000002</v>
      </c>
      <c r="C55" s="466">
        <v>50.619</v>
      </c>
      <c r="D55" s="466">
        <v>56.244</v>
      </c>
      <c r="E55" s="466">
        <v>56.241999999999997</v>
      </c>
      <c r="F55" s="466">
        <v>56.243000000000002</v>
      </c>
      <c r="G55" s="466">
        <v>56.243000000000002</v>
      </c>
      <c r="H55" s="466">
        <v>56.243000000000002</v>
      </c>
      <c r="I55" s="466">
        <v>56.243000000000002</v>
      </c>
      <c r="J55" s="466">
        <v>112.488</v>
      </c>
      <c r="K55" s="466">
        <v>187.488</v>
      </c>
      <c r="L55" s="466">
        <v>112.5</v>
      </c>
      <c r="M55" s="466">
        <v>168.75</v>
      </c>
      <c r="N55" s="466">
        <v>168.74600000000001</v>
      </c>
      <c r="O55" s="466">
        <v>454.495</v>
      </c>
      <c r="P55" s="466">
        <v>415.70890000000003</v>
      </c>
      <c r="Q55" s="466">
        <v>356.90300000000002</v>
      </c>
      <c r="R55" s="466">
        <v>305.99900000000002</v>
      </c>
      <c r="S55" s="466">
        <v>467.99799999999999</v>
      </c>
      <c r="T55" s="466">
        <v>647.99800000000005</v>
      </c>
      <c r="U55" s="466">
        <v>633.154</v>
      </c>
      <c r="V55" s="466">
        <v>441</v>
      </c>
      <c r="W55" s="466">
        <v>670.50300000000004</v>
      </c>
      <c r="X55" s="466">
        <v>1168.7550000000001</v>
      </c>
      <c r="Y55" s="466">
        <v>962.49599999999998</v>
      </c>
      <c r="Z55" s="466">
        <v>1031.2539999999999</v>
      </c>
      <c r="AA55" s="466">
        <v>685.02599999999995</v>
      </c>
      <c r="AB55" s="466">
        <v>715.98299999999995</v>
      </c>
      <c r="AC55" s="466">
        <v>586.07299999999998</v>
      </c>
    </row>
    <row r="56" spans="1:29" x14ac:dyDescent="0.25">
      <c r="A56" s="459" t="s">
        <v>317</v>
      </c>
      <c r="B56" s="478">
        <v>579.79499999999996</v>
      </c>
      <c r="C56" s="478">
        <v>608.29499999999996</v>
      </c>
      <c r="D56" s="478">
        <v>775.61500000000001</v>
      </c>
      <c r="E56" s="478">
        <v>726.45600000000002</v>
      </c>
      <c r="F56" s="478">
        <v>932.60500000000002</v>
      </c>
      <c r="G56" s="478">
        <v>965.74</v>
      </c>
      <c r="H56" s="478">
        <v>1055.9449999999999</v>
      </c>
      <c r="I56" s="478">
        <v>1022.775</v>
      </c>
      <c r="J56" s="478">
        <v>1147.5070000000001</v>
      </c>
      <c r="K56" s="478">
        <v>1199.8119999999999</v>
      </c>
      <c r="L56" s="478">
        <v>1160.299</v>
      </c>
      <c r="M56" s="478">
        <v>1274.0410000000002</v>
      </c>
      <c r="N56" s="478">
        <v>1417.9</v>
      </c>
      <c r="O56" s="478">
        <v>1387.845</v>
      </c>
      <c r="P56" s="478">
        <v>1586.181</v>
      </c>
      <c r="Q56" s="478">
        <v>1837.8540000000003</v>
      </c>
      <c r="R56" s="478">
        <v>1943.558</v>
      </c>
      <c r="S56" s="478">
        <v>1945.1779999999999</v>
      </c>
      <c r="T56" s="478">
        <v>2180.7079999999996</v>
      </c>
      <c r="U56" s="478">
        <v>2277.3889999999997</v>
      </c>
      <c r="V56" s="478">
        <v>2740.395</v>
      </c>
      <c r="W56" s="478">
        <v>3361.6519999999996</v>
      </c>
      <c r="X56" s="478">
        <v>4486.7359999999999</v>
      </c>
      <c r="Y56" s="478">
        <v>4857.3410000000003</v>
      </c>
      <c r="Z56" s="478">
        <v>6537.6289999999999</v>
      </c>
      <c r="AA56" s="478">
        <v>8852.6809999999987</v>
      </c>
      <c r="AB56" s="478">
        <v>12882.473000000002</v>
      </c>
      <c r="AC56" s="478">
        <v>13298.832999999999</v>
      </c>
    </row>
    <row r="57" spans="1:29" x14ac:dyDescent="0.25">
      <c r="A57" s="463" t="s">
        <v>233</v>
      </c>
      <c r="B57" s="466">
        <v>605.89200000000005</v>
      </c>
      <c r="C57" s="466">
        <v>673.18299999999999</v>
      </c>
      <c r="D57" s="466">
        <v>866.52800000000002</v>
      </c>
      <c r="E57" s="466">
        <v>913.03</v>
      </c>
      <c r="F57" s="466">
        <v>998.62</v>
      </c>
      <c r="G57" s="466">
        <v>1015.83</v>
      </c>
      <c r="H57" s="466">
        <v>1175.3389999999999</v>
      </c>
      <c r="I57" s="466">
        <v>1297.23</v>
      </c>
      <c r="J57" s="466">
        <v>1374.0550000000001</v>
      </c>
      <c r="K57" s="466">
        <v>1360.643</v>
      </c>
      <c r="L57" s="466">
        <v>1352.499</v>
      </c>
      <c r="M57" s="466">
        <v>1362.7360000000001</v>
      </c>
      <c r="N57" s="466">
        <v>1419.7239999999999</v>
      </c>
      <c r="O57" s="466">
        <v>1481.6959999999999</v>
      </c>
      <c r="P57" s="466">
        <v>1587.576</v>
      </c>
      <c r="Q57" s="466">
        <v>1607.674</v>
      </c>
      <c r="R57" s="466">
        <v>1718.376</v>
      </c>
      <c r="S57" s="466">
        <v>1854.72</v>
      </c>
      <c r="T57" s="466">
        <v>2933.47</v>
      </c>
      <c r="U57" s="466">
        <v>2694.2179999999998</v>
      </c>
      <c r="V57" s="466">
        <v>2359.125</v>
      </c>
      <c r="W57" s="466">
        <v>3212.1239999999998</v>
      </c>
      <c r="X57" s="466">
        <v>4562.6329999999998</v>
      </c>
      <c r="Y57" s="466">
        <v>4135.0770000000002</v>
      </c>
      <c r="Z57" s="466">
        <v>6131.3249999999998</v>
      </c>
      <c r="AA57" s="466">
        <v>8625.4339999999993</v>
      </c>
      <c r="AB57" s="466">
        <v>8084.9340000000002</v>
      </c>
      <c r="AC57" s="466">
        <v>13859.843999999999</v>
      </c>
    </row>
    <row r="58" spans="1:29" x14ac:dyDescent="0.25">
      <c r="A58" s="463" t="s">
        <v>234</v>
      </c>
      <c r="B58" s="464">
        <v>-230.24799999999999</v>
      </c>
      <c r="C58" s="464">
        <v>-280.39299999999997</v>
      </c>
      <c r="D58" s="464">
        <v>-357.07600000000002</v>
      </c>
      <c r="E58" s="464">
        <v>-423.44900000000001</v>
      </c>
      <c r="F58" s="464">
        <v>-428.75599999999997</v>
      </c>
      <c r="G58" s="464">
        <v>-414.78899999999999</v>
      </c>
      <c r="H58" s="464">
        <v>-476.49299999999999</v>
      </c>
      <c r="I58" s="464">
        <v>-633.072</v>
      </c>
      <c r="J58" s="464">
        <v>-622.14</v>
      </c>
      <c r="K58" s="464">
        <v>-592.09100000000001</v>
      </c>
      <c r="L58" s="464">
        <v>-600.01599999999996</v>
      </c>
      <c r="M58" s="464">
        <v>-559.43200000000002</v>
      </c>
      <c r="N58" s="464">
        <v>-521.23699999999997</v>
      </c>
      <c r="O58" s="464">
        <v>-560.22400000000005</v>
      </c>
      <c r="P58" s="464">
        <v>-581.06399999999996</v>
      </c>
      <c r="Q58" s="464">
        <v>-500.72699999999998</v>
      </c>
      <c r="R58" s="464">
        <v>-513.90099999999995</v>
      </c>
      <c r="S58" s="464">
        <v>-544.66899999999998</v>
      </c>
      <c r="T58" s="464">
        <v>-1508.933</v>
      </c>
      <c r="U58" s="464">
        <v>-1201.6600000000001</v>
      </c>
      <c r="V58" s="464">
        <v>-632.14200000000005</v>
      </c>
      <c r="W58" s="464">
        <v>-1338.9280000000001</v>
      </c>
      <c r="X58" s="464">
        <v>-2093.0970000000002</v>
      </c>
      <c r="Y58" s="464">
        <v>-1576.864</v>
      </c>
      <c r="Z58" s="464">
        <v>-3066.049</v>
      </c>
      <c r="AA58" s="464">
        <v>-4742.2790000000005</v>
      </c>
      <c r="AB58" s="464">
        <v>-3005.9479999999999</v>
      </c>
      <c r="AC58" s="464">
        <v>-8094.16</v>
      </c>
    </row>
    <row r="59" spans="1:29" x14ac:dyDescent="0.25">
      <c r="A59" s="463" t="s">
        <v>318</v>
      </c>
      <c r="B59" s="466">
        <v>375.64400000000006</v>
      </c>
      <c r="C59" s="466">
        <v>392.79</v>
      </c>
      <c r="D59" s="466">
        <v>509.452</v>
      </c>
      <c r="E59" s="466">
        <v>489.58099999999996</v>
      </c>
      <c r="F59" s="466">
        <v>569.86400000000003</v>
      </c>
      <c r="G59" s="466">
        <v>601.04100000000005</v>
      </c>
      <c r="H59" s="466">
        <v>698.846</v>
      </c>
      <c r="I59" s="466">
        <v>664.15800000000002</v>
      </c>
      <c r="J59" s="466">
        <v>751.91499999999996</v>
      </c>
      <c r="K59" s="466">
        <v>768.55200000000002</v>
      </c>
      <c r="L59" s="466">
        <v>752.48300000000006</v>
      </c>
      <c r="M59" s="466">
        <v>803.30400000000009</v>
      </c>
      <c r="N59" s="466">
        <v>898.48699999999997</v>
      </c>
      <c r="O59" s="466">
        <v>921.47199999999987</v>
      </c>
      <c r="P59" s="466">
        <v>1006.5120000000001</v>
      </c>
      <c r="Q59" s="466">
        <v>1106.9470000000001</v>
      </c>
      <c r="R59" s="466">
        <v>1204.4749999999999</v>
      </c>
      <c r="S59" s="466">
        <v>1310.0509999999999</v>
      </c>
      <c r="T59" s="466">
        <v>1424.5369999999998</v>
      </c>
      <c r="U59" s="466">
        <v>1492.5579999999998</v>
      </c>
      <c r="V59" s="466">
        <v>1726.9829999999999</v>
      </c>
      <c r="W59" s="466">
        <v>1873.1959999999997</v>
      </c>
      <c r="X59" s="466">
        <v>2469.5359999999996</v>
      </c>
      <c r="Y59" s="466">
        <v>2558.2130000000002</v>
      </c>
      <c r="Z59" s="466">
        <v>3065.2759999999998</v>
      </c>
      <c r="AA59" s="466">
        <v>3883.1549999999988</v>
      </c>
      <c r="AB59" s="466">
        <v>5078.9860000000008</v>
      </c>
      <c r="AC59" s="466">
        <v>5765.6839999999993</v>
      </c>
    </row>
    <row r="60" spans="1:29" x14ac:dyDescent="0.25">
      <c r="A60" s="463" t="s">
        <v>319</v>
      </c>
      <c r="B60" s="466">
        <v>204.15099999999998</v>
      </c>
      <c r="C60" s="466">
        <v>215.505</v>
      </c>
      <c r="D60" s="466">
        <v>266.16300000000001</v>
      </c>
      <c r="E60" s="466">
        <v>236.875</v>
      </c>
      <c r="F60" s="466">
        <v>362.74099999999999</v>
      </c>
      <c r="G60" s="466">
        <v>364.69900000000001</v>
      </c>
      <c r="H60" s="466">
        <v>357.09899999999999</v>
      </c>
      <c r="I60" s="466">
        <v>358.61699999999996</v>
      </c>
      <c r="J60" s="466">
        <v>395.59199999999998</v>
      </c>
      <c r="K60" s="466">
        <v>431.26</v>
      </c>
      <c r="L60" s="466">
        <v>407.81600000000003</v>
      </c>
      <c r="M60" s="466">
        <v>470.73700000000002</v>
      </c>
      <c r="N60" s="466">
        <v>519.41300000000001</v>
      </c>
      <c r="O60" s="466">
        <v>466.37299999999999</v>
      </c>
      <c r="P60" s="466">
        <v>579.66899999999998</v>
      </c>
      <c r="Q60" s="466">
        <v>730.90700000000004</v>
      </c>
      <c r="R60" s="466">
        <v>739.08299999999997</v>
      </c>
      <c r="S60" s="466">
        <v>635.12699999999995</v>
      </c>
      <c r="T60" s="466">
        <v>756.17100000000005</v>
      </c>
      <c r="U60" s="466">
        <v>784.8309999999999</v>
      </c>
      <c r="V60" s="466">
        <v>1013.412</v>
      </c>
      <c r="W60" s="466">
        <v>1488.4559999999999</v>
      </c>
      <c r="X60" s="466">
        <v>2017.2</v>
      </c>
      <c r="Y60" s="466">
        <v>2299.1279999999997</v>
      </c>
      <c r="Z60" s="466">
        <v>3472.3530000000001</v>
      </c>
      <c r="AA60" s="466">
        <v>4969.5259999999998</v>
      </c>
      <c r="AB60" s="466">
        <v>7803.4870000000001</v>
      </c>
      <c r="AC60" s="466">
        <v>7533.1490000000003</v>
      </c>
    </row>
    <row r="61" spans="1:29" x14ac:dyDescent="0.25">
      <c r="A61" s="463" t="s">
        <v>320</v>
      </c>
      <c r="B61" s="466">
        <v>4.6959999999999997</v>
      </c>
      <c r="C61" s="466">
        <v>7.86</v>
      </c>
      <c r="D61" s="466">
        <v>18.803999999999998</v>
      </c>
      <c r="E61" s="466">
        <v>13.505000000000001</v>
      </c>
      <c r="F61" s="466">
        <v>25.963000000000001</v>
      </c>
      <c r="G61" s="466">
        <v>40.143000000000001</v>
      </c>
      <c r="H61" s="466">
        <v>26.41</v>
      </c>
      <c r="I61" s="466">
        <v>27.741</v>
      </c>
      <c r="J61" s="466">
        <v>35.865000000000002</v>
      </c>
      <c r="K61" s="466">
        <v>40.866999999999997</v>
      </c>
      <c r="L61" s="466">
        <v>34.427999999999997</v>
      </c>
      <c r="M61" s="466">
        <v>25.346</v>
      </c>
      <c r="N61" s="466">
        <v>76.049000000000007</v>
      </c>
      <c r="O61" s="466">
        <v>39.002000000000002</v>
      </c>
      <c r="P61" s="466">
        <v>50.369</v>
      </c>
      <c r="Q61" s="466">
        <v>101.70699999999999</v>
      </c>
      <c r="R61" s="466">
        <v>91.626000000000005</v>
      </c>
      <c r="S61" s="466">
        <v>47.640999999999998</v>
      </c>
      <c r="T61" s="466">
        <v>43.462000000000003</v>
      </c>
      <c r="U61" s="466">
        <v>49.578000000000003</v>
      </c>
      <c r="V61" s="466">
        <v>58.808999999999997</v>
      </c>
      <c r="W61" s="466">
        <v>166.251</v>
      </c>
      <c r="X61" s="466">
        <v>243.375</v>
      </c>
      <c r="Y61" s="466">
        <v>185.31299999999999</v>
      </c>
      <c r="Z61" s="466">
        <v>484.47300000000001</v>
      </c>
      <c r="AA61" s="466">
        <v>609.03899999999999</v>
      </c>
      <c r="AB61" s="466">
        <v>1167.857</v>
      </c>
      <c r="AC61" s="466">
        <v>1053.7660000000001</v>
      </c>
    </row>
    <row r="62" spans="1:29" x14ac:dyDescent="0.25">
      <c r="A62" s="463" t="s">
        <v>321</v>
      </c>
      <c r="B62" s="466">
        <v>0</v>
      </c>
      <c r="C62" s="466">
        <v>0</v>
      </c>
      <c r="D62" s="466">
        <v>0</v>
      </c>
      <c r="E62" s="466">
        <v>0</v>
      </c>
      <c r="F62" s="466">
        <v>0</v>
      </c>
      <c r="G62" s="466">
        <v>0</v>
      </c>
      <c r="H62" s="466">
        <v>0</v>
      </c>
      <c r="I62" s="466">
        <v>0</v>
      </c>
      <c r="J62" s="466">
        <v>0</v>
      </c>
      <c r="K62" s="466">
        <v>0</v>
      </c>
      <c r="L62" s="466">
        <v>0</v>
      </c>
      <c r="M62" s="466">
        <v>0</v>
      </c>
      <c r="N62" s="466">
        <v>0</v>
      </c>
      <c r="O62" s="466">
        <v>0</v>
      </c>
      <c r="P62" s="466">
        <v>0</v>
      </c>
      <c r="Q62" s="466">
        <v>0</v>
      </c>
      <c r="R62" s="466">
        <v>0</v>
      </c>
      <c r="S62" s="466">
        <v>0</v>
      </c>
      <c r="T62" s="466">
        <v>0</v>
      </c>
      <c r="U62" s="466">
        <v>0</v>
      </c>
      <c r="V62" s="466">
        <v>0</v>
      </c>
      <c r="W62" s="466">
        <v>0</v>
      </c>
      <c r="X62" s="466">
        <v>0</v>
      </c>
      <c r="Y62" s="466">
        <v>0</v>
      </c>
      <c r="Z62" s="466">
        <v>0</v>
      </c>
      <c r="AA62" s="466">
        <v>0</v>
      </c>
      <c r="AB62" s="466">
        <v>0</v>
      </c>
      <c r="AC62" s="466">
        <v>0</v>
      </c>
    </row>
    <row r="63" spans="1:29" x14ac:dyDescent="0.25">
      <c r="A63" s="463" t="s">
        <v>322</v>
      </c>
      <c r="B63" s="466">
        <v>30.056999999999999</v>
      </c>
      <c r="C63" s="466">
        <v>24.792000000000002</v>
      </c>
      <c r="D63" s="466">
        <v>29.084</v>
      </c>
      <c r="E63" s="466">
        <v>38.459000000000003</v>
      </c>
      <c r="F63" s="466">
        <v>58.509</v>
      </c>
      <c r="G63" s="466">
        <v>54.966000000000001</v>
      </c>
      <c r="H63" s="466">
        <v>66.691999999999993</v>
      </c>
      <c r="I63" s="466">
        <v>62.771000000000001</v>
      </c>
      <c r="J63" s="466">
        <v>69.385000000000005</v>
      </c>
      <c r="K63" s="466">
        <v>60.628999999999998</v>
      </c>
      <c r="L63" s="466">
        <v>63.609000000000002</v>
      </c>
      <c r="M63" s="466">
        <v>58.540999999999997</v>
      </c>
      <c r="N63" s="466">
        <v>75.358999999999995</v>
      </c>
      <c r="O63" s="466">
        <v>61.593000000000004</v>
      </c>
      <c r="P63" s="466">
        <v>66.540999999999997</v>
      </c>
      <c r="Q63" s="466">
        <v>106.75700000000001</v>
      </c>
      <c r="R63" s="466">
        <v>63.521000000000001</v>
      </c>
      <c r="S63" s="466">
        <v>22.856000000000002</v>
      </c>
      <c r="T63" s="466">
        <v>18.603000000000002</v>
      </c>
      <c r="U63" s="466">
        <v>36.683999999999997</v>
      </c>
      <c r="V63" s="466">
        <v>159.76300000000001</v>
      </c>
      <c r="W63" s="466">
        <v>207.21</v>
      </c>
      <c r="X63" s="466">
        <v>249.10499999999999</v>
      </c>
      <c r="Y63" s="466">
        <v>314.63200000000001</v>
      </c>
      <c r="Z63" s="466">
        <v>577.68499999999995</v>
      </c>
      <c r="AA63" s="466">
        <v>695.59900000000005</v>
      </c>
      <c r="AB63" s="466">
        <v>2116.6460000000002</v>
      </c>
      <c r="AC63" s="466">
        <v>2018.136</v>
      </c>
    </row>
    <row r="64" spans="1:29" x14ac:dyDescent="0.25">
      <c r="A64" s="463" t="s">
        <v>323</v>
      </c>
      <c r="B64" s="466">
        <v>14.492000000000001</v>
      </c>
      <c r="C64" s="466">
        <v>22.896000000000001</v>
      </c>
      <c r="D64" s="466">
        <v>19.86</v>
      </c>
      <c r="E64" s="466">
        <v>18.559000000000001</v>
      </c>
      <c r="F64" s="466">
        <v>32.299999999999997</v>
      </c>
      <c r="G64" s="466">
        <v>15.814</v>
      </c>
      <c r="H64" s="466">
        <v>16.763999999999999</v>
      </c>
      <c r="I64" s="466">
        <v>14.465</v>
      </c>
      <c r="J64" s="466">
        <v>27.172999999999998</v>
      </c>
      <c r="K64" s="466">
        <v>24.382999999999999</v>
      </c>
      <c r="L64" s="466">
        <v>26.664000000000001</v>
      </c>
      <c r="M64" s="466">
        <v>27.318999999999999</v>
      </c>
      <c r="N64" s="466">
        <v>25.222000000000001</v>
      </c>
      <c r="O64" s="466">
        <v>16.8</v>
      </c>
      <c r="P64" s="466">
        <v>39.197000000000003</v>
      </c>
      <c r="Q64" s="466">
        <v>41.600999999999999</v>
      </c>
      <c r="R64" s="466">
        <v>44.066000000000003</v>
      </c>
      <c r="S64" s="466">
        <v>42.917000000000002</v>
      </c>
      <c r="T64" s="466">
        <v>68.004999999999995</v>
      </c>
      <c r="U64" s="466">
        <v>55.68</v>
      </c>
      <c r="V64" s="466">
        <v>77.872</v>
      </c>
      <c r="W64" s="466">
        <v>77.906999999999996</v>
      </c>
      <c r="X64" s="466">
        <v>126.958</v>
      </c>
      <c r="Y64" s="466">
        <v>123.741</v>
      </c>
      <c r="Z64" s="466">
        <v>186.02600000000001</v>
      </c>
      <c r="AA64" s="466">
        <v>239.18299999999999</v>
      </c>
      <c r="AB64" s="466">
        <v>393.85599999999999</v>
      </c>
      <c r="AC64" s="466">
        <v>193.51900000000001</v>
      </c>
    </row>
    <row r="65" spans="1:29" x14ac:dyDescent="0.25">
      <c r="A65" s="463" t="s">
        <v>324</v>
      </c>
      <c r="B65" s="466">
        <v>0</v>
      </c>
      <c r="C65" s="466">
        <v>0</v>
      </c>
      <c r="D65" s="466">
        <v>0</v>
      </c>
      <c r="E65" s="466">
        <v>0</v>
      </c>
      <c r="F65" s="466">
        <v>0</v>
      </c>
      <c r="G65" s="466">
        <v>0</v>
      </c>
      <c r="H65" s="466">
        <v>0</v>
      </c>
      <c r="I65" s="466">
        <v>0</v>
      </c>
      <c r="J65" s="466">
        <v>0</v>
      </c>
      <c r="K65" s="466">
        <v>0</v>
      </c>
      <c r="L65" s="466">
        <v>0</v>
      </c>
      <c r="M65" s="466">
        <v>0</v>
      </c>
      <c r="N65" s="466">
        <v>0</v>
      </c>
      <c r="O65" s="466">
        <v>0</v>
      </c>
      <c r="P65" s="466">
        <v>0</v>
      </c>
      <c r="Q65" s="466">
        <v>0</v>
      </c>
      <c r="R65" s="466">
        <v>0</v>
      </c>
      <c r="S65" s="466">
        <v>0</v>
      </c>
      <c r="T65" s="466">
        <v>0</v>
      </c>
      <c r="U65" s="466">
        <v>0</v>
      </c>
      <c r="V65" s="466">
        <v>0</v>
      </c>
      <c r="W65" s="466">
        <v>0</v>
      </c>
      <c r="X65" s="466">
        <v>0</v>
      </c>
      <c r="Y65" s="466">
        <v>0</v>
      </c>
      <c r="Z65" s="466">
        <v>0</v>
      </c>
      <c r="AA65" s="466">
        <v>0</v>
      </c>
      <c r="AB65" s="466">
        <v>0</v>
      </c>
      <c r="AC65" s="466">
        <v>285.08199999999999</v>
      </c>
    </row>
    <row r="66" spans="1:29" x14ac:dyDescent="0.25">
      <c r="A66" s="463" t="s">
        <v>325</v>
      </c>
      <c r="B66" s="466">
        <v>144.04499999999999</v>
      </c>
      <c r="C66" s="466">
        <v>114.084</v>
      </c>
      <c r="D66" s="466">
        <v>170.661</v>
      </c>
      <c r="E66" s="466">
        <v>138.63</v>
      </c>
      <c r="F66" s="466">
        <v>200.69900000000001</v>
      </c>
      <c r="G66" s="466">
        <v>209.13800000000001</v>
      </c>
      <c r="H66" s="466">
        <v>214.80799999999999</v>
      </c>
      <c r="I66" s="466">
        <v>217.399</v>
      </c>
      <c r="J66" s="466">
        <v>230.28100000000001</v>
      </c>
      <c r="K66" s="466">
        <v>247.41399999999999</v>
      </c>
      <c r="L66" s="466">
        <v>218.791</v>
      </c>
      <c r="M66" s="466">
        <v>292.089</v>
      </c>
      <c r="N66" s="466">
        <v>286.72000000000003</v>
      </c>
      <c r="O66" s="466">
        <v>295.48599999999999</v>
      </c>
      <c r="P66" s="466">
        <v>354.06099999999998</v>
      </c>
      <c r="Q66" s="466">
        <v>411.20100000000002</v>
      </c>
      <c r="R66" s="466">
        <v>431.52199999999999</v>
      </c>
      <c r="S66" s="466">
        <v>426.97199999999998</v>
      </c>
      <c r="T66" s="466">
        <v>542.26599999999996</v>
      </c>
      <c r="U66" s="466">
        <v>579.67499999999995</v>
      </c>
      <c r="V66" s="466">
        <v>662.62400000000002</v>
      </c>
      <c r="W66" s="466">
        <v>954.76700000000005</v>
      </c>
      <c r="X66" s="466">
        <v>1304.8320000000001</v>
      </c>
      <c r="Y66" s="466">
        <v>1576.162</v>
      </c>
      <c r="Z66" s="466">
        <v>1954.8209999999999</v>
      </c>
      <c r="AA66" s="466">
        <v>2941.0810000000001</v>
      </c>
      <c r="AB66" s="466">
        <v>3726.6869999999999</v>
      </c>
      <c r="AC66" s="466">
        <v>3796.375</v>
      </c>
    </row>
    <row r="67" spans="1:29" x14ac:dyDescent="0.25">
      <c r="A67" s="463" t="s">
        <v>326</v>
      </c>
      <c r="B67" s="466">
        <v>0</v>
      </c>
      <c r="C67" s="466">
        <v>0</v>
      </c>
      <c r="D67" s="466">
        <v>0</v>
      </c>
      <c r="E67" s="466">
        <v>0</v>
      </c>
      <c r="F67" s="466">
        <v>0</v>
      </c>
      <c r="G67" s="466">
        <v>0</v>
      </c>
      <c r="H67" s="466">
        <v>0</v>
      </c>
      <c r="I67" s="466">
        <v>0</v>
      </c>
      <c r="J67" s="466">
        <v>0</v>
      </c>
      <c r="K67" s="466">
        <v>0</v>
      </c>
      <c r="L67" s="466">
        <v>0</v>
      </c>
      <c r="M67" s="466">
        <v>0</v>
      </c>
      <c r="N67" s="466">
        <v>0</v>
      </c>
      <c r="O67" s="466">
        <v>0</v>
      </c>
      <c r="P67" s="466">
        <v>0</v>
      </c>
      <c r="Q67" s="466">
        <v>0</v>
      </c>
      <c r="R67" s="466">
        <v>0</v>
      </c>
      <c r="S67" s="466">
        <v>0</v>
      </c>
      <c r="T67" s="466">
        <v>0</v>
      </c>
      <c r="U67" s="466">
        <v>0</v>
      </c>
      <c r="V67" s="466">
        <v>0</v>
      </c>
      <c r="W67" s="466">
        <v>0</v>
      </c>
      <c r="X67" s="466">
        <v>0</v>
      </c>
      <c r="Y67" s="466">
        <v>0</v>
      </c>
      <c r="Z67" s="466">
        <v>0</v>
      </c>
      <c r="AA67" s="466">
        <v>0</v>
      </c>
      <c r="AB67" s="466">
        <v>0</v>
      </c>
      <c r="AC67" s="466">
        <v>0</v>
      </c>
    </row>
    <row r="68" spans="1:29" x14ac:dyDescent="0.25">
      <c r="A68" s="463" t="s">
        <v>327</v>
      </c>
      <c r="B68" s="466">
        <v>10.861000000000001</v>
      </c>
      <c r="C68" s="466">
        <v>45.872999999999998</v>
      </c>
      <c r="D68" s="466">
        <v>27.754000000000001</v>
      </c>
      <c r="E68" s="466">
        <v>27.722000000000001</v>
      </c>
      <c r="F68" s="466">
        <v>45.27</v>
      </c>
      <c r="G68" s="466">
        <v>44.637999999999998</v>
      </c>
      <c r="H68" s="466">
        <v>32.424999999999997</v>
      </c>
      <c r="I68" s="466">
        <v>36.241</v>
      </c>
      <c r="J68" s="466">
        <v>32.887999999999998</v>
      </c>
      <c r="K68" s="466">
        <v>57.966999999999999</v>
      </c>
      <c r="L68" s="466">
        <v>64.323999999999998</v>
      </c>
      <c r="M68" s="466">
        <v>67.441999999999993</v>
      </c>
      <c r="N68" s="466">
        <v>56.063000000000002</v>
      </c>
      <c r="O68" s="466">
        <v>53.491999999999997</v>
      </c>
      <c r="P68" s="466">
        <v>69.501000000000005</v>
      </c>
      <c r="Q68" s="466">
        <v>69.641000000000005</v>
      </c>
      <c r="R68" s="466">
        <v>108.348</v>
      </c>
      <c r="S68" s="466">
        <v>94.741</v>
      </c>
      <c r="T68" s="466">
        <v>83.834999999999994</v>
      </c>
      <c r="U68" s="466">
        <v>63.213999999999999</v>
      </c>
      <c r="V68" s="466">
        <v>54.344000000000001</v>
      </c>
      <c r="W68" s="466">
        <v>82.320999999999998</v>
      </c>
      <c r="X68" s="466">
        <v>92.93</v>
      </c>
      <c r="Y68" s="466">
        <v>79.513000000000005</v>
      </c>
      <c r="Z68" s="466">
        <v>244.77699999999999</v>
      </c>
      <c r="AA68" s="466">
        <v>425.65699999999998</v>
      </c>
      <c r="AB68" s="466">
        <v>113.794</v>
      </c>
      <c r="AC68" s="466">
        <v>186.27099999999999</v>
      </c>
    </row>
    <row r="69" spans="1:29" x14ac:dyDescent="0.25">
      <c r="A69" s="463" t="s">
        <v>328</v>
      </c>
      <c r="B69" s="466">
        <v>0</v>
      </c>
      <c r="C69" s="466">
        <v>0</v>
      </c>
      <c r="D69" s="466">
        <v>0</v>
      </c>
      <c r="E69" s="466">
        <v>0</v>
      </c>
      <c r="F69" s="466">
        <v>0</v>
      </c>
      <c r="G69" s="466">
        <v>0</v>
      </c>
      <c r="H69" s="466">
        <v>0</v>
      </c>
      <c r="I69" s="466">
        <v>0</v>
      </c>
      <c r="J69" s="466">
        <v>0</v>
      </c>
      <c r="K69" s="466">
        <v>0</v>
      </c>
      <c r="L69" s="466">
        <v>0</v>
      </c>
      <c r="M69" s="466">
        <v>0</v>
      </c>
      <c r="N69" s="466">
        <v>0</v>
      </c>
      <c r="O69" s="466">
        <v>0</v>
      </c>
      <c r="P69" s="466">
        <v>0</v>
      </c>
      <c r="Q69" s="466">
        <v>0</v>
      </c>
      <c r="R69" s="466">
        <v>0</v>
      </c>
      <c r="S69" s="466">
        <v>0</v>
      </c>
      <c r="T69" s="466">
        <v>0</v>
      </c>
      <c r="U69" s="466">
        <v>0</v>
      </c>
      <c r="V69" s="466">
        <v>0</v>
      </c>
      <c r="W69" s="466">
        <v>0</v>
      </c>
      <c r="X69" s="466">
        <v>0</v>
      </c>
      <c r="Y69" s="466">
        <v>19.766999999999999</v>
      </c>
      <c r="Z69" s="466">
        <v>24.571000000000002</v>
      </c>
      <c r="AA69" s="466">
        <v>58.966999999999999</v>
      </c>
      <c r="AB69" s="466">
        <v>284.64699999999999</v>
      </c>
      <c r="AC69" s="466">
        <v>0</v>
      </c>
    </row>
    <row r="70" spans="1:29" x14ac:dyDescent="0.25">
      <c r="A70" s="459" t="s">
        <v>247</v>
      </c>
      <c r="B70" s="478">
        <v>69.708999999999989</v>
      </c>
      <c r="C70" s="478">
        <v>88.982000000000014</v>
      </c>
      <c r="D70" s="478">
        <v>111.85700000000001</v>
      </c>
      <c r="E70" s="478">
        <v>109.941</v>
      </c>
      <c r="F70" s="478">
        <v>112.059</v>
      </c>
      <c r="G70" s="478">
        <v>123.913</v>
      </c>
      <c r="H70" s="478">
        <v>111.94599999999998</v>
      </c>
      <c r="I70" s="478">
        <v>200.74199999999999</v>
      </c>
      <c r="J70" s="478">
        <v>200.36599999999999</v>
      </c>
      <c r="K70" s="478">
        <v>181.18600000000001</v>
      </c>
      <c r="L70" s="478">
        <v>204.191</v>
      </c>
      <c r="M70" s="478">
        <v>210.97199999999998</v>
      </c>
      <c r="N70" s="478">
        <v>428.685</v>
      </c>
      <c r="O70" s="478">
        <v>460.935</v>
      </c>
      <c r="P70" s="478">
        <v>491.71199999999999</v>
      </c>
      <c r="Q70" s="478">
        <v>530.69100000000003</v>
      </c>
      <c r="R70" s="478">
        <v>650.98599999999999</v>
      </c>
      <c r="S70" s="478">
        <v>533.88499999999999</v>
      </c>
      <c r="T70" s="478">
        <v>796.42</v>
      </c>
      <c r="U70" s="478">
        <v>935.48</v>
      </c>
      <c r="V70" s="478">
        <v>958.60199999999986</v>
      </c>
      <c r="W70" s="478">
        <v>1801.3920000000001</v>
      </c>
      <c r="X70" s="478">
        <v>2473.5009999999997</v>
      </c>
      <c r="Y70" s="478">
        <v>1949.2819999999999</v>
      </c>
      <c r="Z70" s="478">
        <v>3137.6419999999998</v>
      </c>
      <c r="AA70" s="478">
        <v>3916.1219999999998</v>
      </c>
      <c r="AB70" s="478">
        <v>3221.8359999999998</v>
      </c>
      <c r="AC70" s="478">
        <v>4210.7079999999996</v>
      </c>
    </row>
    <row r="71" spans="1:29" x14ac:dyDescent="0.25">
      <c r="A71" s="463" t="s">
        <v>248</v>
      </c>
      <c r="B71" s="466">
        <v>33.066000000000003</v>
      </c>
      <c r="C71" s="466">
        <v>34.179000000000002</v>
      </c>
      <c r="D71" s="466">
        <v>36.027000000000001</v>
      </c>
      <c r="E71" s="466">
        <v>56.045000000000002</v>
      </c>
      <c r="F71" s="466">
        <v>56.148000000000003</v>
      </c>
      <c r="G71" s="466">
        <v>39.540999999999997</v>
      </c>
      <c r="H71" s="466">
        <v>33.820999999999998</v>
      </c>
      <c r="I71" s="466">
        <v>51.509</v>
      </c>
      <c r="J71" s="466">
        <v>46.904000000000003</v>
      </c>
      <c r="K71" s="466">
        <v>52.121000000000002</v>
      </c>
      <c r="L71" s="466">
        <v>117.633</v>
      </c>
      <c r="M71" s="466">
        <v>123.792</v>
      </c>
      <c r="N71" s="466">
        <v>323.37299999999999</v>
      </c>
      <c r="O71" s="466">
        <v>190.374</v>
      </c>
      <c r="P71" s="466">
        <v>186.559</v>
      </c>
      <c r="Q71" s="466">
        <v>171.792</v>
      </c>
      <c r="R71" s="466">
        <v>347.51</v>
      </c>
      <c r="S71" s="466">
        <v>133.23699999999999</v>
      </c>
      <c r="T71" s="466">
        <v>277.851</v>
      </c>
      <c r="U71" s="466">
        <v>323.161</v>
      </c>
      <c r="V71" s="466">
        <v>168.05799999999999</v>
      </c>
      <c r="W71" s="466">
        <v>477.81</v>
      </c>
      <c r="X71" s="466">
        <v>671.10299999999995</v>
      </c>
      <c r="Y71" s="466">
        <v>478.34800000000001</v>
      </c>
      <c r="Z71" s="466">
        <v>1039.8800000000001</v>
      </c>
      <c r="AA71" s="466">
        <v>1998.393</v>
      </c>
      <c r="AB71" s="466">
        <v>1066.807</v>
      </c>
      <c r="AC71" s="466">
        <v>1836.146</v>
      </c>
    </row>
    <row r="72" spans="1:29" x14ac:dyDescent="0.25">
      <c r="A72" s="463" t="s">
        <v>249</v>
      </c>
      <c r="B72" s="466">
        <v>0</v>
      </c>
      <c r="C72" s="466">
        <v>0</v>
      </c>
      <c r="D72" s="466">
        <v>0</v>
      </c>
      <c r="E72" s="466">
        <v>0</v>
      </c>
      <c r="F72" s="466">
        <v>0</v>
      </c>
      <c r="G72" s="466">
        <v>0</v>
      </c>
      <c r="H72" s="466">
        <v>0</v>
      </c>
      <c r="I72" s="466">
        <v>0</v>
      </c>
      <c r="J72" s="466">
        <v>0</v>
      </c>
      <c r="K72" s="466">
        <v>0</v>
      </c>
      <c r="L72" s="466">
        <v>0</v>
      </c>
      <c r="M72" s="466">
        <v>0</v>
      </c>
      <c r="N72" s="466">
        <v>0</v>
      </c>
      <c r="O72" s="466">
        <v>0</v>
      </c>
      <c r="P72" s="466">
        <v>0</v>
      </c>
      <c r="Q72" s="466">
        <v>0</v>
      </c>
      <c r="R72" s="466">
        <v>0</v>
      </c>
      <c r="S72" s="466">
        <v>0</v>
      </c>
      <c r="T72" s="466">
        <v>0</v>
      </c>
      <c r="U72" s="466">
        <v>0</v>
      </c>
      <c r="V72" s="466">
        <v>0</v>
      </c>
      <c r="W72" s="466">
        <v>0</v>
      </c>
      <c r="X72" s="466">
        <v>0</v>
      </c>
      <c r="Y72" s="466">
        <v>0</v>
      </c>
      <c r="Z72" s="466">
        <v>0</v>
      </c>
      <c r="AA72" s="466">
        <v>0</v>
      </c>
      <c r="AB72" s="466">
        <v>0</v>
      </c>
      <c r="AC72" s="466">
        <v>0</v>
      </c>
    </row>
    <row r="73" spans="1:29" x14ac:dyDescent="0.25">
      <c r="A73" s="463" t="s">
        <v>250</v>
      </c>
      <c r="B73" s="466">
        <v>6.7380000000000004</v>
      </c>
      <c r="C73" s="466">
        <v>6.4390000000000001</v>
      </c>
      <c r="D73" s="466">
        <v>6.2770000000000001</v>
      </c>
      <c r="E73" s="466">
        <v>4.3040000000000003</v>
      </c>
      <c r="F73" s="466">
        <v>11.195</v>
      </c>
      <c r="G73" s="466">
        <v>20.532</v>
      </c>
      <c r="H73" s="466">
        <v>19.63</v>
      </c>
      <c r="I73" s="466">
        <v>21.436</v>
      </c>
      <c r="J73" s="466">
        <v>19.047999999999998</v>
      </c>
      <c r="K73" s="466">
        <v>28.588999999999999</v>
      </c>
      <c r="L73" s="466">
        <v>27.995000000000001</v>
      </c>
      <c r="M73" s="466">
        <v>51.573999999999998</v>
      </c>
      <c r="N73" s="466">
        <v>59.518999999999998</v>
      </c>
      <c r="O73" s="466">
        <v>47.308</v>
      </c>
      <c r="P73" s="466">
        <v>38.453000000000003</v>
      </c>
      <c r="Q73" s="466">
        <v>99.572000000000003</v>
      </c>
      <c r="R73" s="466">
        <v>61.39</v>
      </c>
      <c r="S73" s="466">
        <v>69.974999999999994</v>
      </c>
      <c r="T73" s="466">
        <v>65.917000000000002</v>
      </c>
      <c r="U73" s="466">
        <v>108.57899999999999</v>
      </c>
      <c r="V73" s="466">
        <v>131.96899999999999</v>
      </c>
      <c r="W73" s="466">
        <v>140.39599999999999</v>
      </c>
      <c r="X73" s="466">
        <v>235.31899999999999</v>
      </c>
      <c r="Y73" s="466">
        <v>283.85199999999998</v>
      </c>
      <c r="Z73" s="466">
        <v>346.71100000000001</v>
      </c>
      <c r="AA73" s="466">
        <v>818.04600000000005</v>
      </c>
      <c r="AB73" s="466">
        <v>1273.4559999999999</v>
      </c>
      <c r="AC73" s="466">
        <v>662.11699999999996</v>
      </c>
    </row>
    <row r="74" spans="1:29" x14ac:dyDescent="0.25">
      <c r="A74" s="463" t="s">
        <v>251</v>
      </c>
      <c r="B74" s="466">
        <v>1.736</v>
      </c>
      <c r="C74" s="466">
        <v>1.448</v>
      </c>
      <c r="D74" s="466">
        <v>6.39</v>
      </c>
      <c r="E74" s="466">
        <v>1.2869999999999999</v>
      </c>
      <c r="F74" s="466">
        <v>1.579</v>
      </c>
      <c r="G74" s="466">
        <v>0.56799999999999995</v>
      </c>
      <c r="H74" s="466">
        <v>0.20100000000000001</v>
      </c>
      <c r="I74" s="466">
        <v>0.85499999999999998</v>
      </c>
      <c r="J74" s="466">
        <v>1.1459999999999999</v>
      </c>
      <c r="K74" s="466">
        <v>0.54600000000000004</v>
      </c>
      <c r="L74" s="466">
        <v>0.89900000000000002</v>
      </c>
      <c r="M74" s="466">
        <v>5.1999999999999998E-2</v>
      </c>
      <c r="N74" s="466">
        <v>0.70699999999999996</v>
      </c>
      <c r="O74" s="466">
        <v>1.39</v>
      </c>
      <c r="P74" s="466">
        <v>0.77700000000000002</v>
      </c>
      <c r="Q74" s="466">
        <v>0.48899999999999999</v>
      </c>
      <c r="R74" s="466">
        <v>0.29199999999999998</v>
      </c>
      <c r="S74" s="466">
        <v>0.49399999999999999</v>
      </c>
      <c r="T74" s="466">
        <v>0.17899999999999999</v>
      </c>
      <c r="U74" s="466">
        <v>0.63800000000000001</v>
      </c>
      <c r="V74" s="466">
        <v>1.823</v>
      </c>
      <c r="W74" s="466">
        <v>1.361</v>
      </c>
      <c r="X74" s="466">
        <v>1.0580000000000001</v>
      </c>
      <c r="Y74" s="466">
        <v>0.35</v>
      </c>
      <c r="Z74" s="466">
        <v>1.48</v>
      </c>
      <c r="AA74" s="466">
        <v>5.2779999999999996</v>
      </c>
      <c r="AB74" s="466">
        <v>1.254</v>
      </c>
      <c r="AC74" s="466">
        <v>1.5960000000000001</v>
      </c>
    </row>
    <row r="75" spans="1:29" x14ac:dyDescent="0.25">
      <c r="A75" s="463" t="s">
        <v>252</v>
      </c>
      <c r="B75" s="466">
        <v>0</v>
      </c>
      <c r="C75" s="466">
        <v>0</v>
      </c>
      <c r="D75" s="466">
        <v>0</v>
      </c>
      <c r="E75" s="466">
        <v>0</v>
      </c>
      <c r="F75" s="466">
        <v>0</v>
      </c>
      <c r="G75" s="466">
        <v>0</v>
      </c>
      <c r="H75" s="466">
        <v>0</v>
      </c>
      <c r="I75" s="466">
        <v>0</v>
      </c>
      <c r="J75" s="466">
        <v>0</v>
      </c>
      <c r="K75" s="466">
        <v>0</v>
      </c>
      <c r="L75" s="466">
        <v>0</v>
      </c>
      <c r="M75" s="466">
        <v>0</v>
      </c>
      <c r="N75" s="466">
        <v>0</v>
      </c>
      <c r="O75" s="466">
        <v>0</v>
      </c>
      <c r="P75" s="466">
        <v>0</v>
      </c>
      <c r="Q75" s="466">
        <v>0</v>
      </c>
      <c r="R75" s="466">
        <v>0</v>
      </c>
      <c r="S75" s="466">
        <v>0</v>
      </c>
      <c r="T75" s="466">
        <v>0</v>
      </c>
      <c r="U75" s="466">
        <v>0</v>
      </c>
      <c r="V75" s="466">
        <v>0</v>
      </c>
      <c r="W75" s="466">
        <v>0</v>
      </c>
      <c r="X75" s="466">
        <v>0</v>
      </c>
      <c r="Y75" s="466">
        <v>0</v>
      </c>
      <c r="Z75" s="466">
        <v>0</v>
      </c>
      <c r="AA75" s="466">
        <v>0</v>
      </c>
      <c r="AB75" s="466">
        <v>0</v>
      </c>
      <c r="AC75" s="466">
        <v>0</v>
      </c>
    </row>
    <row r="76" spans="1:29" x14ac:dyDescent="0.25">
      <c r="A76" s="463" t="s">
        <v>253</v>
      </c>
      <c r="B76" s="466">
        <v>0.85499999999999998</v>
      </c>
      <c r="C76" s="466">
        <v>0.14899999999999999</v>
      </c>
      <c r="D76" s="466">
        <v>10.242000000000001</v>
      </c>
      <c r="E76" s="466">
        <v>10.66</v>
      </c>
      <c r="F76" s="466">
        <v>2.9449999999999998</v>
      </c>
      <c r="G76" s="466">
        <v>4.1189999999999998</v>
      </c>
      <c r="H76" s="466">
        <v>3.6619999999999999</v>
      </c>
      <c r="I76" s="466">
        <v>0.39100000000000001</v>
      </c>
      <c r="J76" s="466">
        <v>0.20699999999999999</v>
      </c>
      <c r="K76" s="466">
        <v>0.79200000000000004</v>
      </c>
      <c r="L76" s="466">
        <v>0.44900000000000001</v>
      </c>
      <c r="M76" s="466">
        <v>0.46400000000000002</v>
      </c>
      <c r="N76" s="466">
        <v>7.0000000000000001E-3</v>
      </c>
      <c r="O76" s="466">
        <v>0.93600000000000005</v>
      </c>
      <c r="P76" s="466">
        <v>0.72499999999999998</v>
      </c>
      <c r="Q76" s="466">
        <v>0.83199999999999996</v>
      </c>
      <c r="R76" s="466">
        <v>0.55100000000000005</v>
      </c>
      <c r="S76" s="466">
        <v>13.041</v>
      </c>
      <c r="T76" s="466">
        <v>14.638999999999999</v>
      </c>
      <c r="U76" s="466">
        <v>18.898</v>
      </c>
      <c r="V76" s="466">
        <v>18.988</v>
      </c>
      <c r="W76" s="466">
        <v>14.316000000000001</v>
      </c>
      <c r="X76" s="466">
        <v>26.088000000000001</v>
      </c>
      <c r="Y76" s="466">
        <v>18.43</v>
      </c>
      <c r="Z76" s="466">
        <v>20.812000000000001</v>
      </c>
      <c r="AA76" s="466">
        <v>26.45</v>
      </c>
      <c r="AB76" s="466">
        <v>17.71</v>
      </c>
      <c r="AC76" s="466">
        <v>29.872</v>
      </c>
    </row>
    <row r="77" spans="1:29" x14ac:dyDescent="0.25">
      <c r="A77" s="463" t="s">
        <v>254</v>
      </c>
      <c r="B77" s="466">
        <v>0</v>
      </c>
      <c r="C77" s="466">
        <v>0</v>
      </c>
      <c r="D77" s="466">
        <v>0</v>
      </c>
      <c r="E77" s="466">
        <v>0</v>
      </c>
      <c r="F77" s="466">
        <v>0</v>
      </c>
      <c r="G77" s="466">
        <v>0</v>
      </c>
      <c r="H77" s="466">
        <v>0</v>
      </c>
      <c r="I77" s="466">
        <v>0</v>
      </c>
      <c r="J77" s="466">
        <v>0</v>
      </c>
      <c r="K77" s="466">
        <v>0</v>
      </c>
      <c r="L77" s="466">
        <v>0</v>
      </c>
      <c r="M77" s="466">
        <v>0</v>
      </c>
      <c r="N77" s="466">
        <v>0</v>
      </c>
      <c r="O77" s="466">
        <v>0</v>
      </c>
      <c r="P77" s="466">
        <v>0</v>
      </c>
      <c r="Q77" s="466">
        <v>0</v>
      </c>
      <c r="R77" s="466">
        <v>0</v>
      </c>
      <c r="S77" s="466">
        <v>0</v>
      </c>
      <c r="T77" s="466">
        <v>0</v>
      </c>
      <c r="U77" s="466">
        <v>0</v>
      </c>
      <c r="V77" s="466">
        <v>0</v>
      </c>
      <c r="W77" s="466">
        <v>0</v>
      </c>
      <c r="X77" s="466">
        <v>0</v>
      </c>
      <c r="Y77" s="466">
        <v>0</v>
      </c>
      <c r="Z77" s="466">
        <v>0</v>
      </c>
      <c r="AA77" s="466">
        <v>0</v>
      </c>
      <c r="AB77" s="466">
        <v>0</v>
      </c>
      <c r="AC77" s="466">
        <v>0</v>
      </c>
    </row>
    <row r="78" spans="1:29" x14ac:dyDescent="0.25">
      <c r="A78" s="463" t="s">
        <v>255</v>
      </c>
      <c r="B78" s="466">
        <v>19.547000000000001</v>
      </c>
      <c r="C78" s="466">
        <v>39.002000000000002</v>
      </c>
      <c r="D78" s="466">
        <v>44.298999999999999</v>
      </c>
      <c r="E78" s="466">
        <v>29.047000000000001</v>
      </c>
      <c r="F78" s="466">
        <v>31.605</v>
      </c>
      <c r="G78" s="466">
        <v>50.613999999999997</v>
      </c>
      <c r="H78" s="466">
        <v>46.201000000000001</v>
      </c>
      <c r="I78" s="466">
        <v>118.249</v>
      </c>
      <c r="J78" s="466">
        <v>116.191</v>
      </c>
      <c r="K78" s="466">
        <v>84.471000000000004</v>
      </c>
      <c r="L78" s="466">
        <v>49.040999999999997</v>
      </c>
      <c r="M78" s="466">
        <v>31.167000000000002</v>
      </c>
      <c r="N78" s="466">
        <v>38.869</v>
      </c>
      <c r="O78" s="466">
        <v>196.84800000000001</v>
      </c>
      <c r="P78" s="466">
        <v>229.59700000000001</v>
      </c>
      <c r="Q78" s="466">
        <v>223.631</v>
      </c>
      <c r="R78" s="466">
        <v>187.84399999999999</v>
      </c>
      <c r="S78" s="466">
        <v>254.553</v>
      </c>
      <c r="T78" s="466">
        <v>365.86</v>
      </c>
      <c r="U78" s="466">
        <v>415.738</v>
      </c>
      <c r="V78" s="466">
        <v>527.60299999999995</v>
      </c>
      <c r="W78" s="466">
        <v>1049.2619999999999</v>
      </c>
      <c r="X78" s="466">
        <v>1418.7639999999999</v>
      </c>
      <c r="Y78" s="466">
        <v>1043.49</v>
      </c>
      <c r="Z78" s="466">
        <v>1513.1769999999999</v>
      </c>
      <c r="AA78" s="466">
        <v>396.38099999999997</v>
      </c>
      <c r="AB78" s="466">
        <v>440.464</v>
      </c>
      <c r="AC78" s="466">
        <v>1354.0989999999999</v>
      </c>
    </row>
    <row r="79" spans="1:29" x14ac:dyDescent="0.25">
      <c r="A79" s="463" t="s">
        <v>256</v>
      </c>
      <c r="B79" s="466">
        <v>7.7670000000000003</v>
      </c>
      <c r="C79" s="466">
        <v>7.7649999999999997</v>
      </c>
      <c r="D79" s="466">
        <v>8.6219999999999999</v>
      </c>
      <c r="E79" s="466">
        <v>8.5980000000000008</v>
      </c>
      <c r="F79" s="466">
        <v>8.5869999999999997</v>
      </c>
      <c r="G79" s="466">
        <v>8.5389999999999997</v>
      </c>
      <c r="H79" s="466">
        <v>8.4309999999999992</v>
      </c>
      <c r="I79" s="466">
        <v>8.3019999999999996</v>
      </c>
      <c r="J79" s="466">
        <v>16.87</v>
      </c>
      <c r="K79" s="466">
        <v>14.667</v>
      </c>
      <c r="L79" s="466">
        <v>8.1739999999999995</v>
      </c>
      <c r="M79" s="466">
        <v>3.923</v>
      </c>
      <c r="N79" s="466">
        <v>6.21</v>
      </c>
      <c r="O79" s="466">
        <v>24.079000000000001</v>
      </c>
      <c r="P79" s="466">
        <v>35.600999999999999</v>
      </c>
      <c r="Q79" s="466">
        <v>34.375</v>
      </c>
      <c r="R79" s="466">
        <v>53.399000000000001</v>
      </c>
      <c r="S79" s="466">
        <v>62.585000000000001</v>
      </c>
      <c r="T79" s="466">
        <v>71.974000000000004</v>
      </c>
      <c r="U79" s="466">
        <v>68.465999999999994</v>
      </c>
      <c r="V79" s="466">
        <v>110.161</v>
      </c>
      <c r="W79" s="466">
        <v>118.247</v>
      </c>
      <c r="X79" s="466">
        <v>121.169</v>
      </c>
      <c r="Y79" s="466">
        <v>124.812</v>
      </c>
      <c r="Z79" s="466">
        <v>215.58199999999999</v>
      </c>
      <c r="AA79" s="466">
        <v>671.57399999999996</v>
      </c>
      <c r="AB79" s="466">
        <v>422.14499999999998</v>
      </c>
      <c r="AC79" s="466">
        <v>326.87799999999999</v>
      </c>
    </row>
    <row r="80" spans="1:29" x14ac:dyDescent="0.25">
      <c r="A80" s="459" t="s">
        <v>329</v>
      </c>
      <c r="B80" s="480" t="s">
        <v>10</v>
      </c>
      <c r="C80" s="479" t="s">
        <v>10</v>
      </c>
      <c r="D80" s="479" t="s">
        <v>10</v>
      </c>
      <c r="E80" s="479" t="s">
        <v>10</v>
      </c>
      <c r="F80" s="479" t="s">
        <v>10</v>
      </c>
      <c r="G80" s="479" t="s">
        <v>10</v>
      </c>
      <c r="H80" s="479" t="s">
        <v>10</v>
      </c>
      <c r="I80" s="479" t="s">
        <v>10</v>
      </c>
      <c r="J80" s="479" t="s">
        <v>10</v>
      </c>
      <c r="K80" s="479" t="s">
        <v>10</v>
      </c>
      <c r="L80" s="479" t="s">
        <v>10</v>
      </c>
      <c r="M80" s="479" t="s">
        <v>10</v>
      </c>
      <c r="N80" s="479" t="s">
        <v>10</v>
      </c>
      <c r="O80" s="479" t="s">
        <v>10</v>
      </c>
      <c r="P80" s="479" t="s">
        <v>10</v>
      </c>
      <c r="Q80" s="479" t="s">
        <v>10</v>
      </c>
      <c r="R80" s="479" t="s">
        <v>10</v>
      </c>
      <c r="S80" s="479" t="s">
        <v>10</v>
      </c>
      <c r="T80" s="479" t="s">
        <v>10</v>
      </c>
      <c r="U80" s="479" t="s">
        <v>10</v>
      </c>
      <c r="V80" s="479" t="s">
        <v>10</v>
      </c>
      <c r="W80" s="479" t="s">
        <v>10</v>
      </c>
      <c r="X80" s="478">
        <v>105</v>
      </c>
      <c r="Y80" s="478">
        <v>193.27500000000001</v>
      </c>
      <c r="Z80" s="478">
        <v>280.72500000000002</v>
      </c>
      <c r="AA80" s="478">
        <v>338.65199999999999</v>
      </c>
      <c r="AB80" s="478">
        <v>338.81299999999999</v>
      </c>
      <c r="AC80" s="478">
        <v>332.87799999999999</v>
      </c>
    </row>
    <row r="81" spans="1:29" x14ac:dyDescent="0.25">
      <c r="A81" s="459" t="s">
        <v>257</v>
      </c>
      <c r="B81" s="478">
        <v>20.832999999999998</v>
      </c>
      <c r="C81" s="478">
        <v>11.02</v>
      </c>
      <c r="D81" s="478">
        <v>69.304000000000002</v>
      </c>
      <c r="E81" s="478">
        <v>70.361999999999995</v>
      </c>
      <c r="F81" s="478">
        <v>24.495000000000001</v>
      </c>
      <c r="G81" s="478">
        <v>46.546999999999997</v>
      </c>
      <c r="H81" s="478">
        <v>32.942</v>
      </c>
      <c r="I81" s="478">
        <v>25.507999999999999</v>
      </c>
      <c r="J81" s="478">
        <v>38.786999999999999</v>
      </c>
      <c r="K81" s="478">
        <v>29.126999999999999</v>
      </c>
      <c r="L81" s="478">
        <v>34.545999999999999</v>
      </c>
      <c r="M81" s="478">
        <v>36.225999999999999</v>
      </c>
      <c r="N81" s="478">
        <v>33.619</v>
      </c>
      <c r="O81" s="478">
        <v>40.018000000000001</v>
      </c>
      <c r="P81" s="478">
        <v>43.837000000000003</v>
      </c>
      <c r="Q81" s="478">
        <v>44.926000000000002</v>
      </c>
      <c r="R81" s="478">
        <v>88.725999999999999</v>
      </c>
      <c r="S81" s="478">
        <v>75.37</v>
      </c>
      <c r="T81" s="478">
        <v>70.108000000000004</v>
      </c>
      <c r="U81" s="478">
        <v>84.75</v>
      </c>
      <c r="V81" s="478">
        <v>109.307</v>
      </c>
      <c r="W81" s="478">
        <v>209.62700000000001</v>
      </c>
      <c r="X81" s="478">
        <v>824.02800000000002</v>
      </c>
      <c r="Y81" s="478">
        <v>246</v>
      </c>
      <c r="Z81" s="478">
        <v>375.06899999999996</v>
      </c>
      <c r="AA81" s="478">
        <v>333.59800000000001</v>
      </c>
      <c r="AB81" s="478">
        <v>723.18299999999999</v>
      </c>
      <c r="AC81" s="478">
        <v>804.98599999999999</v>
      </c>
    </row>
    <row r="82" spans="1:29" x14ac:dyDescent="0.25">
      <c r="A82" s="459" t="s">
        <v>258</v>
      </c>
      <c r="B82" s="479" t="s">
        <v>10</v>
      </c>
      <c r="C82" s="479" t="s">
        <v>10</v>
      </c>
      <c r="D82" s="479" t="s">
        <v>10</v>
      </c>
      <c r="E82" s="479" t="s">
        <v>10</v>
      </c>
      <c r="F82" s="479" t="s">
        <v>10</v>
      </c>
      <c r="G82" s="479" t="s">
        <v>10</v>
      </c>
      <c r="H82" s="479" t="s">
        <v>10</v>
      </c>
      <c r="I82" s="479" t="s">
        <v>10</v>
      </c>
      <c r="J82" s="479" t="s">
        <v>10</v>
      </c>
      <c r="K82" s="479" t="s">
        <v>10</v>
      </c>
      <c r="L82" s="479" t="s">
        <v>10</v>
      </c>
      <c r="M82" s="479" t="s">
        <v>10</v>
      </c>
      <c r="N82" s="479" t="s">
        <v>10</v>
      </c>
      <c r="O82" s="479" t="s">
        <v>10</v>
      </c>
      <c r="P82" s="479" t="s">
        <v>10</v>
      </c>
      <c r="Q82" s="479" t="s">
        <v>10</v>
      </c>
      <c r="R82" s="479" t="s">
        <v>10</v>
      </c>
      <c r="S82" s="479" t="s">
        <v>10</v>
      </c>
      <c r="T82" s="479" t="s">
        <v>10</v>
      </c>
      <c r="U82" s="479" t="s">
        <v>10</v>
      </c>
      <c r="V82" s="479" t="s">
        <v>10</v>
      </c>
      <c r="W82" s="479" t="s">
        <v>10</v>
      </c>
      <c r="X82" s="479" t="s">
        <v>10</v>
      </c>
      <c r="Y82" s="479" t="s">
        <v>10</v>
      </c>
      <c r="Z82" s="479" t="s">
        <v>10</v>
      </c>
      <c r="AA82" s="479" t="s">
        <v>10</v>
      </c>
      <c r="AB82" s="479" t="s">
        <v>10</v>
      </c>
      <c r="AC82" s="478">
        <v>59.506999999999998</v>
      </c>
    </row>
    <row r="83" spans="1:29" x14ac:dyDescent="0.25">
      <c r="A83" s="467"/>
      <c r="B83" s="478"/>
      <c r="C83" s="478"/>
      <c r="D83" s="478"/>
      <c r="E83" s="478"/>
      <c r="F83" s="478"/>
      <c r="G83" s="478"/>
      <c r="H83" s="478"/>
      <c r="I83" s="478"/>
      <c r="J83" s="478"/>
      <c r="K83" s="478"/>
      <c r="L83" s="478"/>
      <c r="M83" s="478"/>
      <c r="N83" s="478"/>
      <c r="O83" s="478"/>
      <c r="P83" s="478"/>
      <c r="Q83" s="478"/>
      <c r="R83" s="478"/>
      <c r="S83" s="478"/>
      <c r="T83" s="478"/>
      <c r="U83" s="478"/>
      <c r="V83" s="478"/>
      <c r="W83" s="478"/>
      <c r="X83" s="478"/>
      <c r="Y83" s="478"/>
      <c r="Z83" s="478"/>
      <c r="AA83" s="478"/>
      <c r="AB83" s="478"/>
      <c r="AC83" s="478"/>
    </row>
    <row r="84" spans="1:29" x14ac:dyDescent="0.25">
      <c r="A84" s="459" t="s">
        <v>259</v>
      </c>
      <c r="B84" s="478">
        <v>749.88</v>
      </c>
      <c r="C84" s="478">
        <v>932.04300000000001</v>
      </c>
      <c r="D84" s="478">
        <v>1059.758</v>
      </c>
      <c r="E84" s="478">
        <v>1038.8110000000001</v>
      </c>
      <c r="F84" s="478">
        <v>1205.0039999999999</v>
      </c>
      <c r="G84" s="478">
        <v>1307.7540000000001</v>
      </c>
      <c r="H84" s="478">
        <v>1341.4069999999999</v>
      </c>
      <c r="I84" s="478">
        <v>1479.105</v>
      </c>
      <c r="J84" s="478">
        <v>1618.537</v>
      </c>
      <c r="K84" s="478">
        <v>1775.8489999999997</v>
      </c>
      <c r="L84" s="478">
        <v>1667.55</v>
      </c>
      <c r="M84" s="478">
        <v>1844.4110000000001</v>
      </c>
      <c r="N84" s="478">
        <v>2241.2440000000001</v>
      </c>
      <c r="O84" s="478">
        <v>2474.7309999999998</v>
      </c>
      <c r="P84" s="478">
        <v>2589.3168999999998</v>
      </c>
      <c r="Q84" s="478">
        <v>2880.5160000000001</v>
      </c>
      <c r="R84" s="478">
        <v>3107.759</v>
      </c>
      <c r="S84" s="478">
        <v>3135.7629999999999</v>
      </c>
      <c r="T84" s="478">
        <v>3793.6660000000002</v>
      </c>
      <c r="U84" s="478">
        <v>4022.0549999999998</v>
      </c>
      <c r="V84" s="478">
        <v>4536.2669999999998</v>
      </c>
      <c r="W84" s="478">
        <v>6289.884</v>
      </c>
      <c r="X84" s="478">
        <v>9570.523000000001</v>
      </c>
      <c r="Y84" s="478">
        <v>9206.1769999999997</v>
      </c>
      <c r="Z84" s="478">
        <v>11707.915999999999</v>
      </c>
      <c r="AA84" s="478">
        <v>14601.15</v>
      </c>
      <c r="AB84" s="478">
        <v>20898.189000000002</v>
      </c>
      <c r="AC84" s="478">
        <v>22801.984</v>
      </c>
    </row>
    <row r="85" spans="1:29" x14ac:dyDescent="0.25">
      <c r="A85" s="467"/>
      <c r="B85" s="478"/>
      <c r="C85" s="478"/>
      <c r="D85" s="478"/>
      <c r="E85" s="478"/>
      <c r="F85" s="478"/>
      <c r="G85" s="478"/>
      <c r="H85" s="478"/>
      <c r="I85" s="478"/>
      <c r="J85" s="478"/>
      <c r="K85" s="478"/>
      <c r="L85" s="478"/>
      <c r="M85" s="478"/>
      <c r="N85" s="478"/>
      <c r="O85" s="478"/>
      <c r="P85" s="478"/>
      <c r="Q85" s="478"/>
      <c r="R85" s="478"/>
      <c r="S85" s="478"/>
      <c r="T85" s="478"/>
      <c r="U85" s="478"/>
      <c r="V85" s="478"/>
      <c r="W85" s="478"/>
      <c r="X85" s="478"/>
      <c r="Y85" s="478"/>
      <c r="Z85" s="478"/>
      <c r="AA85" s="478"/>
      <c r="AB85" s="478"/>
      <c r="AC85" s="478"/>
    </row>
    <row r="86" spans="1:29" x14ac:dyDescent="0.25">
      <c r="A86" s="459" t="s">
        <v>260</v>
      </c>
      <c r="B86" s="478">
        <v>39.487000000000002</v>
      </c>
      <c r="C86" s="478">
        <v>39.332000000000001</v>
      </c>
      <c r="D86" s="478">
        <v>39.536000000000001</v>
      </c>
      <c r="E86" s="478">
        <v>38.954999999999998</v>
      </c>
      <c r="F86" s="478">
        <v>39.735999999999997</v>
      </c>
      <c r="G86" s="478">
        <v>39.441000000000003</v>
      </c>
      <c r="H86" s="478">
        <v>40.097000000000001</v>
      </c>
      <c r="I86" s="478">
        <v>40.478999999999999</v>
      </c>
      <c r="J86" s="478">
        <v>40.686999999999998</v>
      </c>
      <c r="K86" s="478">
        <v>41.262</v>
      </c>
      <c r="L86" s="478">
        <v>41.506999999999998</v>
      </c>
      <c r="M86" s="478">
        <v>42.517000000000003</v>
      </c>
      <c r="N86" s="478">
        <v>44.328000000000003</v>
      </c>
      <c r="O86" s="478">
        <v>45.134999999999998</v>
      </c>
      <c r="P86" s="478">
        <v>51.948999999999998</v>
      </c>
      <c r="Q86" s="478">
        <v>52.338999999999999</v>
      </c>
      <c r="R86" s="478">
        <v>59.561999999999998</v>
      </c>
      <c r="S86" s="478">
        <v>87.980999999999995</v>
      </c>
      <c r="T86" s="478">
        <v>90.647999999999996</v>
      </c>
      <c r="U86" s="478">
        <v>91.49</v>
      </c>
      <c r="V86" s="478">
        <v>102.65</v>
      </c>
      <c r="W86" s="478">
        <v>92.143000000000001</v>
      </c>
      <c r="X86" s="478">
        <v>96</v>
      </c>
      <c r="Y86" s="478">
        <v>101.405</v>
      </c>
      <c r="Z86" s="478">
        <v>111.065</v>
      </c>
      <c r="AA86" s="478">
        <v>163.059</v>
      </c>
      <c r="AB86" s="478">
        <v>385.791</v>
      </c>
      <c r="AC86" s="478">
        <v>468.16500000000002</v>
      </c>
    </row>
    <row r="87" spans="1:29" x14ac:dyDescent="0.25">
      <c r="A87" s="467"/>
      <c r="B87" s="478"/>
      <c r="C87" s="478"/>
      <c r="D87" s="478"/>
      <c r="E87" s="478"/>
      <c r="F87" s="478"/>
      <c r="G87" s="478"/>
      <c r="H87" s="478"/>
      <c r="I87" s="478"/>
      <c r="J87" s="478"/>
      <c r="K87" s="478"/>
      <c r="L87" s="478"/>
      <c r="M87" s="478"/>
      <c r="N87" s="478"/>
      <c r="O87" s="478"/>
      <c r="P87" s="478"/>
      <c r="Q87" s="478"/>
      <c r="R87" s="478"/>
      <c r="S87" s="478"/>
      <c r="T87" s="478"/>
      <c r="U87" s="478"/>
      <c r="V87" s="478"/>
      <c r="W87" s="478"/>
      <c r="X87" s="478"/>
      <c r="Y87" s="478"/>
      <c r="Z87" s="478"/>
      <c r="AA87" s="478"/>
      <c r="AB87" s="478"/>
      <c r="AC87" s="478"/>
    </row>
    <row r="88" spans="1:29" x14ac:dyDescent="0.25">
      <c r="A88" s="459" t="s">
        <v>261</v>
      </c>
      <c r="B88" s="478">
        <v>792.36</v>
      </c>
      <c r="C88" s="478">
        <v>973.14499999999998</v>
      </c>
      <c r="D88" s="478">
        <v>1101.1360000000002</v>
      </c>
      <c r="E88" s="478">
        <v>1080.3020000000001</v>
      </c>
      <c r="F88" s="478">
        <v>1249.212</v>
      </c>
      <c r="G88" s="478">
        <v>1349.7560000000001</v>
      </c>
      <c r="H88" s="478">
        <v>1385.432</v>
      </c>
      <c r="I88" s="478">
        <v>1523.1570000000002</v>
      </c>
      <c r="J88" s="478">
        <v>1663.91</v>
      </c>
      <c r="K88" s="478">
        <v>1818.9579999999996</v>
      </c>
      <c r="L88" s="478">
        <v>1710.99</v>
      </c>
      <c r="M88" s="478">
        <v>1888.9630000000002</v>
      </c>
      <c r="N88" s="478">
        <v>2287.8070000000002</v>
      </c>
      <c r="O88" s="478">
        <v>2528.2089999999998</v>
      </c>
      <c r="P88" s="478">
        <v>2643.6668999999997</v>
      </c>
      <c r="Q88" s="478">
        <v>2935.3180000000002</v>
      </c>
      <c r="R88" s="478">
        <v>3169.828</v>
      </c>
      <c r="S88" s="478">
        <v>3226.3</v>
      </c>
      <c r="T88" s="478">
        <v>3886.9460000000004</v>
      </c>
      <c r="U88" s="478">
        <v>4116.3770000000004</v>
      </c>
      <c r="V88" s="478">
        <v>4642.2129999999997</v>
      </c>
      <c r="W88" s="478">
        <v>6385.6419999999998</v>
      </c>
      <c r="X88" s="478">
        <v>9670.5520000000015</v>
      </c>
      <c r="Y88" s="478">
        <v>9310.862000000001</v>
      </c>
      <c r="Z88" s="478">
        <v>11826.494999999999</v>
      </c>
      <c r="AA88" s="478">
        <v>14770.208999999997</v>
      </c>
      <c r="AB88" s="478">
        <v>21594.642000000003</v>
      </c>
      <c r="AC88" s="478">
        <v>23478.149000000001</v>
      </c>
    </row>
    <row r="89" spans="1:29" x14ac:dyDescent="0.2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  <c r="AA89" s="467"/>
      <c r="AB89" s="467"/>
      <c r="AC89" s="467"/>
    </row>
    <row r="90" spans="1:29" x14ac:dyDescent="0.25">
      <c r="A90" s="459" t="s">
        <v>262</v>
      </c>
      <c r="B90" s="478">
        <v>643.04100000000005</v>
      </c>
      <c r="C90" s="478">
        <v>734.24</v>
      </c>
      <c r="D90" s="478">
        <v>660.66300000000001</v>
      </c>
      <c r="E90" s="478">
        <v>1101.5930000000001</v>
      </c>
      <c r="F90" s="478">
        <v>1591.3630000000001</v>
      </c>
      <c r="G90" s="478">
        <v>1771.337</v>
      </c>
      <c r="H90" s="478">
        <v>1671.6379999999999</v>
      </c>
      <c r="I90" s="478">
        <v>2051.4009999999998</v>
      </c>
      <c r="J90" s="478">
        <v>2460.59</v>
      </c>
      <c r="K90" s="478">
        <v>2973.1590000000001</v>
      </c>
      <c r="L90" s="478">
        <v>2820.0970000000002</v>
      </c>
      <c r="M90" s="478">
        <v>2688.134</v>
      </c>
      <c r="N90" s="478">
        <v>3357.8229999999999</v>
      </c>
      <c r="O90" s="478">
        <v>3640.9349999999999</v>
      </c>
      <c r="P90" s="478">
        <v>3985.1080000000002</v>
      </c>
      <c r="Q90" s="478">
        <v>4598.0870000000004</v>
      </c>
      <c r="R90" s="478">
        <v>5721.2520000000004</v>
      </c>
      <c r="S90" s="478">
        <v>6378.4120000000003</v>
      </c>
      <c r="T90" s="478">
        <v>5976.2929999999997</v>
      </c>
      <c r="U90" s="478">
        <v>6865.9030000000002</v>
      </c>
      <c r="V90" s="478">
        <v>7824.7190000000001</v>
      </c>
      <c r="W90" s="478">
        <v>15987.824000000001</v>
      </c>
      <c r="X90" s="478">
        <v>17585.303</v>
      </c>
      <c r="Y90" s="478">
        <v>20900.145</v>
      </c>
      <c r="Z90" s="478">
        <v>26061.761999999999</v>
      </c>
      <c r="AA90" s="478">
        <v>26191.327000000001</v>
      </c>
      <c r="AB90" s="478">
        <v>30835.958999999999</v>
      </c>
      <c r="AC90" s="478">
        <v>37089.016000000003</v>
      </c>
    </row>
    <row r="91" spans="1:29" x14ac:dyDescent="0.25">
      <c r="A91" s="450"/>
      <c r="B91" s="450"/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40"/>
      <c r="N91" s="440"/>
      <c r="O91" s="440"/>
      <c r="P91" s="440"/>
      <c r="Q91" s="440"/>
      <c r="R91" s="440"/>
      <c r="S91" s="440"/>
      <c r="T91" s="440"/>
      <c r="U91" s="440"/>
      <c r="V91" s="440"/>
      <c r="W91" s="440"/>
      <c r="X91" s="440"/>
      <c r="Y91" s="440"/>
      <c r="Z91" s="440"/>
      <c r="AA91" s="440"/>
      <c r="AB91" s="440"/>
      <c r="AC91" s="440"/>
    </row>
    <row r="92" spans="1:29" x14ac:dyDescent="0.25">
      <c r="A92" s="440"/>
      <c r="B92" s="445"/>
      <c r="C92" s="445"/>
      <c r="D92" s="445"/>
      <c r="E92" s="445"/>
      <c r="F92" s="445"/>
      <c r="G92" s="445"/>
      <c r="H92" s="445"/>
      <c r="I92" s="445"/>
      <c r="J92" s="445"/>
      <c r="K92" s="445"/>
      <c r="L92" s="445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  <c r="AA92" s="451"/>
      <c r="AB92" s="451"/>
      <c r="AC92" s="451"/>
    </row>
    <row r="93" spans="1:29" x14ac:dyDescent="0.25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303"/>
      <c r="AA93" s="303"/>
      <c r="AB93" s="303"/>
      <c r="AC93" s="303"/>
    </row>
    <row r="94" spans="1:29" x14ac:dyDescent="0.25">
      <c r="A94" s="410"/>
    </row>
    <row r="95" spans="1:29" x14ac:dyDescent="0.25">
      <c r="A95" s="128" t="s">
        <v>598</v>
      </c>
    </row>
    <row r="96" spans="1:29" x14ac:dyDescent="0.25">
      <c r="A96" s="108"/>
    </row>
  </sheetData>
  <mergeCells count="3">
    <mergeCell ref="A1:AC1"/>
    <mergeCell ref="A2:AC2"/>
    <mergeCell ref="A3:AC3"/>
  </mergeCells>
  <hyperlinks>
    <hyperlink ref="A95" location="'indice cap.1'!A1" display="regresar al índice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119"/>
  <sheetViews>
    <sheetView showGridLines="0" workbookViewId="0">
      <selection activeCell="A5" sqref="A5"/>
    </sheetView>
  </sheetViews>
  <sheetFormatPr defaultColWidth="11.42578125" defaultRowHeight="15" x14ac:dyDescent="0.25"/>
  <cols>
    <col min="1" max="1" width="51" customWidth="1"/>
  </cols>
  <sheetData>
    <row r="1" spans="1:24" x14ac:dyDescent="0.25">
      <c r="A1" s="573" t="s">
        <v>894</v>
      </c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</row>
    <row r="2" spans="1:24" x14ac:dyDescent="0.25">
      <c r="A2" s="575" t="s">
        <v>871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</row>
    <row r="3" spans="1:24" x14ac:dyDescent="0.25">
      <c r="A3" s="575" t="s">
        <v>86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</row>
    <row r="4" spans="1:24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</row>
    <row r="5" spans="1:24" x14ac:dyDescent="0.25">
      <c r="A5" s="452" t="s">
        <v>148</v>
      </c>
      <c r="B5" s="453" t="s">
        <v>149</v>
      </c>
      <c r="C5" s="453" t="s">
        <v>150</v>
      </c>
      <c r="D5" s="453" t="s">
        <v>151</v>
      </c>
      <c r="E5" s="453" t="s">
        <v>152</v>
      </c>
      <c r="F5" s="453" t="s">
        <v>153</v>
      </c>
      <c r="G5" s="453" t="s">
        <v>154</v>
      </c>
      <c r="H5" s="453" t="s">
        <v>155</v>
      </c>
      <c r="I5" s="481">
        <v>1983</v>
      </c>
      <c r="J5" s="481">
        <v>1984</v>
      </c>
      <c r="K5" s="481">
        <v>1985</v>
      </c>
      <c r="L5" s="481" t="s">
        <v>156</v>
      </c>
      <c r="M5" s="481" t="s">
        <v>157</v>
      </c>
      <c r="N5" s="481" t="s">
        <v>158</v>
      </c>
      <c r="O5" s="481" t="s">
        <v>159</v>
      </c>
      <c r="P5" s="481" t="s">
        <v>160</v>
      </c>
      <c r="Q5" s="481" t="s">
        <v>161</v>
      </c>
      <c r="R5" s="481" t="s">
        <v>162</v>
      </c>
      <c r="S5" s="481" t="s">
        <v>163</v>
      </c>
      <c r="T5" s="481" t="s">
        <v>164</v>
      </c>
      <c r="U5" s="481">
        <v>1995</v>
      </c>
      <c r="V5" s="481">
        <v>1996</v>
      </c>
      <c r="W5" s="481">
        <v>1997</v>
      </c>
      <c r="X5" s="482">
        <v>1998</v>
      </c>
    </row>
    <row r="6" spans="1:24" x14ac:dyDescent="0.25">
      <c r="A6" s="433"/>
      <c r="B6" s="433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43"/>
      <c r="V6" s="443"/>
      <c r="W6" s="443"/>
      <c r="X6" s="443"/>
    </row>
    <row r="7" spans="1:24" x14ac:dyDescent="0.25">
      <c r="A7" s="459" t="s">
        <v>165</v>
      </c>
      <c r="B7" s="475">
        <v>25</v>
      </c>
      <c r="C7" s="475">
        <v>25</v>
      </c>
      <c r="D7" s="475">
        <v>26.675000000000001</v>
      </c>
      <c r="E7" s="475">
        <v>26.875</v>
      </c>
      <c r="F7" s="475">
        <v>24.8</v>
      </c>
      <c r="G7" s="475">
        <v>24.8</v>
      </c>
      <c r="H7" s="475">
        <v>33</v>
      </c>
      <c r="I7" s="475">
        <v>54.1</v>
      </c>
      <c r="J7" s="475">
        <v>66.5</v>
      </c>
      <c r="K7" s="475">
        <v>95</v>
      </c>
      <c r="L7" s="475">
        <v>95</v>
      </c>
      <c r="M7" s="475">
        <v>95</v>
      </c>
      <c r="N7" s="475">
        <v>390</v>
      </c>
      <c r="O7" s="475">
        <v>390</v>
      </c>
      <c r="P7" s="475">
        <v>390</v>
      </c>
      <c r="Q7" s="475">
        <v>390</v>
      </c>
      <c r="R7" s="475">
        <v>390</v>
      </c>
      <c r="S7" s="475">
        <v>2029</v>
      </c>
      <c r="T7" s="475">
        <v>2297</v>
      </c>
      <c r="U7" s="475">
        <v>2922</v>
      </c>
      <c r="V7" s="475">
        <v>3627</v>
      </c>
      <c r="W7" s="475">
        <v>4438</v>
      </c>
      <c r="X7" s="475">
        <v>6521</v>
      </c>
    </row>
    <row r="8" spans="1:24" x14ac:dyDescent="0.25">
      <c r="A8" s="433"/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46"/>
      <c r="V8" s="446"/>
      <c r="W8" s="446"/>
      <c r="X8" s="446"/>
    </row>
    <row r="9" spans="1:24" x14ac:dyDescent="0.25">
      <c r="A9" s="459" t="s">
        <v>166</v>
      </c>
      <c r="B9" s="462"/>
      <c r="C9" s="462"/>
      <c r="D9" s="462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83"/>
      <c r="V9" s="483"/>
      <c r="W9" s="483"/>
      <c r="X9" s="483"/>
    </row>
    <row r="10" spans="1:24" x14ac:dyDescent="0.25">
      <c r="A10" s="459" t="s">
        <v>167</v>
      </c>
      <c r="B10" s="478">
        <v>13824.147000000001</v>
      </c>
      <c r="C10" s="478">
        <v>17709.27</v>
      </c>
      <c r="D10" s="478">
        <v>19029.927</v>
      </c>
      <c r="E10" s="478">
        <v>21591.739000000001</v>
      </c>
      <c r="F10" s="478">
        <v>29766.873081680278</v>
      </c>
      <c r="G10" s="478">
        <v>19212.827000000001</v>
      </c>
      <c r="H10" s="478">
        <v>18819.957999999999</v>
      </c>
      <c r="I10" s="478">
        <v>50583.862000000001</v>
      </c>
      <c r="J10" s="478">
        <v>60308.475999999995</v>
      </c>
      <c r="K10" s="478">
        <v>99937.996000000014</v>
      </c>
      <c r="L10" s="478">
        <v>90510.60100000001</v>
      </c>
      <c r="M10" s="478">
        <v>77941.426999999996</v>
      </c>
      <c r="N10" s="478">
        <v>314165.78200000001</v>
      </c>
      <c r="O10" s="478">
        <v>369478.53800000006</v>
      </c>
      <c r="P10" s="478">
        <v>475065.52399999998</v>
      </c>
      <c r="Q10" s="478">
        <v>508240.22599999997</v>
      </c>
      <c r="R10" s="478">
        <v>516793.11700000003</v>
      </c>
      <c r="S10" s="478">
        <v>3754995.19</v>
      </c>
      <c r="T10" s="478">
        <v>5295093</v>
      </c>
      <c r="U10" s="478">
        <v>6150617</v>
      </c>
      <c r="V10" s="478">
        <v>8433516</v>
      </c>
      <c r="W10" s="478">
        <v>11288045</v>
      </c>
      <c r="X10" s="478">
        <v>13564263.942354999</v>
      </c>
    </row>
    <row r="11" spans="1:24" x14ac:dyDescent="0.25">
      <c r="A11" s="463" t="s">
        <v>168</v>
      </c>
      <c r="B11" s="466">
        <v>407.48099999999999</v>
      </c>
      <c r="C11" s="466">
        <v>422</v>
      </c>
      <c r="D11" s="466">
        <v>429.81799999999998</v>
      </c>
      <c r="E11" s="466">
        <v>438</v>
      </c>
      <c r="F11" s="466">
        <v>438</v>
      </c>
      <c r="G11" s="466">
        <v>437</v>
      </c>
      <c r="H11" s="466">
        <v>4101</v>
      </c>
      <c r="I11" s="466">
        <v>6723</v>
      </c>
      <c r="J11" s="466">
        <v>8264.2729999999992</v>
      </c>
      <c r="K11" s="466">
        <v>11806.084000000001</v>
      </c>
      <c r="L11" s="466">
        <v>11806.084000000001</v>
      </c>
      <c r="M11" s="466">
        <v>15741.437</v>
      </c>
      <c r="N11" s="466">
        <v>64622.741000000002</v>
      </c>
      <c r="O11" s="466">
        <v>64622.741000000002</v>
      </c>
      <c r="P11" s="466">
        <v>64609.178999999996</v>
      </c>
      <c r="Q11" s="466">
        <v>64609.178999999996</v>
      </c>
      <c r="R11" s="466">
        <v>64609.178999999996</v>
      </c>
      <c r="S11" s="466">
        <v>336097.47600000002</v>
      </c>
      <c r="T11" s="466">
        <v>380491</v>
      </c>
      <c r="U11" s="466">
        <v>486968</v>
      </c>
      <c r="V11" s="466">
        <v>604743</v>
      </c>
      <c r="W11" s="466">
        <v>739964</v>
      </c>
      <c r="X11" s="466">
        <v>1087315.1676320001</v>
      </c>
    </row>
    <row r="12" spans="1:24" x14ac:dyDescent="0.25">
      <c r="A12" s="463" t="s">
        <v>169</v>
      </c>
      <c r="B12" s="466">
        <v>179.81700000000001</v>
      </c>
      <c r="C12" s="466">
        <v>238</v>
      </c>
      <c r="D12" s="466">
        <v>325.36799999999999</v>
      </c>
      <c r="E12" s="466">
        <v>628.53099999999995</v>
      </c>
      <c r="F12" s="466">
        <v>606.08500000000004</v>
      </c>
      <c r="G12" s="466">
        <v>815</v>
      </c>
      <c r="H12" s="466">
        <v>0</v>
      </c>
      <c r="I12" s="466">
        <v>5.7190000000000003</v>
      </c>
      <c r="J12" s="466">
        <v>83.927999999999997</v>
      </c>
      <c r="K12" s="466">
        <v>3621.2040000000002</v>
      </c>
      <c r="L12" s="466">
        <v>6100.1909999999998</v>
      </c>
      <c r="M12" s="466">
        <v>657.18200000000002</v>
      </c>
      <c r="N12" s="466">
        <v>2012.412</v>
      </c>
      <c r="O12" s="466">
        <v>355.90300000000002</v>
      </c>
      <c r="P12" s="466">
        <v>9144.3960000000006</v>
      </c>
      <c r="Q12" s="466">
        <v>19034.809000000001</v>
      </c>
      <c r="R12" s="466">
        <v>3942.1640000000002</v>
      </c>
      <c r="S12" s="466">
        <v>35687.625999999997</v>
      </c>
      <c r="T12" s="466">
        <v>32607</v>
      </c>
      <c r="U12" s="466">
        <v>37744</v>
      </c>
      <c r="V12" s="466">
        <v>46002</v>
      </c>
      <c r="W12" s="466">
        <v>46818</v>
      </c>
      <c r="X12" s="466">
        <v>67027.892133999994</v>
      </c>
    </row>
    <row r="13" spans="1:24" x14ac:dyDescent="0.25">
      <c r="A13" s="463" t="s">
        <v>170</v>
      </c>
      <c r="B13" s="466">
        <v>10548</v>
      </c>
      <c r="C13" s="466">
        <v>12268</v>
      </c>
      <c r="D13" s="466">
        <v>13238</v>
      </c>
      <c r="E13" s="466">
        <v>14188</v>
      </c>
      <c r="F13" s="466">
        <v>20538.49008168028</v>
      </c>
      <c r="G13" s="466">
        <v>10595</v>
      </c>
      <c r="H13" s="466">
        <v>5519.9809999999998</v>
      </c>
      <c r="I13" s="466">
        <v>29458.588</v>
      </c>
      <c r="J13" s="466">
        <v>32001.393</v>
      </c>
      <c r="K13" s="466">
        <v>53486.008000000002</v>
      </c>
      <c r="L13" s="466">
        <v>39475.402000000002</v>
      </c>
      <c r="M13" s="466">
        <v>27830.145</v>
      </c>
      <c r="N13" s="466">
        <v>103571.39</v>
      </c>
      <c r="O13" s="466">
        <v>148734.09</v>
      </c>
      <c r="P13" s="466">
        <v>218547.44899999999</v>
      </c>
      <c r="Q13" s="466">
        <v>237511.345</v>
      </c>
      <c r="R13" s="466">
        <v>248819.446</v>
      </c>
      <c r="S13" s="466">
        <v>2287135.2119999998</v>
      </c>
      <c r="T13" s="466">
        <v>3658545</v>
      </c>
      <c r="U13" s="466">
        <v>1387799</v>
      </c>
      <c r="V13" s="466">
        <v>3033392</v>
      </c>
      <c r="W13" s="466">
        <v>4131210</v>
      </c>
      <c r="X13" s="466">
        <v>1740607.91857</v>
      </c>
    </row>
    <row r="14" spans="1:24" x14ac:dyDescent="0.25">
      <c r="A14" s="463" t="s">
        <v>171</v>
      </c>
      <c r="B14" s="466">
        <v>477</v>
      </c>
      <c r="C14" s="466">
        <v>1015</v>
      </c>
      <c r="D14" s="466">
        <v>844.75</v>
      </c>
      <c r="E14" s="466">
        <v>1215</v>
      </c>
      <c r="F14" s="466">
        <v>1205.645</v>
      </c>
      <c r="G14" s="466">
        <v>1601.944</v>
      </c>
      <c r="H14" s="466">
        <v>532.803</v>
      </c>
      <c r="I14" s="466">
        <v>270.5</v>
      </c>
      <c r="J14" s="466">
        <v>1230.25</v>
      </c>
      <c r="K14" s="466">
        <v>570</v>
      </c>
      <c r="L14" s="466">
        <v>475</v>
      </c>
      <c r="M14" s="466">
        <v>0</v>
      </c>
      <c r="N14" s="466">
        <v>0</v>
      </c>
      <c r="O14" s="466">
        <v>1170</v>
      </c>
      <c r="P14" s="466">
        <v>2340</v>
      </c>
      <c r="Q14" s="466">
        <v>3510</v>
      </c>
      <c r="R14" s="466">
        <v>7410</v>
      </c>
      <c r="S14" s="466">
        <v>32464</v>
      </c>
      <c r="T14" s="466">
        <v>6891</v>
      </c>
      <c r="U14" s="466">
        <v>2599098</v>
      </c>
      <c r="V14" s="466">
        <v>2803165</v>
      </c>
      <c r="W14" s="466">
        <v>4061608</v>
      </c>
      <c r="X14" s="466">
        <v>7236648.0468499996</v>
      </c>
    </row>
    <row r="15" spans="1:24" x14ac:dyDescent="0.25">
      <c r="A15" s="463" t="s">
        <v>172</v>
      </c>
      <c r="B15" s="466">
        <v>998.81299999999999</v>
      </c>
      <c r="C15" s="466">
        <v>1780.277</v>
      </c>
      <c r="D15" s="466">
        <v>1527.078</v>
      </c>
      <c r="E15" s="466">
        <v>2198.4540000000002</v>
      </c>
      <c r="F15" s="466">
        <v>2708.634</v>
      </c>
      <c r="G15" s="466">
        <v>1903.5730000000001</v>
      </c>
      <c r="H15" s="466">
        <v>3319.2049999999999</v>
      </c>
      <c r="I15" s="466">
        <v>2813.6410000000001</v>
      </c>
      <c r="J15" s="466">
        <v>2817.28</v>
      </c>
      <c r="K15" s="466">
        <v>6360.6</v>
      </c>
      <c r="L15" s="466">
        <v>6751.1660000000002</v>
      </c>
      <c r="M15" s="466">
        <v>6240.4160000000002</v>
      </c>
      <c r="N15" s="466">
        <v>30639.074000000001</v>
      </c>
      <c r="O15" s="466">
        <v>34897.75</v>
      </c>
      <c r="P15" s="466">
        <v>16054.481</v>
      </c>
      <c r="Q15" s="466">
        <v>18285.273000000001</v>
      </c>
      <c r="R15" s="466">
        <v>19629.452000000001</v>
      </c>
      <c r="S15" s="466">
        <v>119735.02800000001</v>
      </c>
      <c r="T15" s="466">
        <v>133620</v>
      </c>
      <c r="U15" s="466">
        <v>168059</v>
      </c>
      <c r="V15" s="466">
        <v>140387</v>
      </c>
      <c r="W15" s="466">
        <v>87633</v>
      </c>
      <c r="X15" s="466">
        <v>118151.69695699999</v>
      </c>
    </row>
    <row r="16" spans="1:24" x14ac:dyDescent="0.25">
      <c r="A16" s="463" t="s">
        <v>173</v>
      </c>
      <c r="B16" s="466">
        <v>947.64099999999996</v>
      </c>
      <c r="C16" s="466">
        <v>958.82</v>
      </c>
      <c r="D16" s="466">
        <v>2145.66</v>
      </c>
      <c r="E16" s="466">
        <v>2296.6019999999999</v>
      </c>
      <c r="F16" s="466">
        <v>3363.25</v>
      </c>
      <c r="G16" s="466">
        <v>2966.6210000000001</v>
      </c>
      <c r="H16" s="466">
        <v>3738.1179999999999</v>
      </c>
      <c r="I16" s="466">
        <v>7965.558</v>
      </c>
      <c r="J16" s="466">
        <v>10015.418</v>
      </c>
      <c r="K16" s="466">
        <v>15369.2</v>
      </c>
      <c r="L16" s="466">
        <v>16968.542000000001</v>
      </c>
      <c r="M16" s="466">
        <v>18152.011999999999</v>
      </c>
      <c r="N16" s="466">
        <v>75586.206999999995</v>
      </c>
      <c r="O16" s="466">
        <v>76149.955000000002</v>
      </c>
      <c r="P16" s="466">
        <v>76550.308000000005</v>
      </c>
      <c r="Q16" s="466">
        <v>78803.153999999995</v>
      </c>
      <c r="R16" s="466">
        <v>117097.77</v>
      </c>
      <c r="S16" s="466">
        <v>633068.59199999995</v>
      </c>
      <c r="T16" s="466">
        <v>710811</v>
      </c>
      <c r="U16" s="466">
        <v>951389</v>
      </c>
      <c r="V16" s="466">
        <v>1141251</v>
      </c>
      <c r="W16" s="466">
        <v>1318576</v>
      </c>
      <c r="X16" s="466">
        <v>2007142.203094</v>
      </c>
    </row>
    <row r="17" spans="1:24" x14ac:dyDescent="0.25">
      <c r="A17" s="463" t="s">
        <v>174</v>
      </c>
      <c r="B17" s="466">
        <v>166.45</v>
      </c>
      <c r="C17" s="466">
        <v>180.173</v>
      </c>
      <c r="D17" s="466">
        <v>302.22000000000003</v>
      </c>
      <c r="E17" s="466">
        <v>408.52</v>
      </c>
      <c r="F17" s="466">
        <v>566.02</v>
      </c>
      <c r="G17" s="466">
        <v>723.52</v>
      </c>
      <c r="H17" s="466">
        <v>1450.047</v>
      </c>
      <c r="I17" s="466">
        <v>3084.4789999999998</v>
      </c>
      <c r="J17" s="466">
        <v>4238.9740000000002</v>
      </c>
      <c r="K17" s="466">
        <v>6527.8</v>
      </c>
      <c r="L17" s="466">
        <v>7566.9030000000002</v>
      </c>
      <c r="M17" s="466">
        <v>8337.0499999999993</v>
      </c>
      <c r="N17" s="466">
        <v>35980.527000000002</v>
      </c>
      <c r="O17" s="466">
        <v>41655.031000000003</v>
      </c>
      <c r="P17" s="466">
        <v>45716.165000000001</v>
      </c>
      <c r="Q17" s="466">
        <v>50417.396999999997</v>
      </c>
      <c r="R17" s="466">
        <v>54288.733</v>
      </c>
      <c r="S17" s="466">
        <v>308189.63699999999</v>
      </c>
      <c r="T17" s="466">
        <v>369768</v>
      </c>
      <c r="U17" s="466">
        <v>497170</v>
      </c>
      <c r="V17" s="466">
        <v>650598</v>
      </c>
      <c r="W17" s="466">
        <v>793462</v>
      </c>
      <c r="X17" s="466">
        <v>1257172.114018</v>
      </c>
    </row>
    <row r="18" spans="1:24" x14ac:dyDescent="0.25">
      <c r="A18" s="463" t="s">
        <v>175</v>
      </c>
      <c r="B18" s="466">
        <v>98.944999999999993</v>
      </c>
      <c r="C18" s="466">
        <v>847</v>
      </c>
      <c r="D18" s="466">
        <v>217.03299999999999</v>
      </c>
      <c r="E18" s="466">
        <v>218.63200000000001</v>
      </c>
      <c r="F18" s="466">
        <v>340.74900000000002</v>
      </c>
      <c r="G18" s="466">
        <v>170.16900000000001</v>
      </c>
      <c r="H18" s="466">
        <v>158.804</v>
      </c>
      <c r="I18" s="466">
        <v>262.37700000000001</v>
      </c>
      <c r="J18" s="466">
        <v>1656.96</v>
      </c>
      <c r="K18" s="466">
        <v>2197.1</v>
      </c>
      <c r="L18" s="466">
        <v>1367.3130000000001</v>
      </c>
      <c r="M18" s="466">
        <v>983.18499999999995</v>
      </c>
      <c r="N18" s="466">
        <v>1753.431</v>
      </c>
      <c r="O18" s="466">
        <v>1893.068</v>
      </c>
      <c r="P18" s="466">
        <v>42103.546000000002</v>
      </c>
      <c r="Q18" s="466">
        <v>36069.069000000003</v>
      </c>
      <c r="R18" s="466">
        <v>996.37300000000005</v>
      </c>
      <c r="S18" s="466">
        <v>2617.6190000000001</v>
      </c>
      <c r="T18" s="466">
        <v>2360</v>
      </c>
      <c r="U18" s="466">
        <v>22390</v>
      </c>
      <c r="V18" s="466">
        <v>13978</v>
      </c>
      <c r="W18" s="466">
        <v>108774</v>
      </c>
      <c r="X18" s="466">
        <v>50198.903100000003</v>
      </c>
    </row>
    <row r="19" spans="1:24" x14ac:dyDescent="0.25">
      <c r="A19" s="459" t="s">
        <v>176</v>
      </c>
      <c r="B19" s="478">
        <v>1043.645</v>
      </c>
      <c r="C19" s="478">
        <v>667.99599999999998</v>
      </c>
      <c r="D19" s="478">
        <v>291.29399999999998</v>
      </c>
      <c r="E19" s="478">
        <v>248.06299999999999</v>
      </c>
      <c r="F19" s="478">
        <v>53.628999999999998</v>
      </c>
      <c r="G19" s="478">
        <v>81.278999999999996</v>
      </c>
      <c r="H19" s="478">
        <v>1.1240000000000001</v>
      </c>
      <c r="I19" s="478">
        <v>64927.389000000003</v>
      </c>
      <c r="J19" s="478">
        <v>78016.187000000005</v>
      </c>
      <c r="K19" s="478">
        <v>134699.29999999999</v>
      </c>
      <c r="L19" s="478">
        <v>133509.94699999999</v>
      </c>
      <c r="M19" s="478">
        <v>135948.31</v>
      </c>
      <c r="N19" s="478">
        <v>535621.42799999996</v>
      </c>
      <c r="O19" s="478">
        <v>529834.63699999999</v>
      </c>
      <c r="P19" s="478">
        <v>524917.17200000002</v>
      </c>
      <c r="Q19" s="478">
        <v>853360.3</v>
      </c>
      <c r="R19" s="478">
        <v>1178366.9310000001</v>
      </c>
      <c r="S19" s="478">
        <v>8048006.4500000002</v>
      </c>
      <c r="T19" s="478">
        <v>9174179</v>
      </c>
      <c r="U19" s="478">
        <v>663573</v>
      </c>
      <c r="V19" s="478">
        <v>749342</v>
      </c>
      <c r="W19" s="478">
        <v>793903</v>
      </c>
      <c r="X19" s="478">
        <v>2023189.524955</v>
      </c>
    </row>
    <row r="20" spans="1:24" x14ac:dyDescent="0.25">
      <c r="A20" s="459" t="s">
        <v>177</v>
      </c>
      <c r="B20" s="478">
        <v>338.64699999999999</v>
      </c>
      <c r="C20" s="478">
        <v>652.56899999999996</v>
      </c>
      <c r="D20" s="478">
        <v>658.29399999999998</v>
      </c>
      <c r="E20" s="478">
        <v>865.49099999999999</v>
      </c>
      <c r="F20" s="478">
        <v>518.36</v>
      </c>
      <c r="G20" s="478">
        <v>528.05399999999997</v>
      </c>
      <c r="H20" s="478">
        <v>1485.7260000000001</v>
      </c>
      <c r="I20" s="478">
        <v>3287.21</v>
      </c>
      <c r="J20" s="478">
        <v>4281.01</v>
      </c>
      <c r="K20" s="478">
        <v>188.6</v>
      </c>
      <c r="L20" s="478">
        <v>202.36099999999999</v>
      </c>
      <c r="M20" s="478">
        <v>5684.2049999999999</v>
      </c>
      <c r="N20" s="478">
        <v>24.713999999999999</v>
      </c>
      <c r="O20" s="478">
        <v>12.895</v>
      </c>
      <c r="P20" s="478">
        <v>4.359</v>
      </c>
      <c r="Q20" s="478">
        <v>201.98400000000001</v>
      </c>
      <c r="R20" s="478">
        <v>216.67500000000001</v>
      </c>
      <c r="S20" s="478">
        <v>1.8660000000000001</v>
      </c>
      <c r="T20" s="478">
        <v>13</v>
      </c>
      <c r="U20" s="478">
        <v>1387</v>
      </c>
      <c r="V20" s="478">
        <v>40</v>
      </c>
      <c r="W20" s="478">
        <v>40</v>
      </c>
      <c r="X20" s="478">
        <v>5799.4467420000001</v>
      </c>
    </row>
    <row r="21" spans="1:24" x14ac:dyDescent="0.25">
      <c r="A21" s="459" t="s">
        <v>178</v>
      </c>
      <c r="B21" s="478">
        <v>12716.598999999998</v>
      </c>
      <c r="C21" s="478">
        <v>14252.592000000001</v>
      </c>
      <c r="D21" s="478">
        <v>18286.245000000003</v>
      </c>
      <c r="E21" s="478">
        <v>24053.912000000004</v>
      </c>
      <c r="F21" s="478">
        <v>30884.199000000001</v>
      </c>
      <c r="G21" s="478">
        <v>44354.527999999998</v>
      </c>
      <c r="H21" s="478">
        <v>51783.297999999995</v>
      </c>
      <c r="I21" s="478">
        <v>93517.760999999999</v>
      </c>
      <c r="J21" s="478">
        <v>148431.86299999998</v>
      </c>
      <c r="K21" s="478">
        <v>157886.133</v>
      </c>
      <c r="L21" s="478">
        <v>168970</v>
      </c>
      <c r="M21" s="478">
        <v>176996.76400000002</v>
      </c>
      <c r="N21" s="478">
        <v>211171.64800000002</v>
      </c>
      <c r="O21" s="478">
        <v>246404.98500000004</v>
      </c>
      <c r="P21" s="478">
        <v>244529.59600000002</v>
      </c>
      <c r="Q21" s="478">
        <v>222676.50400000002</v>
      </c>
      <c r="R21" s="478">
        <v>247335.86900000001</v>
      </c>
      <c r="S21" s="478">
        <v>212631.1</v>
      </c>
      <c r="T21" s="478">
        <v>84342</v>
      </c>
      <c r="U21" s="478">
        <v>580087</v>
      </c>
      <c r="V21" s="478">
        <v>510390</v>
      </c>
      <c r="W21" s="478">
        <v>13288</v>
      </c>
      <c r="X21" s="478">
        <v>3353947.3355350001</v>
      </c>
    </row>
    <row r="22" spans="1:24" x14ac:dyDescent="0.25">
      <c r="A22" s="463" t="s">
        <v>179</v>
      </c>
      <c r="B22" s="466">
        <v>2870.8319999999999</v>
      </c>
      <c r="C22" s="466">
        <v>2925.2539999999999</v>
      </c>
      <c r="D22" s="466">
        <v>2713.0770000000002</v>
      </c>
      <c r="E22" s="466">
        <v>2947.69</v>
      </c>
      <c r="F22" s="466">
        <v>2870.527</v>
      </c>
      <c r="G22" s="466">
        <v>2793.1190000000001</v>
      </c>
      <c r="H22" s="466">
        <v>2890.009</v>
      </c>
      <c r="I22" s="466">
        <v>6386.6670000000004</v>
      </c>
      <c r="J22" s="466">
        <v>6105.6570000000002</v>
      </c>
      <c r="K22" s="466">
        <v>5313.5559999999996</v>
      </c>
      <c r="L22" s="466">
        <v>4476</v>
      </c>
      <c r="M22" s="466">
        <v>19573.8</v>
      </c>
      <c r="N22" s="466">
        <v>66701.009999999995</v>
      </c>
      <c r="O22" s="466">
        <v>63954.269</v>
      </c>
      <c r="P22" s="466">
        <v>62278.838000000003</v>
      </c>
      <c r="Q22" s="466">
        <v>60601.889000000003</v>
      </c>
      <c r="R22" s="466">
        <v>58923.39</v>
      </c>
      <c r="S22" s="466">
        <v>57241</v>
      </c>
      <c r="T22" s="466">
        <v>45570</v>
      </c>
      <c r="U22" s="466">
        <v>33898</v>
      </c>
      <c r="V22" s="466">
        <v>22225</v>
      </c>
      <c r="W22" s="466">
        <v>10550</v>
      </c>
      <c r="X22" s="466">
        <v>774.04958299999998</v>
      </c>
    </row>
    <row r="23" spans="1:24" x14ac:dyDescent="0.25">
      <c r="A23" s="463" t="s">
        <v>180</v>
      </c>
      <c r="B23" s="466">
        <v>15.414</v>
      </c>
      <c r="C23" s="466">
        <v>5.8550000000000004</v>
      </c>
      <c r="D23" s="466">
        <v>5.2279999999999998</v>
      </c>
      <c r="E23" s="466">
        <v>17.155000000000001</v>
      </c>
      <c r="F23" s="466">
        <v>7.2670000000000003</v>
      </c>
      <c r="G23" s="466">
        <v>4.3780000000000001</v>
      </c>
      <c r="H23" s="466">
        <v>4.0780000000000003</v>
      </c>
      <c r="I23" s="466">
        <v>8.2910000000000004</v>
      </c>
      <c r="J23" s="466">
        <v>8.4489999999999998</v>
      </c>
      <c r="K23" s="466">
        <v>6.4</v>
      </c>
      <c r="L23" s="466">
        <v>2.8</v>
      </c>
      <c r="M23" s="466">
        <v>2.4329999999999998</v>
      </c>
      <c r="N23" s="466">
        <v>2.0739999999999998</v>
      </c>
      <c r="O23" s="466">
        <v>1.7030000000000001</v>
      </c>
      <c r="P23" s="466">
        <v>1.3220000000000001</v>
      </c>
      <c r="Q23" s="466">
        <v>0.92900000000000005</v>
      </c>
      <c r="R23" s="466">
        <v>0.52300000000000002</v>
      </c>
      <c r="S23" s="479">
        <v>0</v>
      </c>
      <c r="T23" s="479">
        <v>0</v>
      </c>
      <c r="U23" s="479">
        <v>0</v>
      </c>
      <c r="V23" s="479">
        <v>0</v>
      </c>
      <c r="W23" s="479">
        <v>0</v>
      </c>
      <c r="X23" s="479">
        <v>0</v>
      </c>
    </row>
    <row r="24" spans="1:24" x14ac:dyDescent="0.25">
      <c r="A24" s="463" t="s">
        <v>181</v>
      </c>
      <c r="B24" s="466">
        <v>923.76300000000003</v>
      </c>
      <c r="C24" s="466">
        <v>867.74800000000005</v>
      </c>
      <c r="D24" s="466">
        <v>794.72</v>
      </c>
      <c r="E24" s="466">
        <v>771.31399999999996</v>
      </c>
      <c r="F24" s="466">
        <v>725.38699999999994</v>
      </c>
      <c r="G24" s="466">
        <v>776.447</v>
      </c>
      <c r="H24" s="466">
        <v>875.875</v>
      </c>
      <c r="I24" s="466">
        <v>573.73199999999997</v>
      </c>
      <c r="J24" s="466">
        <v>525.23</v>
      </c>
      <c r="K24" s="466">
        <v>533.46400000000006</v>
      </c>
      <c r="L24" s="466">
        <v>511.2</v>
      </c>
      <c r="M24" s="466">
        <v>405.19400000000002</v>
      </c>
      <c r="N24" s="466">
        <v>9.2059999999999995</v>
      </c>
      <c r="O24" s="466">
        <v>716.5</v>
      </c>
      <c r="P24" s="466">
        <v>2231.3009999999999</v>
      </c>
      <c r="Q24" s="466">
        <v>3540.8429999999998</v>
      </c>
      <c r="R24" s="466">
        <v>3411.6</v>
      </c>
      <c r="S24" s="479">
        <v>0</v>
      </c>
      <c r="T24" s="466">
        <v>3155</v>
      </c>
      <c r="U24" s="466">
        <v>2264</v>
      </c>
      <c r="V24" s="466">
        <v>831</v>
      </c>
      <c r="W24" s="466">
        <v>2293</v>
      </c>
      <c r="X24" s="479">
        <v>0</v>
      </c>
    </row>
    <row r="25" spans="1:24" x14ac:dyDescent="0.25">
      <c r="A25" s="463" t="s">
        <v>182</v>
      </c>
      <c r="B25" s="466">
        <v>2521.4540000000002</v>
      </c>
      <c r="C25" s="466">
        <v>2198.7550000000001</v>
      </c>
      <c r="D25" s="466">
        <v>2028.0229999999999</v>
      </c>
      <c r="E25" s="466">
        <v>2624.3690000000001</v>
      </c>
      <c r="F25" s="466">
        <v>2808.6790000000001</v>
      </c>
      <c r="G25" s="466">
        <v>3448.5650000000001</v>
      </c>
      <c r="H25" s="466">
        <v>3232.4780000000001</v>
      </c>
      <c r="I25" s="466">
        <v>3761.5839999999998</v>
      </c>
      <c r="J25" s="466">
        <v>3284.5630000000001</v>
      </c>
      <c r="K25" s="466">
        <v>5404.2060000000001</v>
      </c>
      <c r="L25" s="466">
        <v>11775.2</v>
      </c>
      <c r="M25" s="466">
        <v>13346.029</v>
      </c>
      <c r="N25" s="466">
        <v>17494.819</v>
      </c>
      <c r="O25" s="466">
        <v>29741.399000000001</v>
      </c>
      <c r="P25" s="466">
        <v>41010.559999999998</v>
      </c>
      <c r="Q25" s="466">
        <v>38762.364000000001</v>
      </c>
      <c r="R25" s="466">
        <v>32731.4</v>
      </c>
      <c r="S25" s="466">
        <v>52901.4</v>
      </c>
      <c r="T25" s="466">
        <v>2336</v>
      </c>
      <c r="U25" s="466">
        <v>250</v>
      </c>
      <c r="V25" s="466">
        <v>22</v>
      </c>
      <c r="W25" s="466">
        <v>14</v>
      </c>
      <c r="X25" s="466">
        <v>6.5660540000000003</v>
      </c>
    </row>
    <row r="26" spans="1:24" x14ac:dyDescent="0.25">
      <c r="A26" s="463" t="s">
        <v>183</v>
      </c>
      <c r="B26" s="466">
        <v>265.47800000000001</v>
      </c>
      <c r="C26" s="466">
        <v>328.63299999999998</v>
      </c>
      <c r="D26" s="466">
        <v>535.13800000000003</v>
      </c>
      <c r="E26" s="466">
        <v>594.01099999999997</v>
      </c>
      <c r="F26" s="466">
        <v>1090.8869999999999</v>
      </c>
      <c r="G26" s="466">
        <v>2024.6969999999999</v>
      </c>
      <c r="H26" s="466">
        <v>2251.0749999999998</v>
      </c>
      <c r="I26" s="466">
        <v>2997.7779999999998</v>
      </c>
      <c r="J26" s="466">
        <v>4738.973</v>
      </c>
      <c r="K26" s="466">
        <v>5823.366</v>
      </c>
      <c r="L26" s="466">
        <v>6282</v>
      </c>
      <c r="M26" s="466">
        <v>5594.6220000000003</v>
      </c>
      <c r="N26" s="466">
        <v>6212.5479999999998</v>
      </c>
      <c r="O26" s="466">
        <v>7062.9139999999998</v>
      </c>
      <c r="P26" s="466">
        <v>5798.6270000000004</v>
      </c>
      <c r="Q26" s="466">
        <v>381.29300000000001</v>
      </c>
      <c r="R26" s="466">
        <v>3789.3049999999998</v>
      </c>
      <c r="S26" s="466">
        <v>789.3</v>
      </c>
      <c r="T26" s="479">
        <v>0</v>
      </c>
      <c r="U26" s="479">
        <v>0</v>
      </c>
      <c r="V26" s="479">
        <v>0</v>
      </c>
      <c r="W26" s="479">
        <v>0</v>
      </c>
      <c r="X26" s="479">
        <v>0</v>
      </c>
    </row>
    <row r="27" spans="1:24" x14ac:dyDescent="0.25">
      <c r="A27" s="463" t="s">
        <v>184</v>
      </c>
      <c r="B27" s="466">
        <v>800.471</v>
      </c>
      <c r="C27" s="466">
        <v>1610.8810000000001</v>
      </c>
      <c r="D27" s="466">
        <v>4089.8820000000001</v>
      </c>
      <c r="E27" s="466">
        <v>5291.098</v>
      </c>
      <c r="F27" s="466">
        <v>6921.683</v>
      </c>
      <c r="G27" s="466">
        <v>9732.2860000000001</v>
      </c>
      <c r="H27" s="466">
        <v>14905.722</v>
      </c>
      <c r="I27" s="466">
        <v>38554.328999999998</v>
      </c>
      <c r="J27" s="466">
        <v>66724.899999999994</v>
      </c>
      <c r="K27" s="466">
        <v>68280.851999999999</v>
      </c>
      <c r="L27" s="466">
        <v>73991.600000000006</v>
      </c>
      <c r="M27" s="466">
        <v>70465.339000000007</v>
      </c>
      <c r="N27" s="466">
        <v>55572.472999999998</v>
      </c>
      <c r="O27" s="466">
        <v>46396.963000000003</v>
      </c>
      <c r="P27" s="466">
        <v>25320.387999999999</v>
      </c>
      <c r="Q27" s="466">
        <v>13654.838</v>
      </c>
      <c r="R27" s="466">
        <v>11928.772000000001</v>
      </c>
      <c r="S27" s="466">
        <v>6967.3</v>
      </c>
      <c r="T27" s="466">
        <v>6342</v>
      </c>
      <c r="U27" s="466">
        <v>385462</v>
      </c>
      <c r="V27" s="466">
        <v>484308</v>
      </c>
      <c r="W27" s="479">
        <v>0</v>
      </c>
      <c r="X27" s="466">
        <v>3347937.648</v>
      </c>
    </row>
    <row r="28" spans="1:24" x14ac:dyDescent="0.25">
      <c r="A28" s="463" t="s">
        <v>185</v>
      </c>
      <c r="B28" s="466">
        <v>65.602000000000004</v>
      </c>
      <c r="C28" s="466">
        <v>78.680999999999997</v>
      </c>
      <c r="D28" s="466">
        <v>177.47499999999999</v>
      </c>
      <c r="E28" s="466">
        <v>367.79700000000003</v>
      </c>
      <c r="F28" s="466">
        <v>889.91</v>
      </c>
      <c r="G28" s="466">
        <v>1462.48</v>
      </c>
      <c r="H28" s="466">
        <v>2250.0140000000001</v>
      </c>
      <c r="I28" s="466">
        <v>11585.214</v>
      </c>
      <c r="J28" s="466">
        <v>29401.51</v>
      </c>
      <c r="K28" s="466">
        <v>32369.716</v>
      </c>
      <c r="L28" s="466">
        <v>36652.800000000003</v>
      </c>
      <c r="M28" s="466">
        <v>35893.78</v>
      </c>
      <c r="N28" s="466">
        <v>30361.361000000001</v>
      </c>
      <c r="O28" s="466">
        <v>25324.374</v>
      </c>
      <c r="P28" s="466">
        <v>20897.834999999999</v>
      </c>
      <c r="Q28" s="466">
        <v>14712.793</v>
      </c>
      <c r="R28" s="466">
        <v>12051.346</v>
      </c>
      <c r="S28" s="466">
        <v>6787.6</v>
      </c>
      <c r="T28" s="466">
        <v>3093</v>
      </c>
      <c r="U28" s="466">
        <v>154896</v>
      </c>
      <c r="V28" s="466">
        <v>927</v>
      </c>
      <c r="W28" s="479">
        <v>0</v>
      </c>
      <c r="X28" s="466">
        <v>4797.5580669999999</v>
      </c>
    </row>
    <row r="29" spans="1:24" x14ac:dyDescent="0.25">
      <c r="A29" s="463" t="s">
        <v>186</v>
      </c>
      <c r="B29" s="466">
        <v>3264.5169999999998</v>
      </c>
      <c r="C29" s="466">
        <v>3962.5210000000002</v>
      </c>
      <c r="D29" s="466">
        <v>5744.0169999999998</v>
      </c>
      <c r="E29" s="466">
        <v>8415.2389999999996</v>
      </c>
      <c r="F29" s="466">
        <v>11167.414000000001</v>
      </c>
      <c r="G29" s="466">
        <v>17033.705999999998</v>
      </c>
      <c r="H29" s="466">
        <v>15914.066999999999</v>
      </c>
      <c r="I29" s="466">
        <v>18350.163</v>
      </c>
      <c r="J29" s="466">
        <v>22930.507000000001</v>
      </c>
      <c r="K29" s="466">
        <v>23255.9</v>
      </c>
      <c r="L29" s="466">
        <v>16848.599999999999</v>
      </c>
      <c r="M29" s="466">
        <v>12703.31</v>
      </c>
      <c r="N29" s="466">
        <v>16174.2</v>
      </c>
      <c r="O29" s="466">
        <v>37419.468000000001</v>
      </c>
      <c r="P29" s="466">
        <v>37403.091999999997</v>
      </c>
      <c r="Q29" s="466">
        <v>15352.983</v>
      </c>
      <c r="R29" s="466">
        <v>4647.9189999999999</v>
      </c>
      <c r="S29" s="466">
        <v>3496.6</v>
      </c>
      <c r="T29" s="466">
        <v>3910</v>
      </c>
      <c r="U29" s="466">
        <v>2984</v>
      </c>
      <c r="V29" s="466">
        <v>1777</v>
      </c>
      <c r="W29" s="466">
        <v>157</v>
      </c>
      <c r="X29" s="466">
        <v>157.24700200000001</v>
      </c>
    </row>
    <row r="30" spans="1:24" x14ac:dyDescent="0.25">
      <c r="A30" s="463" t="s">
        <v>187</v>
      </c>
      <c r="B30" s="466">
        <v>1989.0680000000002</v>
      </c>
      <c r="C30" s="466">
        <v>2274.2640000000001</v>
      </c>
      <c r="D30" s="466">
        <v>2198.6849999999999</v>
      </c>
      <c r="E30" s="466">
        <v>3025.2389999999996</v>
      </c>
      <c r="F30" s="466">
        <v>4402.4449999999997</v>
      </c>
      <c r="G30" s="466">
        <v>7078.85</v>
      </c>
      <c r="H30" s="466">
        <v>9459.98</v>
      </c>
      <c r="I30" s="466">
        <v>11300.003000000001</v>
      </c>
      <c r="J30" s="466">
        <v>14712.074000000001</v>
      </c>
      <c r="K30" s="466">
        <v>16898.672999999999</v>
      </c>
      <c r="L30" s="466">
        <v>18429.8</v>
      </c>
      <c r="M30" s="466">
        <v>19012.257000000001</v>
      </c>
      <c r="N30" s="466">
        <v>18643.956999999999</v>
      </c>
      <c r="O30" s="466">
        <v>35787.395000000004</v>
      </c>
      <c r="P30" s="466">
        <v>49587.633000000002</v>
      </c>
      <c r="Q30" s="466">
        <v>75668.572</v>
      </c>
      <c r="R30" s="466">
        <v>119851.614</v>
      </c>
      <c r="S30" s="466">
        <v>84447.9</v>
      </c>
      <c r="T30" s="466">
        <v>19936</v>
      </c>
      <c r="U30" s="466">
        <v>333</v>
      </c>
      <c r="V30" s="466">
        <v>300</v>
      </c>
      <c r="W30" s="466">
        <v>274</v>
      </c>
      <c r="X30" s="466">
        <v>274.26682899999997</v>
      </c>
    </row>
    <row r="31" spans="1:24" x14ac:dyDescent="0.25">
      <c r="A31" s="463" t="s">
        <v>188</v>
      </c>
      <c r="B31" s="466">
        <v>1416.4680000000001</v>
      </c>
      <c r="C31" s="466">
        <v>1211.374</v>
      </c>
      <c r="D31" s="466">
        <v>1090.1489999999999</v>
      </c>
      <c r="E31" s="466">
        <v>1417.1369999999999</v>
      </c>
      <c r="F31" s="466">
        <v>1900.701</v>
      </c>
      <c r="G31" s="466">
        <v>2200.777</v>
      </c>
      <c r="H31" s="466">
        <v>2481.0680000000002</v>
      </c>
      <c r="I31" s="466">
        <v>3832.5340000000001</v>
      </c>
      <c r="J31" s="466">
        <v>6068.5410000000002</v>
      </c>
      <c r="K31" s="466">
        <v>8528.4220000000005</v>
      </c>
      <c r="L31" s="466">
        <v>10001.1</v>
      </c>
      <c r="M31" s="466">
        <v>10770.874</v>
      </c>
      <c r="N31" s="466">
        <v>12537.806</v>
      </c>
      <c r="O31" s="466">
        <v>28105.812000000002</v>
      </c>
      <c r="P31" s="466">
        <v>44012</v>
      </c>
      <c r="Q31" s="466">
        <v>72461.42</v>
      </c>
      <c r="R31" s="466">
        <v>118491.792</v>
      </c>
      <c r="S31" s="466">
        <v>83889.1</v>
      </c>
      <c r="T31" s="466">
        <v>19562</v>
      </c>
      <c r="U31" s="466">
        <v>56</v>
      </c>
      <c r="V31" s="466">
        <v>26</v>
      </c>
      <c r="W31" s="479">
        <v>0</v>
      </c>
      <c r="X31" s="479">
        <v>0</v>
      </c>
    </row>
    <row r="32" spans="1:24" x14ac:dyDescent="0.25">
      <c r="A32" s="463" t="s">
        <v>189</v>
      </c>
      <c r="B32" s="466">
        <v>0</v>
      </c>
      <c r="C32" s="466">
        <v>0</v>
      </c>
      <c r="D32" s="466">
        <v>0</v>
      </c>
      <c r="E32" s="466">
        <v>0</v>
      </c>
      <c r="F32" s="466">
        <v>0</v>
      </c>
      <c r="G32" s="466">
        <v>0</v>
      </c>
      <c r="H32" s="466">
        <v>0</v>
      </c>
      <c r="I32" s="466">
        <v>0</v>
      </c>
      <c r="J32" s="466">
        <v>0</v>
      </c>
      <c r="K32" s="466">
        <v>0</v>
      </c>
      <c r="L32" s="466">
        <v>0</v>
      </c>
      <c r="M32" s="466">
        <v>0</v>
      </c>
      <c r="N32" s="466">
        <v>78.611999999999995</v>
      </c>
      <c r="O32" s="466">
        <v>124.13200000000001</v>
      </c>
      <c r="P32" s="479">
        <v>0</v>
      </c>
      <c r="Q32" s="479">
        <v>0</v>
      </c>
      <c r="R32" s="479">
        <v>0</v>
      </c>
      <c r="S32" s="479">
        <v>0</v>
      </c>
      <c r="T32" s="479">
        <v>0</v>
      </c>
      <c r="U32" s="479">
        <v>0</v>
      </c>
      <c r="V32" s="479">
        <v>0</v>
      </c>
      <c r="W32" s="479">
        <v>0</v>
      </c>
      <c r="X32" s="479">
        <v>0</v>
      </c>
    </row>
    <row r="33" spans="1:24" x14ac:dyDescent="0.25">
      <c r="A33" s="463" t="s">
        <v>190</v>
      </c>
      <c r="B33" s="466">
        <v>522.89300000000003</v>
      </c>
      <c r="C33" s="466">
        <v>967.49400000000003</v>
      </c>
      <c r="D33" s="466">
        <v>930.06200000000001</v>
      </c>
      <c r="E33" s="466">
        <v>1306.482</v>
      </c>
      <c r="F33" s="466">
        <v>1796.8589999999999</v>
      </c>
      <c r="G33" s="466">
        <v>3642.21</v>
      </c>
      <c r="H33" s="466">
        <v>5140.6139999999996</v>
      </c>
      <c r="I33" s="466">
        <v>4913.3220000000001</v>
      </c>
      <c r="J33" s="466">
        <v>5712.6360000000004</v>
      </c>
      <c r="K33" s="466">
        <v>5251.451</v>
      </c>
      <c r="L33" s="466">
        <v>5269.4</v>
      </c>
      <c r="M33" s="466">
        <v>4442.9290000000001</v>
      </c>
      <c r="N33" s="466">
        <v>3007.377</v>
      </c>
      <c r="O33" s="466">
        <v>4567.0720000000001</v>
      </c>
      <c r="P33" s="466">
        <v>3784.0189999999998</v>
      </c>
      <c r="Q33" s="466">
        <v>2528.9369999999999</v>
      </c>
      <c r="R33" s="466">
        <v>1093.9079999999999</v>
      </c>
      <c r="S33" s="466">
        <v>396.7</v>
      </c>
      <c r="T33" s="466">
        <v>268</v>
      </c>
      <c r="U33" s="466">
        <v>268</v>
      </c>
      <c r="V33" s="466">
        <v>268</v>
      </c>
      <c r="W33" s="466">
        <v>268</v>
      </c>
      <c r="X33" s="479">
        <v>0</v>
      </c>
    </row>
    <row r="34" spans="1:24" x14ac:dyDescent="0.25">
      <c r="A34" s="463" t="s">
        <v>191</v>
      </c>
      <c r="B34" s="466">
        <v>49.707000000000001</v>
      </c>
      <c r="C34" s="466">
        <v>95.396000000000001</v>
      </c>
      <c r="D34" s="466">
        <v>178.47399999999999</v>
      </c>
      <c r="E34" s="466">
        <v>301.62</v>
      </c>
      <c r="F34" s="466">
        <v>704.88499999999999</v>
      </c>
      <c r="G34" s="466">
        <v>1235.8630000000001</v>
      </c>
      <c r="H34" s="466">
        <v>1838.298</v>
      </c>
      <c r="I34" s="466">
        <v>2554.1469999999999</v>
      </c>
      <c r="J34" s="466">
        <v>2930.8969999999999</v>
      </c>
      <c r="K34" s="466">
        <v>3118.8</v>
      </c>
      <c r="L34" s="466">
        <v>3159.3</v>
      </c>
      <c r="M34" s="466">
        <v>3798.4540000000002</v>
      </c>
      <c r="N34" s="466">
        <v>3020.1619999999998</v>
      </c>
      <c r="O34" s="466">
        <v>2990.3789999999999</v>
      </c>
      <c r="P34" s="466">
        <v>1791.614</v>
      </c>
      <c r="Q34" s="466">
        <v>678.21500000000003</v>
      </c>
      <c r="R34" s="466">
        <v>265.91399999999999</v>
      </c>
      <c r="S34" s="466">
        <v>162.1</v>
      </c>
      <c r="T34" s="466">
        <v>106</v>
      </c>
      <c r="U34" s="466">
        <v>9</v>
      </c>
      <c r="V34" s="466">
        <v>6</v>
      </c>
      <c r="W34" s="466">
        <v>6</v>
      </c>
      <c r="X34" s="479">
        <v>0</v>
      </c>
    </row>
    <row r="35" spans="1:24" x14ac:dyDescent="0.25">
      <c r="A35" s="459" t="s">
        <v>192</v>
      </c>
      <c r="B35" s="478">
        <v>4.4320000000000004</v>
      </c>
      <c r="C35" s="478">
        <v>6.4920000000000009</v>
      </c>
      <c r="D35" s="478">
        <v>3.488</v>
      </c>
      <c r="E35" s="478">
        <v>101.742</v>
      </c>
      <c r="F35" s="478">
        <v>556.05999999999995</v>
      </c>
      <c r="G35" s="478">
        <v>1931.08</v>
      </c>
      <c r="H35" s="478">
        <v>3443.3519999999999</v>
      </c>
      <c r="I35" s="478">
        <v>8022.1729999999998</v>
      </c>
      <c r="J35" s="478">
        <v>13642.579</v>
      </c>
      <c r="K35" s="478">
        <v>16814.983</v>
      </c>
      <c r="L35" s="478">
        <v>22930</v>
      </c>
      <c r="M35" s="478">
        <v>55381.11</v>
      </c>
      <c r="N35" s="478">
        <v>65065.665999999997</v>
      </c>
      <c r="O35" s="478">
        <v>59486.747999999985</v>
      </c>
      <c r="P35" s="478">
        <v>52522.488999999994</v>
      </c>
      <c r="Q35" s="478">
        <v>59913.811000000002</v>
      </c>
      <c r="R35" s="478">
        <v>27492.436999999998</v>
      </c>
      <c r="S35" s="478">
        <v>20217.400000000001</v>
      </c>
      <c r="T35" s="478">
        <v>14250</v>
      </c>
      <c r="U35" s="478">
        <v>9953</v>
      </c>
      <c r="V35" s="478">
        <v>488726</v>
      </c>
      <c r="W35" s="478">
        <v>198224</v>
      </c>
      <c r="X35" s="478">
        <v>257083.807302</v>
      </c>
    </row>
    <row r="36" spans="1:24" x14ac:dyDescent="0.25">
      <c r="A36" s="463" t="s">
        <v>193</v>
      </c>
      <c r="B36" s="466">
        <v>0.91</v>
      </c>
      <c r="C36" s="466">
        <v>3.2429999999999999</v>
      </c>
      <c r="D36" s="466">
        <v>0.61599999999999999</v>
      </c>
      <c r="E36" s="466">
        <v>0.56000000000000005</v>
      </c>
      <c r="F36" s="466">
        <v>0.48299999999999998</v>
      </c>
      <c r="G36" s="466">
        <v>0.378</v>
      </c>
      <c r="H36" s="466">
        <v>0</v>
      </c>
      <c r="I36" s="466">
        <v>0</v>
      </c>
      <c r="J36" s="466">
        <v>0</v>
      </c>
      <c r="K36" s="466">
        <v>0</v>
      </c>
      <c r="L36" s="466">
        <v>3970.1</v>
      </c>
      <c r="M36" s="466">
        <v>26905.867999999999</v>
      </c>
      <c r="N36" s="466">
        <v>29505.217000000001</v>
      </c>
      <c r="O36" s="466">
        <v>26700.146000000001</v>
      </c>
      <c r="P36" s="466">
        <v>24675.088</v>
      </c>
      <c r="Q36" s="466">
        <v>19536.062000000002</v>
      </c>
      <c r="R36" s="466">
        <v>14397.048000000001</v>
      </c>
      <c r="S36" s="466">
        <v>12681</v>
      </c>
      <c r="T36" s="466">
        <v>10131</v>
      </c>
      <c r="U36" s="466">
        <v>7611</v>
      </c>
      <c r="V36" s="466">
        <v>2352</v>
      </c>
      <c r="W36" s="479">
        <v>0</v>
      </c>
      <c r="X36" s="466">
        <v>2576</v>
      </c>
    </row>
    <row r="37" spans="1:24" x14ac:dyDescent="0.25">
      <c r="A37" s="463" t="s">
        <v>194</v>
      </c>
      <c r="B37" s="466">
        <v>0</v>
      </c>
      <c r="C37" s="466">
        <v>0</v>
      </c>
      <c r="D37" s="466">
        <v>0</v>
      </c>
      <c r="E37" s="466">
        <v>0</v>
      </c>
      <c r="F37" s="466">
        <v>0</v>
      </c>
      <c r="G37" s="466">
        <v>0</v>
      </c>
      <c r="H37" s="466">
        <v>0</v>
      </c>
      <c r="I37" s="466">
        <v>0</v>
      </c>
      <c r="J37" s="466">
        <v>0</v>
      </c>
      <c r="K37" s="466">
        <v>0</v>
      </c>
      <c r="L37" s="466">
        <v>7917.3</v>
      </c>
      <c r="M37" s="466">
        <v>6334.6</v>
      </c>
      <c r="N37" s="466">
        <v>19507.8</v>
      </c>
      <c r="O37" s="466">
        <v>13010.4</v>
      </c>
      <c r="P37" s="466">
        <v>6513</v>
      </c>
      <c r="Q37" s="479">
        <v>0</v>
      </c>
      <c r="R37" s="479">
        <v>0</v>
      </c>
      <c r="S37" s="479">
        <v>0</v>
      </c>
      <c r="T37" s="479">
        <v>0</v>
      </c>
      <c r="U37" s="479">
        <v>0</v>
      </c>
      <c r="V37" s="479">
        <v>0</v>
      </c>
      <c r="W37" s="479">
        <v>0</v>
      </c>
      <c r="X37" s="479">
        <v>0</v>
      </c>
    </row>
    <row r="38" spans="1:24" x14ac:dyDescent="0.25">
      <c r="A38" s="463" t="s">
        <v>195</v>
      </c>
      <c r="B38" s="466">
        <v>3.4820000000000002</v>
      </c>
      <c r="C38" s="466">
        <v>3.1920000000000002</v>
      </c>
      <c r="D38" s="466">
        <v>2.8319999999999999</v>
      </c>
      <c r="E38" s="466">
        <v>2.6419999999999999</v>
      </c>
      <c r="F38" s="466">
        <v>2.3769999999999998</v>
      </c>
      <c r="G38" s="466">
        <v>2.1520000000000001</v>
      </c>
      <c r="H38" s="466">
        <v>1.702</v>
      </c>
      <c r="I38" s="466">
        <v>1.5620000000000001</v>
      </c>
      <c r="J38" s="466">
        <v>1.3160000000000001</v>
      </c>
      <c r="K38" s="466">
        <v>1</v>
      </c>
      <c r="L38" s="466">
        <v>0.5</v>
      </c>
      <c r="M38" s="479">
        <v>0</v>
      </c>
      <c r="N38" s="479">
        <v>0</v>
      </c>
      <c r="O38" s="479">
        <v>0</v>
      </c>
      <c r="P38" s="479">
        <v>0</v>
      </c>
      <c r="Q38" s="479">
        <v>0</v>
      </c>
      <c r="R38" s="479">
        <v>0</v>
      </c>
      <c r="S38" s="479">
        <v>0</v>
      </c>
      <c r="T38" s="479">
        <v>0</v>
      </c>
      <c r="U38" s="479">
        <v>0</v>
      </c>
      <c r="V38" s="479">
        <v>0</v>
      </c>
      <c r="W38" s="479">
        <v>0</v>
      </c>
      <c r="X38" s="479">
        <v>0</v>
      </c>
    </row>
    <row r="39" spans="1:24" x14ac:dyDescent="0.25">
      <c r="A39" s="463" t="s">
        <v>196</v>
      </c>
      <c r="B39" s="466">
        <v>0</v>
      </c>
      <c r="C39" s="466">
        <v>0</v>
      </c>
      <c r="D39" s="466">
        <v>0</v>
      </c>
      <c r="E39" s="466">
        <v>0</v>
      </c>
      <c r="F39" s="466">
        <v>0</v>
      </c>
      <c r="G39" s="466">
        <v>0</v>
      </c>
      <c r="H39" s="466">
        <v>0</v>
      </c>
      <c r="I39" s="466">
        <v>0</v>
      </c>
      <c r="J39" s="466">
        <v>0</v>
      </c>
      <c r="K39" s="466">
        <v>0</v>
      </c>
      <c r="L39" s="466">
        <v>0</v>
      </c>
      <c r="M39" s="466">
        <v>5211.9920000000002</v>
      </c>
      <c r="N39" s="466">
        <v>13404.243</v>
      </c>
      <c r="O39" s="466">
        <v>11183.267</v>
      </c>
      <c r="P39" s="466">
        <v>8320.2669999999998</v>
      </c>
      <c r="Q39" s="466">
        <v>5150.2669999999998</v>
      </c>
      <c r="R39" s="466">
        <v>1719.3340000000001</v>
      </c>
      <c r="S39" s="466">
        <v>200</v>
      </c>
      <c r="T39" s="466">
        <v>200</v>
      </c>
      <c r="U39" s="479">
        <v>0</v>
      </c>
      <c r="V39" s="479">
        <v>0</v>
      </c>
      <c r="W39" s="479">
        <v>0</v>
      </c>
      <c r="X39" s="479">
        <v>0</v>
      </c>
    </row>
    <row r="40" spans="1:24" x14ac:dyDescent="0.25">
      <c r="A40" s="463" t="s">
        <v>197</v>
      </c>
      <c r="B40" s="466">
        <v>0</v>
      </c>
      <c r="C40" s="466">
        <v>0</v>
      </c>
      <c r="D40" s="466">
        <v>0</v>
      </c>
      <c r="E40" s="466">
        <v>0</v>
      </c>
      <c r="F40" s="466">
        <v>59.9</v>
      </c>
      <c r="G40" s="466">
        <v>538.4</v>
      </c>
      <c r="H40" s="466">
        <v>974.35</v>
      </c>
      <c r="I40" s="466">
        <v>2140.5</v>
      </c>
      <c r="J40" s="466">
        <v>3837.2</v>
      </c>
      <c r="K40" s="466">
        <v>5225.95</v>
      </c>
      <c r="L40" s="466">
        <v>5226</v>
      </c>
      <c r="M40" s="466">
        <v>4837.1499999999996</v>
      </c>
      <c r="N40" s="466">
        <v>4029.7</v>
      </c>
      <c r="O40" s="466">
        <v>2906.55</v>
      </c>
      <c r="P40" s="466">
        <v>1857.4</v>
      </c>
      <c r="Q40" s="466">
        <v>1059.7</v>
      </c>
      <c r="R40" s="466">
        <v>593.35</v>
      </c>
      <c r="S40" s="466">
        <v>233</v>
      </c>
      <c r="T40" s="479">
        <v>0</v>
      </c>
      <c r="U40" s="479">
        <v>0</v>
      </c>
      <c r="V40" s="479">
        <v>0</v>
      </c>
      <c r="W40" s="479">
        <v>0</v>
      </c>
      <c r="X40" s="479">
        <v>0</v>
      </c>
    </row>
    <row r="41" spans="1:24" x14ac:dyDescent="0.25">
      <c r="A41" s="463" t="s">
        <v>198</v>
      </c>
      <c r="B41" s="466">
        <v>0</v>
      </c>
      <c r="C41" s="466">
        <v>0</v>
      </c>
      <c r="D41" s="466">
        <v>0</v>
      </c>
      <c r="E41" s="466">
        <v>0</v>
      </c>
      <c r="F41" s="466">
        <v>0</v>
      </c>
      <c r="G41" s="466">
        <v>0</v>
      </c>
      <c r="H41" s="466">
        <v>0</v>
      </c>
      <c r="I41" s="466">
        <v>0</v>
      </c>
      <c r="J41" s="466">
        <v>0</v>
      </c>
      <c r="K41" s="466">
        <v>0</v>
      </c>
      <c r="L41" s="466">
        <v>0</v>
      </c>
      <c r="M41" s="466">
        <v>0</v>
      </c>
      <c r="N41" s="466">
        <v>121.85</v>
      </c>
      <c r="O41" s="466">
        <v>161.94999999999999</v>
      </c>
      <c r="P41" s="466">
        <v>309.85000000000002</v>
      </c>
      <c r="Q41" s="466">
        <v>20273.349999999999</v>
      </c>
      <c r="R41" s="466">
        <v>159</v>
      </c>
      <c r="S41" s="466">
        <v>118</v>
      </c>
      <c r="T41" s="466">
        <v>85</v>
      </c>
      <c r="U41" s="466">
        <v>62</v>
      </c>
      <c r="V41" s="466">
        <v>42</v>
      </c>
      <c r="W41" s="466">
        <v>13</v>
      </c>
      <c r="X41" s="466">
        <v>8148.169903</v>
      </c>
    </row>
    <row r="42" spans="1:24" x14ac:dyDescent="0.25">
      <c r="A42" s="463" t="s">
        <v>199</v>
      </c>
      <c r="B42" s="466">
        <v>0.04</v>
      </c>
      <c r="C42" s="466">
        <v>5.7000000000000002E-2</v>
      </c>
      <c r="D42" s="466">
        <v>0.04</v>
      </c>
      <c r="E42" s="466">
        <v>92.54</v>
      </c>
      <c r="F42" s="466">
        <v>301.60000000000002</v>
      </c>
      <c r="G42" s="466">
        <v>872.4</v>
      </c>
      <c r="H42" s="466">
        <v>1612.8</v>
      </c>
      <c r="I42" s="466">
        <v>4234.6610000000001</v>
      </c>
      <c r="J42" s="466">
        <v>7059.723</v>
      </c>
      <c r="K42" s="466">
        <v>8273.0329999999994</v>
      </c>
      <c r="L42" s="466">
        <v>9877.6</v>
      </c>
      <c r="M42" s="466">
        <v>13445.6</v>
      </c>
      <c r="N42" s="466">
        <v>13116.550999999999</v>
      </c>
      <c r="O42" s="466">
        <v>13550.523999999999</v>
      </c>
      <c r="P42" s="466">
        <v>12402.441999999999</v>
      </c>
      <c r="Q42" s="466">
        <v>9811.3629999999994</v>
      </c>
      <c r="R42" s="466">
        <v>7284.0320000000002</v>
      </c>
      <c r="S42" s="466">
        <v>4922.2</v>
      </c>
      <c r="T42" s="466">
        <v>2517</v>
      </c>
      <c r="U42" s="466">
        <v>1538</v>
      </c>
      <c r="V42" s="466">
        <v>486018</v>
      </c>
      <c r="W42" s="466">
        <v>198022</v>
      </c>
      <c r="X42" s="466">
        <v>889751.60699999996</v>
      </c>
    </row>
    <row r="43" spans="1:24" x14ac:dyDescent="0.25">
      <c r="A43" s="463" t="s">
        <v>200</v>
      </c>
      <c r="B43" s="466">
        <v>0</v>
      </c>
      <c r="C43" s="466">
        <v>0</v>
      </c>
      <c r="D43" s="466">
        <v>0</v>
      </c>
      <c r="E43" s="466">
        <v>6</v>
      </c>
      <c r="F43" s="466">
        <v>191.7</v>
      </c>
      <c r="G43" s="466">
        <v>517.75</v>
      </c>
      <c r="H43" s="466">
        <v>854.5</v>
      </c>
      <c r="I43" s="466">
        <v>1645.45</v>
      </c>
      <c r="J43" s="466">
        <v>2744.34</v>
      </c>
      <c r="K43" s="466">
        <v>3315</v>
      </c>
      <c r="L43" s="466">
        <v>3855.8</v>
      </c>
      <c r="M43" s="466">
        <v>4963.5</v>
      </c>
      <c r="N43" s="466">
        <v>4831.2049999999999</v>
      </c>
      <c r="O43" s="466">
        <v>4927.4110000000001</v>
      </c>
      <c r="P43" s="466">
        <v>4848.5420000000004</v>
      </c>
      <c r="Q43" s="466">
        <v>3974.1689999999999</v>
      </c>
      <c r="R43" s="466">
        <v>3235.319</v>
      </c>
      <c r="S43" s="466">
        <v>2063.1999999999998</v>
      </c>
      <c r="T43" s="466">
        <v>1317</v>
      </c>
      <c r="U43" s="466">
        <v>742</v>
      </c>
      <c r="V43" s="466">
        <v>314</v>
      </c>
      <c r="W43" s="466">
        <v>189</v>
      </c>
      <c r="X43" s="466">
        <v>27.5</v>
      </c>
    </row>
    <row r="44" spans="1:24" x14ac:dyDescent="0.25">
      <c r="A44" s="463" t="s">
        <v>201</v>
      </c>
      <c r="B44" s="466">
        <v>0</v>
      </c>
      <c r="C44" s="466">
        <v>0</v>
      </c>
      <c r="D44" s="466">
        <v>0</v>
      </c>
      <c r="E44" s="466">
        <v>0</v>
      </c>
      <c r="F44" s="466">
        <v>0</v>
      </c>
      <c r="G44" s="466">
        <v>0</v>
      </c>
      <c r="H44" s="466">
        <v>0</v>
      </c>
      <c r="I44" s="466">
        <v>0</v>
      </c>
      <c r="J44" s="466">
        <v>0</v>
      </c>
      <c r="K44" s="466">
        <v>0</v>
      </c>
      <c r="L44" s="466">
        <v>0</v>
      </c>
      <c r="M44" s="466">
        <v>17</v>
      </c>
      <c r="N44" s="466">
        <v>56.9</v>
      </c>
      <c r="O44" s="466">
        <v>56.9</v>
      </c>
      <c r="P44" s="466">
        <v>108.9</v>
      </c>
      <c r="Q44" s="466">
        <v>108.9</v>
      </c>
      <c r="R44" s="466">
        <v>104.354</v>
      </c>
      <c r="S44" s="466">
        <v>0</v>
      </c>
      <c r="T44" s="479" t="s">
        <v>10</v>
      </c>
      <c r="U44" s="479" t="s">
        <v>10</v>
      </c>
      <c r="V44" s="479" t="s">
        <v>10</v>
      </c>
      <c r="W44" s="479" t="s">
        <v>10</v>
      </c>
      <c r="X44" s="479" t="s">
        <v>10</v>
      </c>
    </row>
    <row r="45" spans="1:24" x14ac:dyDescent="0.25">
      <c r="A45" s="463" t="s">
        <v>202</v>
      </c>
      <c r="B45" s="479" t="s">
        <v>10</v>
      </c>
      <c r="C45" s="479" t="s">
        <v>10</v>
      </c>
      <c r="D45" s="479" t="s">
        <v>10</v>
      </c>
      <c r="E45" s="479" t="s">
        <v>10</v>
      </c>
      <c r="F45" s="479" t="s">
        <v>10</v>
      </c>
      <c r="G45" s="479" t="s">
        <v>10</v>
      </c>
      <c r="H45" s="479" t="s">
        <v>10</v>
      </c>
      <c r="I45" s="479" t="s">
        <v>10</v>
      </c>
      <c r="J45" s="479" t="s">
        <v>10</v>
      </c>
      <c r="K45" s="479" t="s">
        <v>10</v>
      </c>
      <c r="L45" s="479" t="s">
        <v>10</v>
      </c>
      <c r="M45" s="479" t="s">
        <v>10</v>
      </c>
      <c r="N45" s="479" t="s">
        <v>10</v>
      </c>
      <c r="O45" s="479" t="s">
        <v>10</v>
      </c>
      <c r="P45" s="479" t="s">
        <v>10</v>
      </c>
      <c r="Q45" s="479" t="s">
        <v>10</v>
      </c>
      <c r="R45" s="479" t="s">
        <v>10</v>
      </c>
      <c r="S45" s="479" t="s">
        <v>10</v>
      </c>
      <c r="T45" s="479" t="s">
        <v>10</v>
      </c>
      <c r="U45" s="479" t="s">
        <v>10</v>
      </c>
      <c r="V45" s="479" t="s">
        <v>10</v>
      </c>
      <c r="W45" s="479" t="s">
        <v>10</v>
      </c>
      <c r="X45" s="479">
        <v>-643419.46960099996</v>
      </c>
    </row>
    <row r="46" spans="1:24" x14ac:dyDescent="0.25">
      <c r="A46" s="459" t="s">
        <v>203</v>
      </c>
      <c r="B46" s="478">
        <v>390.07299999999998</v>
      </c>
      <c r="C46" s="478">
        <v>476.09699999999998</v>
      </c>
      <c r="D46" s="478">
        <v>683.96</v>
      </c>
      <c r="E46" s="478">
        <v>971.42100000000005</v>
      </c>
      <c r="F46" s="478">
        <v>1289.002</v>
      </c>
      <c r="G46" s="478">
        <v>1713.4770000000001</v>
      </c>
      <c r="H46" s="478">
        <v>2268.7139999999999</v>
      </c>
      <c r="I46" s="478">
        <v>2998.7179999999998</v>
      </c>
      <c r="J46" s="478">
        <v>3651.4259999999999</v>
      </c>
      <c r="K46" s="478">
        <v>4346.8360000000002</v>
      </c>
      <c r="L46" s="478">
        <v>6294.0159999999996</v>
      </c>
      <c r="M46" s="478">
        <v>8628.2489999999998</v>
      </c>
      <c r="N46" s="478">
        <v>12804.691000000001</v>
      </c>
      <c r="O46" s="478">
        <v>16170.888999999999</v>
      </c>
      <c r="P46" s="478">
        <v>18296.898000000001</v>
      </c>
      <c r="Q46" s="478">
        <v>20710.744999999999</v>
      </c>
      <c r="R46" s="478">
        <v>270541.99200000003</v>
      </c>
      <c r="S46" s="478">
        <v>303898.86499999999</v>
      </c>
      <c r="T46" s="478">
        <v>326525</v>
      </c>
      <c r="U46" s="478">
        <v>351898</v>
      </c>
      <c r="V46" s="478">
        <v>411773</v>
      </c>
      <c r="W46" s="478">
        <v>469893</v>
      </c>
      <c r="X46" s="478">
        <v>431476.81078300002</v>
      </c>
    </row>
    <row r="47" spans="1:24" x14ac:dyDescent="0.25">
      <c r="A47" s="459" t="s">
        <v>204</v>
      </c>
      <c r="B47" s="478">
        <v>3045.7060000000001</v>
      </c>
      <c r="C47" s="478">
        <v>3534.0219999999999</v>
      </c>
      <c r="D47" s="478">
        <v>3909.43</v>
      </c>
      <c r="E47" s="478">
        <v>5769.92</v>
      </c>
      <c r="F47" s="478">
        <v>5097.3630000000003</v>
      </c>
      <c r="G47" s="478">
        <v>4333.68</v>
      </c>
      <c r="H47" s="478">
        <v>7901.6729999999998</v>
      </c>
      <c r="I47" s="478">
        <v>11518.234</v>
      </c>
      <c r="J47" s="478">
        <v>18823.249</v>
      </c>
      <c r="K47" s="478">
        <v>24765.095000000001</v>
      </c>
      <c r="L47" s="478">
        <v>53129.148999999998</v>
      </c>
      <c r="M47" s="478">
        <v>67661.523000000001</v>
      </c>
      <c r="N47" s="478">
        <v>132806.88500000001</v>
      </c>
      <c r="O47" s="478">
        <v>172312.39300000001</v>
      </c>
      <c r="P47" s="478">
        <v>218575.17</v>
      </c>
      <c r="Q47" s="478">
        <v>250341.701</v>
      </c>
      <c r="R47" s="478">
        <v>2294513.9309999999</v>
      </c>
      <c r="S47" s="478">
        <v>2041613.3529999999</v>
      </c>
      <c r="T47" s="478">
        <v>1949752</v>
      </c>
      <c r="U47" s="478">
        <v>1346176</v>
      </c>
      <c r="V47" s="478">
        <v>1485979</v>
      </c>
      <c r="W47" s="478">
        <v>992113</v>
      </c>
      <c r="X47" s="478">
        <v>2713748.0569290002</v>
      </c>
    </row>
    <row r="48" spans="1:24" x14ac:dyDescent="0.25">
      <c r="A48" s="459" t="s">
        <v>205</v>
      </c>
      <c r="B48" s="478">
        <v>158.59200000000001</v>
      </c>
      <c r="C48" s="478">
        <v>277.78699999999998</v>
      </c>
      <c r="D48" s="478">
        <v>338.28800000000001</v>
      </c>
      <c r="E48" s="478">
        <v>489.98899999999998</v>
      </c>
      <c r="F48" s="478">
        <v>498.767</v>
      </c>
      <c r="G48" s="478">
        <v>996.303</v>
      </c>
      <c r="H48" s="478">
        <v>3721.201</v>
      </c>
      <c r="I48" s="478">
        <v>27446.195</v>
      </c>
      <c r="J48" s="478">
        <v>86484.42</v>
      </c>
      <c r="K48" s="478">
        <v>195712.16800000001</v>
      </c>
      <c r="L48" s="478">
        <v>241815.19699999999</v>
      </c>
      <c r="M48" s="478">
        <v>291454.799</v>
      </c>
      <c r="N48" s="478">
        <v>1085077.0120000001</v>
      </c>
      <c r="O48" s="478">
        <v>1191560.0689999999</v>
      </c>
      <c r="P48" s="478">
        <v>1549437.0630000001</v>
      </c>
      <c r="Q48" s="478">
        <v>1859726.875</v>
      </c>
      <c r="R48" s="478">
        <v>49448.563999999998</v>
      </c>
      <c r="S48" s="478">
        <v>35596.722999999998</v>
      </c>
      <c r="T48" s="478">
        <v>46623</v>
      </c>
      <c r="U48" s="478">
        <v>253348</v>
      </c>
      <c r="V48" s="478">
        <v>239908</v>
      </c>
      <c r="W48" s="478">
        <v>292753</v>
      </c>
      <c r="X48" s="478">
        <v>358712.80698200001</v>
      </c>
    </row>
    <row r="49" spans="1:24" x14ac:dyDescent="0.25">
      <c r="A49" s="467"/>
      <c r="B49" s="466"/>
      <c r="C49" s="466"/>
      <c r="D49" s="466"/>
      <c r="E49" s="466"/>
      <c r="F49" s="466"/>
      <c r="G49" s="466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</row>
    <row r="50" spans="1:24" x14ac:dyDescent="0.25">
      <c r="A50" s="459" t="s">
        <v>206</v>
      </c>
      <c r="B50" s="478">
        <v>31521.841000000004</v>
      </c>
      <c r="C50" s="478">
        <v>37576.82499999999</v>
      </c>
      <c r="D50" s="478">
        <v>43200.926000000007</v>
      </c>
      <c r="E50" s="478">
        <v>54092.277000000002</v>
      </c>
      <c r="F50" s="478">
        <v>68664.25308168029</v>
      </c>
      <c r="G50" s="478">
        <v>73151.227999999988</v>
      </c>
      <c r="H50" s="478">
        <v>89425.045999999988</v>
      </c>
      <c r="I50" s="478">
        <v>262301.54200000002</v>
      </c>
      <c r="J50" s="478">
        <v>413639.21</v>
      </c>
      <c r="K50" s="478">
        <v>634351.11100000003</v>
      </c>
      <c r="L50" s="478">
        <v>717361.27099999995</v>
      </c>
      <c r="M50" s="478">
        <v>819696.38699999999</v>
      </c>
      <c r="N50" s="478">
        <v>2356737.8260000004</v>
      </c>
      <c r="O50" s="478">
        <v>2585261.1540000001</v>
      </c>
      <c r="P50" s="478">
        <v>3083348.2710000002</v>
      </c>
      <c r="Q50" s="478">
        <v>3775172.1460000002</v>
      </c>
      <c r="R50" s="478">
        <v>4584709.5159999998</v>
      </c>
      <c r="S50" s="478">
        <v>14416960.947000001</v>
      </c>
      <c r="T50" s="478">
        <v>16890777</v>
      </c>
      <c r="U50" s="478">
        <v>9357039</v>
      </c>
      <c r="V50" s="478">
        <v>12319674</v>
      </c>
      <c r="W50" s="478">
        <v>14048259</v>
      </c>
      <c r="X50" s="478">
        <v>22708221.731582996</v>
      </c>
    </row>
    <row r="51" spans="1:24" x14ac:dyDescent="0.25">
      <c r="A51" s="436"/>
      <c r="B51" s="436"/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</row>
    <row r="52" spans="1:24" x14ac:dyDescent="0.25">
      <c r="A52" s="459" t="s">
        <v>207</v>
      </c>
      <c r="B52" s="466"/>
      <c r="C52" s="466"/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</row>
    <row r="53" spans="1:24" x14ac:dyDescent="0.25">
      <c r="A53" s="433"/>
      <c r="B53" s="433"/>
      <c r="C53" s="433"/>
      <c r="D53" s="433"/>
      <c r="E53" s="433"/>
      <c r="F53" s="433"/>
      <c r="G53" s="433"/>
      <c r="H53" s="433"/>
      <c r="I53" s="433"/>
      <c r="J53" s="433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</row>
    <row r="54" spans="1:24" x14ac:dyDescent="0.25">
      <c r="A54" s="459" t="s">
        <v>208</v>
      </c>
      <c r="B54" s="478">
        <v>2964.194</v>
      </c>
      <c r="C54" s="478">
        <v>3451.1360000000004</v>
      </c>
      <c r="D54" s="478">
        <v>4004.0990000000002</v>
      </c>
      <c r="E54" s="478">
        <v>5818.7759999999998</v>
      </c>
      <c r="F54" s="478">
        <v>8353.5519999999997</v>
      </c>
      <c r="G54" s="478">
        <v>5141.1190000000006</v>
      </c>
      <c r="H54" s="478">
        <v>11890.295</v>
      </c>
      <c r="I54" s="478">
        <v>42390.328000000001</v>
      </c>
      <c r="J54" s="478">
        <v>48959.266000000003</v>
      </c>
      <c r="K54" s="478">
        <v>81331.493000000002</v>
      </c>
      <c r="L54" s="478">
        <v>97681.307000000001</v>
      </c>
      <c r="M54" s="478">
        <v>92269.472000000009</v>
      </c>
      <c r="N54" s="478">
        <v>382705.48199999996</v>
      </c>
      <c r="O54" s="478">
        <v>290143.94400000002</v>
      </c>
      <c r="P54" s="478">
        <v>239787.86700000003</v>
      </c>
      <c r="Q54" s="478">
        <v>211665.72</v>
      </c>
      <c r="R54" s="478">
        <v>211884.72400000002</v>
      </c>
      <c r="S54" s="478">
        <v>1211112.841</v>
      </c>
      <c r="T54" s="478">
        <v>1363247</v>
      </c>
      <c r="U54" s="478">
        <v>1602205</v>
      </c>
      <c r="V54" s="478">
        <v>1790819</v>
      </c>
      <c r="W54" s="478">
        <v>1997684</v>
      </c>
      <c r="X54" s="478">
        <v>2489569.1888549998</v>
      </c>
    </row>
    <row r="55" spans="1:24" x14ac:dyDescent="0.25">
      <c r="A55" s="463" t="s">
        <v>209</v>
      </c>
      <c r="B55" s="466">
        <v>3.8740000000000001</v>
      </c>
      <c r="C55" s="466">
        <v>12.061</v>
      </c>
      <c r="D55" s="466">
        <v>4.4480000000000004</v>
      </c>
      <c r="E55" s="466">
        <v>5.7690000000000001</v>
      </c>
      <c r="F55" s="466">
        <v>81.400000000000006</v>
      </c>
      <c r="G55" s="466">
        <v>8.6349999999999998</v>
      </c>
      <c r="H55" s="466">
        <v>5.3970000000000002</v>
      </c>
      <c r="I55" s="466">
        <v>3.7290000000000001</v>
      </c>
      <c r="J55" s="466">
        <v>1.7609999999999999</v>
      </c>
      <c r="K55" s="466">
        <v>3.0939999999999999</v>
      </c>
      <c r="L55" s="466">
        <v>0.56999999999999995</v>
      </c>
      <c r="M55" s="479">
        <v>0</v>
      </c>
      <c r="N55" s="479">
        <v>0</v>
      </c>
      <c r="O55" s="479">
        <v>0</v>
      </c>
      <c r="P55" s="479">
        <v>0</v>
      </c>
      <c r="Q55" s="479">
        <v>0</v>
      </c>
      <c r="R55" s="479">
        <v>0</v>
      </c>
      <c r="S55" s="479">
        <v>0</v>
      </c>
      <c r="T55" s="479">
        <v>0</v>
      </c>
      <c r="U55" s="479">
        <v>0</v>
      </c>
      <c r="V55" s="479">
        <v>0</v>
      </c>
      <c r="W55" s="479">
        <v>0</v>
      </c>
      <c r="X55" s="479">
        <v>0</v>
      </c>
    </row>
    <row r="56" spans="1:24" x14ac:dyDescent="0.25">
      <c r="A56" s="463" t="s">
        <v>210</v>
      </c>
      <c r="B56" s="466">
        <v>864.91800000000001</v>
      </c>
      <c r="C56" s="466">
        <v>1796.056</v>
      </c>
      <c r="D56" s="466">
        <v>530.63699999999994</v>
      </c>
      <c r="E56" s="466">
        <v>1444.1980000000001</v>
      </c>
      <c r="F56" s="466">
        <v>1709.2570000000001</v>
      </c>
      <c r="G56" s="466">
        <v>703.32399999999996</v>
      </c>
      <c r="H56" s="466">
        <v>5196.5990000000002</v>
      </c>
      <c r="I56" s="466">
        <v>17009</v>
      </c>
      <c r="J56" s="466">
        <v>13410.794</v>
      </c>
      <c r="K56" s="466">
        <v>13966.575999999999</v>
      </c>
      <c r="L56" s="466">
        <v>18531.116000000002</v>
      </c>
      <c r="M56" s="466">
        <v>16880.716</v>
      </c>
      <c r="N56" s="466">
        <v>53430.642999999996</v>
      </c>
      <c r="O56" s="466">
        <v>23498.476999999999</v>
      </c>
      <c r="P56" s="466">
        <v>6029.5020000000004</v>
      </c>
      <c r="Q56" s="466">
        <v>4624.7849999999999</v>
      </c>
      <c r="R56" s="466">
        <v>11710.875</v>
      </c>
      <c r="S56" s="466">
        <v>14847.905000000001</v>
      </c>
      <c r="T56" s="466">
        <v>6520</v>
      </c>
      <c r="U56" s="466">
        <v>13229</v>
      </c>
      <c r="V56" s="466">
        <v>45668</v>
      </c>
      <c r="W56" s="466">
        <v>60098</v>
      </c>
      <c r="X56" s="466">
        <v>9293.2597710000009</v>
      </c>
    </row>
    <row r="57" spans="1:24" x14ac:dyDescent="0.25">
      <c r="A57" s="463" t="s">
        <v>211</v>
      </c>
      <c r="B57" s="466">
        <v>295.49599999999998</v>
      </c>
      <c r="C57" s="466">
        <v>61</v>
      </c>
      <c r="D57" s="466">
        <v>566</v>
      </c>
      <c r="E57" s="466">
        <v>905.904</v>
      </c>
      <c r="F57" s="466">
        <v>1827.3689999999999</v>
      </c>
      <c r="G57" s="466">
        <v>163.203</v>
      </c>
      <c r="H57" s="466">
        <v>198.655</v>
      </c>
      <c r="I57" s="466">
        <v>2401.1080000000002</v>
      </c>
      <c r="J57" s="466">
        <v>4083.0030000000002</v>
      </c>
      <c r="K57" s="466">
        <v>9530.6820000000007</v>
      </c>
      <c r="L57" s="466">
        <v>8812.8449999999993</v>
      </c>
      <c r="M57" s="466">
        <v>10472.647999999999</v>
      </c>
      <c r="N57" s="466">
        <v>73433.879000000001</v>
      </c>
      <c r="O57" s="466">
        <v>15154.169</v>
      </c>
      <c r="P57" s="466">
        <v>10638.589</v>
      </c>
      <c r="Q57" s="466">
        <v>3371.299</v>
      </c>
      <c r="R57" s="466">
        <v>2314.8159999999998</v>
      </c>
      <c r="S57" s="466">
        <v>265097.67599999998</v>
      </c>
      <c r="T57" s="466">
        <v>47216</v>
      </c>
      <c r="U57" s="466">
        <v>10004</v>
      </c>
      <c r="V57" s="466">
        <v>12737</v>
      </c>
      <c r="W57" s="466">
        <v>13971</v>
      </c>
      <c r="X57" s="466">
        <v>15902.027579</v>
      </c>
    </row>
    <row r="58" spans="1:24" x14ac:dyDescent="0.25">
      <c r="A58" s="463" t="s">
        <v>212</v>
      </c>
      <c r="B58" s="466">
        <v>852.12</v>
      </c>
      <c r="C58" s="466">
        <v>623</v>
      </c>
      <c r="D58" s="466">
        <v>1003</v>
      </c>
      <c r="E58" s="466">
        <v>1474</v>
      </c>
      <c r="F58" s="466">
        <v>2069.1889999999999</v>
      </c>
      <c r="G58" s="466">
        <v>1998.8219999999999</v>
      </c>
      <c r="H58" s="466">
        <v>2739.6439999999998</v>
      </c>
      <c r="I58" s="466">
        <v>3545.0360000000001</v>
      </c>
      <c r="J58" s="466">
        <v>5303.3829999999998</v>
      </c>
      <c r="K58" s="466">
        <v>9079.0229999999992</v>
      </c>
      <c r="L58" s="466">
        <v>8586.7440000000006</v>
      </c>
      <c r="M58" s="466">
        <v>5183.4449999999997</v>
      </c>
      <c r="N58" s="466">
        <v>29427.228999999999</v>
      </c>
      <c r="O58" s="466">
        <v>50400.519</v>
      </c>
      <c r="P58" s="466">
        <v>52070.875</v>
      </c>
      <c r="Q58" s="466">
        <v>58163.688999999998</v>
      </c>
      <c r="R58" s="466">
        <v>50756.205000000002</v>
      </c>
      <c r="S58" s="466">
        <v>196074.10800000001</v>
      </c>
      <c r="T58" s="466">
        <v>214087</v>
      </c>
      <c r="U58" s="466">
        <v>195567</v>
      </c>
      <c r="V58" s="466">
        <v>155324</v>
      </c>
      <c r="W58" s="466">
        <v>113285</v>
      </c>
      <c r="X58" s="466">
        <v>161478.04032</v>
      </c>
    </row>
    <row r="59" spans="1:24" x14ac:dyDescent="0.25">
      <c r="A59" s="463" t="s">
        <v>213</v>
      </c>
      <c r="B59" s="466">
        <v>947.78599999999994</v>
      </c>
      <c r="C59" s="466">
        <v>959.01900000000001</v>
      </c>
      <c r="D59" s="466">
        <v>1900.0139999999999</v>
      </c>
      <c r="E59" s="466">
        <v>1988.905</v>
      </c>
      <c r="F59" s="466">
        <v>2666.337</v>
      </c>
      <c r="G59" s="466">
        <v>2267.1350000000002</v>
      </c>
      <c r="H59" s="466">
        <v>3750</v>
      </c>
      <c r="I59" s="466">
        <v>19431.455000000002</v>
      </c>
      <c r="J59" s="466">
        <v>26160.325000000001</v>
      </c>
      <c r="K59" s="466">
        <v>48752.118000000002</v>
      </c>
      <c r="L59" s="466">
        <v>61750.031999999999</v>
      </c>
      <c r="M59" s="466">
        <v>59732.663</v>
      </c>
      <c r="N59" s="466">
        <v>226413.731</v>
      </c>
      <c r="O59" s="466">
        <v>201090.77900000001</v>
      </c>
      <c r="P59" s="466">
        <v>171048.90100000001</v>
      </c>
      <c r="Q59" s="466">
        <v>145505.94699999999</v>
      </c>
      <c r="R59" s="466">
        <v>147102.82800000001</v>
      </c>
      <c r="S59" s="466">
        <v>735093.152</v>
      </c>
      <c r="T59" s="466">
        <v>1095424</v>
      </c>
      <c r="U59" s="466">
        <v>1383405</v>
      </c>
      <c r="V59" s="466">
        <v>1577090</v>
      </c>
      <c r="W59" s="466">
        <v>1810330</v>
      </c>
      <c r="X59" s="466">
        <v>2302895.8611849998</v>
      </c>
    </row>
    <row r="60" spans="1:24" x14ac:dyDescent="0.25">
      <c r="A60" s="459" t="s">
        <v>214</v>
      </c>
      <c r="B60" s="478">
        <v>0</v>
      </c>
      <c r="C60" s="478">
        <v>0</v>
      </c>
      <c r="D60" s="478">
        <v>0</v>
      </c>
      <c r="E60" s="478">
        <v>0</v>
      </c>
      <c r="F60" s="478">
        <v>0</v>
      </c>
      <c r="G60" s="478">
        <v>0</v>
      </c>
      <c r="H60" s="478">
        <v>0</v>
      </c>
      <c r="I60" s="478">
        <v>46618.400999999998</v>
      </c>
      <c r="J60" s="478">
        <v>114489.77099999999</v>
      </c>
      <c r="K60" s="478">
        <v>305685.42</v>
      </c>
      <c r="L60" s="478">
        <v>330505.90000000002</v>
      </c>
      <c r="M60" s="478">
        <v>329612.90600000002</v>
      </c>
      <c r="N60" s="478">
        <v>1289627.3370000001</v>
      </c>
      <c r="O60" s="478">
        <v>1347038.6850000001</v>
      </c>
      <c r="P60" s="478">
        <v>1308732.541</v>
      </c>
      <c r="Q60" s="478">
        <v>1701168.1610000001</v>
      </c>
      <c r="R60" s="478">
        <v>1561144.371</v>
      </c>
      <c r="S60" s="478">
        <v>7982127.9000000004</v>
      </c>
      <c r="T60" s="478">
        <v>9061485</v>
      </c>
      <c r="U60" s="478">
        <v>522672</v>
      </c>
      <c r="V60" s="478">
        <v>574887</v>
      </c>
      <c r="W60" s="478">
        <v>553213</v>
      </c>
      <c r="X60" s="478">
        <v>2824519.8338239999</v>
      </c>
    </row>
    <row r="61" spans="1:24" x14ac:dyDescent="0.25">
      <c r="A61" s="459" t="s">
        <v>215</v>
      </c>
      <c r="B61" s="478">
        <v>2358.8270000000002</v>
      </c>
      <c r="C61" s="478">
        <v>2656.8040000000001</v>
      </c>
      <c r="D61" s="478">
        <v>4242.9090000000006</v>
      </c>
      <c r="E61" s="478">
        <v>6372.4650000000001</v>
      </c>
      <c r="F61" s="478">
        <v>7874.0280000000002</v>
      </c>
      <c r="G61" s="478">
        <v>9794.0400000000009</v>
      </c>
      <c r="H61" s="478">
        <v>10728.82</v>
      </c>
      <c r="I61" s="478">
        <v>78730.141999999993</v>
      </c>
      <c r="J61" s="478">
        <v>117773.856</v>
      </c>
      <c r="K61" s="478">
        <v>69036.820000000007</v>
      </c>
      <c r="L61" s="478">
        <v>54864.858999999997</v>
      </c>
      <c r="M61" s="478">
        <v>48700.614000000001</v>
      </c>
      <c r="N61" s="478">
        <v>195543.307</v>
      </c>
      <c r="O61" s="478">
        <v>200271.50099999999</v>
      </c>
      <c r="P61" s="478">
        <v>193560.79</v>
      </c>
      <c r="Q61" s="478">
        <v>149299.24100000004</v>
      </c>
      <c r="R61" s="478">
        <v>165153.791</v>
      </c>
      <c r="S61" s="478">
        <v>760841.21899999992</v>
      </c>
      <c r="T61" s="478">
        <v>988698</v>
      </c>
      <c r="U61" s="478">
        <v>1251051</v>
      </c>
      <c r="V61" s="478">
        <v>1930274</v>
      </c>
      <c r="W61" s="478">
        <v>2679010.803078</v>
      </c>
      <c r="X61" s="478">
        <v>2342952.5449220003</v>
      </c>
    </row>
    <row r="62" spans="1:24" x14ac:dyDescent="0.25">
      <c r="A62" s="463" t="s">
        <v>216</v>
      </c>
      <c r="B62" s="466">
        <v>0</v>
      </c>
      <c r="C62" s="466">
        <v>0</v>
      </c>
      <c r="D62" s="466">
        <v>0</v>
      </c>
      <c r="E62" s="466">
        <v>0</v>
      </c>
      <c r="F62" s="466">
        <v>0</v>
      </c>
      <c r="G62" s="466">
        <v>0</v>
      </c>
      <c r="H62" s="466">
        <v>0</v>
      </c>
      <c r="I62" s="466">
        <v>0</v>
      </c>
      <c r="J62" s="484" t="s">
        <v>10</v>
      </c>
      <c r="K62" s="484" t="s">
        <v>10</v>
      </c>
      <c r="L62" s="484" t="s">
        <v>10</v>
      </c>
      <c r="M62" s="484" t="s">
        <v>10</v>
      </c>
      <c r="N62" s="484" t="s">
        <v>10</v>
      </c>
      <c r="O62" s="484" t="s">
        <v>10</v>
      </c>
      <c r="P62" s="484" t="s">
        <v>10</v>
      </c>
      <c r="Q62" s="484" t="s">
        <v>10</v>
      </c>
      <c r="R62" s="484" t="s">
        <v>10</v>
      </c>
      <c r="S62" s="484" t="s">
        <v>10</v>
      </c>
      <c r="T62" s="484" t="s">
        <v>10</v>
      </c>
      <c r="U62" s="479">
        <v>6</v>
      </c>
      <c r="V62" s="479">
        <v>808</v>
      </c>
      <c r="W62" s="479">
        <v>1462.0436689999999</v>
      </c>
      <c r="X62" s="479">
        <v>1886.545646</v>
      </c>
    </row>
    <row r="63" spans="1:24" x14ac:dyDescent="0.25">
      <c r="A63" s="463" t="s">
        <v>217</v>
      </c>
      <c r="B63" s="479">
        <v>0</v>
      </c>
      <c r="C63" s="479">
        <v>0</v>
      </c>
      <c r="D63" s="479">
        <v>0</v>
      </c>
      <c r="E63" s="479">
        <v>0</v>
      </c>
      <c r="F63" s="479">
        <v>0</v>
      </c>
      <c r="G63" s="479">
        <v>0</v>
      </c>
      <c r="H63" s="479">
        <v>0</v>
      </c>
      <c r="I63" s="479">
        <v>0</v>
      </c>
      <c r="J63" s="479">
        <v>0</v>
      </c>
      <c r="K63" s="479">
        <v>3.7069999999999999</v>
      </c>
      <c r="L63" s="479">
        <v>0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  <c r="R63" s="479">
        <v>0</v>
      </c>
      <c r="S63" s="479">
        <v>0</v>
      </c>
      <c r="T63" s="479">
        <v>0</v>
      </c>
      <c r="U63" s="479">
        <v>0</v>
      </c>
      <c r="V63" s="479">
        <v>0</v>
      </c>
      <c r="W63" s="479">
        <v>0</v>
      </c>
      <c r="X63" s="479">
        <v>0</v>
      </c>
    </row>
    <row r="64" spans="1:24" x14ac:dyDescent="0.25">
      <c r="A64" s="463" t="s">
        <v>218</v>
      </c>
      <c r="B64" s="466">
        <v>2.5259999999999998</v>
      </c>
      <c r="C64" s="466">
        <v>0</v>
      </c>
      <c r="D64" s="466">
        <v>0</v>
      </c>
      <c r="E64" s="466">
        <v>19.263999999999999</v>
      </c>
      <c r="F64" s="466">
        <v>56.619</v>
      </c>
      <c r="G64" s="466">
        <v>39.587000000000003</v>
      </c>
      <c r="H64" s="466">
        <v>1.2410000000000001</v>
      </c>
      <c r="I64" s="466">
        <v>44.765000000000001</v>
      </c>
      <c r="J64" s="466">
        <v>54.085999999999999</v>
      </c>
      <c r="K64" s="466">
        <v>227</v>
      </c>
      <c r="L64" s="466">
        <v>222.8</v>
      </c>
      <c r="M64" s="466">
        <v>113.60899999999999</v>
      </c>
      <c r="N64" s="466">
        <v>1293.2249999999999</v>
      </c>
      <c r="O64" s="466">
        <v>1238.3399999999999</v>
      </c>
      <c r="P64" s="466">
        <v>546.43799999999999</v>
      </c>
      <c r="Q64" s="466">
        <v>527.67999999999995</v>
      </c>
      <c r="R64" s="466">
        <v>426</v>
      </c>
      <c r="S64" s="466">
        <v>4768.5</v>
      </c>
      <c r="T64" s="466">
        <v>5188</v>
      </c>
      <c r="U64" s="466">
        <v>14935</v>
      </c>
      <c r="V64" s="466">
        <v>25560</v>
      </c>
      <c r="W64" s="466">
        <v>13598.312302</v>
      </c>
      <c r="X64" s="466">
        <v>53367.420832999996</v>
      </c>
    </row>
    <row r="65" spans="1:24" x14ac:dyDescent="0.25">
      <c r="A65" s="463" t="s">
        <v>219</v>
      </c>
      <c r="B65" s="466">
        <v>0</v>
      </c>
      <c r="C65" s="466">
        <v>0</v>
      </c>
      <c r="D65" s="466">
        <v>0</v>
      </c>
      <c r="E65" s="466">
        <v>1754.838</v>
      </c>
      <c r="F65" s="466">
        <v>205.602</v>
      </c>
      <c r="G65" s="466">
        <v>2265.739</v>
      </c>
      <c r="H65" s="466">
        <v>6906.0349999999999</v>
      </c>
      <c r="I65" s="466">
        <v>0</v>
      </c>
      <c r="J65" s="466">
        <v>0</v>
      </c>
      <c r="K65" s="466">
        <v>0</v>
      </c>
      <c r="L65" s="466">
        <v>0</v>
      </c>
      <c r="M65" s="466">
        <v>0</v>
      </c>
      <c r="N65" s="466">
        <v>0</v>
      </c>
      <c r="O65" s="466">
        <v>0</v>
      </c>
      <c r="P65" s="466">
        <v>0</v>
      </c>
      <c r="Q65" s="466">
        <v>0</v>
      </c>
      <c r="R65" s="466">
        <v>0</v>
      </c>
      <c r="S65" s="466">
        <v>0</v>
      </c>
      <c r="T65" s="466">
        <v>0</v>
      </c>
      <c r="U65" s="466">
        <v>0</v>
      </c>
      <c r="V65" s="466">
        <v>0</v>
      </c>
      <c r="W65" s="466">
        <v>0</v>
      </c>
      <c r="X65" s="466">
        <v>1046.1664430000001</v>
      </c>
    </row>
    <row r="66" spans="1:24" x14ac:dyDescent="0.25">
      <c r="A66" s="463" t="s">
        <v>220</v>
      </c>
      <c r="B66" s="466">
        <v>335.245</v>
      </c>
      <c r="C66" s="466">
        <v>501.47399999999999</v>
      </c>
      <c r="D66" s="466">
        <v>505.30900000000003</v>
      </c>
      <c r="E66" s="466">
        <v>479.17399999999998</v>
      </c>
      <c r="F66" s="466">
        <v>413.77100000000002</v>
      </c>
      <c r="G66" s="466">
        <v>617.71900000000005</v>
      </c>
      <c r="H66" s="466">
        <v>549.95500000000004</v>
      </c>
      <c r="I66" s="466">
        <v>1076.2</v>
      </c>
      <c r="J66" s="466">
        <v>1341.615</v>
      </c>
      <c r="K66" s="466">
        <v>2285.8000000000002</v>
      </c>
      <c r="L66" s="466">
        <v>3327.3</v>
      </c>
      <c r="M66" s="466">
        <v>3679.6170000000002</v>
      </c>
      <c r="N66" s="466">
        <v>12507.502</v>
      </c>
      <c r="O66" s="466">
        <v>13309.325000000001</v>
      </c>
      <c r="P66" s="466">
        <v>12903.252</v>
      </c>
      <c r="Q66" s="466">
        <v>14696.924000000001</v>
      </c>
      <c r="R66" s="466">
        <v>17685.781999999999</v>
      </c>
      <c r="S66" s="466">
        <v>102860.6</v>
      </c>
      <c r="T66" s="466">
        <v>91819</v>
      </c>
      <c r="U66" s="466">
        <v>196538</v>
      </c>
      <c r="V66" s="466">
        <v>277782</v>
      </c>
      <c r="W66" s="466">
        <v>633079.11696699995</v>
      </c>
      <c r="X66" s="466">
        <v>224654.90546099999</v>
      </c>
    </row>
    <row r="67" spans="1:24" x14ac:dyDescent="0.25">
      <c r="A67" s="463" t="s">
        <v>221</v>
      </c>
      <c r="B67" s="466">
        <v>0.25</v>
      </c>
      <c r="C67" s="466">
        <v>0.25</v>
      </c>
      <c r="D67" s="466">
        <v>0.25</v>
      </c>
      <c r="E67" s="466">
        <v>7.9000000000000001E-2</v>
      </c>
      <c r="F67" s="466">
        <v>0.63700000000000001</v>
      </c>
      <c r="G67" s="466">
        <v>0.79900000000000004</v>
      </c>
      <c r="H67" s="466">
        <v>0</v>
      </c>
      <c r="I67" s="466">
        <v>0</v>
      </c>
      <c r="J67" s="466">
        <v>1.0369999999999999</v>
      </c>
      <c r="K67" s="466">
        <v>1.5</v>
      </c>
      <c r="L67" s="466">
        <v>15.7</v>
      </c>
      <c r="M67" s="466">
        <v>10.545</v>
      </c>
      <c r="N67" s="466">
        <v>82.46</v>
      </c>
      <c r="O67" s="466">
        <v>38.506</v>
      </c>
      <c r="P67" s="466">
        <v>221.22</v>
      </c>
      <c r="Q67" s="466">
        <v>244.23699999999999</v>
      </c>
      <c r="R67" s="466">
        <v>232.69300000000001</v>
      </c>
      <c r="S67" s="466">
        <v>1301.3</v>
      </c>
      <c r="T67" s="466">
        <v>3805</v>
      </c>
      <c r="U67" s="466">
        <v>11810</v>
      </c>
      <c r="V67" s="466">
        <v>21786</v>
      </c>
      <c r="W67" s="466">
        <v>39414.210981999997</v>
      </c>
      <c r="X67" s="466">
        <v>17795.927812000002</v>
      </c>
    </row>
    <row r="68" spans="1:24" x14ac:dyDescent="0.25">
      <c r="A68" s="463" t="s">
        <v>222</v>
      </c>
      <c r="B68" s="466">
        <v>7.718</v>
      </c>
      <c r="C68" s="466">
        <v>6.1790000000000003</v>
      </c>
      <c r="D68" s="466">
        <v>16.309999999999999</v>
      </c>
      <c r="E68" s="466">
        <v>4.8289999999999997</v>
      </c>
      <c r="F68" s="466">
        <v>3.6549999999999998</v>
      </c>
      <c r="G68" s="466">
        <v>6.3460000000000001</v>
      </c>
      <c r="H68" s="466">
        <v>49.718000000000004</v>
      </c>
      <c r="I68" s="466">
        <v>14.467000000000001</v>
      </c>
      <c r="J68" s="466">
        <v>5.8239999999999998</v>
      </c>
      <c r="K68" s="466">
        <v>9.0749999999999993</v>
      </c>
      <c r="L68" s="466">
        <v>9.5</v>
      </c>
      <c r="M68" s="466">
        <v>21.094000000000001</v>
      </c>
      <c r="N68" s="466">
        <v>71.954999999999998</v>
      </c>
      <c r="O68" s="466">
        <v>76.537999999999997</v>
      </c>
      <c r="P68" s="466">
        <v>113.607</v>
      </c>
      <c r="Q68" s="466">
        <v>55.280999999999999</v>
      </c>
      <c r="R68" s="466">
        <v>82.659000000000006</v>
      </c>
      <c r="S68" s="466">
        <v>476.8</v>
      </c>
      <c r="T68" s="466">
        <v>573</v>
      </c>
      <c r="U68" s="466">
        <v>430</v>
      </c>
      <c r="V68" s="466">
        <v>223</v>
      </c>
      <c r="W68" s="466">
        <v>16.377329</v>
      </c>
      <c r="X68" s="466">
        <v>6.6242270000000003</v>
      </c>
    </row>
    <row r="69" spans="1:24" x14ac:dyDescent="0.25">
      <c r="A69" s="463" t="s">
        <v>223</v>
      </c>
      <c r="B69" s="466">
        <v>663.84100000000001</v>
      </c>
      <c r="C69" s="466">
        <v>1333.3</v>
      </c>
      <c r="D69" s="466">
        <v>2088.4160000000002</v>
      </c>
      <c r="E69" s="466">
        <v>25.382000000000001</v>
      </c>
      <c r="F69" s="466">
        <v>231.46100000000001</v>
      </c>
      <c r="G69" s="466">
        <v>127.018</v>
      </c>
      <c r="H69" s="466">
        <v>173.41499999999999</v>
      </c>
      <c r="I69" s="466">
        <v>59564.718999999997</v>
      </c>
      <c r="J69" s="466">
        <v>72643.100000000006</v>
      </c>
      <c r="K69" s="466">
        <v>1654.386</v>
      </c>
      <c r="L69" s="466">
        <v>5443.4</v>
      </c>
      <c r="M69" s="466">
        <v>7767.2719999999999</v>
      </c>
      <c r="N69" s="466">
        <v>46295.839999999997</v>
      </c>
      <c r="O69" s="466">
        <v>17868.13</v>
      </c>
      <c r="P69" s="466">
        <v>28780.297999999999</v>
      </c>
      <c r="Q69" s="466">
        <v>31330.161</v>
      </c>
      <c r="R69" s="466">
        <v>19521.365000000002</v>
      </c>
      <c r="S69" s="466">
        <v>175244.5</v>
      </c>
      <c r="T69" s="466">
        <v>358098</v>
      </c>
      <c r="U69" s="466">
        <v>591738</v>
      </c>
      <c r="V69" s="466">
        <v>1048074</v>
      </c>
      <c r="W69" s="466">
        <v>1472009.3578610001</v>
      </c>
      <c r="X69" s="466">
        <v>1524676.4577220001</v>
      </c>
    </row>
    <row r="70" spans="1:24" x14ac:dyDescent="0.25">
      <c r="A70" s="463" t="s">
        <v>224</v>
      </c>
      <c r="B70" s="466">
        <v>0</v>
      </c>
      <c r="C70" s="466">
        <v>0</v>
      </c>
      <c r="D70" s="466">
        <v>0</v>
      </c>
      <c r="E70" s="466">
        <v>0</v>
      </c>
      <c r="F70" s="466">
        <v>0</v>
      </c>
      <c r="G70" s="466">
        <v>117.669</v>
      </c>
      <c r="H70" s="466">
        <v>0</v>
      </c>
      <c r="I70" s="466">
        <v>0</v>
      </c>
      <c r="J70" s="466">
        <v>2.984</v>
      </c>
      <c r="K70" s="466">
        <v>0</v>
      </c>
      <c r="L70" s="466">
        <v>3.2</v>
      </c>
      <c r="M70" s="466">
        <v>63.704999999999998</v>
      </c>
      <c r="N70" s="466">
        <v>1213.68</v>
      </c>
      <c r="O70" s="466">
        <v>3532.0169999999998</v>
      </c>
      <c r="P70" s="466">
        <v>2275.5700000000002</v>
      </c>
      <c r="Q70" s="466">
        <v>2005.336</v>
      </c>
      <c r="R70" s="466">
        <v>423.23599999999999</v>
      </c>
      <c r="S70" s="466">
        <v>5180.8</v>
      </c>
      <c r="T70" s="466">
        <v>12300</v>
      </c>
      <c r="U70" s="466">
        <v>36237</v>
      </c>
      <c r="V70" s="466">
        <v>44002</v>
      </c>
      <c r="W70" s="466">
        <v>50224.687741000002</v>
      </c>
      <c r="X70" s="466">
        <v>67455.753175000005</v>
      </c>
    </row>
    <row r="71" spans="1:24" x14ac:dyDescent="0.25">
      <c r="A71" s="463" t="s">
        <v>225</v>
      </c>
      <c r="B71" s="466">
        <v>379.00700000000001</v>
      </c>
      <c r="C71" s="466">
        <v>268.93599999999998</v>
      </c>
      <c r="D71" s="466">
        <v>829.62400000000002</v>
      </c>
      <c r="E71" s="466">
        <v>2495.0610000000001</v>
      </c>
      <c r="F71" s="466">
        <v>2933.3270000000002</v>
      </c>
      <c r="G71" s="466">
        <v>4176.5020000000004</v>
      </c>
      <c r="H71" s="466">
        <v>1582.317</v>
      </c>
      <c r="I71" s="466">
        <v>11324.75</v>
      </c>
      <c r="J71" s="466">
        <v>31705.436000000002</v>
      </c>
      <c r="K71" s="466">
        <v>50528.976000000002</v>
      </c>
      <c r="L71" s="466">
        <v>31227.1</v>
      </c>
      <c r="M71" s="466">
        <v>11915.884</v>
      </c>
      <c r="N71" s="466">
        <v>60072.673999999999</v>
      </c>
      <c r="O71" s="466">
        <v>86461.182000000001</v>
      </c>
      <c r="P71" s="466">
        <v>69311.388000000006</v>
      </c>
      <c r="Q71" s="466">
        <v>91265.687000000005</v>
      </c>
      <c r="R71" s="466">
        <v>74986.543000000005</v>
      </c>
      <c r="S71" s="466">
        <v>343875.3</v>
      </c>
      <c r="T71" s="466">
        <v>374212</v>
      </c>
      <c r="U71" s="466">
        <v>287767</v>
      </c>
      <c r="V71" s="466">
        <v>352068</v>
      </c>
      <c r="W71" s="466">
        <v>373510.48885600001</v>
      </c>
      <c r="X71" s="466">
        <v>364223.51178599999</v>
      </c>
    </row>
    <row r="72" spans="1:24" x14ac:dyDescent="0.25">
      <c r="A72" s="463" t="s">
        <v>226</v>
      </c>
      <c r="B72" s="466">
        <v>0</v>
      </c>
      <c r="C72" s="466">
        <v>0</v>
      </c>
      <c r="D72" s="466">
        <v>0</v>
      </c>
      <c r="E72" s="466">
        <v>0</v>
      </c>
      <c r="F72" s="466">
        <v>0</v>
      </c>
      <c r="G72" s="466">
        <v>0</v>
      </c>
      <c r="H72" s="466">
        <v>0</v>
      </c>
      <c r="I72" s="466">
        <v>0</v>
      </c>
      <c r="J72" s="466">
        <v>0</v>
      </c>
      <c r="K72" s="466">
        <v>0</v>
      </c>
      <c r="L72" s="466">
        <v>0</v>
      </c>
      <c r="M72" s="466">
        <v>0</v>
      </c>
      <c r="N72" s="466">
        <v>0</v>
      </c>
      <c r="O72" s="466">
        <v>0</v>
      </c>
      <c r="P72" s="466">
        <v>1849.566</v>
      </c>
      <c r="Q72" s="466">
        <v>0</v>
      </c>
      <c r="R72" s="466">
        <v>701.32299999999998</v>
      </c>
      <c r="S72" s="466">
        <v>4661.7</v>
      </c>
      <c r="T72" s="479" t="s">
        <v>10</v>
      </c>
      <c r="U72" s="479">
        <v>250</v>
      </c>
      <c r="V72" s="479">
        <v>692</v>
      </c>
      <c r="W72" s="479" t="s">
        <v>10</v>
      </c>
      <c r="X72" s="479" t="s">
        <v>10</v>
      </c>
    </row>
    <row r="73" spans="1:24" x14ac:dyDescent="0.25">
      <c r="A73" s="463" t="s">
        <v>227</v>
      </c>
      <c r="B73" s="466">
        <v>0</v>
      </c>
      <c r="C73" s="466">
        <v>2.25</v>
      </c>
      <c r="D73" s="466">
        <v>0</v>
      </c>
      <c r="E73" s="466">
        <v>1074.06</v>
      </c>
      <c r="F73" s="466">
        <v>1786.7840000000001</v>
      </c>
      <c r="G73" s="466">
        <v>10.967000000000001</v>
      </c>
      <c r="H73" s="466">
        <v>341.17700000000002</v>
      </c>
      <c r="I73" s="466">
        <v>2329.9349999999999</v>
      </c>
      <c r="J73" s="466">
        <v>673.31299999999999</v>
      </c>
      <c r="K73" s="466">
        <v>1435.45</v>
      </c>
      <c r="L73" s="466">
        <v>953.4</v>
      </c>
      <c r="M73" s="466">
        <v>1481.624</v>
      </c>
      <c r="N73" s="466">
        <v>2558.6990000000001</v>
      </c>
      <c r="O73" s="466">
        <v>1388.877</v>
      </c>
      <c r="P73" s="466">
        <v>1412.9110000000001</v>
      </c>
      <c r="Q73" s="466">
        <v>646.80600000000004</v>
      </c>
      <c r="R73" s="466">
        <v>1567.8779999999999</v>
      </c>
      <c r="S73" s="466">
        <v>18337.400000000001</v>
      </c>
      <c r="T73" s="466">
        <v>17047</v>
      </c>
      <c r="U73" s="466">
        <v>4097</v>
      </c>
      <c r="V73" s="466">
        <v>3134</v>
      </c>
      <c r="W73" s="466">
        <v>5938.3219250000002</v>
      </c>
      <c r="X73" s="466">
        <v>28870.585597000001</v>
      </c>
    </row>
    <row r="74" spans="1:24" x14ac:dyDescent="0.25">
      <c r="A74" s="463" t="s">
        <v>228</v>
      </c>
      <c r="B74" s="466">
        <v>0</v>
      </c>
      <c r="C74" s="466">
        <v>0</v>
      </c>
      <c r="D74" s="466">
        <v>0</v>
      </c>
      <c r="E74" s="466">
        <v>9.0999999999999998E-2</v>
      </c>
      <c r="F74" s="466">
        <v>0</v>
      </c>
      <c r="G74" s="466">
        <v>0</v>
      </c>
      <c r="H74" s="466">
        <v>0</v>
      </c>
      <c r="I74" s="466">
        <v>384.125</v>
      </c>
      <c r="J74" s="466">
        <v>28.843</v>
      </c>
      <c r="K74" s="466">
        <v>10.670999999999999</v>
      </c>
      <c r="L74" s="466">
        <v>0.1</v>
      </c>
      <c r="M74" s="466">
        <v>3334.8980000000001</v>
      </c>
      <c r="N74" s="466">
        <v>4682.3029999999999</v>
      </c>
      <c r="O74" s="466">
        <v>3214.5659999999998</v>
      </c>
      <c r="P74" s="466">
        <v>1519.4359999999999</v>
      </c>
      <c r="Q74" s="466">
        <v>2665.8829999999998</v>
      </c>
      <c r="R74" s="466">
        <v>3023.893</v>
      </c>
      <c r="S74" s="466">
        <v>2223.1999999999998</v>
      </c>
      <c r="T74" s="466">
        <v>13786</v>
      </c>
      <c r="U74" s="466">
        <v>5902</v>
      </c>
      <c r="V74" s="466">
        <v>3973</v>
      </c>
      <c r="W74" s="466">
        <v>4578.4650949999996</v>
      </c>
      <c r="X74" s="466">
        <v>6253.0230929999998</v>
      </c>
    </row>
    <row r="75" spans="1:24" x14ac:dyDescent="0.25">
      <c r="A75" s="463" t="s">
        <v>229</v>
      </c>
      <c r="B75" s="466">
        <v>0</v>
      </c>
      <c r="C75" s="466">
        <v>0</v>
      </c>
      <c r="D75" s="466">
        <v>0</v>
      </c>
      <c r="E75" s="466">
        <v>0</v>
      </c>
      <c r="F75" s="466">
        <v>0</v>
      </c>
      <c r="G75" s="466">
        <v>0</v>
      </c>
      <c r="H75" s="466">
        <v>0</v>
      </c>
      <c r="I75" s="466">
        <v>5.3760000000000003</v>
      </c>
      <c r="J75" s="466">
        <v>0</v>
      </c>
      <c r="K75" s="466">
        <v>0</v>
      </c>
      <c r="L75" s="466">
        <v>0</v>
      </c>
      <c r="M75" s="466">
        <v>297.68700000000001</v>
      </c>
      <c r="N75" s="466">
        <v>659.61300000000006</v>
      </c>
      <c r="O75" s="466">
        <v>2193.116</v>
      </c>
      <c r="P75" s="466">
        <v>2153.4720000000002</v>
      </c>
      <c r="Q75" s="466">
        <v>2185.5509999999999</v>
      </c>
      <c r="R75" s="466">
        <v>2083.1039999999998</v>
      </c>
      <c r="S75" s="466">
        <v>51.7</v>
      </c>
      <c r="T75" s="466">
        <v>2246</v>
      </c>
      <c r="U75" s="466">
        <v>2459</v>
      </c>
      <c r="V75" s="466">
        <v>2742</v>
      </c>
      <c r="W75" s="466">
        <v>3354.7731819999999</v>
      </c>
      <c r="X75" s="466">
        <v>4925.8300440000003</v>
      </c>
    </row>
    <row r="76" spans="1:24" x14ac:dyDescent="0.25">
      <c r="A76" s="463" t="s">
        <v>230</v>
      </c>
      <c r="B76" s="466">
        <v>189.78700000000001</v>
      </c>
      <c r="C76" s="466">
        <v>9.4480000000000004</v>
      </c>
      <c r="D76" s="466">
        <v>15.358000000000001</v>
      </c>
      <c r="E76" s="466">
        <v>20.177</v>
      </c>
      <c r="F76" s="466">
        <v>113.85299999999999</v>
      </c>
      <c r="G76" s="466">
        <v>87.218999999999994</v>
      </c>
      <c r="H76" s="466">
        <v>100.875</v>
      </c>
      <c r="I76" s="466">
        <v>331.65899999999999</v>
      </c>
      <c r="J76" s="466">
        <v>560.02599999999995</v>
      </c>
      <c r="K76" s="466">
        <v>907.79600000000005</v>
      </c>
      <c r="L76" s="466">
        <v>1388.2</v>
      </c>
      <c r="M76" s="466">
        <v>428.803</v>
      </c>
      <c r="N76" s="466">
        <v>1484.0909999999999</v>
      </c>
      <c r="O76" s="466">
        <v>1394.402</v>
      </c>
      <c r="P76" s="466">
        <v>1774.954</v>
      </c>
      <c r="Q76" s="466">
        <v>1724.0170000000001</v>
      </c>
      <c r="R76" s="466">
        <v>14839.168</v>
      </c>
      <c r="S76" s="466">
        <v>46936.7</v>
      </c>
      <c r="T76" s="466">
        <v>47462</v>
      </c>
      <c r="U76" s="466">
        <v>54428</v>
      </c>
      <c r="V76" s="466">
        <v>123054</v>
      </c>
      <c r="W76" s="466">
        <v>78801.141231000001</v>
      </c>
      <c r="X76" s="466">
        <v>43998.338581000004</v>
      </c>
    </row>
    <row r="77" spans="1:24" x14ac:dyDescent="0.25">
      <c r="A77" s="463" t="s">
        <v>231</v>
      </c>
      <c r="B77" s="466">
        <v>780.45299999999997</v>
      </c>
      <c r="C77" s="466">
        <v>534.96699999999998</v>
      </c>
      <c r="D77" s="466">
        <v>787.64200000000005</v>
      </c>
      <c r="E77" s="466">
        <v>499.51</v>
      </c>
      <c r="F77" s="466">
        <v>2128.319</v>
      </c>
      <c r="G77" s="466">
        <v>2344.4749999999999</v>
      </c>
      <c r="H77" s="466">
        <v>1024.087</v>
      </c>
      <c r="I77" s="466">
        <v>3654.1460000000002</v>
      </c>
      <c r="J77" s="466">
        <v>10757.592000000001</v>
      </c>
      <c r="K77" s="479">
        <v>11972.459000000001</v>
      </c>
      <c r="L77" s="466">
        <v>12274.159</v>
      </c>
      <c r="M77" s="466">
        <v>19586.076000000001</v>
      </c>
      <c r="N77" s="466">
        <v>64621.165000000001</v>
      </c>
      <c r="O77" s="466">
        <v>69556.70199999999</v>
      </c>
      <c r="P77" s="466">
        <v>70698.178</v>
      </c>
      <c r="Q77" s="466">
        <v>1951.6780000000001</v>
      </c>
      <c r="R77" s="466">
        <v>29580.147000000001</v>
      </c>
      <c r="S77" s="466">
        <v>54922.718999999997</v>
      </c>
      <c r="T77" s="466">
        <v>62162</v>
      </c>
      <c r="U77" s="479">
        <v>44454</v>
      </c>
      <c r="V77" s="479">
        <v>26376</v>
      </c>
      <c r="W77" s="479">
        <v>3023.5059380000002</v>
      </c>
      <c r="X77" s="479">
        <v>3791.454502</v>
      </c>
    </row>
    <row r="78" spans="1:24" x14ac:dyDescent="0.25">
      <c r="A78" s="459" t="s">
        <v>232</v>
      </c>
      <c r="B78" s="478">
        <v>8522.402</v>
      </c>
      <c r="C78" s="478">
        <v>11298.064999999999</v>
      </c>
      <c r="D78" s="478">
        <v>12525.748999999998</v>
      </c>
      <c r="E78" s="478">
        <v>14508.404000000002</v>
      </c>
      <c r="F78" s="478">
        <v>17935.343999999997</v>
      </c>
      <c r="G78" s="478">
        <v>19466.915999999997</v>
      </c>
      <c r="H78" s="478">
        <v>23559.292999999998</v>
      </c>
      <c r="I78" s="478">
        <v>28321.655999999999</v>
      </c>
      <c r="J78" s="478">
        <v>38894.539000000004</v>
      </c>
      <c r="K78" s="478">
        <v>52108.575000000004</v>
      </c>
      <c r="L78" s="478">
        <v>64860.573000000011</v>
      </c>
      <c r="M78" s="478">
        <v>104318.59299999999</v>
      </c>
      <c r="N78" s="478">
        <v>149410.38</v>
      </c>
      <c r="O78" s="478">
        <v>242846.04</v>
      </c>
      <c r="P78" s="478">
        <v>396308.16300000006</v>
      </c>
      <c r="Q78" s="478">
        <v>516369.76199999999</v>
      </c>
      <c r="R78" s="478">
        <v>876226.35100000002</v>
      </c>
      <c r="S78" s="478">
        <v>1288580.0490000001</v>
      </c>
      <c r="T78" s="478">
        <v>1601255</v>
      </c>
      <c r="U78" s="478">
        <v>1964436</v>
      </c>
      <c r="V78" s="478">
        <v>2991838</v>
      </c>
      <c r="W78" s="478">
        <v>3599727</v>
      </c>
      <c r="X78" s="478">
        <v>6277057.0425180001</v>
      </c>
    </row>
    <row r="79" spans="1:24" x14ac:dyDescent="0.25">
      <c r="A79" s="463" t="s">
        <v>233</v>
      </c>
      <c r="B79" s="466">
        <v>15841.834000000001</v>
      </c>
      <c r="C79" s="466">
        <v>18899.706999999999</v>
      </c>
      <c r="D79" s="466">
        <v>21015.758999999998</v>
      </c>
      <c r="E79" s="466">
        <v>22320.559000000001</v>
      </c>
      <c r="F79" s="466">
        <v>36203.472999999998</v>
      </c>
      <c r="G79" s="466">
        <v>48833.076999999997</v>
      </c>
      <c r="H79" s="466">
        <v>54744.036999999997</v>
      </c>
      <c r="I79" s="466">
        <v>55950.180999999997</v>
      </c>
      <c r="J79" s="466">
        <v>58095.754000000001</v>
      </c>
      <c r="K79" s="479">
        <v>94074.27</v>
      </c>
      <c r="L79" s="466">
        <v>141200.84400000001</v>
      </c>
      <c r="M79" s="466">
        <v>130005.879</v>
      </c>
      <c r="N79" s="466">
        <v>282794.73499999999</v>
      </c>
      <c r="O79" s="466">
        <v>424703.25300000003</v>
      </c>
      <c r="P79" s="466">
        <v>564551.51300000004</v>
      </c>
      <c r="Q79" s="466">
        <v>596643.32299999997</v>
      </c>
      <c r="R79" s="466">
        <v>1151916.22</v>
      </c>
      <c r="S79" s="466">
        <v>1722594.6440000001</v>
      </c>
      <c r="T79" s="466">
        <v>1996468</v>
      </c>
      <c r="U79" s="466">
        <v>2620265</v>
      </c>
      <c r="V79" s="466">
        <v>4621296</v>
      </c>
      <c r="W79" s="466">
        <v>5262124</v>
      </c>
      <c r="X79" s="466">
        <v>5028046.790457</v>
      </c>
    </row>
    <row r="80" spans="1:24" x14ac:dyDescent="0.25">
      <c r="A80" s="463" t="s">
        <v>234</v>
      </c>
      <c r="B80" s="464">
        <v>-7793.3519999999999</v>
      </c>
      <c r="C80" s="464">
        <v>-9280.5069999999996</v>
      </c>
      <c r="D80" s="464">
        <v>-10102.331</v>
      </c>
      <c r="E80" s="464">
        <v>-9311.7489999999998</v>
      </c>
      <c r="F80" s="464">
        <v>-20040.844000000001</v>
      </c>
      <c r="G80" s="464">
        <v>-30499.056</v>
      </c>
      <c r="H80" s="464">
        <v>-33160.883999999998</v>
      </c>
      <c r="I80" s="464">
        <v>-29133.994999999999</v>
      </c>
      <c r="J80" s="464">
        <v>-20251.099999999999</v>
      </c>
      <c r="K80" s="464">
        <v>-47548.6</v>
      </c>
      <c r="L80" s="464">
        <v>-81633</v>
      </c>
      <c r="M80" s="464">
        <v>-49754</v>
      </c>
      <c r="N80" s="464">
        <v>-150330</v>
      </c>
      <c r="O80" s="464">
        <v>-234301</v>
      </c>
      <c r="P80" s="464">
        <v>-269833</v>
      </c>
      <c r="Q80" s="464">
        <v>-171140</v>
      </c>
      <c r="R80" s="464">
        <v>-490903</v>
      </c>
      <c r="S80" s="464">
        <v>-789437</v>
      </c>
      <c r="T80" s="464">
        <v>-727801</v>
      </c>
      <c r="U80" s="464">
        <v>-1011664</v>
      </c>
      <c r="V80" s="464">
        <v>-2299603</v>
      </c>
      <c r="W80" s="464">
        <v>-2355629</v>
      </c>
      <c r="X80" s="464">
        <v>-835919.24293900002</v>
      </c>
    </row>
    <row r="81" spans="1:24" x14ac:dyDescent="0.25">
      <c r="A81" s="463" t="s">
        <v>235</v>
      </c>
      <c r="B81" s="466">
        <v>8048.4820000000009</v>
      </c>
      <c r="C81" s="466">
        <v>9619.2000000000007</v>
      </c>
      <c r="D81" s="466">
        <v>10913.427999999998</v>
      </c>
      <c r="E81" s="466">
        <v>13008.81</v>
      </c>
      <c r="F81" s="466">
        <v>16162.628999999997</v>
      </c>
      <c r="G81" s="466">
        <v>18334.020999999997</v>
      </c>
      <c r="H81" s="466">
        <v>21583.152999999998</v>
      </c>
      <c r="I81" s="466">
        <v>26816.185999999998</v>
      </c>
      <c r="J81" s="466">
        <v>37844.654000000002</v>
      </c>
      <c r="K81" s="466">
        <v>46525.67</v>
      </c>
      <c r="L81" s="466">
        <v>59567.54800000001</v>
      </c>
      <c r="M81" s="466">
        <v>80252.053</v>
      </c>
      <c r="N81" s="466">
        <v>132464.70000000001</v>
      </c>
      <c r="O81" s="466">
        <v>190402.21500000003</v>
      </c>
      <c r="P81" s="466">
        <v>294718.93700000003</v>
      </c>
      <c r="Q81" s="466">
        <v>425503.77899999998</v>
      </c>
      <c r="R81" s="466">
        <v>661013.16899999999</v>
      </c>
      <c r="S81" s="466">
        <v>933157.71300000011</v>
      </c>
      <c r="T81" s="466">
        <v>1268667</v>
      </c>
      <c r="U81" s="466">
        <v>1608601</v>
      </c>
      <c r="V81" s="466">
        <v>2321693</v>
      </c>
      <c r="W81" s="466">
        <v>2906495</v>
      </c>
      <c r="X81" s="466">
        <v>4192127.547518</v>
      </c>
    </row>
    <row r="82" spans="1:24" x14ac:dyDescent="0.25">
      <c r="A82" s="463" t="s">
        <v>236</v>
      </c>
      <c r="B82" s="466">
        <v>473.92</v>
      </c>
      <c r="C82" s="466">
        <v>1678.865</v>
      </c>
      <c r="D82" s="466">
        <v>1612.3209999999999</v>
      </c>
      <c r="E82" s="466">
        <v>1499.5940000000001</v>
      </c>
      <c r="F82" s="466">
        <v>1772.7149999999999</v>
      </c>
      <c r="G82" s="466">
        <v>1132.895</v>
      </c>
      <c r="H82" s="466">
        <v>1976.14</v>
      </c>
      <c r="I82" s="466">
        <v>1505.47</v>
      </c>
      <c r="J82" s="466">
        <v>1049.885</v>
      </c>
      <c r="K82" s="466">
        <v>5582.9049999999997</v>
      </c>
      <c r="L82" s="466">
        <v>5293.0249999999996</v>
      </c>
      <c r="M82" s="466">
        <v>34539.188000000002</v>
      </c>
      <c r="N82" s="466">
        <v>16945.68</v>
      </c>
      <c r="O82" s="466">
        <v>52443.824999999997</v>
      </c>
      <c r="P82" s="466">
        <v>101589.226</v>
      </c>
      <c r="Q82" s="466">
        <v>90865.982999999993</v>
      </c>
      <c r="R82" s="466">
        <v>215213.182</v>
      </c>
      <c r="S82" s="466">
        <v>355422.33600000001</v>
      </c>
      <c r="T82" s="466">
        <v>332588</v>
      </c>
      <c r="U82" s="466">
        <v>355835</v>
      </c>
      <c r="V82" s="466">
        <v>670145</v>
      </c>
      <c r="W82" s="466">
        <v>693232</v>
      </c>
      <c r="X82" s="466">
        <v>2084929.4950000001</v>
      </c>
    </row>
    <row r="83" spans="1:24" x14ac:dyDescent="0.25">
      <c r="A83" s="459" t="s">
        <v>237</v>
      </c>
      <c r="B83" s="478">
        <v>10766.592000000001</v>
      </c>
      <c r="C83" s="478">
        <v>10248.022999999999</v>
      </c>
      <c r="D83" s="478">
        <v>13136.807999999999</v>
      </c>
      <c r="E83" s="478">
        <v>16538.077000000001</v>
      </c>
      <c r="F83" s="478">
        <v>18914.722000000002</v>
      </c>
      <c r="G83" s="478">
        <v>18789.632000000001</v>
      </c>
      <c r="H83" s="478">
        <v>18052.383000000002</v>
      </c>
      <c r="I83" s="478">
        <v>23029.131999999998</v>
      </c>
      <c r="J83" s="478">
        <v>32224.578000000001</v>
      </c>
      <c r="K83" s="478">
        <v>57347.65</v>
      </c>
      <c r="L83" s="478">
        <v>66546.228999999992</v>
      </c>
      <c r="M83" s="478">
        <v>84109.061999999991</v>
      </c>
      <c r="N83" s="478">
        <v>138286.43600000002</v>
      </c>
      <c r="O83" s="478">
        <v>242076.212</v>
      </c>
      <c r="P83" s="478">
        <v>484567.58300000004</v>
      </c>
      <c r="Q83" s="478">
        <v>767164.82499999995</v>
      </c>
      <c r="R83" s="478">
        <v>1080677.2009999999</v>
      </c>
      <c r="S83" s="478">
        <v>1825056.334</v>
      </c>
      <c r="T83" s="478">
        <v>1954163</v>
      </c>
      <c r="U83" s="478">
        <v>1879468</v>
      </c>
      <c r="V83" s="478">
        <v>1693617</v>
      </c>
      <c r="W83" s="478">
        <v>2199707</v>
      </c>
      <c r="X83" s="478">
        <v>2489670.5782029997</v>
      </c>
    </row>
    <row r="84" spans="1:24" x14ac:dyDescent="0.25">
      <c r="A84" s="463" t="s">
        <v>238</v>
      </c>
      <c r="B84" s="466">
        <v>1930.356</v>
      </c>
      <c r="C84" s="466">
        <v>1290.7360000000001</v>
      </c>
      <c r="D84" s="466">
        <v>2201.3850000000002</v>
      </c>
      <c r="E84" s="466">
        <v>1518.5630000000001</v>
      </c>
      <c r="F84" s="466">
        <v>2921.5509999999999</v>
      </c>
      <c r="G84" s="466">
        <v>2415.3440000000001</v>
      </c>
      <c r="H84" s="466">
        <v>2280.114</v>
      </c>
      <c r="I84" s="466">
        <v>5852.8109999999997</v>
      </c>
      <c r="J84" s="466">
        <v>7586.5249999999996</v>
      </c>
      <c r="K84" s="466">
        <v>15155.29</v>
      </c>
      <c r="L84" s="466">
        <v>14279.4</v>
      </c>
      <c r="M84" s="466">
        <v>11135.915999999999</v>
      </c>
      <c r="N84" s="466">
        <v>25307.964</v>
      </c>
      <c r="O84" s="466">
        <v>46047.095000000001</v>
      </c>
      <c r="P84" s="466">
        <v>109081.29</v>
      </c>
      <c r="Q84" s="466">
        <v>188035.19099999999</v>
      </c>
      <c r="R84" s="466">
        <v>295621.45500000002</v>
      </c>
      <c r="S84" s="466">
        <v>467585.2</v>
      </c>
      <c r="T84" s="466">
        <v>482128</v>
      </c>
      <c r="U84" s="466">
        <v>512225</v>
      </c>
      <c r="V84" s="466">
        <v>413048</v>
      </c>
      <c r="W84" s="466">
        <v>532933</v>
      </c>
      <c r="X84" s="466">
        <v>362411.96842400002</v>
      </c>
    </row>
    <row r="85" spans="1:24" x14ac:dyDescent="0.25">
      <c r="A85" s="463" t="s">
        <v>239</v>
      </c>
      <c r="B85" s="466">
        <v>412.57</v>
      </c>
      <c r="C85" s="466">
        <v>367.65100000000001</v>
      </c>
      <c r="D85" s="466">
        <v>407.928</v>
      </c>
      <c r="E85" s="466">
        <v>729.36900000000003</v>
      </c>
      <c r="F85" s="466">
        <v>1473.981</v>
      </c>
      <c r="G85" s="466">
        <v>2460.2759999999998</v>
      </c>
      <c r="H85" s="466">
        <v>1074.759</v>
      </c>
      <c r="I85" s="466">
        <v>1512.0060000000001</v>
      </c>
      <c r="J85" s="466">
        <v>1506.6179999999999</v>
      </c>
      <c r="K85" s="466">
        <v>2188.6320000000001</v>
      </c>
      <c r="L85" s="466">
        <v>1679</v>
      </c>
      <c r="M85" s="466">
        <v>2699.1</v>
      </c>
      <c r="N85" s="466">
        <v>4865.0129999999999</v>
      </c>
      <c r="O85" s="466">
        <v>9257.3179999999993</v>
      </c>
      <c r="P85" s="466">
        <v>18025.683000000001</v>
      </c>
      <c r="Q85" s="466">
        <v>17246.605</v>
      </c>
      <c r="R85" s="466">
        <v>52178.718999999997</v>
      </c>
      <c r="S85" s="466">
        <v>185251.4</v>
      </c>
      <c r="T85" s="466">
        <v>236492</v>
      </c>
      <c r="U85" s="466">
        <v>238560</v>
      </c>
      <c r="V85" s="466">
        <v>225350</v>
      </c>
      <c r="W85" s="466">
        <v>447058</v>
      </c>
      <c r="X85" s="466">
        <v>574603.14455600001</v>
      </c>
    </row>
    <row r="86" spans="1:24" x14ac:dyDescent="0.25">
      <c r="A86" s="463" t="s">
        <v>240</v>
      </c>
      <c r="B86" s="466">
        <v>1713.2159999999999</v>
      </c>
      <c r="C86" s="466">
        <v>2190.8409999999999</v>
      </c>
      <c r="D86" s="466">
        <v>1002.401</v>
      </c>
      <c r="E86" s="466">
        <v>2716.9560000000001</v>
      </c>
      <c r="F86" s="466">
        <v>1913.0139999999999</v>
      </c>
      <c r="G86" s="466">
        <v>2205.9360000000001</v>
      </c>
      <c r="H86" s="466">
        <v>1941.48</v>
      </c>
      <c r="I86" s="466">
        <v>3331.0639999999999</v>
      </c>
      <c r="J86" s="466">
        <v>4510.74</v>
      </c>
      <c r="K86" s="466">
        <v>15558.797</v>
      </c>
      <c r="L86" s="466">
        <v>12344.6</v>
      </c>
      <c r="M86" s="466">
        <v>14021.824000000001</v>
      </c>
      <c r="N86" s="466">
        <v>18617.772000000001</v>
      </c>
      <c r="O86" s="466">
        <v>58290.307000000001</v>
      </c>
      <c r="P86" s="466">
        <v>149660.52499999999</v>
      </c>
      <c r="Q86" s="466">
        <v>245134.217</v>
      </c>
      <c r="R86" s="466">
        <v>226262.329</v>
      </c>
      <c r="S86" s="466">
        <v>447350.3</v>
      </c>
      <c r="T86" s="466">
        <v>579116</v>
      </c>
      <c r="U86" s="466">
        <v>367859</v>
      </c>
      <c r="V86" s="466">
        <v>366678</v>
      </c>
      <c r="W86" s="466">
        <v>302637</v>
      </c>
      <c r="X86" s="466">
        <v>212500.512705</v>
      </c>
    </row>
    <row r="87" spans="1:24" x14ac:dyDescent="0.25">
      <c r="A87" s="463" t="s">
        <v>241</v>
      </c>
      <c r="B87" s="466">
        <v>591.42600000000004</v>
      </c>
      <c r="C87" s="466">
        <v>373.89699999999999</v>
      </c>
      <c r="D87" s="466">
        <v>516.93600000000004</v>
      </c>
      <c r="E87" s="466">
        <v>822.49</v>
      </c>
      <c r="F87" s="466">
        <v>1103.662</v>
      </c>
      <c r="G87" s="466">
        <v>1796.9580000000001</v>
      </c>
      <c r="H87" s="466">
        <v>670.99300000000005</v>
      </c>
      <c r="I87" s="466">
        <v>1676.787</v>
      </c>
      <c r="J87" s="466">
        <v>1693.69</v>
      </c>
      <c r="K87" s="466">
        <v>2188.7429999999999</v>
      </c>
      <c r="L87" s="466">
        <v>4595.8999999999996</v>
      </c>
      <c r="M87" s="466">
        <v>11704.388999999999</v>
      </c>
      <c r="N87" s="466">
        <v>6309.3220000000001</v>
      </c>
      <c r="O87" s="466">
        <v>9677.8870000000006</v>
      </c>
      <c r="P87" s="466">
        <v>9549.3080000000009</v>
      </c>
      <c r="Q87" s="466">
        <v>8668.643</v>
      </c>
      <c r="R87" s="466">
        <v>35330.379000000001</v>
      </c>
      <c r="S87" s="466">
        <v>42588.6</v>
      </c>
      <c r="T87" s="466">
        <v>31619</v>
      </c>
      <c r="U87" s="466">
        <v>28217</v>
      </c>
      <c r="V87" s="466">
        <v>42327</v>
      </c>
      <c r="W87" s="466">
        <v>86067</v>
      </c>
      <c r="X87" s="466">
        <v>26735.997404999998</v>
      </c>
    </row>
    <row r="88" spans="1:24" x14ac:dyDescent="0.25">
      <c r="A88" s="463" t="s">
        <v>242</v>
      </c>
      <c r="B88" s="466">
        <v>110.175</v>
      </c>
      <c r="C88" s="466">
        <v>199.988</v>
      </c>
      <c r="D88" s="466">
        <v>605.024</v>
      </c>
      <c r="E88" s="466">
        <v>1618.941</v>
      </c>
      <c r="F88" s="466">
        <v>1339.4780000000001</v>
      </c>
      <c r="G88" s="466">
        <v>499.85899999999998</v>
      </c>
      <c r="H88" s="466">
        <v>1087.6590000000001</v>
      </c>
      <c r="I88" s="466">
        <v>1325.453</v>
      </c>
      <c r="J88" s="466">
        <v>1627.7829999999999</v>
      </c>
      <c r="K88" s="466">
        <v>890.49699999999996</v>
      </c>
      <c r="L88" s="466">
        <v>1597.2</v>
      </c>
      <c r="M88" s="466">
        <v>2130.598</v>
      </c>
      <c r="N88" s="466">
        <v>3782.5129999999999</v>
      </c>
      <c r="O88" s="466">
        <v>5618.4639999999999</v>
      </c>
      <c r="P88" s="466">
        <v>6682.451</v>
      </c>
      <c r="Q88" s="466">
        <v>13252.516</v>
      </c>
      <c r="R88" s="466">
        <v>16152.415999999999</v>
      </c>
      <c r="S88" s="466">
        <v>54361.4</v>
      </c>
      <c r="T88" s="466">
        <v>75394</v>
      </c>
      <c r="U88" s="466">
        <v>32220</v>
      </c>
      <c r="V88" s="466">
        <v>43561</v>
      </c>
      <c r="W88" s="466">
        <v>30289</v>
      </c>
      <c r="X88" s="466">
        <v>22734.527948999999</v>
      </c>
    </row>
    <row r="89" spans="1:24" x14ac:dyDescent="0.25">
      <c r="A89" s="463" t="s">
        <v>243</v>
      </c>
      <c r="B89" s="466">
        <v>5612.1319999999996</v>
      </c>
      <c r="C89" s="466">
        <v>5009.2950000000001</v>
      </c>
      <c r="D89" s="466">
        <v>7539.5950000000003</v>
      </c>
      <c r="E89" s="466">
        <v>8075.5630000000001</v>
      </c>
      <c r="F89" s="466">
        <v>9187.4500000000007</v>
      </c>
      <c r="G89" s="466">
        <v>8338.616</v>
      </c>
      <c r="H89" s="466">
        <v>9718.14</v>
      </c>
      <c r="I89" s="466">
        <v>7945.4449999999997</v>
      </c>
      <c r="J89" s="466">
        <v>14436.808999999999</v>
      </c>
      <c r="K89" s="466">
        <v>20419.584999999999</v>
      </c>
      <c r="L89" s="466">
        <v>29224.1</v>
      </c>
      <c r="M89" s="466">
        <v>40836.5</v>
      </c>
      <c r="N89" s="466">
        <v>73898.921000000002</v>
      </c>
      <c r="O89" s="466">
        <v>108982.27</v>
      </c>
      <c r="P89" s="466">
        <v>182947.66200000001</v>
      </c>
      <c r="Q89" s="466">
        <v>277057.13</v>
      </c>
      <c r="R89" s="466">
        <v>414221.99300000002</v>
      </c>
      <c r="S89" s="466">
        <v>561068.80000000005</v>
      </c>
      <c r="T89" s="466">
        <v>460529</v>
      </c>
      <c r="U89" s="466">
        <v>612778</v>
      </c>
      <c r="V89" s="466">
        <v>551756</v>
      </c>
      <c r="W89" s="466">
        <v>748324</v>
      </c>
      <c r="X89" s="466">
        <v>1230126.8966039999</v>
      </c>
    </row>
    <row r="90" spans="1:24" x14ac:dyDescent="0.25">
      <c r="A90" s="463" t="s">
        <v>244</v>
      </c>
      <c r="B90" s="466">
        <v>156.351</v>
      </c>
      <c r="C90" s="466">
        <v>310.17399999999998</v>
      </c>
      <c r="D90" s="466">
        <v>295.87299999999999</v>
      </c>
      <c r="E90" s="466">
        <v>583.74900000000002</v>
      </c>
      <c r="F90" s="466">
        <v>491.94099999999997</v>
      </c>
      <c r="G90" s="466">
        <v>533.803</v>
      </c>
      <c r="H90" s="466">
        <v>647.04899999999998</v>
      </c>
      <c r="I90" s="466">
        <v>691.24800000000005</v>
      </c>
      <c r="J90" s="466">
        <v>119.59399999999999</v>
      </c>
      <c r="K90" s="464">
        <v>-225.274</v>
      </c>
      <c r="L90" s="466">
        <v>241.4</v>
      </c>
      <c r="M90" s="466">
        <v>-506.50599999999997</v>
      </c>
      <c r="N90" s="466">
        <v>471.26799999999997</v>
      </c>
      <c r="O90" s="466">
        <v>1644.509</v>
      </c>
      <c r="P90" s="466">
        <v>3708.817</v>
      </c>
      <c r="Q90" s="466">
        <v>11999.314</v>
      </c>
      <c r="R90" s="466">
        <v>27173.675999999999</v>
      </c>
      <c r="S90" s="466">
        <v>55939</v>
      </c>
      <c r="T90" s="466">
        <v>81049</v>
      </c>
      <c r="U90" s="466">
        <v>83586</v>
      </c>
      <c r="V90" s="466">
        <v>48728</v>
      </c>
      <c r="W90" s="466">
        <v>49944</v>
      </c>
      <c r="X90" s="466">
        <v>58590.695796</v>
      </c>
    </row>
    <row r="91" spans="1:24" x14ac:dyDescent="0.25">
      <c r="A91" s="463" t="s">
        <v>245</v>
      </c>
      <c r="B91" s="466">
        <v>235.69</v>
      </c>
      <c r="C91" s="466">
        <v>474.27600000000001</v>
      </c>
      <c r="D91" s="466">
        <v>459.66699999999997</v>
      </c>
      <c r="E91" s="466">
        <v>374.46699999999998</v>
      </c>
      <c r="F91" s="466">
        <v>449.68599999999998</v>
      </c>
      <c r="G91" s="466">
        <v>522.90200000000004</v>
      </c>
      <c r="H91" s="466">
        <v>625.29300000000001</v>
      </c>
      <c r="I91" s="466">
        <v>685.68899999999996</v>
      </c>
      <c r="J91" s="466">
        <v>733.55499999999995</v>
      </c>
      <c r="K91" s="466">
        <v>1163.4880000000001</v>
      </c>
      <c r="L91" s="466">
        <v>2569.6</v>
      </c>
      <c r="M91" s="466">
        <v>2070.703</v>
      </c>
      <c r="N91" s="466">
        <v>5017.125</v>
      </c>
      <c r="O91" s="466">
        <v>2541.8240000000001</v>
      </c>
      <c r="P91" s="466">
        <v>4895.3090000000002</v>
      </c>
      <c r="Q91" s="466">
        <v>5754.6710000000003</v>
      </c>
      <c r="R91" s="466">
        <v>13732.196</v>
      </c>
      <c r="S91" s="466">
        <v>10907.6</v>
      </c>
      <c r="T91" s="466">
        <v>7836</v>
      </c>
      <c r="U91" s="466">
        <v>4023</v>
      </c>
      <c r="V91" s="466">
        <v>2169</v>
      </c>
      <c r="W91" s="466">
        <v>2455</v>
      </c>
      <c r="X91" s="466">
        <v>1966.834764</v>
      </c>
    </row>
    <row r="92" spans="1:24" x14ac:dyDescent="0.25">
      <c r="A92" s="463" t="s">
        <v>246</v>
      </c>
      <c r="B92" s="466">
        <v>4.6760000000000002</v>
      </c>
      <c r="C92" s="466">
        <v>31.164999999999999</v>
      </c>
      <c r="D92" s="466">
        <v>107.999</v>
      </c>
      <c r="E92" s="466">
        <v>97.978999999999999</v>
      </c>
      <c r="F92" s="466">
        <v>33.959000000000003</v>
      </c>
      <c r="G92" s="466">
        <v>15.938000000000001</v>
      </c>
      <c r="H92" s="466">
        <v>6.8959999999999999</v>
      </c>
      <c r="I92" s="466">
        <v>8.6289999999999996</v>
      </c>
      <c r="J92" s="466">
        <v>9.2639999999999993</v>
      </c>
      <c r="K92" s="466">
        <v>7.8920000000000003</v>
      </c>
      <c r="L92" s="466">
        <v>15.029</v>
      </c>
      <c r="M92" s="466">
        <v>16.538</v>
      </c>
      <c r="N92" s="466">
        <v>16.538</v>
      </c>
      <c r="O92" s="466">
        <v>16.538</v>
      </c>
      <c r="P92" s="466">
        <v>16.538</v>
      </c>
      <c r="Q92" s="466">
        <v>16.538</v>
      </c>
      <c r="R92" s="466">
        <v>4.0380000000000003</v>
      </c>
      <c r="S92" s="466">
        <v>4.0339999999999998</v>
      </c>
      <c r="T92" s="479">
        <v>0</v>
      </c>
      <c r="U92" s="479">
        <v>0</v>
      </c>
      <c r="V92" s="479">
        <v>0</v>
      </c>
      <c r="W92" s="479">
        <v>0</v>
      </c>
      <c r="X92" s="479">
        <v>0</v>
      </c>
    </row>
    <row r="93" spans="1:24" x14ac:dyDescent="0.25">
      <c r="A93" s="459" t="s">
        <v>247</v>
      </c>
      <c r="B93" s="478">
        <v>5183.5</v>
      </c>
      <c r="C93" s="478">
        <v>6926.8620000000001</v>
      </c>
      <c r="D93" s="478">
        <v>6753.0820000000003</v>
      </c>
      <c r="E93" s="478">
        <v>7504.143</v>
      </c>
      <c r="F93" s="478">
        <v>10261.368</v>
      </c>
      <c r="G93" s="478">
        <v>13150.227999999999</v>
      </c>
      <c r="H93" s="478">
        <v>16989.775999999998</v>
      </c>
      <c r="I93" s="478">
        <v>31755.894999999997</v>
      </c>
      <c r="J93" s="478">
        <v>47864.188000000002</v>
      </c>
      <c r="K93" s="478">
        <v>47707.805999999997</v>
      </c>
      <c r="L93" s="478">
        <v>64228</v>
      </c>
      <c r="M93" s="478">
        <v>100970.489</v>
      </c>
      <c r="N93" s="478">
        <v>137910.75599999999</v>
      </c>
      <c r="O93" s="478">
        <v>166902.573</v>
      </c>
      <c r="P93" s="478">
        <v>328220.41399999999</v>
      </c>
      <c r="Q93" s="478">
        <v>286489.03899999999</v>
      </c>
      <c r="R93" s="478">
        <v>456618.22499999998</v>
      </c>
      <c r="S93" s="478">
        <v>515084.97399999999</v>
      </c>
      <c r="T93" s="478">
        <v>827026</v>
      </c>
      <c r="U93" s="478">
        <v>741962</v>
      </c>
      <c r="V93" s="478">
        <v>1034832</v>
      </c>
      <c r="W93" s="478">
        <v>685209</v>
      </c>
      <c r="X93" s="478">
        <v>731551.24467099993</v>
      </c>
    </row>
    <row r="94" spans="1:24" x14ac:dyDescent="0.25">
      <c r="A94" s="463" t="s">
        <v>248</v>
      </c>
      <c r="B94" s="466">
        <v>487.69299999999998</v>
      </c>
      <c r="C94" s="466">
        <v>2234.7919999999999</v>
      </c>
      <c r="D94" s="466">
        <v>2300.8429999999998</v>
      </c>
      <c r="E94" s="466">
        <v>1491.415</v>
      </c>
      <c r="F94" s="466">
        <v>522.31799999999998</v>
      </c>
      <c r="G94" s="466">
        <v>3318.0210000000002</v>
      </c>
      <c r="H94" s="466">
        <v>1196.894</v>
      </c>
      <c r="I94" s="466">
        <v>4028.9639999999999</v>
      </c>
      <c r="J94" s="466">
        <v>7615.7730000000001</v>
      </c>
      <c r="K94" s="466">
        <v>19909.196</v>
      </c>
      <c r="L94" s="466">
        <v>31154.2</v>
      </c>
      <c r="M94" s="466">
        <v>42698.923999999999</v>
      </c>
      <c r="N94" s="466">
        <v>39700.641000000003</v>
      </c>
      <c r="O94" s="466">
        <v>80638.525999999998</v>
      </c>
      <c r="P94" s="466">
        <v>217978.94</v>
      </c>
      <c r="Q94" s="466">
        <v>83206.285000000003</v>
      </c>
      <c r="R94" s="466">
        <v>272932.44099999999</v>
      </c>
      <c r="S94" s="466">
        <v>138997.29999999999</v>
      </c>
      <c r="T94" s="466">
        <v>352583</v>
      </c>
      <c r="U94" s="466">
        <v>275369</v>
      </c>
      <c r="V94" s="466">
        <v>559719</v>
      </c>
      <c r="W94" s="466">
        <v>178960</v>
      </c>
      <c r="X94" s="466">
        <v>172197.70486</v>
      </c>
    </row>
    <row r="95" spans="1:24" x14ac:dyDescent="0.25">
      <c r="A95" s="463" t="s">
        <v>249</v>
      </c>
      <c r="B95" s="466">
        <v>159.35900000000001</v>
      </c>
      <c r="C95" s="466">
        <v>209.92400000000001</v>
      </c>
      <c r="D95" s="466">
        <v>193.07900000000001</v>
      </c>
      <c r="E95" s="466">
        <v>173.25200000000001</v>
      </c>
      <c r="F95" s="466">
        <v>208.83</v>
      </c>
      <c r="G95" s="466">
        <v>359.678</v>
      </c>
      <c r="H95" s="466">
        <v>366.92399999999998</v>
      </c>
      <c r="I95" s="466">
        <v>401.88099999999997</v>
      </c>
      <c r="J95" s="466">
        <v>504.02</v>
      </c>
      <c r="K95" s="466">
        <v>662.92200000000003</v>
      </c>
      <c r="L95" s="466">
        <v>1015</v>
      </c>
      <c r="M95" s="466">
        <v>1453.64</v>
      </c>
      <c r="N95" s="466">
        <v>1358.5920000000001</v>
      </c>
      <c r="O95" s="466">
        <v>1238.3230000000001</v>
      </c>
      <c r="P95" s="466">
        <v>2073.3649999999998</v>
      </c>
      <c r="Q95" s="466">
        <v>4373.4639999999999</v>
      </c>
      <c r="R95" s="466">
        <v>2352.866</v>
      </c>
      <c r="S95" s="466">
        <v>4716.2</v>
      </c>
      <c r="T95" s="466">
        <v>5881</v>
      </c>
      <c r="U95" s="466">
        <v>4798</v>
      </c>
      <c r="V95" s="466">
        <v>1343</v>
      </c>
      <c r="W95" s="466">
        <v>7242</v>
      </c>
      <c r="X95" s="466">
        <v>2585.92274</v>
      </c>
    </row>
    <row r="96" spans="1:24" x14ac:dyDescent="0.25">
      <c r="A96" s="463" t="s">
        <v>250</v>
      </c>
      <c r="B96" s="466">
        <v>8.2309999999999999</v>
      </c>
      <c r="C96" s="466">
        <v>31.879000000000001</v>
      </c>
      <c r="D96" s="466">
        <v>105.15</v>
      </c>
      <c r="E96" s="466">
        <v>101.866</v>
      </c>
      <c r="F96" s="466">
        <v>1504.5060000000001</v>
      </c>
      <c r="G96" s="466">
        <v>1008.061</v>
      </c>
      <c r="H96" s="466">
        <v>1388.18</v>
      </c>
      <c r="I96" s="466">
        <v>3693.0189999999998</v>
      </c>
      <c r="J96" s="466">
        <v>5387.4380000000001</v>
      </c>
      <c r="K96" s="466">
        <v>1823.924</v>
      </c>
      <c r="L96" s="466">
        <v>3123.4</v>
      </c>
      <c r="M96" s="466">
        <v>6023.0569999999998</v>
      </c>
      <c r="N96" s="466">
        <v>9105.2950000000001</v>
      </c>
      <c r="O96" s="466">
        <v>15379.861000000001</v>
      </c>
      <c r="P96" s="466">
        <v>25267.758999999998</v>
      </c>
      <c r="Q96" s="466">
        <v>99490.034</v>
      </c>
      <c r="R96" s="466">
        <v>45688.682999999997</v>
      </c>
      <c r="S96" s="466">
        <v>124507.2</v>
      </c>
      <c r="T96" s="466">
        <v>206520</v>
      </c>
      <c r="U96" s="466">
        <v>165258</v>
      </c>
      <c r="V96" s="466">
        <v>183443</v>
      </c>
      <c r="W96" s="466">
        <v>150405</v>
      </c>
      <c r="X96" s="466">
        <v>89853.483363000007</v>
      </c>
    </row>
    <row r="97" spans="1:24" x14ac:dyDescent="0.25">
      <c r="A97" s="463" t="s">
        <v>251</v>
      </c>
      <c r="B97" s="466">
        <v>3.06</v>
      </c>
      <c r="C97" s="466">
        <v>166.94499999999999</v>
      </c>
      <c r="D97" s="466">
        <v>79.462999999999994</v>
      </c>
      <c r="E97" s="466">
        <v>114.512</v>
      </c>
      <c r="F97" s="466">
        <v>33.872</v>
      </c>
      <c r="G97" s="466">
        <v>11.907</v>
      </c>
      <c r="H97" s="466">
        <v>13.573</v>
      </c>
      <c r="I97" s="466">
        <v>132.56800000000001</v>
      </c>
      <c r="J97" s="466">
        <v>148.631</v>
      </c>
      <c r="K97" s="466">
        <v>11.532999999999999</v>
      </c>
      <c r="L97" s="466">
        <v>11.5</v>
      </c>
      <c r="M97" s="466">
        <v>11.461</v>
      </c>
      <c r="N97" s="466">
        <v>11.412000000000001</v>
      </c>
      <c r="O97" s="466">
        <v>11.6</v>
      </c>
      <c r="P97" s="466">
        <v>558.52499999999998</v>
      </c>
      <c r="Q97" s="466">
        <v>397.625</v>
      </c>
      <c r="R97" s="466">
        <v>1476.462</v>
      </c>
      <c r="S97" s="466">
        <v>269.60000000000002</v>
      </c>
      <c r="T97" s="466">
        <v>10</v>
      </c>
      <c r="U97" s="466">
        <v>11</v>
      </c>
      <c r="V97" s="479">
        <v>0</v>
      </c>
      <c r="W97" s="479">
        <v>0</v>
      </c>
      <c r="X97" s="479">
        <v>0</v>
      </c>
    </row>
    <row r="98" spans="1:24" x14ac:dyDescent="0.25">
      <c r="A98" s="463" t="s">
        <v>252</v>
      </c>
      <c r="B98" s="466">
        <v>0.13400000000000001</v>
      </c>
      <c r="C98" s="466">
        <v>5.5830000000000002</v>
      </c>
      <c r="D98" s="466">
        <v>5.4480000000000004</v>
      </c>
      <c r="E98" s="466">
        <v>8.6199999999999992</v>
      </c>
      <c r="F98" s="466">
        <v>10.246</v>
      </c>
      <c r="G98" s="466">
        <v>41.165999999999997</v>
      </c>
      <c r="H98" s="466">
        <v>24.529</v>
      </c>
      <c r="I98" s="466">
        <v>106.687</v>
      </c>
      <c r="J98" s="466">
        <v>141.14400000000001</v>
      </c>
      <c r="K98" s="466">
        <v>50.619</v>
      </c>
      <c r="L98" s="466">
        <v>183.1</v>
      </c>
      <c r="M98" s="466">
        <v>597.38900000000001</v>
      </c>
      <c r="N98" s="466">
        <v>125.705</v>
      </c>
      <c r="O98" s="466">
        <v>24.2</v>
      </c>
      <c r="P98" s="466">
        <v>972.702</v>
      </c>
      <c r="Q98" s="466">
        <v>2548.6390000000001</v>
      </c>
      <c r="R98" s="466">
        <v>3195.9110000000001</v>
      </c>
      <c r="S98" s="466">
        <v>783.3</v>
      </c>
      <c r="T98" s="466">
        <v>7822</v>
      </c>
      <c r="U98" s="466">
        <v>1145</v>
      </c>
      <c r="V98" s="466">
        <v>1288</v>
      </c>
      <c r="W98" s="466">
        <v>20596</v>
      </c>
      <c r="X98" s="479">
        <v>0</v>
      </c>
    </row>
    <row r="99" spans="1:24" x14ac:dyDescent="0.25">
      <c r="A99" s="463" t="s">
        <v>253</v>
      </c>
      <c r="B99" s="466">
        <v>55.488</v>
      </c>
      <c r="C99" s="466">
        <v>137.16800000000001</v>
      </c>
      <c r="D99" s="466">
        <v>190.33</v>
      </c>
      <c r="E99" s="466">
        <v>586.14200000000005</v>
      </c>
      <c r="F99" s="466">
        <v>346.94299999999998</v>
      </c>
      <c r="G99" s="466">
        <v>508.29399999999998</v>
      </c>
      <c r="H99" s="466">
        <v>639.54600000000005</v>
      </c>
      <c r="I99" s="466">
        <v>872.85599999999999</v>
      </c>
      <c r="J99" s="466">
        <v>1197.0609999999999</v>
      </c>
      <c r="K99" s="466">
        <v>1439.6959999999999</v>
      </c>
      <c r="L99" s="466">
        <v>2603</v>
      </c>
      <c r="M99" s="466">
        <v>915.976</v>
      </c>
      <c r="N99" s="466">
        <v>606.74400000000003</v>
      </c>
      <c r="O99" s="466">
        <v>409.67</v>
      </c>
      <c r="P99" s="466">
        <v>12103.733</v>
      </c>
      <c r="Q99" s="466">
        <v>12932.916999999999</v>
      </c>
      <c r="R99" s="466">
        <v>19188.978999999999</v>
      </c>
      <c r="S99" s="466">
        <v>12647.7</v>
      </c>
      <c r="T99" s="466">
        <v>8414</v>
      </c>
      <c r="U99" s="466">
        <v>5356</v>
      </c>
      <c r="V99" s="466">
        <v>88</v>
      </c>
      <c r="W99" s="466">
        <v>95</v>
      </c>
      <c r="X99" s="466">
        <v>95.411485999999996</v>
      </c>
    </row>
    <row r="100" spans="1:24" x14ac:dyDescent="0.25">
      <c r="A100" s="463" t="s">
        <v>254</v>
      </c>
      <c r="B100" s="466">
        <v>0</v>
      </c>
      <c r="C100" s="466">
        <v>0</v>
      </c>
      <c r="D100" s="466">
        <v>4.2999999999999997E-2</v>
      </c>
      <c r="E100" s="466">
        <v>0</v>
      </c>
      <c r="F100" s="466">
        <v>0</v>
      </c>
      <c r="G100" s="466">
        <v>0.10100000000000001</v>
      </c>
      <c r="H100" s="466">
        <v>5.3390000000000004</v>
      </c>
      <c r="I100" s="466">
        <v>8.23</v>
      </c>
      <c r="J100" s="466">
        <v>29.108000000000001</v>
      </c>
      <c r="K100" s="466">
        <v>48.947000000000003</v>
      </c>
      <c r="L100" s="466">
        <v>71.8</v>
      </c>
      <c r="M100" s="466">
        <v>53.289000000000001</v>
      </c>
      <c r="N100" s="466">
        <v>345.69099999999997</v>
      </c>
      <c r="O100" s="466">
        <v>4.6399999999999997</v>
      </c>
      <c r="P100" s="466">
        <v>11.532</v>
      </c>
      <c r="Q100" s="466">
        <v>14.728</v>
      </c>
      <c r="R100" s="466">
        <v>25.561</v>
      </c>
      <c r="S100" s="466">
        <v>4.3</v>
      </c>
      <c r="T100" s="466">
        <v>4</v>
      </c>
      <c r="U100" s="466">
        <v>4</v>
      </c>
      <c r="V100" s="466">
        <v>62</v>
      </c>
      <c r="W100" s="466">
        <v>5</v>
      </c>
      <c r="X100" s="466">
        <v>4.5095729999999996</v>
      </c>
    </row>
    <row r="101" spans="1:24" x14ac:dyDescent="0.25">
      <c r="A101" s="463" t="s">
        <v>255</v>
      </c>
      <c r="B101" s="466">
        <v>3538.8449999999998</v>
      </c>
      <c r="C101" s="466">
        <v>3235.2260000000001</v>
      </c>
      <c r="D101" s="466">
        <v>3081.076</v>
      </c>
      <c r="E101" s="466">
        <v>3811.277</v>
      </c>
      <c r="F101" s="466">
        <v>6194.1319999999996</v>
      </c>
      <c r="G101" s="466">
        <v>6042.4849999999997</v>
      </c>
      <c r="H101" s="466">
        <v>10773.344999999999</v>
      </c>
      <c r="I101" s="466">
        <v>17765.031999999999</v>
      </c>
      <c r="J101" s="466">
        <v>27364.058000000001</v>
      </c>
      <c r="K101" s="466">
        <v>15708.769</v>
      </c>
      <c r="L101" s="466">
        <v>15915.3</v>
      </c>
      <c r="M101" s="466">
        <v>38064.169000000002</v>
      </c>
      <c r="N101" s="466">
        <v>51452.2</v>
      </c>
      <c r="O101" s="466">
        <v>17511.058000000001</v>
      </c>
      <c r="P101" s="466">
        <v>8985.0740000000005</v>
      </c>
      <c r="Q101" s="466">
        <v>5824.2780000000002</v>
      </c>
      <c r="R101" s="466">
        <v>4963.4880000000003</v>
      </c>
      <c r="S101" s="466">
        <v>3795.2</v>
      </c>
      <c r="T101" s="466">
        <v>6554</v>
      </c>
      <c r="U101" s="466">
        <v>3162</v>
      </c>
      <c r="V101" s="466">
        <v>5551</v>
      </c>
      <c r="W101" s="466">
        <v>6618</v>
      </c>
      <c r="X101" s="466">
        <v>3810.0135730000002</v>
      </c>
    </row>
    <row r="102" spans="1:24" x14ac:dyDescent="0.25">
      <c r="A102" s="463" t="s">
        <v>256</v>
      </c>
      <c r="B102" s="466">
        <v>930.69</v>
      </c>
      <c r="C102" s="466">
        <v>905.34500000000003</v>
      </c>
      <c r="D102" s="466">
        <v>797.65</v>
      </c>
      <c r="E102" s="466">
        <v>1217.059</v>
      </c>
      <c r="F102" s="466">
        <v>1440.521</v>
      </c>
      <c r="G102" s="466">
        <v>1860.5150000000001</v>
      </c>
      <c r="H102" s="466">
        <v>2581.4459999999999</v>
      </c>
      <c r="I102" s="466">
        <v>4746.6580000000004</v>
      </c>
      <c r="J102" s="466">
        <v>5476.9549999999999</v>
      </c>
      <c r="K102" s="466">
        <v>8052.2</v>
      </c>
      <c r="L102" s="466">
        <v>10150.700000000001</v>
      </c>
      <c r="M102" s="466">
        <v>11152.584000000001</v>
      </c>
      <c r="N102" s="466">
        <v>35204.476000000002</v>
      </c>
      <c r="O102" s="466">
        <v>51684.695</v>
      </c>
      <c r="P102" s="466">
        <v>60268.784</v>
      </c>
      <c r="Q102" s="466">
        <v>77701.069000000003</v>
      </c>
      <c r="R102" s="466">
        <v>106793.834</v>
      </c>
      <c r="S102" s="466">
        <v>229364.174</v>
      </c>
      <c r="T102" s="466">
        <v>239238</v>
      </c>
      <c r="U102" s="466">
        <v>286859</v>
      </c>
      <c r="V102" s="466">
        <v>283338</v>
      </c>
      <c r="W102" s="466">
        <v>321288</v>
      </c>
      <c r="X102" s="466">
        <v>463004.19907600002</v>
      </c>
    </row>
    <row r="103" spans="1:24" x14ac:dyDescent="0.25">
      <c r="A103" s="459" t="s">
        <v>257</v>
      </c>
      <c r="B103" s="478">
        <v>775.76300000000003</v>
      </c>
      <c r="C103" s="478">
        <v>2223.5360000000001</v>
      </c>
      <c r="D103" s="478">
        <v>1292.7339999999999</v>
      </c>
      <c r="E103" s="478">
        <v>1885.9829999999999</v>
      </c>
      <c r="F103" s="478">
        <v>2109.5100000000002</v>
      </c>
      <c r="G103" s="478">
        <v>2749.45</v>
      </c>
      <c r="H103" s="478">
        <v>3412.096</v>
      </c>
      <c r="I103" s="478">
        <v>6872.41</v>
      </c>
      <c r="J103" s="478">
        <v>10006.516</v>
      </c>
      <c r="K103" s="478">
        <v>16189.638999999999</v>
      </c>
      <c r="L103" s="478">
        <v>33568.084000000003</v>
      </c>
      <c r="M103" s="478">
        <v>49869.161999999997</v>
      </c>
      <c r="N103" s="478">
        <v>53160.483</v>
      </c>
      <c r="O103" s="478">
        <v>76662.952000000005</v>
      </c>
      <c r="P103" s="478">
        <v>106389.61</v>
      </c>
      <c r="Q103" s="478">
        <v>104951.89</v>
      </c>
      <c r="R103" s="478">
        <v>190778.073</v>
      </c>
      <c r="S103" s="478">
        <v>288078.75199999998</v>
      </c>
      <c r="T103" s="478">
        <v>426225</v>
      </c>
      <c r="U103" s="478">
        <v>575131</v>
      </c>
      <c r="V103" s="478">
        <v>551993</v>
      </c>
      <c r="W103" s="478">
        <v>569285</v>
      </c>
      <c r="X103" s="478">
        <v>770392.69435699994</v>
      </c>
    </row>
    <row r="104" spans="1:24" x14ac:dyDescent="0.25">
      <c r="A104" s="459" t="s">
        <v>258</v>
      </c>
      <c r="B104" s="478">
        <v>133.745</v>
      </c>
      <c r="C104" s="478">
        <v>78.238</v>
      </c>
      <c r="D104" s="478">
        <v>146.875</v>
      </c>
      <c r="E104" s="478">
        <v>288.71300000000002</v>
      </c>
      <c r="F104" s="478">
        <v>323.923</v>
      </c>
      <c r="G104" s="478">
        <v>458.17700000000002</v>
      </c>
      <c r="H104" s="478">
        <v>772.875</v>
      </c>
      <c r="I104" s="478">
        <v>1479.778</v>
      </c>
      <c r="J104" s="478">
        <v>200.45400000000001</v>
      </c>
      <c r="K104" s="478">
        <v>1561.7529999999999</v>
      </c>
      <c r="L104" s="478">
        <v>1543.1179999999999</v>
      </c>
      <c r="M104" s="478">
        <v>5039.6229999999996</v>
      </c>
      <c r="N104" s="478">
        <v>8700.0079999999998</v>
      </c>
      <c r="O104" s="478">
        <v>16176.046</v>
      </c>
      <c r="P104" s="478">
        <v>20844.55</v>
      </c>
      <c r="Q104" s="478">
        <v>21944.964</v>
      </c>
      <c r="R104" s="478">
        <v>24414</v>
      </c>
      <c r="S104" s="478">
        <v>39428.449999999997</v>
      </c>
      <c r="T104" s="478">
        <v>18910</v>
      </c>
      <c r="U104" s="478">
        <v>22384</v>
      </c>
      <c r="V104" s="478">
        <v>21816</v>
      </c>
      <c r="W104" s="478">
        <v>18359</v>
      </c>
      <c r="X104" s="478">
        <v>29528.964155000001</v>
      </c>
    </row>
    <row r="105" spans="1:24" x14ac:dyDescent="0.25">
      <c r="A105" s="467"/>
      <c r="B105" s="466"/>
      <c r="C105" s="466"/>
      <c r="D105" s="466"/>
      <c r="E105" s="466"/>
      <c r="F105" s="466"/>
      <c r="G105" s="466"/>
      <c r="H105" s="466"/>
      <c r="I105" s="466"/>
      <c r="J105" s="466"/>
      <c r="K105" s="466"/>
      <c r="L105" s="466"/>
      <c r="M105" s="466"/>
      <c r="N105" s="466"/>
      <c r="O105" s="466"/>
      <c r="P105" s="466"/>
      <c r="Q105" s="466"/>
      <c r="R105" s="466"/>
      <c r="S105" s="466"/>
      <c r="T105" s="466"/>
      <c r="U105" s="466"/>
      <c r="V105" s="466"/>
      <c r="W105" s="466"/>
      <c r="X105" s="466"/>
    </row>
    <row r="106" spans="1:24" x14ac:dyDescent="0.25">
      <c r="A106" s="459" t="s">
        <v>259</v>
      </c>
      <c r="B106" s="478">
        <v>30705.022999999997</v>
      </c>
      <c r="C106" s="478">
        <v>36882.663999999997</v>
      </c>
      <c r="D106" s="478">
        <v>42102.255999999994</v>
      </c>
      <c r="E106" s="478">
        <v>52916.561000000009</v>
      </c>
      <c r="F106" s="478">
        <v>65772.447</v>
      </c>
      <c r="G106" s="478">
        <v>69549.561999999991</v>
      </c>
      <c r="H106" s="478">
        <v>85405.538</v>
      </c>
      <c r="I106" s="478">
        <v>259197.74199999997</v>
      </c>
      <c r="J106" s="478">
        <v>410413.16800000006</v>
      </c>
      <c r="K106" s="478">
        <v>630969.15599999996</v>
      </c>
      <c r="L106" s="478">
        <v>713798.07</v>
      </c>
      <c r="M106" s="478">
        <v>814889.92099999997</v>
      </c>
      <c r="N106" s="478">
        <v>2355344.1890000002</v>
      </c>
      <c r="O106" s="478">
        <v>2582117.9530000002</v>
      </c>
      <c r="P106" s="478">
        <v>3078411.5179999997</v>
      </c>
      <c r="Q106" s="478">
        <v>3759053.602</v>
      </c>
      <c r="R106" s="478">
        <v>4566896.7359999996</v>
      </c>
      <c r="S106" s="478">
        <v>13910310.519000001</v>
      </c>
      <c r="T106" s="478">
        <v>16241009</v>
      </c>
      <c r="U106" s="478">
        <v>8559309</v>
      </c>
      <c r="V106" s="478">
        <v>10590076</v>
      </c>
      <c r="W106" s="478">
        <v>12302194.803078</v>
      </c>
      <c r="X106" s="478">
        <v>17955242.091504999</v>
      </c>
    </row>
    <row r="107" spans="1:24" x14ac:dyDescent="0.25">
      <c r="A107" s="467"/>
      <c r="B107" s="466"/>
      <c r="C107" s="466"/>
      <c r="D107" s="466"/>
      <c r="E107" s="466"/>
      <c r="F107" s="466"/>
      <c r="G107" s="466"/>
      <c r="H107" s="466"/>
      <c r="I107" s="466"/>
      <c r="J107" s="466"/>
      <c r="K107" s="466"/>
      <c r="L107" s="466"/>
      <c r="M107" s="466"/>
      <c r="N107" s="466"/>
      <c r="O107" s="466"/>
      <c r="P107" s="466"/>
      <c r="Q107" s="466"/>
      <c r="R107" s="466"/>
      <c r="S107" s="466"/>
      <c r="T107" s="466"/>
      <c r="U107" s="466"/>
      <c r="V107" s="466"/>
      <c r="W107" s="466"/>
      <c r="X107" s="466"/>
    </row>
    <row r="108" spans="1:24" x14ac:dyDescent="0.25">
      <c r="A108" s="459" t="s">
        <v>260</v>
      </c>
      <c r="B108" s="478">
        <v>505.88900000000001</v>
      </c>
      <c r="C108" s="478">
        <v>586.68600000000004</v>
      </c>
      <c r="D108" s="478">
        <v>759.99400000000003</v>
      </c>
      <c r="E108" s="478">
        <v>997.10299999999995</v>
      </c>
      <c r="F108" s="478">
        <v>2234.8490000000002</v>
      </c>
      <c r="G108" s="478">
        <v>3291.0450000000001</v>
      </c>
      <c r="H108" s="478">
        <v>3791.672</v>
      </c>
      <c r="I108" s="478">
        <v>3046.7950000000001</v>
      </c>
      <c r="J108" s="478">
        <v>3158.7289999999998</v>
      </c>
      <c r="K108" s="478">
        <v>3297.7669999999998</v>
      </c>
      <c r="L108" s="478">
        <v>3563.4079999999999</v>
      </c>
      <c r="M108" s="478">
        <v>4806.5060000000003</v>
      </c>
      <c r="N108" s="478">
        <v>1393.742</v>
      </c>
      <c r="O108" s="478">
        <v>3143.2429999999999</v>
      </c>
      <c r="P108" s="478">
        <v>4936.527</v>
      </c>
      <c r="Q108" s="478">
        <v>16118.4</v>
      </c>
      <c r="R108" s="478">
        <v>17813.2</v>
      </c>
      <c r="S108" s="478">
        <v>506650.52799999999</v>
      </c>
      <c r="T108" s="478">
        <v>649768</v>
      </c>
      <c r="U108" s="478">
        <v>797730</v>
      </c>
      <c r="V108" s="478">
        <v>1729598</v>
      </c>
      <c r="W108" s="478">
        <v>1746064</v>
      </c>
      <c r="X108" s="478">
        <v>4752979.6400060002</v>
      </c>
    </row>
    <row r="109" spans="1:24" x14ac:dyDescent="0.25">
      <c r="A109" s="467"/>
      <c r="B109" s="478"/>
      <c r="C109" s="478"/>
      <c r="D109" s="478"/>
      <c r="E109" s="478"/>
      <c r="F109" s="478"/>
      <c r="G109" s="478"/>
      <c r="H109" s="478"/>
      <c r="I109" s="478"/>
      <c r="J109" s="478"/>
      <c r="K109" s="478"/>
      <c r="L109" s="478"/>
      <c r="M109" s="478"/>
      <c r="N109" s="478"/>
      <c r="O109" s="478"/>
      <c r="P109" s="478"/>
      <c r="Q109" s="478"/>
      <c r="R109" s="478"/>
      <c r="S109" s="478"/>
      <c r="T109" s="478"/>
      <c r="U109" s="478"/>
      <c r="V109" s="478"/>
      <c r="W109" s="478"/>
      <c r="X109" s="478"/>
    </row>
    <row r="110" spans="1:24" x14ac:dyDescent="0.25">
      <c r="A110" s="459" t="s">
        <v>261</v>
      </c>
      <c r="B110" s="478">
        <v>31522.134999999998</v>
      </c>
      <c r="C110" s="478">
        <v>37576.478999999999</v>
      </c>
      <c r="D110" s="478">
        <v>43200.986999999994</v>
      </c>
      <c r="E110" s="478">
        <v>54092.364000000009</v>
      </c>
      <c r="F110" s="478">
        <v>68664.296000000002</v>
      </c>
      <c r="G110" s="478">
        <v>73151.606999999989</v>
      </c>
      <c r="H110" s="478">
        <v>89425.205000000002</v>
      </c>
      <c r="I110" s="478">
        <v>262301.53699999995</v>
      </c>
      <c r="J110" s="478">
        <v>413638.89700000006</v>
      </c>
      <c r="K110" s="478">
        <v>634350.92299999995</v>
      </c>
      <c r="L110" s="478">
        <v>717361.47800000012</v>
      </c>
      <c r="M110" s="478">
        <v>819696.42700000003</v>
      </c>
      <c r="N110" s="478">
        <v>2356737.9310000003</v>
      </c>
      <c r="O110" s="478">
        <v>2585261.196</v>
      </c>
      <c r="P110" s="478">
        <v>3083348.0449999995</v>
      </c>
      <c r="Q110" s="478">
        <v>3775172.0019999999</v>
      </c>
      <c r="R110" s="478">
        <v>4584709.9359999998</v>
      </c>
      <c r="S110" s="478">
        <v>14416961.047000002</v>
      </c>
      <c r="T110" s="478">
        <v>16890777</v>
      </c>
      <c r="U110" s="478">
        <v>9357039</v>
      </c>
      <c r="V110" s="478">
        <v>12319674</v>
      </c>
      <c r="W110" s="478">
        <v>14048258.803078</v>
      </c>
      <c r="X110" s="478">
        <v>22708221.731510997</v>
      </c>
    </row>
    <row r="111" spans="1:24" x14ac:dyDescent="0.2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</row>
    <row r="112" spans="1:24" x14ac:dyDescent="0.25">
      <c r="A112" s="459" t="s">
        <v>262</v>
      </c>
      <c r="B112" s="478">
        <v>49798.468000000001</v>
      </c>
      <c r="C112" s="478">
        <v>66746.365999999995</v>
      </c>
      <c r="D112" s="478">
        <v>100284.82</v>
      </c>
      <c r="E112" s="478">
        <v>111383.818</v>
      </c>
      <c r="F112" s="478">
        <v>148934.20699999999</v>
      </c>
      <c r="G112" s="478">
        <v>177356.965</v>
      </c>
      <c r="H112" s="478">
        <v>203512.378</v>
      </c>
      <c r="I112" s="478">
        <v>357035.06800000003</v>
      </c>
      <c r="J112" s="478">
        <v>459315.31800000003</v>
      </c>
      <c r="K112" s="478">
        <v>571028.39399999997</v>
      </c>
      <c r="L112" s="478">
        <v>722975.20499999996</v>
      </c>
      <c r="M112" s="478">
        <v>989416.55099999998</v>
      </c>
      <c r="N112" s="478">
        <v>1792628.8970000001</v>
      </c>
      <c r="O112" s="478">
        <v>4933136.6140000001</v>
      </c>
      <c r="P112" s="478">
        <v>3559753.463</v>
      </c>
      <c r="Q112" s="478">
        <v>4387534.466</v>
      </c>
      <c r="R112" s="478">
        <v>6242426.0020000003</v>
      </c>
      <c r="S112" s="478">
        <v>10856730.078</v>
      </c>
      <c r="T112" s="478">
        <v>21123918</v>
      </c>
      <c r="U112" s="478">
        <v>35545810</v>
      </c>
      <c r="V112" s="478">
        <v>119149683</v>
      </c>
      <c r="W112" s="478">
        <v>206671369</v>
      </c>
      <c r="X112" s="478">
        <v>262639292.08645499</v>
      </c>
    </row>
    <row r="113" spans="1:24" x14ac:dyDescent="0.25">
      <c r="A113" s="433"/>
      <c r="B113" s="433"/>
      <c r="C113" s="433"/>
      <c r="D113" s="433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</row>
    <row r="114" spans="1:24" x14ac:dyDescent="0.25">
      <c r="A114" s="436"/>
      <c r="B114" s="449"/>
      <c r="C114" s="449"/>
      <c r="D114" s="449"/>
      <c r="E114" s="449"/>
      <c r="F114" s="449"/>
      <c r="G114" s="449"/>
      <c r="H114" s="449"/>
      <c r="I114" s="449"/>
      <c r="J114" s="449"/>
      <c r="K114" s="449"/>
      <c r="L114" s="449"/>
      <c r="M114" s="449"/>
      <c r="N114" s="449"/>
      <c r="O114" s="449"/>
      <c r="P114" s="449"/>
      <c r="Q114" s="449"/>
      <c r="R114" s="449"/>
      <c r="S114" s="449"/>
      <c r="T114" s="449"/>
      <c r="U114" s="449"/>
      <c r="V114" s="449"/>
      <c r="W114" s="449"/>
      <c r="X114" s="449"/>
    </row>
    <row r="115" spans="1:24" x14ac:dyDescent="0.25">
      <c r="A115" s="431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</row>
    <row r="116" spans="1:24" x14ac:dyDescent="0.25">
      <c r="A116" s="410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</row>
    <row r="117" spans="1:24" x14ac:dyDescent="0.25">
      <c r="A117" s="128" t="s">
        <v>598</v>
      </c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</row>
    <row r="118" spans="1:24" x14ac:dyDescent="0.25">
      <c r="A118" s="108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</row>
    <row r="119" spans="1:24" x14ac:dyDescent="0.25">
      <c r="A119" s="433"/>
      <c r="B119" s="433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</row>
  </sheetData>
  <mergeCells count="3">
    <mergeCell ref="A1:X1"/>
    <mergeCell ref="A2:X2"/>
    <mergeCell ref="A3:X3"/>
  </mergeCells>
  <hyperlinks>
    <hyperlink ref="A117" location="'indice cap.1'!A1" display="regresar al índice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6"/>
  <sheetViews>
    <sheetView showGridLines="0" workbookViewId="0">
      <selection activeCell="A5" sqref="A5:B6"/>
    </sheetView>
  </sheetViews>
  <sheetFormatPr defaultColWidth="11.42578125" defaultRowHeight="12.75" x14ac:dyDescent="0.2"/>
  <cols>
    <col min="1" max="1" width="8" style="108" customWidth="1"/>
    <col min="2" max="2" width="4.140625" style="108" customWidth="1"/>
    <col min="3" max="15" width="12.7109375" style="108" customWidth="1"/>
    <col min="16" max="16384" width="11.42578125" style="108"/>
  </cols>
  <sheetData>
    <row r="1" spans="1:16" x14ac:dyDescent="0.2">
      <c r="A1" s="493" t="s">
        <v>683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</row>
    <row r="2" spans="1:16" x14ac:dyDescent="0.2">
      <c r="A2" s="493" t="s">
        <v>437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</row>
    <row r="3" spans="1:16" x14ac:dyDescent="0.2">
      <c r="A3" s="493" t="s">
        <v>86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</row>
    <row r="4" spans="1:16" x14ac:dyDescent="0.2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</row>
    <row r="5" spans="1:16" s="240" customFormat="1" ht="38.25" x14ac:dyDescent="0.25">
      <c r="A5" s="581" t="s">
        <v>87</v>
      </c>
      <c r="B5" s="582"/>
      <c r="C5" s="579" t="s">
        <v>92</v>
      </c>
      <c r="D5" s="549" t="s">
        <v>89</v>
      </c>
      <c r="E5" s="549"/>
      <c r="F5" s="393" t="s">
        <v>792</v>
      </c>
      <c r="G5" s="549" t="s">
        <v>793</v>
      </c>
      <c r="H5" s="549"/>
      <c r="I5" s="549" t="s">
        <v>794</v>
      </c>
      <c r="J5" s="549"/>
      <c r="K5" s="549" t="s">
        <v>790</v>
      </c>
      <c r="L5" s="584"/>
      <c r="M5" s="549" t="s">
        <v>795</v>
      </c>
      <c r="N5" s="549"/>
      <c r="O5" s="393" t="s">
        <v>791</v>
      </c>
    </row>
    <row r="6" spans="1:16" s="242" customFormat="1" ht="25.5" x14ac:dyDescent="0.25">
      <c r="A6" s="583"/>
      <c r="B6" s="582"/>
      <c r="C6" s="580"/>
      <c r="D6" s="198" t="s">
        <v>750</v>
      </c>
      <c r="E6" s="198" t="s">
        <v>751</v>
      </c>
      <c r="F6" s="198" t="s">
        <v>751</v>
      </c>
      <c r="G6" s="198" t="s">
        <v>750</v>
      </c>
      <c r="H6" s="198" t="s">
        <v>751</v>
      </c>
      <c r="I6" s="198" t="s">
        <v>750</v>
      </c>
      <c r="J6" s="198" t="s">
        <v>751</v>
      </c>
      <c r="K6" s="198" t="s">
        <v>750</v>
      </c>
      <c r="L6" s="198" t="s">
        <v>751</v>
      </c>
      <c r="M6" s="198" t="s">
        <v>750</v>
      </c>
      <c r="N6" s="198" t="s">
        <v>751</v>
      </c>
      <c r="O6" s="198" t="s">
        <v>750</v>
      </c>
      <c r="P6" s="241"/>
    </row>
    <row r="7" spans="1:16" x14ac:dyDescent="0.2">
      <c r="C7" s="238" t="s">
        <v>438</v>
      </c>
      <c r="D7" s="236" t="s">
        <v>439</v>
      </c>
      <c r="E7" s="236" t="s">
        <v>440</v>
      </c>
      <c r="F7" s="236" t="s">
        <v>100</v>
      </c>
      <c r="G7" s="236" t="s">
        <v>101</v>
      </c>
      <c r="H7" s="236" t="s">
        <v>102</v>
      </c>
      <c r="I7" s="236" t="s">
        <v>114</v>
      </c>
      <c r="J7" s="236" t="s">
        <v>441</v>
      </c>
      <c r="K7" s="236" t="s">
        <v>116</v>
      </c>
      <c r="L7" s="236" t="s">
        <v>117</v>
      </c>
      <c r="M7" s="236" t="s">
        <v>118</v>
      </c>
      <c r="N7" s="236" t="s">
        <v>119</v>
      </c>
      <c r="O7" s="237" t="s">
        <v>442</v>
      </c>
    </row>
    <row r="9" spans="1:16" x14ac:dyDescent="0.2">
      <c r="A9" s="179" t="s">
        <v>392</v>
      </c>
      <c r="B9" s="202" t="s">
        <v>443</v>
      </c>
      <c r="C9" s="205">
        <v>6.9050000000000002</v>
      </c>
      <c r="D9" s="205">
        <v>6.9050000000000002</v>
      </c>
      <c r="E9" s="246" t="s">
        <v>10</v>
      </c>
      <c r="F9" s="246" t="s">
        <v>10</v>
      </c>
      <c r="G9" s="246" t="s">
        <v>10</v>
      </c>
      <c r="H9" s="246" t="s">
        <v>10</v>
      </c>
      <c r="I9" s="205">
        <v>6.9050000000000002</v>
      </c>
      <c r="J9" s="246" t="s">
        <v>10</v>
      </c>
      <c r="K9" s="246" t="s">
        <v>10</v>
      </c>
      <c r="L9" s="246" t="s">
        <v>10</v>
      </c>
      <c r="M9" s="246" t="s">
        <v>10</v>
      </c>
      <c r="N9" s="246" t="s">
        <v>10</v>
      </c>
      <c r="O9" s="246" t="s">
        <v>10</v>
      </c>
    </row>
    <row r="10" spans="1:16" x14ac:dyDescent="0.2">
      <c r="A10" s="179" t="s">
        <v>393</v>
      </c>
      <c r="B10" s="180"/>
      <c r="C10" s="205">
        <v>7</v>
      </c>
      <c r="D10" s="205">
        <v>7</v>
      </c>
      <c r="E10" s="246" t="s">
        <v>10</v>
      </c>
      <c r="F10" s="246" t="s">
        <v>10</v>
      </c>
      <c r="G10" s="246" t="s">
        <v>10</v>
      </c>
      <c r="H10" s="246" t="s">
        <v>10</v>
      </c>
      <c r="I10" s="205">
        <v>7</v>
      </c>
      <c r="J10" s="246" t="s">
        <v>10</v>
      </c>
      <c r="K10" s="246" t="s">
        <v>10</v>
      </c>
      <c r="L10" s="246" t="s">
        <v>10</v>
      </c>
      <c r="M10" s="246" t="s">
        <v>10</v>
      </c>
      <c r="N10" s="246" t="s">
        <v>10</v>
      </c>
      <c r="O10" s="246" t="s">
        <v>10</v>
      </c>
    </row>
    <row r="11" spans="1:16" x14ac:dyDescent="0.2">
      <c r="A11" s="179" t="s">
        <v>394</v>
      </c>
      <c r="B11" s="180"/>
      <c r="C11" s="205">
        <v>7.2480000000000002</v>
      </c>
      <c r="D11" s="205">
        <v>7.2480000000000002</v>
      </c>
      <c r="E11" s="246" t="s">
        <v>10</v>
      </c>
      <c r="F11" s="246" t="s">
        <v>10</v>
      </c>
      <c r="G11" s="246" t="s">
        <v>10</v>
      </c>
      <c r="H11" s="246" t="s">
        <v>10</v>
      </c>
      <c r="I11" s="205">
        <v>7.2480000000000002</v>
      </c>
      <c r="J11" s="246" t="s">
        <v>10</v>
      </c>
      <c r="K11" s="246" t="s">
        <v>10</v>
      </c>
      <c r="L11" s="246" t="s">
        <v>10</v>
      </c>
      <c r="M11" s="246" t="s">
        <v>10</v>
      </c>
      <c r="N11" s="246" t="s">
        <v>10</v>
      </c>
      <c r="O11" s="246" t="s">
        <v>10</v>
      </c>
    </row>
    <row r="12" spans="1:16" x14ac:dyDescent="0.2">
      <c r="A12" s="179">
        <v>1930</v>
      </c>
      <c r="B12" s="180"/>
      <c r="C12" s="205">
        <v>9.9930000000000003</v>
      </c>
      <c r="D12" s="205">
        <v>9.9930000000000003</v>
      </c>
      <c r="E12" s="246" t="s">
        <v>10</v>
      </c>
      <c r="F12" s="246" t="s">
        <v>10</v>
      </c>
      <c r="G12" s="246" t="s">
        <v>10</v>
      </c>
      <c r="H12" s="246" t="s">
        <v>10</v>
      </c>
      <c r="I12" s="205">
        <v>9.9930000000000003</v>
      </c>
      <c r="J12" s="246" t="s">
        <v>10</v>
      </c>
      <c r="K12" s="246" t="s">
        <v>10</v>
      </c>
      <c r="L12" s="246" t="s">
        <v>10</v>
      </c>
      <c r="M12" s="246" t="s">
        <v>10</v>
      </c>
      <c r="N12" s="246" t="s">
        <v>10</v>
      </c>
      <c r="O12" s="246" t="s">
        <v>10</v>
      </c>
    </row>
    <row r="13" spans="1:16" x14ac:dyDescent="0.2">
      <c r="A13" s="179">
        <v>1931</v>
      </c>
      <c r="B13" s="180"/>
      <c r="C13" s="205">
        <v>7.4809999999999999</v>
      </c>
      <c r="D13" s="205">
        <v>7.4809999999999999</v>
      </c>
      <c r="E13" s="246" t="s">
        <v>10</v>
      </c>
      <c r="F13" s="246" t="s">
        <v>10</v>
      </c>
      <c r="G13" s="246" t="s">
        <v>10</v>
      </c>
      <c r="H13" s="246" t="s">
        <v>10</v>
      </c>
      <c r="I13" s="205">
        <v>7.4809999999999999</v>
      </c>
      <c r="J13" s="246" t="s">
        <v>10</v>
      </c>
      <c r="K13" s="246" t="s">
        <v>10</v>
      </c>
      <c r="L13" s="246" t="s">
        <v>10</v>
      </c>
      <c r="M13" s="246" t="s">
        <v>10</v>
      </c>
      <c r="N13" s="246" t="s">
        <v>10</v>
      </c>
      <c r="O13" s="246" t="s">
        <v>10</v>
      </c>
    </row>
    <row r="14" spans="1:16" x14ac:dyDescent="0.2">
      <c r="A14" s="179">
        <v>1932</v>
      </c>
      <c r="B14" s="180"/>
      <c r="C14" s="205">
        <v>9.5890000000000004</v>
      </c>
      <c r="D14" s="205">
        <v>9.5890000000000004</v>
      </c>
      <c r="E14" s="246" t="s">
        <v>10</v>
      </c>
      <c r="F14" s="246" t="s">
        <v>10</v>
      </c>
      <c r="G14" s="246" t="s">
        <v>10</v>
      </c>
      <c r="H14" s="246" t="s">
        <v>10</v>
      </c>
      <c r="I14" s="205">
        <v>9.5890000000000004</v>
      </c>
      <c r="J14" s="246" t="s">
        <v>10</v>
      </c>
      <c r="K14" s="246" t="s">
        <v>10</v>
      </c>
      <c r="L14" s="246" t="s">
        <v>10</v>
      </c>
      <c r="M14" s="246" t="s">
        <v>10</v>
      </c>
      <c r="N14" s="246" t="s">
        <v>10</v>
      </c>
      <c r="O14" s="246" t="s">
        <v>10</v>
      </c>
    </row>
    <row r="15" spans="1:16" x14ac:dyDescent="0.2">
      <c r="A15" s="179">
        <v>1933</v>
      </c>
      <c r="B15" s="180"/>
      <c r="C15" s="205">
        <v>10.34</v>
      </c>
      <c r="D15" s="205">
        <v>10.34</v>
      </c>
      <c r="E15" s="246" t="s">
        <v>10</v>
      </c>
      <c r="F15" s="246" t="s">
        <v>10</v>
      </c>
      <c r="G15" s="246" t="s">
        <v>10</v>
      </c>
      <c r="H15" s="246" t="s">
        <v>10</v>
      </c>
      <c r="I15" s="205">
        <v>10.34</v>
      </c>
      <c r="J15" s="246" t="s">
        <v>10</v>
      </c>
      <c r="K15" s="246" t="s">
        <v>10</v>
      </c>
      <c r="L15" s="246" t="s">
        <v>10</v>
      </c>
      <c r="M15" s="246" t="s">
        <v>10</v>
      </c>
      <c r="N15" s="246" t="s">
        <v>10</v>
      </c>
      <c r="O15" s="246" t="s">
        <v>10</v>
      </c>
    </row>
    <row r="16" spans="1:16" x14ac:dyDescent="0.2">
      <c r="A16" s="179">
        <v>1934</v>
      </c>
      <c r="B16" s="180"/>
      <c r="C16" s="205">
        <v>12.407999999999999</v>
      </c>
      <c r="D16" s="205">
        <v>12.407999999999999</v>
      </c>
      <c r="E16" s="246" t="s">
        <v>10</v>
      </c>
      <c r="F16" s="246" t="s">
        <v>10</v>
      </c>
      <c r="G16" s="246" t="s">
        <v>10</v>
      </c>
      <c r="H16" s="246" t="s">
        <v>10</v>
      </c>
      <c r="I16" s="205">
        <v>12.407999999999999</v>
      </c>
      <c r="J16" s="246" t="s">
        <v>10</v>
      </c>
      <c r="K16" s="246" t="s">
        <v>10</v>
      </c>
      <c r="L16" s="246" t="s">
        <v>10</v>
      </c>
      <c r="M16" s="246" t="s">
        <v>10</v>
      </c>
      <c r="N16" s="246" t="s">
        <v>10</v>
      </c>
      <c r="O16" s="246" t="s">
        <v>10</v>
      </c>
    </row>
    <row r="17" spans="1:15" x14ac:dyDescent="0.2">
      <c r="A17" s="179">
        <v>1935</v>
      </c>
      <c r="B17" s="180"/>
      <c r="C17" s="205">
        <v>18.643999999999998</v>
      </c>
      <c r="D17" s="205">
        <v>18.643999999999998</v>
      </c>
      <c r="E17" s="246" t="s">
        <v>10</v>
      </c>
      <c r="F17" s="246" t="s">
        <v>10</v>
      </c>
      <c r="G17" s="205">
        <v>4.5149999999999997</v>
      </c>
      <c r="H17" s="246" t="s">
        <v>10</v>
      </c>
      <c r="I17" s="205">
        <v>7.73</v>
      </c>
      <c r="J17" s="246" t="s">
        <v>10</v>
      </c>
      <c r="K17" s="246" t="s">
        <v>10</v>
      </c>
      <c r="L17" s="246" t="s">
        <v>10</v>
      </c>
      <c r="M17" s="205">
        <v>6.399</v>
      </c>
      <c r="N17" s="246" t="s">
        <v>10</v>
      </c>
      <c r="O17" s="246" t="s">
        <v>10</v>
      </c>
    </row>
    <row r="18" spans="1:15" x14ac:dyDescent="0.2">
      <c r="A18" s="179">
        <v>1936</v>
      </c>
      <c r="B18" s="180"/>
      <c r="C18" s="205">
        <v>17.445</v>
      </c>
      <c r="D18" s="205">
        <v>17.445</v>
      </c>
      <c r="E18" s="246" t="s">
        <v>10</v>
      </c>
      <c r="F18" s="246" t="s">
        <v>10</v>
      </c>
      <c r="G18" s="205">
        <v>5.3659999999999997</v>
      </c>
      <c r="H18" s="246" t="s">
        <v>10</v>
      </c>
      <c r="I18" s="205">
        <v>11.264000000000001</v>
      </c>
      <c r="J18" s="246" t="s">
        <v>10</v>
      </c>
      <c r="K18" s="246" t="s">
        <v>10</v>
      </c>
      <c r="L18" s="246" t="s">
        <v>10</v>
      </c>
      <c r="M18" s="205">
        <v>0.81499999999999995</v>
      </c>
      <c r="N18" s="246" t="s">
        <v>10</v>
      </c>
      <c r="O18" s="246" t="s">
        <v>10</v>
      </c>
    </row>
    <row r="19" spans="1:15" x14ac:dyDescent="0.2">
      <c r="A19" s="179">
        <v>1937</v>
      </c>
      <c r="B19" s="180"/>
      <c r="C19" s="205">
        <v>21.858000000000001</v>
      </c>
      <c r="D19" s="205">
        <v>21.858000000000001</v>
      </c>
      <c r="E19" s="246" t="s">
        <v>10</v>
      </c>
      <c r="F19" s="246" t="s">
        <v>10</v>
      </c>
      <c r="G19" s="205">
        <v>4.7480000000000002</v>
      </c>
      <c r="H19" s="246" t="s">
        <v>10</v>
      </c>
      <c r="I19" s="205">
        <v>15.387</v>
      </c>
      <c r="J19" s="246" t="s">
        <v>10</v>
      </c>
      <c r="K19" s="246" t="s">
        <v>10</v>
      </c>
      <c r="L19" s="246" t="s">
        <v>10</v>
      </c>
      <c r="M19" s="205">
        <v>1.7230000000000001</v>
      </c>
      <c r="N19" s="246" t="s">
        <v>10</v>
      </c>
      <c r="O19" s="246" t="s">
        <v>10</v>
      </c>
    </row>
    <row r="20" spans="1:15" x14ac:dyDescent="0.2">
      <c r="A20" s="179">
        <v>1938</v>
      </c>
      <c r="B20" s="180"/>
      <c r="C20" s="205">
        <v>24.516999999999999</v>
      </c>
      <c r="D20" s="205">
        <v>24.516999999999999</v>
      </c>
      <c r="E20" s="246" t="s">
        <v>10</v>
      </c>
      <c r="F20" s="246" t="s">
        <v>10</v>
      </c>
      <c r="G20" s="205">
        <v>5.76</v>
      </c>
      <c r="H20" s="246" t="s">
        <v>10</v>
      </c>
      <c r="I20" s="205">
        <v>17.657999999999998</v>
      </c>
      <c r="J20" s="246" t="s">
        <v>10</v>
      </c>
      <c r="K20" s="246" t="s">
        <v>10</v>
      </c>
      <c r="L20" s="246" t="s">
        <v>10</v>
      </c>
      <c r="M20" s="205">
        <v>1.099</v>
      </c>
      <c r="N20" s="246" t="s">
        <v>10</v>
      </c>
      <c r="O20" s="246" t="s">
        <v>10</v>
      </c>
    </row>
    <row r="21" spans="1:15" x14ac:dyDescent="0.2">
      <c r="A21" s="179">
        <v>1939</v>
      </c>
      <c r="B21" s="180"/>
      <c r="C21" s="205">
        <v>36.14</v>
      </c>
      <c r="D21" s="205">
        <v>36.14</v>
      </c>
      <c r="E21" s="246" t="s">
        <v>10</v>
      </c>
      <c r="F21" s="246" t="s">
        <v>10</v>
      </c>
      <c r="G21" s="205">
        <v>6.1859999999999999</v>
      </c>
      <c r="H21" s="246" t="s">
        <v>10</v>
      </c>
      <c r="I21" s="205">
        <v>24.703999999999997</v>
      </c>
      <c r="J21" s="246" t="s">
        <v>10</v>
      </c>
      <c r="K21" s="246" t="s">
        <v>10</v>
      </c>
      <c r="L21" s="246" t="s">
        <v>10</v>
      </c>
      <c r="M21" s="205">
        <v>5.25</v>
      </c>
      <c r="N21" s="246" t="s">
        <v>10</v>
      </c>
      <c r="O21" s="246" t="s">
        <v>10</v>
      </c>
    </row>
    <row r="22" spans="1:15" x14ac:dyDescent="0.2">
      <c r="A22" s="179">
        <v>1940</v>
      </c>
      <c r="B22" s="180"/>
      <c r="C22" s="205">
        <v>35.362000000000002</v>
      </c>
      <c r="D22" s="205">
        <v>35.362000000000002</v>
      </c>
      <c r="E22" s="246" t="s">
        <v>10</v>
      </c>
      <c r="F22" s="246" t="s">
        <v>10</v>
      </c>
      <c r="G22" s="205">
        <v>11.391999999999999</v>
      </c>
      <c r="H22" s="246" t="s">
        <v>10</v>
      </c>
      <c r="I22" s="205">
        <v>21.295999999999999</v>
      </c>
      <c r="J22" s="246" t="s">
        <v>10</v>
      </c>
      <c r="K22" s="246" t="s">
        <v>10</v>
      </c>
      <c r="L22" s="246" t="s">
        <v>10</v>
      </c>
      <c r="M22" s="205">
        <v>2.6739999999999999</v>
      </c>
      <c r="N22" s="246" t="s">
        <v>10</v>
      </c>
      <c r="O22" s="246" t="s">
        <v>10</v>
      </c>
    </row>
    <row r="23" spans="1:15" x14ac:dyDescent="0.2">
      <c r="A23" s="179">
        <v>1941</v>
      </c>
      <c r="B23" s="180"/>
      <c r="C23" s="205">
        <v>41.804000000000002</v>
      </c>
      <c r="D23" s="205">
        <v>41.804000000000002</v>
      </c>
      <c r="E23" s="246" t="s">
        <v>10</v>
      </c>
      <c r="F23" s="246" t="s">
        <v>10</v>
      </c>
      <c r="G23" s="205">
        <v>9.8580000000000005</v>
      </c>
      <c r="H23" s="246" t="s">
        <v>10</v>
      </c>
      <c r="I23" s="205">
        <v>26.878</v>
      </c>
      <c r="J23" s="246" t="s">
        <v>10</v>
      </c>
      <c r="K23" s="246" t="s">
        <v>10</v>
      </c>
      <c r="L23" s="246" t="s">
        <v>10</v>
      </c>
      <c r="M23" s="205">
        <v>5.0679999999999996</v>
      </c>
      <c r="N23" s="246" t="s">
        <v>10</v>
      </c>
      <c r="O23" s="246" t="s">
        <v>10</v>
      </c>
    </row>
    <row r="24" spans="1:15" x14ac:dyDescent="0.2">
      <c r="A24" s="179">
        <v>1942</v>
      </c>
      <c r="B24" s="180"/>
      <c r="C24" s="205">
        <v>70.616</v>
      </c>
      <c r="D24" s="205">
        <v>70.616</v>
      </c>
      <c r="E24" s="246" t="s">
        <v>10</v>
      </c>
      <c r="F24" s="246" t="s">
        <v>10</v>
      </c>
      <c r="G24" s="205">
        <v>18.222999999999999</v>
      </c>
      <c r="H24" s="246" t="s">
        <v>10</v>
      </c>
      <c r="I24" s="205">
        <v>43.146000000000001</v>
      </c>
      <c r="J24" s="246" t="s">
        <v>10</v>
      </c>
      <c r="K24" s="246" t="s">
        <v>10</v>
      </c>
      <c r="L24" s="246" t="s">
        <v>10</v>
      </c>
      <c r="M24" s="205">
        <v>9.2469999999999999</v>
      </c>
      <c r="N24" s="246" t="s">
        <v>10</v>
      </c>
      <c r="O24" s="246" t="s">
        <v>10</v>
      </c>
    </row>
    <row r="25" spans="1:15" x14ac:dyDescent="0.2">
      <c r="A25" s="179">
        <v>1943</v>
      </c>
      <c r="B25" s="180"/>
      <c r="C25" s="205">
        <v>90.573000000000008</v>
      </c>
      <c r="D25" s="205">
        <v>90.573000000000008</v>
      </c>
      <c r="E25" s="246" t="s">
        <v>10</v>
      </c>
      <c r="F25" s="246" t="s">
        <v>10</v>
      </c>
      <c r="G25" s="205">
        <v>26.056999999999999</v>
      </c>
      <c r="H25" s="246" t="s">
        <v>10</v>
      </c>
      <c r="I25" s="205">
        <v>53.76</v>
      </c>
      <c r="J25" s="246" t="s">
        <v>10</v>
      </c>
      <c r="K25" s="246" t="s">
        <v>10</v>
      </c>
      <c r="L25" s="246" t="s">
        <v>10</v>
      </c>
      <c r="M25" s="205">
        <v>10.756</v>
      </c>
      <c r="N25" s="246" t="s">
        <v>10</v>
      </c>
      <c r="O25" s="246" t="s">
        <v>10</v>
      </c>
    </row>
    <row r="26" spans="1:15" x14ac:dyDescent="0.2">
      <c r="A26" s="179">
        <v>1944</v>
      </c>
      <c r="B26" s="180"/>
      <c r="C26" s="205">
        <v>99.24199999999999</v>
      </c>
      <c r="D26" s="205">
        <v>99.24199999999999</v>
      </c>
      <c r="E26" s="246" t="s">
        <v>10</v>
      </c>
      <c r="F26" s="246" t="s">
        <v>10</v>
      </c>
      <c r="G26" s="205">
        <v>32.966999999999999</v>
      </c>
      <c r="H26" s="246" t="s">
        <v>10</v>
      </c>
      <c r="I26" s="205">
        <v>53.948</v>
      </c>
      <c r="J26" s="246" t="s">
        <v>10</v>
      </c>
      <c r="K26" s="246" t="s">
        <v>10</v>
      </c>
      <c r="L26" s="246" t="s">
        <v>10</v>
      </c>
      <c r="M26" s="205">
        <v>12.327</v>
      </c>
      <c r="N26" s="246" t="s">
        <v>10</v>
      </c>
      <c r="O26" s="246" t="s">
        <v>10</v>
      </c>
    </row>
    <row r="27" spans="1:15" x14ac:dyDescent="0.2">
      <c r="A27" s="179">
        <v>1945</v>
      </c>
      <c r="B27" s="180"/>
      <c r="C27" s="205">
        <v>109.917</v>
      </c>
      <c r="D27" s="205">
        <v>109.917</v>
      </c>
      <c r="E27" s="246" t="s">
        <v>10</v>
      </c>
      <c r="F27" s="246" t="s">
        <v>10</v>
      </c>
      <c r="G27" s="205">
        <v>38.506</v>
      </c>
      <c r="H27" s="246" t="s">
        <v>10</v>
      </c>
      <c r="I27" s="205">
        <v>69.356999999999999</v>
      </c>
      <c r="J27" s="246" t="s">
        <v>10</v>
      </c>
      <c r="K27" s="246" t="s">
        <v>10</v>
      </c>
      <c r="L27" s="246" t="s">
        <v>10</v>
      </c>
      <c r="M27" s="205">
        <v>2.0539999999999998</v>
      </c>
      <c r="N27" s="246" t="s">
        <v>10</v>
      </c>
      <c r="O27" s="246" t="s">
        <v>10</v>
      </c>
    </row>
    <row r="28" spans="1:15" x14ac:dyDescent="0.2">
      <c r="A28" s="179">
        <v>1946</v>
      </c>
      <c r="B28" s="180"/>
      <c r="C28" s="205">
        <v>107.85699999999999</v>
      </c>
      <c r="D28" s="205">
        <v>107.85699999999999</v>
      </c>
      <c r="E28" s="246" t="s">
        <v>10</v>
      </c>
      <c r="F28" s="246" t="s">
        <v>10</v>
      </c>
      <c r="G28" s="205">
        <v>38.526000000000003</v>
      </c>
      <c r="H28" s="246" t="s">
        <v>10</v>
      </c>
      <c r="I28" s="205">
        <v>65.268999999999991</v>
      </c>
      <c r="J28" s="246" t="s">
        <v>10</v>
      </c>
      <c r="K28" s="246" t="s">
        <v>10</v>
      </c>
      <c r="L28" s="246" t="s">
        <v>10</v>
      </c>
      <c r="M28" s="205">
        <v>4.0620000000000003</v>
      </c>
      <c r="N28" s="246" t="s">
        <v>10</v>
      </c>
      <c r="O28" s="246" t="s">
        <v>10</v>
      </c>
    </row>
    <row r="29" spans="1:15" x14ac:dyDescent="0.2">
      <c r="A29" s="179">
        <v>1947</v>
      </c>
      <c r="B29" s="180"/>
      <c r="C29" s="205">
        <v>90.34099999999998</v>
      </c>
      <c r="D29" s="205">
        <v>90.34099999999998</v>
      </c>
      <c r="E29" s="246" t="s">
        <v>10</v>
      </c>
      <c r="F29" s="246" t="s">
        <v>10</v>
      </c>
      <c r="G29" s="205">
        <v>38.037999999999997</v>
      </c>
      <c r="H29" s="246" t="s">
        <v>10</v>
      </c>
      <c r="I29" s="205">
        <v>50.041999999999994</v>
      </c>
      <c r="J29" s="246" t="s">
        <v>10</v>
      </c>
      <c r="K29" s="246" t="s">
        <v>10</v>
      </c>
      <c r="L29" s="246" t="s">
        <v>10</v>
      </c>
      <c r="M29" s="205">
        <v>2.2610000000000001</v>
      </c>
      <c r="N29" s="246" t="s">
        <v>10</v>
      </c>
      <c r="O29" s="246" t="s">
        <v>10</v>
      </c>
    </row>
    <row r="30" spans="1:15" x14ac:dyDescent="0.2">
      <c r="A30" s="179">
        <v>1948</v>
      </c>
      <c r="B30" s="180"/>
      <c r="C30" s="205">
        <v>84.61</v>
      </c>
      <c r="D30" s="205">
        <v>84.61</v>
      </c>
      <c r="E30" s="246" t="s">
        <v>10</v>
      </c>
      <c r="F30" s="246" t="s">
        <v>10</v>
      </c>
      <c r="G30" s="205">
        <v>41.21</v>
      </c>
      <c r="H30" s="246" t="s">
        <v>10</v>
      </c>
      <c r="I30" s="205">
        <v>41.55</v>
      </c>
      <c r="J30" s="246" t="s">
        <v>10</v>
      </c>
      <c r="K30" s="246" t="s">
        <v>10</v>
      </c>
      <c r="L30" s="246" t="s">
        <v>10</v>
      </c>
      <c r="M30" s="205">
        <v>1.85</v>
      </c>
      <c r="N30" s="246" t="s">
        <v>10</v>
      </c>
      <c r="O30" s="246" t="s">
        <v>10</v>
      </c>
    </row>
    <row r="31" spans="1:15" x14ac:dyDescent="0.2">
      <c r="A31" s="179">
        <v>1949</v>
      </c>
      <c r="B31" s="180"/>
      <c r="C31" s="205">
        <v>100.85299999999999</v>
      </c>
      <c r="D31" s="205">
        <v>100.85299999999999</v>
      </c>
      <c r="E31" s="246" t="s">
        <v>10</v>
      </c>
      <c r="F31" s="246" t="s">
        <v>10</v>
      </c>
      <c r="G31" s="205">
        <v>40.817999999999998</v>
      </c>
      <c r="H31" s="246" t="s">
        <v>10</v>
      </c>
      <c r="I31" s="205">
        <v>51.509</v>
      </c>
      <c r="J31" s="246" t="s">
        <v>10</v>
      </c>
      <c r="K31" s="246" t="s">
        <v>10</v>
      </c>
      <c r="L31" s="246" t="s">
        <v>10</v>
      </c>
      <c r="M31" s="205">
        <v>8.5259999999999998</v>
      </c>
      <c r="N31" s="246" t="s">
        <v>10</v>
      </c>
      <c r="O31" s="246" t="s">
        <v>10</v>
      </c>
    </row>
    <row r="32" spans="1:15" x14ac:dyDescent="0.2">
      <c r="A32" s="179">
        <v>1950</v>
      </c>
      <c r="B32" s="180"/>
      <c r="C32" s="205">
        <v>120.56399999999999</v>
      </c>
      <c r="D32" s="205">
        <v>120.56399999999999</v>
      </c>
      <c r="E32" s="246" t="s">
        <v>10</v>
      </c>
      <c r="F32" s="246" t="s">
        <v>10</v>
      </c>
      <c r="G32" s="205">
        <v>50.276999999999994</v>
      </c>
      <c r="H32" s="246" t="s">
        <v>10</v>
      </c>
      <c r="I32" s="205">
        <v>62.924999999999997</v>
      </c>
      <c r="J32" s="246" t="s">
        <v>10</v>
      </c>
      <c r="K32" s="246" t="s">
        <v>10</v>
      </c>
      <c r="L32" s="246" t="s">
        <v>10</v>
      </c>
      <c r="M32" s="205">
        <v>7.3620000000000001</v>
      </c>
      <c r="N32" s="246" t="s">
        <v>10</v>
      </c>
      <c r="O32" s="246" t="s">
        <v>10</v>
      </c>
    </row>
    <row r="33" spans="1:15" x14ac:dyDescent="0.2">
      <c r="A33" s="179">
        <v>1951</v>
      </c>
      <c r="B33" s="180"/>
      <c r="C33" s="205">
        <v>134.351</v>
      </c>
      <c r="D33" s="205">
        <v>134.351</v>
      </c>
      <c r="E33" s="246" t="s">
        <v>10</v>
      </c>
      <c r="F33" s="246" t="s">
        <v>10</v>
      </c>
      <c r="G33" s="205">
        <v>52.231999999999999</v>
      </c>
      <c r="H33" s="246" t="s">
        <v>10</v>
      </c>
      <c r="I33" s="205">
        <v>73.516000000000005</v>
      </c>
      <c r="J33" s="246" t="s">
        <v>10</v>
      </c>
      <c r="K33" s="246" t="s">
        <v>10</v>
      </c>
      <c r="L33" s="246" t="s">
        <v>10</v>
      </c>
      <c r="M33" s="205">
        <v>8.6029999999999998</v>
      </c>
      <c r="N33" s="246" t="s">
        <v>10</v>
      </c>
      <c r="O33" s="246" t="s">
        <v>10</v>
      </c>
    </row>
    <row r="34" spans="1:15" x14ac:dyDescent="0.2">
      <c r="A34" s="179">
        <v>1952</v>
      </c>
      <c r="B34" s="180"/>
      <c r="C34" s="205">
        <v>157.286</v>
      </c>
      <c r="D34" s="205">
        <v>157.286</v>
      </c>
      <c r="E34" s="246" t="s">
        <v>10</v>
      </c>
      <c r="F34" s="246" t="s">
        <v>10</v>
      </c>
      <c r="G34" s="205">
        <v>64.221999999999994</v>
      </c>
      <c r="H34" s="246" t="s">
        <v>10</v>
      </c>
      <c r="I34" s="205">
        <v>83.177000000000007</v>
      </c>
      <c r="J34" s="246" t="s">
        <v>10</v>
      </c>
      <c r="K34" s="246" t="s">
        <v>10</v>
      </c>
      <c r="L34" s="246" t="s">
        <v>10</v>
      </c>
      <c r="M34" s="205">
        <v>9.8870000000000005</v>
      </c>
      <c r="N34" s="246" t="s">
        <v>10</v>
      </c>
      <c r="O34" s="246" t="s">
        <v>10</v>
      </c>
    </row>
    <row r="35" spans="1:15" x14ac:dyDescent="0.2">
      <c r="A35" s="179">
        <v>1953</v>
      </c>
      <c r="B35" s="180"/>
      <c r="C35" s="205">
        <v>189.75400000000002</v>
      </c>
      <c r="D35" s="205">
        <v>189.75400000000002</v>
      </c>
      <c r="E35" s="246" t="s">
        <v>10</v>
      </c>
      <c r="F35" s="246" t="s">
        <v>10</v>
      </c>
      <c r="G35" s="205">
        <v>74.335999999999999</v>
      </c>
      <c r="H35" s="246" t="s">
        <v>10</v>
      </c>
      <c r="I35" s="205">
        <v>103.084</v>
      </c>
      <c r="J35" s="246" t="s">
        <v>10</v>
      </c>
      <c r="K35" s="246" t="s">
        <v>10</v>
      </c>
      <c r="L35" s="246" t="s">
        <v>10</v>
      </c>
      <c r="M35" s="205">
        <v>12.334</v>
      </c>
      <c r="N35" s="246" t="s">
        <v>10</v>
      </c>
      <c r="O35" s="246" t="s">
        <v>10</v>
      </c>
    </row>
    <row r="36" spans="1:15" x14ac:dyDescent="0.2">
      <c r="A36" s="179">
        <v>1954</v>
      </c>
      <c r="B36" s="180"/>
      <c r="C36" s="205">
        <v>227.136</v>
      </c>
      <c r="D36" s="205">
        <v>227.136</v>
      </c>
      <c r="E36" s="246" t="s">
        <v>10</v>
      </c>
      <c r="F36" s="246" t="s">
        <v>10</v>
      </c>
      <c r="G36" s="205">
        <v>94.496000000000009</v>
      </c>
      <c r="H36" s="246" t="s">
        <v>10</v>
      </c>
      <c r="I36" s="205">
        <v>122.627</v>
      </c>
      <c r="J36" s="246" t="s">
        <v>10</v>
      </c>
      <c r="K36" s="246" t="s">
        <v>10</v>
      </c>
      <c r="L36" s="246" t="s">
        <v>10</v>
      </c>
      <c r="M36" s="205">
        <v>10.013</v>
      </c>
      <c r="N36" s="246" t="s">
        <v>10</v>
      </c>
      <c r="O36" s="246" t="s">
        <v>10</v>
      </c>
    </row>
    <row r="37" spans="1:15" x14ac:dyDescent="0.2">
      <c r="A37" s="179">
        <v>1955</v>
      </c>
      <c r="B37" s="180"/>
      <c r="C37" s="205">
        <v>241.553</v>
      </c>
      <c r="D37" s="205">
        <v>241.553</v>
      </c>
      <c r="E37" s="246" t="s">
        <v>10</v>
      </c>
      <c r="F37" s="246" t="s">
        <v>10</v>
      </c>
      <c r="G37" s="205">
        <v>105.97799999999999</v>
      </c>
      <c r="H37" s="246" t="s">
        <v>10</v>
      </c>
      <c r="I37" s="205">
        <v>123.61799999999999</v>
      </c>
      <c r="J37" s="246" t="s">
        <v>10</v>
      </c>
      <c r="K37" s="246" t="s">
        <v>10</v>
      </c>
      <c r="L37" s="246" t="s">
        <v>10</v>
      </c>
      <c r="M37" s="205">
        <v>11.957000000000001</v>
      </c>
      <c r="N37" s="246" t="s">
        <v>10</v>
      </c>
      <c r="O37" s="246" t="s">
        <v>10</v>
      </c>
    </row>
    <row r="38" spans="1:15" x14ac:dyDescent="0.2">
      <c r="A38" s="179">
        <v>1956</v>
      </c>
      <c r="B38" s="180"/>
      <c r="C38" s="205">
        <v>281.08800000000002</v>
      </c>
      <c r="D38" s="205">
        <v>281.08800000000002</v>
      </c>
      <c r="E38" s="246" t="s">
        <v>10</v>
      </c>
      <c r="F38" s="246" t="s">
        <v>10</v>
      </c>
      <c r="G38" s="205">
        <v>125.871</v>
      </c>
      <c r="H38" s="246" t="s">
        <v>10</v>
      </c>
      <c r="I38" s="205">
        <v>144.32300000000001</v>
      </c>
      <c r="J38" s="246" t="s">
        <v>10</v>
      </c>
      <c r="K38" s="246" t="s">
        <v>10</v>
      </c>
      <c r="L38" s="246" t="s">
        <v>10</v>
      </c>
      <c r="M38" s="205">
        <v>10.893999999999998</v>
      </c>
      <c r="N38" s="246" t="s">
        <v>10</v>
      </c>
      <c r="O38" s="246" t="s">
        <v>10</v>
      </c>
    </row>
    <row r="39" spans="1:15" x14ac:dyDescent="0.2">
      <c r="A39" s="179">
        <v>1957</v>
      </c>
      <c r="B39" s="180"/>
      <c r="C39" s="205">
        <v>316.03199999999998</v>
      </c>
      <c r="D39" s="205">
        <v>314.40699999999998</v>
      </c>
      <c r="E39" s="205">
        <v>1.625</v>
      </c>
      <c r="F39" s="205">
        <v>1.625</v>
      </c>
      <c r="G39" s="205">
        <v>134.96799999999999</v>
      </c>
      <c r="H39" s="246" t="s">
        <v>10</v>
      </c>
      <c r="I39" s="205">
        <v>165.149</v>
      </c>
      <c r="J39" s="246" t="s">
        <v>10</v>
      </c>
      <c r="K39" s="246" t="s">
        <v>10</v>
      </c>
      <c r="L39" s="246" t="s">
        <v>10</v>
      </c>
      <c r="M39" s="205">
        <v>14.29</v>
      </c>
      <c r="N39" s="246" t="s">
        <v>10</v>
      </c>
      <c r="O39" s="246" t="s">
        <v>10</v>
      </c>
    </row>
    <row r="40" spans="1:15" x14ac:dyDescent="0.2">
      <c r="A40" s="179">
        <v>1958</v>
      </c>
      <c r="B40" s="180"/>
      <c r="C40" s="205">
        <v>310.50599999999997</v>
      </c>
      <c r="D40" s="205">
        <v>300.90699999999998</v>
      </c>
      <c r="E40" s="205">
        <v>9.5990000000000002</v>
      </c>
      <c r="F40" s="205">
        <v>9.5990000000000002</v>
      </c>
      <c r="G40" s="205">
        <v>142.881</v>
      </c>
      <c r="H40" s="246" t="s">
        <v>10</v>
      </c>
      <c r="I40" s="205">
        <v>138.54</v>
      </c>
      <c r="J40" s="246" t="s">
        <v>10</v>
      </c>
      <c r="K40" s="246" t="s">
        <v>10</v>
      </c>
      <c r="L40" s="246" t="s">
        <v>10</v>
      </c>
      <c r="M40" s="205">
        <v>19.486000000000001</v>
      </c>
      <c r="N40" s="246" t="s">
        <v>10</v>
      </c>
      <c r="O40" s="246" t="s">
        <v>10</v>
      </c>
    </row>
    <row r="41" spans="1:15" x14ac:dyDescent="0.2">
      <c r="A41" s="179">
        <v>1959</v>
      </c>
      <c r="B41" s="180"/>
      <c r="C41" s="205">
        <v>357.221</v>
      </c>
      <c r="D41" s="205">
        <v>330.05400000000003</v>
      </c>
      <c r="E41" s="205">
        <v>27.167000000000002</v>
      </c>
      <c r="F41" s="205">
        <v>27.167000000000002</v>
      </c>
      <c r="G41" s="205">
        <v>168.53700000000001</v>
      </c>
      <c r="H41" s="246" t="s">
        <v>10</v>
      </c>
      <c r="I41" s="205">
        <v>140.596</v>
      </c>
      <c r="J41" s="246" t="s">
        <v>10</v>
      </c>
      <c r="K41" s="246" t="s">
        <v>10</v>
      </c>
      <c r="L41" s="246" t="s">
        <v>10</v>
      </c>
      <c r="M41" s="205">
        <v>20.920999999999999</v>
      </c>
      <c r="N41" s="246" t="s">
        <v>10</v>
      </c>
      <c r="O41" s="246" t="s">
        <v>10</v>
      </c>
    </row>
    <row r="42" spans="1:15" x14ac:dyDescent="0.2">
      <c r="A42" s="179">
        <v>1960</v>
      </c>
      <c r="B42" s="180"/>
      <c r="C42" s="205">
        <v>393.71299999999997</v>
      </c>
      <c r="D42" s="205">
        <v>348.79899999999998</v>
      </c>
      <c r="E42" s="205">
        <v>44.914000000000001</v>
      </c>
      <c r="F42" s="205">
        <v>44.914000000000001</v>
      </c>
      <c r="G42" s="205">
        <v>198.98399999999998</v>
      </c>
      <c r="H42" s="246" t="s">
        <v>10</v>
      </c>
      <c r="I42" s="205">
        <v>133.79199999999997</v>
      </c>
      <c r="J42" s="246" t="s">
        <v>10</v>
      </c>
      <c r="K42" s="246" t="s">
        <v>10</v>
      </c>
      <c r="L42" s="246" t="s">
        <v>10</v>
      </c>
      <c r="M42" s="205">
        <v>16.023</v>
      </c>
      <c r="N42" s="246" t="s">
        <v>10</v>
      </c>
      <c r="O42" s="246" t="s">
        <v>10</v>
      </c>
    </row>
    <row r="43" spans="1:15" x14ac:dyDescent="0.2">
      <c r="A43" s="179">
        <v>1961</v>
      </c>
      <c r="B43" s="180"/>
      <c r="C43" s="205">
        <v>422.18400000000003</v>
      </c>
      <c r="D43" s="205">
        <v>384.55</v>
      </c>
      <c r="E43" s="205">
        <v>37.634</v>
      </c>
      <c r="F43" s="205">
        <v>37.634</v>
      </c>
      <c r="G43" s="205">
        <v>209.53100000000001</v>
      </c>
      <c r="H43" s="246" t="s">
        <v>10</v>
      </c>
      <c r="I43" s="205">
        <v>154.41499999999999</v>
      </c>
      <c r="J43" s="246" t="s">
        <v>10</v>
      </c>
      <c r="K43" s="246" t="s">
        <v>10</v>
      </c>
      <c r="L43" s="246" t="s">
        <v>10</v>
      </c>
      <c r="M43" s="205">
        <v>20.603999999999999</v>
      </c>
      <c r="N43" s="246" t="s">
        <v>10</v>
      </c>
      <c r="O43" s="246" t="s">
        <v>10</v>
      </c>
    </row>
    <row r="44" spans="1:15" x14ac:dyDescent="0.2">
      <c r="A44" s="179">
        <v>1962</v>
      </c>
      <c r="B44" s="180"/>
      <c r="C44" s="205">
        <v>473.61099999999999</v>
      </c>
      <c r="D44" s="205">
        <v>425.52</v>
      </c>
      <c r="E44" s="205">
        <v>48.091000000000001</v>
      </c>
      <c r="F44" s="205">
        <v>48.091000000000001</v>
      </c>
      <c r="G44" s="205">
        <v>265.75400000000002</v>
      </c>
      <c r="H44" s="246" t="s">
        <v>10</v>
      </c>
      <c r="I44" s="205">
        <v>137.11099999999999</v>
      </c>
      <c r="J44" s="246" t="s">
        <v>10</v>
      </c>
      <c r="K44" s="246" t="s">
        <v>10</v>
      </c>
      <c r="L44" s="246" t="s">
        <v>10</v>
      </c>
      <c r="M44" s="205">
        <v>22.655000000000001</v>
      </c>
      <c r="N44" s="246" t="s">
        <v>10</v>
      </c>
      <c r="O44" s="246" t="s">
        <v>10</v>
      </c>
    </row>
    <row r="45" spans="1:15" x14ac:dyDescent="0.2">
      <c r="A45" s="179">
        <v>1963</v>
      </c>
      <c r="B45" s="180"/>
      <c r="C45" s="205">
        <v>550.74900000000002</v>
      </c>
      <c r="D45" s="205">
        <v>494.84399999999999</v>
      </c>
      <c r="E45" s="205">
        <v>55.905000000000001</v>
      </c>
      <c r="F45" s="205">
        <v>55.905000000000001</v>
      </c>
      <c r="G45" s="205">
        <v>335.053</v>
      </c>
      <c r="H45" s="246" t="s">
        <v>10</v>
      </c>
      <c r="I45" s="205">
        <v>144.56800000000001</v>
      </c>
      <c r="J45" s="246" t="s">
        <v>10</v>
      </c>
      <c r="K45" s="246" t="s">
        <v>10</v>
      </c>
      <c r="L45" s="246" t="s">
        <v>10</v>
      </c>
      <c r="M45" s="205">
        <v>15.223000000000001</v>
      </c>
      <c r="N45" s="246" t="s">
        <v>10</v>
      </c>
      <c r="O45" s="246" t="s">
        <v>10</v>
      </c>
    </row>
    <row r="46" spans="1:15" x14ac:dyDescent="0.2">
      <c r="A46" s="179">
        <v>1964</v>
      </c>
      <c r="B46" s="180"/>
      <c r="C46" s="205">
        <v>627.03899999999999</v>
      </c>
      <c r="D46" s="205">
        <v>567.00300000000004</v>
      </c>
      <c r="E46" s="205">
        <v>60.036000000000001</v>
      </c>
      <c r="F46" s="205">
        <v>60.036000000000001</v>
      </c>
      <c r="G46" s="205">
        <v>425.45800000000003</v>
      </c>
      <c r="H46" s="246" t="s">
        <v>10</v>
      </c>
      <c r="I46" s="205">
        <v>126.569</v>
      </c>
      <c r="J46" s="246" t="s">
        <v>10</v>
      </c>
      <c r="K46" s="246" t="s">
        <v>10</v>
      </c>
      <c r="L46" s="246" t="s">
        <v>10</v>
      </c>
      <c r="M46" s="205">
        <v>14.976000000000001</v>
      </c>
      <c r="N46" s="246" t="s">
        <v>10</v>
      </c>
      <c r="O46" s="246" t="s">
        <v>10</v>
      </c>
    </row>
    <row r="47" spans="1:15" x14ac:dyDescent="0.2">
      <c r="A47" s="179">
        <v>1965</v>
      </c>
      <c r="B47" s="180"/>
      <c r="C47" s="205">
        <v>712.404</v>
      </c>
      <c r="D47" s="205">
        <v>629.83000000000004</v>
      </c>
      <c r="E47" s="205">
        <v>82.573999999999998</v>
      </c>
      <c r="F47" s="205">
        <v>82.573999999999998</v>
      </c>
      <c r="G47" s="205">
        <v>480.69600000000003</v>
      </c>
      <c r="H47" s="246" t="s">
        <v>10</v>
      </c>
      <c r="I47" s="205">
        <v>137.22</v>
      </c>
      <c r="J47" s="246" t="s">
        <v>10</v>
      </c>
      <c r="K47" s="246" t="s">
        <v>10</v>
      </c>
      <c r="L47" s="246" t="s">
        <v>10</v>
      </c>
      <c r="M47" s="205">
        <v>11.914</v>
      </c>
      <c r="N47" s="246" t="s">
        <v>10</v>
      </c>
      <c r="O47" s="246" t="s">
        <v>10</v>
      </c>
    </row>
    <row r="48" spans="1:15" x14ac:dyDescent="0.2">
      <c r="A48" s="179">
        <v>1966</v>
      </c>
      <c r="B48" s="180"/>
      <c r="C48" s="205">
        <v>855.8309999999999</v>
      </c>
      <c r="D48" s="205">
        <v>744.21500000000003</v>
      </c>
      <c r="E48" s="205">
        <v>111.616</v>
      </c>
      <c r="F48" s="205">
        <v>111.616</v>
      </c>
      <c r="G48" s="205">
        <v>579.02599999999995</v>
      </c>
      <c r="H48" s="246" t="s">
        <v>10</v>
      </c>
      <c r="I48" s="205">
        <v>151.66400000000002</v>
      </c>
      <c r="J48" s="246" t="s">
        <v>10</v>
      </c>
      <c r="K48" s="246" t="s">
        <v>10</v>
      </c>
      <c r="L48" s="246" t="s">
        <v>10</v>
      </c>
      <c r="M48" s="205">
        <v>13.525</v>
      </c>
      <c r="N48" s="246" t="s">
        <v>10</v>
      </c>
      <c r="O48" s="246" t="s">
        <v>10</v>
      </c>
    </row>
    <row r="49" spans="1:15" x14ac:dyDescent="0.2">
      <c r="A49" s="179">
        <v>1967</v>
      </c>
      <c r="B49" s="180"/>
      <c r="C49" s="205">
        <v>934.56799999999998</v>
      </c>
      <c r="D49" s="205">
        <v>815.31399999999996</v>
      </c>
      <c r="E49" s="205">
        <v>119.254</v>
      </c>
      <c r="F49" s="205">
        <v>119.254</v>
      </c>
      <c r="G49" s="205">
        <v>644.52499999999998</v>
      </c>
      <c r="H49" s="246" t="s">
        <v>10</v>
      </c>
      <c r="I49" s="205">
        <v>158.142</v>
      </c>
      <c r="J49" s="246" t="s">
        <v>10</v>
      </c>
      <c r="K49" s="246" t="s">
        <v>10</v>
      </c>
      <c r="L49" s="246" t="s">
        <v>10</v>
      </c>
      <c r="M49" s="205">
        <v>12.647</v>
      </c>
      <c r="N49" s="246" t="s">
        <v>10</v>
      </c>
      <c r="O49" s="246" t="s">
        <v>10</v>
      </c>
    </row>
    <row r="50" spans="1:15" x14ac:dyDescent="0.2">
      <c r="A50" s="179">
        <v>1968</v>
      </c>
      <c r="B50" s="180"/>
      <c r="C50" s="205">
        <v>1249.3119999999999</v>
      </c>
      <c r="D50" s="205">
        <v>1063.6979999999999</v>
      </c>
      <c r="E50" s="205">
        <v>185.614</v>
      </c>
      <c r="F50" s="205">
        <v>185.614</v>
      </c>
      <c r="G50" s="205">
        <v>836.803</v>
      </c>
      <c r="H50" s="246" t="s">
        <v>10</v>
      </c>
      <c r="I50" s="205">
        <v>216.00799999999998</v>
      </c>
      <c r="J50" s="246" t="s">
        <v>10</v>
      </c>
      <c r="K50" s="246" t="s">
        <v>10</v>
      </c>
      <c r="L50" s="246" t="s">
        <v>10</v>
      </c>
      <c r="M50" s="205">
        <v>10.887</v>
      </c>
      <c r="N50" s="246" t="s">
        <v>10</v>
      </c>
      <c r="O50" s="246" t="s">
        <v>10</v>
      </c>
    </row>
    <row r="51" spans="1:15" x14ac:dyDescent="0.2">
      <c r="A51" s="179">
        <v>1969</v>
      </c>
      <c r="B51" s="180"/>
      <c r="C51" s="205">
        <v>1573.82</v>
      </c>
      <c r="D51" s="205">
        <v>1352.6379999999999</v>
      </c>
      <c r="E51" s="205">
        <v>221.18199999999999</v>
      </c>
      <c r="F51" s="205">
        <v>221.18199999999999</v>
      </c>
      <c r="G51" s="205">
        <v>1191.307</v>
      </c>
      <c r="H51" s="246" t="s">
        <v>10</v>
      </c>
      <c r="I51" s="205">
        <v>141.34800000000001</v>
      </c>
      <c r="J51" s="246" t="s">
        <v>10</v>
      </c>
      <c r="K51" s="246" t="s">
        <v>10</v>
      </c>
      <c r="L51" s="246" t="s">
        <v>10</v>
      </c>
      <c r="M51" s="205">
        <v>19.982999999999997</v>
      </c>
      <c r="N51" s="246" t="s">
        <v>10</v>
      </c>
      <c r="O51" s="246" t="s">
        <v>10</v>
      </c>
    </row>
    <row r="52" spans="1:15" x14ac:dyDescent="0.2">
      <c r="A52" s="179">
        <v>1970</v>
      </c>
      <c r="B52" s="180"/>
      <c r="C52" s="205">
        <v>1795.8789999999999</v>
      </c>
      <c r="D52" s="205">
        <v>1795.8789999999999</v>
      </c>
      <c r="E52" s="246" t="s">
        <v>10</v>
      </c>
      <c r="F52" s="246" t="s">
        <v>10</v>
      </c>
      <c r="G52" s="205">
        <v>1513.096</v>
      </c>
      <c r="H52" s="246" t="s">
        <v>10</v>
      </c>
      <c r="I52" s="205">
        <v>262.82099999999997</v>
      </c>
      <c r="J52" s="246" t="s">
        <v>10</v>
      </c>
      <c r="K52" s="246" t="s">
        <v>10</v>
      </c>
      <c r="L52" s="246" t="s">
        <v>10</v>
      </c>
      <c r="M52" s="205">
        <v>19.962</v>
      </c>
      <c r="N52" s="246" t="s">
        <v>10</v>
      </c>
      <c r="O52" s="246" t="s">
        <v>10</v>
      </c>
    </row>
    <row r="53" spans="1:15" x14ac:dyDescent="0.2">
      <c r="A53" s="179">
        <v>1971</v>
      </c>
      <c r="B53" s="180"/>
      <c r="C53" s="205">
        <v>2261.201</v>
      </c>
      <c r="D53" s="205">
        <v>2213.5</v>
      </c>
      <c r="E53" s="205">
        <v>47.701000000000001</v>
      </c>
      <c r="F53" s="205">
        <v>47.701000000000001</v>
      </c>
      <c r="G53" s="205">
        <v>1888.1670000000001</v>
      </c>
      <c r="H53" s="246" t="s">
        <v>10</v>
      </c>
      <c r="I53" s="205">
        <v>288.94300000000004</v>
      </c>
      <c r="J53" s="246" t="s">
        <v>10</v>
      </c>
      <c r="K53" s="246" t="s">
        <v>10</v>
      </c>
      <c r="L53" s="246" t="s">
        <v>10</v>
      </c>
      <c r="M53" s="205">
        <v>36.39</v>
      </c>
      <c r="N53" s="246" t="s">
        <v>10</v>
      </c>
      <c r="O53" s="246" t="s">
        <v>10</v>
      </c>
    </row>
    <row r="54" spans="1:15" x14ac:dyDescent="0.2">
      <c r="A54" s="179">
        <v>1972</v>
      </c>
      <c r="B54" s="180"/>
      <c r="C54" s="205">
        <v>2773.8789999999999</v>
      </c>
      <c r="D54" s="205">
        <v>2663.096</v>
      </c>
      <c r="E54" s="205">
        <v>110.783</v>
      </c>
      <c r="F54" s="205">
        <v>110.783</v>
      </c>
      <c r="G54" s="205">
        <v>2250.3029999999999</v>
      </c>
      <c r="H54" s="246" t="s">
        <v>10</v>
      </c>
      <c r="I54" s="205">
        <v>351.30799999999999</v>
      </c>
      <c r="J54" s="246" t="s">
        <v>10</v>
      </c>
      <c r="K54" s="246" t="s">
        <v>10</v>
      </c>
      <c r="L54" s="246" t="s">
        <v>10</v>
      </c>
      <c r="M54" s="205">
        <v>61.484999999999999</v>
      </c>
      <c r="N54" s="246" t="s">
        <v>10</v>
      </c>
      <c r="O54" s="246" t="s">
        <v>10</v>
      </c>
    </row>
    <row r="55" spans="1:15" x14ac:dyDescent="0.2">
      <c r="A55" s="179">
        <v>1973</v>
      </c>
      <c r="B55" s="180"/>
      <c r="C55" s="205">
        <v>3357.1439999999993</v>
      </c>
      <c r="D55" s="205">
        <v>3196.0909999999994</v>
      </c>
      <c r="E55" s="205">
        <v>161.053</v>
      </c>
      <c r="F55" s="205">
        <v>161.053</v>
      </c>
      <c r="G55" s="205">
        <v>2645.4719999999998</v>
      </c>
      <c r="H55" s="246" t="s">
        <v>10</v>
      </c>
      <c r="I55" s="205">
        <v>448.07499999999999</v>
      </c>
      <c r="J55" s="246" t="s">
        <v>10</v>
      </c>
      <c r="K55" s="246" t="s">
        <v>10</v>
      </c>
      <c r="L55" s="246" t="s">
        <v>10</v>
      </c>
      <c r="M55" s="205">
        <v>102.54399999999998</v>
      </c>
      <c r="N55" s="246" t="s">
        <v>10</v>
      </c>
      <c r="O55" s="246" t="s">
        <v>10</v>
      </c>
    </row>
    <row r="56" spans="1:15" x14ac:dyDescent="0.2">
      <c r="A56" s="179">
        <v>1974</v>
      </c>
      <c r="B56" s="180"/>
      <c r="C56" s="205">
        <v>4316.2519999999995</v>
      </c>
      <c r="D56" s="205">
        <v>4048.5549999999994</v>
      </c>
      <c r="E56" s="205">
        <v>267.697</v>
      </c>
      <c r="F56" s="205">
        <v>267.697</v>
      </c>
      <c r="G56" s="205">
        <v>3234.56</v>
      </c>
      <c r="H56" s="246" t="s">
        <v>10</v>
      </c>
      <c r="I56" s="205">
        <v>656.44699999999989</v>
      </c>
      <c r="J56" s="246" t="s">
        <v>10</v>
      </c>
      <c r="K56" s="246" t="s">
        <v>10</v>
      </c>
      <c r="L56" s="246" t="s">
        <v>10</v>
      </c>
      <c r="M56" s="205">
        <v>157.548</v>
      </c>
      <c r="N56" s="246" t="s">
        <v>10</v>
      </c>
      <c r="O56" s="246" t="s">
        <v>10</v>
      </c>
    </row>
    <row r="57" spans="1:15" x14ac:dyDescent="0.2">
      <c r="A57" s="179">
        <v>1975</v>
      </c>
      <c r="B57" s="180"/>
      <c r="C57" s="205">
        <v>4631.2689999999993</v>
      </c>
      <c r="D57" s="205">
        <v>4276.9839999999995</v>
      </c>
      <c r="E57" s="205">
        <v>354.28500000000003</v>
      </c>
      <c r="F57" s="205">
        <v>354.28500000000003</v>
      </c>
      <c r="G57" s="205">
        <v>3569.76</v>
      </c>
      <c r="H57" s="246" t="s">
        <v>10</v>
      </c>
      <c r="I57" s="205">
        <v>592.26599999999996</v>
      </c>
      <c r="J57" s="246" t="s">
        <v>10</v>
      </c>
      <c r="K57" s="246" t="s">
        <v>10</v>
      </c>
      <c r="L57" s="246" t="s">
        <v>10</v>
      </c>
      <c r="M57" s="205">
        <v>114.958</v>
      </c>
      <c r="N57" s="246" t="s">
        <v>10</v>
      </c>
      <c r="O57" s="246" t="s">
        <v>10</v>
      </c>
    </row>
    <row r="58" spans="1:15" x14ac:dyDescent="0.2">
      <c r="A58" s="179">
        <v>1976</v>
      </c>
      <c r="B58" s="202"/>
      <c r="C58" s="205">
        <v>5906.701448979592</v>
      </c>
      <c r="D58" s="205">
        <v>5350.9790000000003</v>
      </c>
      <c r="E58" s="205">
        <v>555.72244897959172</v>
      </c>
      <c r="F58" s="205">
        <v>555.72244897959172</v>
      </c>
      <c r="G58" s="205">
        <v>4235.152</v>
      </c>
      <c r="H58" s="246" t="s">
        <v>10</v>
      </c>
      <c r="I58" s="205">
        <v>939.65699999999993</v>
      </c>
      <c r="J58" s="246" t="s">
        <v>10</v>
      </c>
      <c r="K58" s="246" t="s">
        <v>10</v>
      </c>
      <c r="L58" s="246" t="s">
        <v>10</v>
      </c>
      <c r="M58" s="205">
        <v>176.17</v>
      </c>
      <c r="N58" s="246" t="s">
        <v>10</v>
      </c>
      <c r="O58" s="246" t="s">
        <v>10</v>
      </c>
    </row>
    <row r="59" spans="1:15" x14ac:dyDescent="0.2">
      <c r="A59" s="179">
        <v>1977</v>
      </c>
      <c r="B59" s="180"/>
      <c r="C59" s="205">
        <v>6644.7833113417355</v>
      </c>
      <c r="D59" s="205">
        <v>5854.8380000000006</v>
      </c>
      <c r="E59" s="205">
        <v>789.94531134173462</v>
      </c>
      <c r="F59" s="205">
        <v>789.94531134173462</v>
      </c>
      <c r="G59" s="205">
        <v>4627.5420000000004</v>
      </c>
      <c r="H59" s="246" t="s">
        <v>10</v>
      </c>
      <c r="I59" s="205">
        <v>1017.105</v>
      </c>
      <c r="J59" s="246" t="s">
        <v>10</v>
      </c>
      <c r="K59" s="246" t="s">
        <v>10</v>
      </c>
      <c r="L59" s="246" t="s">
        <v>10</v>
      </c>
      <c r="M59" s="205">
        <v>210.191</v>
      </c>
      <c r="N59" s="246" t="s">
        <v>10</v>
      </c>
      <c r="O59" s="246" t="s">
        <v>10</v>
      </c>
    </row>
    <row r="60" spans="1:15" x14ac:dyDescent="0.2">
      <c r="A60" s="179">
        <v>1978</v>
      </c>
      <c r="B60" s="180"/>
      <c r="C60" s="205">
        <v>7088.5572523719156</v>
      </c>
      <c r="D60" s="205">
        <v>6242.7149999999992</v>
      </c>
      <c r="E60" s="205">
        <v>845.84225237191652</v>
      </c>
      <c r="F60" s="205">
        <v>845.84225237191652</v>
      </c>
      <c r="G60" s="205">
        <v>5044.3449999999993</v>
      </c>
      <c r="H60" s="246" t="s">
        <v>10</v>
      </c>
      <c r="I60" s="205">
        <v>960.03899999999999</v>
      </c>
      <c r="J60" s="246" t="s">
        <v>10</v>
      </c>
      <c r="K60" s="246" t="s">
        <v>10</v>
      </c>
      <c r="L60" s="246" t="s">
        <v>10</v>
      </c>
      <c r="M60" s="205">
        <v>238.33099999999999</v>
      </c>
      <c r="N60" s="246" t="s">
        <v>10</v>
      </c>
      <c r="O60" s="246" t="s">
        <v>10</v>
      </c>
    </row>
    <row r="61" spans="1:15" x14ac:dyDescent="0.2">
      <c r="A61" s="179">
        <v>1979</v>
      </c>
      <c r="B61" s="202"/>
      <c r="C61" s="205">
        <v>8404.9907991104519</v>
      </c>
      <c r="D61" s="205">
        <v>7325.3269999999993</v>
      </c>
      <c r="E61" s="205">
        <v>1079.6637991104521</v>
      </c>
      <c r="F61" s="205">
        <v>1079.6637991104521</v>
      </c>
      <c r="G61" s="205">
        <v>5790.7280000000001</v>
      </c>
      <c r="H61" s="246" t="s">
        <v>10</v>
      </c>
      <c r="I61" s="205">
        <v>1204.3019999999999</v>
      </c>
      <c r="J61" s="246" t="s">
        <v>10</v>
      </c>
      <c r="K61" s="246" t="s">
        <v>10</v>
      </c>
      <c r="L61" s="246" t="s">
        <v>10</v>
      </c>
      <c r="M61" s="205">
        <v>330.29700000000003</v>
      </c>
      <c r="N61" s="246" t="s">
        <v>10</v>
      </c>
      <c r="O61" s="246" t="s">
        <v>10</v>
      </c>
    </row>
    <row r="62" spans="1:15" x14ac:dyDescent="0.2">
      <c r="A62" s="179">
        <v>1980</v>
      </c>
      <c r="B62" s="180"/>
      <c r="C62" s="205">
        <v>9633.4941703650693</v>
      </c>
      <c r="D62" s="205">
        <v>8654.0380000000005</v>
      </c>
      <c r="E62" s="205">
        <v>979.45617036506792</v>
      </c>
      <c r="F62" s="205">
        <v>979.45617036506792</v>
      </c>
      <c r="G62" s="205">
        <v>7286.514000000001</v>
      </c>
      <c r="H62" s="246" t="s">
        <v>10</v>
      </c>
      <c r="I62" s="205">
        <v>1004.5410000000001</v>
      </c>
      <c r="J62" s="246" t="s">
        <v>10</v>
      </c>
      <c r="K62" s="246" t="s">
        <v>10</v>
      </c>
      <c r="L62" s="246" t="s">
        <v>10</v>
      </c>
      <c r="M62" s="205">
        <v>362.98299999999995</v>
      </c>
      <c r="N62" s="246" t="s">
        <v>10</v>
      </c>
      <c r="O62" s="246" t="s">
        <v>10</v>
      </c>
    </row>
    <row r="63" spans="1:15" x14ac:dyDescent="0.2">
      <c r="A63" s="179">
        <v>1981</v>
      </c>
      <c r="B63" s="180"/>
      <c r="C63" s="205">
        <v>10861.998629449346</v>
      </c>
      <c r="D63" s="205">
        <v>9503.19</v>
      </c>
      <c r="E63" s="205">
        <v>1358.8086294493462</v>
      </c>
      <c r="F63" s="205">
        <v>1358.8086294493462</v>
      </c>
      <c r="G63" s="205">
        <v>8333.6890000000003</v>
      </c>
      <c r="H63" s="246" t="s">
        <v>10</v>
      </c>
      <c r="I63" s="205">
        <v>896.21100000000001</v>
      </c>
      <c r="J63" s="246" t="s">
        <v>10</v>
      </c>
      <c r="K63" s="246" t="s">
        <v>10</v>
      </c>
      <c r="L63" s="246" t="s">
        <v>10</v>
      </c>
      <c r="M63" s="205">
        <v>273.29000000000002</v>
      </c>
      <c r="N63" s="246" t="s">
        <v>10</v>
      </c>
      <c r="O63" s="246" t="s">
        <v>10</v>
      </c>
    </row>
    <row r="64" spans="1:15" x14ac:dyDescent="0.2">
      <c r="A64" s="179">
        <v>1982</v>
      </c>
      <c r="B64" s="180"/>
      <c r="C64" s="205">
        <v>12562.381596779189</v>
      </c>
      <c r="D64" s="205">
        <v>11827.859</v>
      </c>
      <c r="E64" s="205">
        <v>734.52259677918858</v>
      </c>
      <c r="F64" s="205">
        <v>734.52259677918858</v>
      </c>
      <c r="G64" s="205">
        <v>10821.868</v>
      </c>
      <c r="H64" s="246" t="s">
        <v>10</v>
      </c>
      <c r="I64" s="205">
        <v>714.08299999999997</v>
      </c>
      <c r="J64" s="246" t="s">
        <v>10</v>
      </c>
      <c r="K64" s="246" t="s">
        <v>10</v>
      </c>
      <c r="L64" s="246" t="s">
        <v>10</v>
      </c>
      <c r="M64" s="205">
        <v>291.90800000000002</v>
      </c>
      <c r="N64" s="246" t="s">
        <v>10</v>
      </c>
      <c r="O64" s="246" t="s">
        <v>10</v>
      </c>
    </row>
    <row r="65" spans="1:17" x14ac:dyDescent="0.2">
      <c r="A65" s="179">
        <v>1983</v>
      </c>
      <c r="B65" s="180"/>
      <c r="C65" s="205">
        <v>19628.33146616022</v>
      </c>
      <c r="D65" s="205">
        <v>17289.030999999999</v>
      </c>
      <c r="E65" s="205">
        <v>2339.3004661602217</v>
      </c>
      <c r="F65" s="205">
        <v>2339.3004661602217</v>
      </c>
      <c r="G65" s="205">
        <v>15434</v>
      </c>
      <c r="H65" s="246" t="s">
        <v>10</v>
      </c>
      <c r="I65" s="205">
        <v>1496</v>
      </c>
      <c r="J65" s="246" t="s">
        <v>10</v>
      </c>
      <c r="K65" s="246" t="s">
        <v>10</v>
      </c>
      <c r="L65" s="246" t="s">
        <v>10</v>
      </c>
      <c r="M65" s="205">
        <v>359.03100000000001</v>
      </c>
      <c r="N65" s="246" t="s">
        <v>10</v>
      </c>
      <c r="O65" s="246" t="s">
        <v>10</v>
      </c>
    </row>
    <row r="66" spans="1:17" x14ac:dyDescent="0.2">
      <c r="A66" s="179">
        <v>1984</v>
      </c>
      <c r="B66" s="180"/>
      <c r="C66" s="205">
        <v>34948.491235953137</v>
      </c>
      <c r="D66" s="205">
        <v>31386.504000000001</v>
      </c>
      <c r="E66" s="205">
        <v>3561.9872359531341</v>
      </c>
      <c r="F66" s="205">
        <v>3561.9872359531341</v>
      </c>
      <c r="G66" s="205">
        <v>26081</v>
      </c>
      <c r="H66" s="246" t="s">
        <v>10</v>
      </c>
      <c r="I66" s="205">
        <v>4864.8</v>
      </c>
      <c r="J66" s="246" t="s">
        <v>10</v>
      </c>
      <c r="K66" s="246" t="s">
        <v>10</v>
      </c>
      <c r="L66" s="246" t="s">
        <v>10</v>
      </c>
      <c r="M66" s="205">
        <v>440.70400000000001</v>
      </c>
      <c r="N66" s="246" t="s">
        <v>10</v>
      </c>
      <c r="O66" s="246" t="s">
        <v>10</v>
      </c>
    </row>
    <row r="67" spans="1:17" x14ac:dyDescent="0.2">
      <c r="A67" s="179">
        <v>1985</v>
      </c>
      <c r="B67" s="180"/>
      <c r="C67" s="205">
        <v>92706.879062348569</v>
      </c>
      <c r="D67" s="205">
        <v>88248</v>
      </c>
      <c r="E67" s="205">
        <v>4458.8790623485711</v>
      </c>
      <c r="F67" s="205">
        <v>4352.1071353577772</v>
      </c>
      <c r="G67" s="205">
        <v>42776</v>
      </c>
      <c r="H67" s="246" t="s">
        <v>10</v>
      </c>
      <c r="I67" s="205">
        <v>44756</v>
      </c>
      <c r="J67" s="205">
        <v>102.87514133419481</v>
      </c>
      <c r="K67" s="246" t="s">
        <v>10</v>
      </c>
      <c r="L67" s="246" t="s">
        <v>10</v>
      </c>
      <c r="M67" s="205">
        <v>716</v>
      </c>
      <c r="N67" s="205">
        <v>3.8967856565982881</v>
      </c>
      <c r="O67" s="246" t="s">
        <v>10</v>
      </c>
    </row>
    <row r="68" spans="1:17" x14ac:dyDescent="0.2">
      <c r="A68" s="179">
        <v>1986</v>
      </c>
      <c r="B68" s="180"/>
      <c r="C68" s="205">
        <v>135565.56443079046</v>
      </c>
      <c r="D68" s="205">
        <v>125954.128</v>
      </c>
      <c r="E68" s="205">
        <v>9611.4364307904743</v>
      </c>
      <c r="F68" s="205">
        <v>9399.3342561270292</v>
      </c>
      <c r="G68" s="205">
        <v>59847.442000000003</v>
      </c>
      <c r="H68" s="246" t="s">
        <v>10</v>
      </c>
      <c r="I68" s="205">
        <v>65598.686000000002</v>
      </c>
      <c r="J68" s="205">
        <v>175.56782878840181</v>
      </c>
      <c r="K68" s="246" t="s">
        <v>10</v>
      </c>
      <c r="L68" s="246" t="s">
        <v>10</v>
      </c>
      <c r="M68" s="205">
        <v>508</v>
      </c>
      <c r="N68" s="205">
        <v>36.534345875043151</v>
      </c>
      <c r="O68" s="246" t="s">
        <v>10</v>
      </c>
    </row>
    <row r="69" spans="1:17" x14ac:dyDescent="0.2">
      <c r="A69" s="179">
        <v>1987</v>
      </c>
      <c r="B69" s="247"/>
      <c r="C69" s="205">
        <v>202768.37334689725</v>
      </c>
      <c r="D69" s="205">
        <v>189321</v>
      </c>
      <c r="E69" s="205">
        <v>13447.373346897253</v>
      </c>
      <c r="F69" s="205">
        <v>13232.374364191252</v>
      </c>
      <c r="G69" s="205">
        <v>94213</v>
      </c>
      <c r="H69" s="246" t="s">
        <v>10</v>
      </c>
      <c r="I69" s="205">
        <v>94259</v>
      </c>
      <c r="J69" s="205">
        <v>213.19226856561548</v>
      </c>
      <c r="K69" s="246" t="s">
        <v>10</v>
      </c>
      <c r="L69" s="246" t="s">
        <v>10</v>
      </c>
      <c r="M69" s="205">
        <v>849</v>
      </c>
      <c r="N69" s="205">
        <v>1.8067141403865716</v>
      </c>
      <c r="O69" s="246" t="s">
        <v>10</v>
      </c>
    </row>
    <row r="70" spans="1:17" x14ac:dyDescent="0.2">
      <c r="A70" s="179">
        <v>1988</v>
      </c>
      <c r="B70" s="247"/>
      <c r="C70" s="205">
        <v>286569.45701999997</v>
      </c>
      <c r="D70" s="205">
        <v>263021</v>
      </c>
      <c r="E70" s="205">
        <v>23548.457019999998</v>
      </c>
      <c r="F70" s="205">
        <v>22848.188559999999</v>
      </c>
      <c r="G70" s="205">
        <v>137384</v>
      </c>
      <c r="H70" s="246" t="s">
        <v>10</v>
      </c>
      <c r="I70" s="205">
        <v>123360</v>
      </c>
      <c r="J70" s="205">
        <v>700.26846</v>
      </c>
      <c r="K70" s="246" t="s">
        <v>10</v>
      </c>
      <c r="L70" s="246" t="s">
        <v>10</v>
      </c>
      <c r="M70" s="205">
        <v>2277</v>
      </c>
      <c r="N70" s="246" t="s">
        <v>10</v>
      </c>
      <c r="O70" s="246" t="s">
        <v>10</v>
      </c>
    </row>
    <row r="71" spans="1:17" x14ac:dyDescent="0.2">
      <c r="A71" s="179">
        <v>1989</v>
      </c>
      <c r="B71" s="247"/>
      <c r="C71" s="205">
        <v>443785.15353658539</v>
      </c>
      <c r="D71" s="205">
        <v>400404</v>
      </c>
      <c r="E71" s="205">
        <v>43381.153536585363</v>
      </c>
      <c r="F71" s="205">
        <v>42925.95987804878</v>
      </c>
      <c r="G71" s="205">
        <v>206758</v>
      </c>
      <c r="H71" s="246" t="s">
        <v>10</v>
      </c>
      <c r="I71" s="205">
        <v>192170</v>
      </c>
      <c r="J71" s="205">
        <v>455.19365853658536</v>
      </c>
      <c r="K71" s="246" t="s">
        <v>10</v>
      </c>
      <c r="L71" s="246" t="s">
        <v>10</v>
      </c>
      <c r="M71" s="205">
        <v>1476</v>
      </c>
      <c r="N71" s="246" t="s">
        <v>10</v>
      </c>
      <c r="O71" s="246" t="s">
        <v>10</v>
      </c>
    </row>
    <row r="72" spans="1:17" x14ac:dyDescent="0.2">
      <c r="A72" s="179">
        <v>1990</v>
      </c>
      <c r="B72" s="247"/>
      <c r="C72" s="205">
        <v>781887.46519524616</v>
      </c>
      <c r="D72" s="205">
        <v>723163</v>
      </c>
      <c r="E72" s="205">
        <v>58724.465195246179</v>
      </c>
      <c r="F72" s="205">
        <v>58269.727028862479</v>
      </c>
      <c r="G72" s="205">
        <v>338293</v>
      </c>
      <c r="H72" s="246" t="s">
        <v>10</v>
      </c>
      <c r="I72" s="205">
        <v>381649</v>
      </c>
      <c r="J72" s="205">
        <v>454.73816638370113</v>
      </c>
      <c r="K72" s="246" t="s">
        <v>10</v>
      </c>
      <c r="L72" s="246" t="s">
        <v>10</v>
      </c>
      <c r="M72" s="205">
        <v>3040</v>
      </c>
      <c r="N72" s="246" t="s">
        <v>10</v>
      </c>
      <c r="O72" s="205">
        <v>181</v>
      </c>
    </row>
    <row r="73" spans="1:17" x14ac:dyDescent="0.2">
      <c r="A73" s="179">
        <v>1991</v>
      </c>
      <c r="B73" s="247"/>
      <c r="C73" s="205">
        <v>1318804.4351112847</v>
      </c>
      <c r="D73" s="205">
        <v>1219222</v>
      </c>
      <c r="E73" s="205">
        <v>99582.435111284649</v>
      </c>
      <c r="F73" s="205">
        <v>95757.50600546661</v>
      </c>
      <c r="G73" s="205">
        <v>552637</v>
      </c>
      <c r="H73" s="246" t="s">
        <v>10</v>
      </c>
      <c r="I73" s="205">
        <v>613142</v>
      </c>
      <c r="J73" s="205">
        <v>3824.9291058180397</v>
      </c>
      <c r="K73" s="205">
        <v>44209</v>
      </c>
      <c r="L73" s="246" t="s">
        <v>10</v>
      </c>
      <c r="M73" s="205">
        <v>4401</v>
      </c>
      <c r="N73" s="246" t="s">
        <v>10</v>
      </c>
      <c r="O73" s="205">
        <v>4833</v>
      </c>
    </row>
    <row r="74" spans="1:17" x14ac:dyDescent="0.2">
      <c r="A74" s="179">
        <v>1992</v>
      </c>
      <c r="B74" s="247"/>
      <c r="C74" s="205">
        <v>2198148.2997016544</v>
      </c>
      <c r="D74" s="205">
        <v>1959563</v>
      </c>
      <c r="E74" s="205">
        <v>238585.29970165447</v>
      </c>
      <c r="F74" s="205">
        <v>181781.39408733387</v>
      </c>
      <c r="G74" s="205">
        <v>955832</v>
      </c>
      <c r="H74" s="246" t="s">
        <v>10</v>
      </c>
      <c r="I74" s="205">
        <v>937444</v>
      </c>
      <c r="J74" s="205">
        <v>56017.358285869268</v>
      </c>
      <c r="K74" s="205">
        <v>51034</v>
      </c>
      <c r="L74" s="205">
        <v>100.89503661513426</v>
      </c>
      <c r="M74" s="205">
        <v>7234</v>
      </c>
      <c r="N74" s="205">
        <v>685.65229183618112</v>
      </c>
      <c r="O74" s="205">
        <v>8019</v>
      </c>
    </row>
    <row r="75" spans="1:17" x14ac:dyDescent="0.2">
      <c r="A75" s="179">
        <v>1993</v>
      </c>
      <c r="B75" s="247"/>
      <c r="C75" s="205">
        <v>3410733.0737539446</v>
      </c>
      <c r="D75" s="205">
        <v>2981811</v>
      </c>
      <c r="E75" s="205">
        <v>428922.07375394454</v>
      </c>
      <c r="F75" s="205">
        <v>235866.62697712707</v>
      </c>
      <c r="G75" s="205">
        <v>1558005</v>
      </c>
      <c r="H75" s="205">
        <v>4158.7321887066109</v>
      </c>
      <c r="I75" s="205">
        <v>1255958</v>
      </c>
      <c r="J75" s="205">
        <v>165664.2848042963</v>
      </c>
      <c r="K75" s="205">
        <v>152139</v>
      </c>
      <c r="L75" s="205">
        <v>23123.067952411751</v>
      </c>
      <c r="M75" s="205">
        <v>7706</v>
      </c>
      <c r="N75" s="205">
        <v>109.36183140275573</v>
      </c>
      <c r="O75" s="205">
        <v>8003</v>
      </c>
    </row>
    <row r="76" spans="1:17" x14ac:dyDescent="0.2">
      <c r="A76" s="179">
        <v>1994</v>
      </c>
      <c r="B76" s="247"/>
      <c r="C76" s="205">
        <v>5818883.4128238121</v>
      </c>
      <c r="D76" s="205">
        <v>4906754</v>
      </c>
      <c r="E76" s="205">
        <v>912129.41282381187</v>
      </c>
      <c r="F76" s="205">
        <v>302064.72463628097</v>
      </c>
      <c r="G76" s="205">
        <v>1727373</v>
      </c>
      <c r="H76" s="205">
        <v>50588.732505697866</v>
      </c>
      <c r="I76" s="205">
        <v>2852391</v>
      </c>
      <c r="J76" s="205">
        <v>415298.26978222968</v>
      </c>
      <c r="K76" s="205">
        <v>149300</v>
      </c>
      <c r="L76" s="205">
        <v>78398.816952621011</v>
      </c>
      <c r="M76" s="205">
        <v>169424</v>
      </c>
      <c r="N76" s="205">
        <v>65778.868946982431</v>
      </c>
      <c r="O76" s="205">
        <v>8266</v>
      </c>
    </row>
    <row r="77" spans="1:17" x14ac:dyDescent="0.2">
      <c r="A77" s="179">
        <v>1995</v>
      </c>
      <c r="B77" s="247"/>
      <c r="C77" s="205">
        <v>9142083.6732937247</v>
      </c>
      <c r="D77" s="205">
        <v>6924698.6030000001</v>
      </c>
      <c r="E77" s="205">
        <v>2217385.0702937255</v>
      </c>
      <c r="F77" s="205">
        <v>397496.86028380919</v>
      </c>
      <c r="G77" s="205">
        <v>2192025.2289999998</v>
      </c>
      <c r="H77" s="205">
        <v>312705.13924636692</v>
      </c>
      <c r="I77" s="205">
        <v>3800241</v>
      </c>
      <c r="J77" s="205">
        <v>1109288.916395965</v>
      </c>
      <c r="K77" s="205">
        <v>255340.77100000001</v>
      </c>
      <c r="L77" s="205">
        <v>88647.826836724227</v>
      </c>
      <c r="M77" s="205">
        <v>668839.18900000001</v>
      </c>
      <c r="N77" s="205">
        <v>309246.32753085997</v>
      </c>
      <c r="O77" s="205">
        <v>8252.4140000000007</v>
      </c>
    </row>
    <row r="78" spans="1:17" x14ac:dyDescent="0.2">
      <c r="A78" s="179">
        <v>1996</v>
      </c>
      <c r="B78" s="180"/>
      <c r="C78" s="205">
        <v>13435461.431205284</v>
      </c>
      <c r="D78" s="205">
        <v>9671377</v>
      </c>
      <c r="E78" s="205">
        <v>3764084.4312052834</v>
      </c>
      <c r="F78" s="205">
        <v>622447.69482663739</v>
      </c>
      <c r="G78" s="205">
        <v>3109635</v>
      </c>
      <c r="H78" s="205">
        <v>592321.83681893232</v>
      </c>
      <c r="I78" s="205">
        <v>5893532</v>
      </c>
      <c r="J78" s="205">
        <v>2218623.1246560267</v>
      </c>
      <c r="K78" s="205">
        <v>132449</v>
      </c>
      <c r="L78" s="205">
        <v>59695.788937809579</v>
      </c>
      <c r="M78" s="205">
        <v>524869</v>
      </c>
      <c r="N78" s="205">
        <v>270995.98596587783</v>
      </c>
      <c r="O78" s="205">
        <v>10892</v>
      </c>
    </row>
    <row r="79" spans="1:17" x14ac:dyDescent="0.2">
      <c r="A79" s="179">
        <v>1997</v>
      </c>
      <c r="B79" s="180"/>
      <c r="C79" s="205">
        <v>18394476</v>
      </c>
      <c r="D79" s="205">
        <v>11605063</v>
      </c>
      <c r="E79" s="205">
        <v>6789413</v>
      </c>
      <c r="F79" s="205">
        <v>865342</v>
      </c>
      <c r="G79" s="205">
        <v>4162337</v>
      </c>
      <c r="H79" s="205">
        <v>1438298</v>
      </c>
      <c r="I79" s="205">
        <v>6593229</v>
      </c>
      <c r="J79" s="205">
        <v>3925281</v>
      </c>
      <c r="K79" s="205">
        <v>294627</v>
      </c>
      <c r="L79" s="205">
        <v>225204</v>
      </c>
      <c r="M79" s="205">
        <v>541473</v>
      </c>
      <c r="N79" s="205">
        <v>335288</v>
      </c>
      <c r="O79" s="205">
        <v>13396</v>
      </c>
      <c r="P79" s="243"/>
      <c r="Q79" s="243"/>
    </row>
    <row r="80" spans="1:17" x14ac:dyDescent="0.2">
      <c r="A80" s="179">
        <v>1998</v>
      </c>
      <c r="B80" s="180"/>
      <c r="C80" s="205">
        <v>26731761</v>
      </c>
      <c r="D80" s="205">
        <v>15036906</v>
      </c>
      <c r="E80" s="205">
        <v>11694855</v>
      </c>
      <c r="F80" s="205">
        <v>1751156</v>
      </c>
      <c r="G80" s="205">
        <v>4073030</v>
      </c>
      <c r="H80" s="205">
        <v>2814112</v>
      </c>
      <c r="I80" s="205">
        <v>8837797</v>
      </c>
      <c r="J80" s="205">
        <v>5544358</v>
      </c>
      <c r="K80" s="205">
        <v>1392896</v>
      </c>
      <c r="L80" s="205">
        <v>880110</v>
      </c>
      <c r="M80" s="205">
        <v>720919</v>
      </c>
      <c r="N80" s="205">
        <v>705119</v>
      </c>
      <c r="O80" s="205">
        <v>12264</v>
      </c>
      <c r="P80" s="243"/>
      <c r="Q80" s="243"/>
    </row>
    <row r="81" spans="1:17" x14ac:dyDescent="0.2">
      <c r="A81" s="179">
        <v>1999</v>
      </c>
      <c r="B81" s="180"/>
      <c r="C81" s="205">
        <v>47709821</v>
      </c>
      <c r="D81" s="205">
        <v>19415959</v>
      </c>
      <c r="E81" s="205">
        <v>28293862</v>
      </c>
      <c r="F81" s="205">
        <v>5135338</v>
      </c>
      <c r="G81" s="205">
        <v>4205373</v>
      </c>
      <c r="H81" s="205">
        <v>5086886</v>
      </c>
      <c r="I81" s="205">
        <v>12114724</v>
      </c>
      <c r="J81" s="205">
        <v>14959580</v>
      </c>
      <c r="K81" s="205">
        <v>2217180</v>
      </c>
      <c r="L81" s="205">
        <v>1520699</v>
      </c>
      <c r="M81" s="205">
        <v>870710.2</v>
      </c>
      <c r="N81" s="205">
        <v>1591359</v>
      </c>
      <c r="O81" s="205">
        <v>7971.8</v>
      </c>
      <c r="P81" s="243"/>
      <c r="Q81" s="243"/>
    </row>
    <row r="82" spans="1:17" x14ac:dyDescent="0.2">
      <c r="A82" s="190"/>
      <c r="B82" s="190"/>
      <c r="C82" s="229"/>
      <c r="D82" s="229"/>
      <c r="E82" s="229"/>
      <c r="F82" s="244"/>
      <c r="G82" s="244"/>
      <c r="H82" s="244"/>
      <c r="I82" s="244"/>
      <c r="J82" s="244"/>
      <c r="K82" s="244"/>
      <c r="L82" s="244"/>
      <c r="M82" s="244"/>
      <c r="N82" s="244"/>
      <c r="O82" s="244"/>
    </row>
    <row r="83" spans="1:17" x14ac:dyDescent="0.2">
      <c r="C83" s="223"/>
      <c r="D83" s="223"/>
      <c r="E83" s="223"/>
      <c r="F83" s="417"/>
      <c r="G83" s="417"/>
      <c r="H83" s="417"/>
      <c r="I83" s="417"/>
      <c r="J83" s="417"/>
      <c r="K83" s="417"/>
      <c r="L83" s="417"/>
      <c r="M83" s="417"/>
      <c r="N83" s="417"/>
      <c r="O83" s="417"/>
    </row>
    <row r="84" spans="1:17" x14ac:dyDescent="0.2">
      <c r="C84" s="223"/>
      <c r="D84" s="223"/>
      <c r="E84" s="223"/>
      <c r="F84" s="417"/>
      <c r="G84" s="417"/>
      <c r="H84" s="417"/>
      <c r="I84" s="417"/>
      <c r="J84" s="417"/>
      <c r="K84" s="417"/>
      <c r="L84" s="417"/>
      <c r="M84" s="417"/>
      <c r="N84" s="417"/>
      <c r="O84" s="417"/>
    </row>
    <row r="85" spans="1:17" x14ac:dyDescent="0.2">
      <c r="A85" s="410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</row>
    <row r="86" spans="1:17" x14ac:dyDescent="0.2">
      <c r="A86" s="124" t="s">
        <v>598</v>
      </c>
    </row>
  </sheetData>
  <mergeCells count="10">
    <mergeCell ref="A1:O1"/>
    <mergeCell ref="A2:O2"/>
    <mergeCell ref="A3:O3"/>
    <mergeCell ref="M5:N5"/>
    <mergeCell ref="C5:C6"/>
    <mergeCell ref="A5:B6"/>
    <mergeCell ref="D5:E5"/>
    <mergeCell ref="G5:H5"/>
    <mergeCell ref="I5:J5"/>
    <mergeCell ref="K5:L5"/>
  </mergeCells>
  <hyperlinks>
    <hyperlink ref="A86" location="'indice cap.1'!A1" display="regresar al índice" xr:uid="{00000000-0004-0000-1500-000000000000}"/>
  </hyperlinks>
  <pageMargins left="0.31496062992125984" right="0" top="0.74803149606299213" bottom="0.74803149606299213" header="0.31496062992125984" footer="0.31496062992125984"/>
  <pageSetup paperSize="9" scale="75" orientation="landscape" verticalDpi="599" r:id="rId1"/>
  <ignoredErrors>
    <ignoredError sqref="A9:B9 A10:A1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64"/>
  <sheetViews>
    <sheetView showGridLines="0" workbookViewId="0">
      <selection activeCell="A5" sqref="A5"/>
    </sheetView>
  </sheetViews>
  <sheetFormatPr defaultColWidth="11.42578125" defaultRowHeight="12.75" x14ac:dyDescent="0.2"/>
  <cols>
    <col min="1" max="1" width="11.42578125" style="108"/>
    <col min="2" max="7" width="15.7109375" style="108" customWidth="1"/>
    <col min="8" max="16384" width="11.42578125" style="108"/>
  </cols>
  <sheetData>
    <row r="1" spans="1:9" x14ac:dyDescent="0.2">
      <c r="A1" s="585" t="s">
        <v>682</v>
      </c>
      <c r="B1" s="494"/>
      <c r="C1" s="494"/>
      <c r="D1" s="494"/>
      <c r="E1" s="494"/>
      <c r="F1" s="494"/>
      <c r="G1" s="494"/>
      <c r="H1" s="248"/>
      <c r="I1" s="248"/>
    </row>
    <row r="2" spans="1:9" x14ac:dyDescent="0.2">
      <c r="A2" s="585" t="s">
        <v>444</v>
      </c>
      <c r="B2" s="494"/>
      <c r="C2" s="494"/>
      <c r="D2" s="494"/>
      <c r="E2" s="494"/>
      <c r="F2" s="494"/>
      <c r="G2" s="494"/>
      <c r="H2" s="248"/>
      <c r="I2" s="248"/>
    </row>
    <row r="3" spans="1:9" x14ac:dyDescent="0.2">
      <c r="A3" s="585" t="s">
        <v>86</v>
      </c>
      <c r="B3" s="494"/>
      <c r="C3" s="494"/>
      <c r="D3" s="494"/>
      <c r="E3" s="494"/>
      <c r="F3" s="494"/>
      <c r="G3" s="494"/>
      <c r="H3" s="248"/>
      <c r="I3" s="248"/>
    </row>
    <row r="4" spans="1:9" x14ac:dyDescent="0.2">
      <c r="A4" s="249"/>
      <c r="B4" s="249"/>
      <c r="C4" s="249"/>
      <c r="D4" s="249"/>
      <c r="E4" s="249"/>
      <c r="F4" s="249"/>
      <c r="G4" s="248"/>
      <c r="H4" s="248"/>
      <c r="I4" s="248"/>
    </row>
    <row r="5" spans="1:9" ht="25.5" x14ac:dyDescent="0.2">
      <c r="A5" s="256" t="s">
        <v>87</v>
      </c>
      <c r="B5" s="257" t="s">
        <v>797</v>
      </c>
      <c r="C5" s="257" t="s">
        <v>798</v>
      </c>
      <c r="D5" s="257" t="s">
        <v>799</v>
      </c>
      <c r="E5" s="257" t="s">
        <v>800</v>
      </c>
      <c r="F5" s="257" t="s">
        <v>801</v>
      </c>
      <c r="G5" s="258" t="s">
        <v>802</v>
      </c>
      <c r="H5" s="248"/>
      <c r="I5" s="248"/>
    </row>
    <row r="6" spans="1:9" s="130" customFormat="1" x14ac:dyDescent="0.25">
      <c r="A6" s="259"/>
      <c r="B6" s="260" t="s">
        <v>445</v>
      </c>
      <c r="C6" s="261" t="s">
        <v>98</v>
      </c>
      <c r="D6" s="261" t="s">
        <v>113</v>
      </c>
      <c r="E6" s="261" t="s">
        <v>100</v>
      </c>
      <c r="F6" s="261" t="s">
        <v>101</v>
      </c>
      <c r="G6" s="262" t="s">
        <v>102</v>
      </c>
      <c r="H6" s="263"/>
      <c r="I6" s="263"/>
    </row>
    <row r="7" spans="1:9" x14ac:dyDescent="0.2">
      <c r="A7" s="250"/>
      <c r="B7" s="251"/>
      <c r="C7" s="252"/>
      <c r="D7" s="252"/>
      <c r="E7" s="252"/>
      <c r="F7" s="252"/>
      <c r="G7" s="252"/>
      <c r="H7" s="248"/>
      <c r="I7" s="248"/>
    </row>
    <row r="8" spans="1:9" x14ac:dyDescent="0.2">
      <c r="A8" s="264" t="s">
        <v>446</v>
      </c>
      <c r="B8" s="265">
        <v>79.838999999999999</v>
      </c>
      <c r="C8" s="266">
        <v>36.301000000000002</v>
      </c>
      <c r="D8" s="267" t="s">
        <v>10</v>
      </c>
      <c r="E8" s="266">
        <v>43.537999999999997</v>
      </c>
      <c r="F8" s="267" t="s">
        <v>10</v>
      </c>
      <c r="G8" s="267" t="s">
        <v>10</v>
      </c>
      <c r="H8" s="248"/>
      <c r="I8" s="248"/>
    </row>
    <row r="9" spans="1:9" x14ac:dyDescent="0.2">
      <c r="A9" s="264">
        <v>1928</v>
      </c>
      <c r="B9" s="265">
        <v>79.725999999999999</v>
      </c>
      <c r="C9" s="266">
        <v>38.372999999999998</v>
      </c>
      <c r="D9" s="267" t="s">
        <v>10</v>
      </c>
      <c r="E9" s="266">
        <v>41.353000000000002</v>
      </c>
      <c r="F9" s="267" t="s">
        <v>10</v>
      </c>
      <c r="G9" s="267" t="s">
        <v>10</v>
      </c>
      <c r="H9" s="248"/>
      <c r="I9" s="248"/>
    </row>
    <row r="10" spans="1:9" x14ac:dyDescent="0.2">
      <c r="A10" s="264">
        <v>1929</v>
      </c>
      <c r="B10" s="265">
        <v>76.283000000000001</v>
      </c>
      <c r="C10" s="266">
        <v>35.545999999999999</v>
      </c>
      <c r="D10" s="267" t="s">
        <v>10</v>
      </c>
      <c r="E10" s="266">
        <v>40.737000000000002</v>
      </c>
      <c r="F10" s="267" t="s">
        <v>10</v>
      </c>
      <c r="G10" s="267" t="s">
        <v>10</v>
      </c>
      <c r="H10" s="248"/>
      <c r="I10" s="248"/>
    </row>
    <row r="11" spans="1:9" x14ac:dyDescent="0.2">
      <c r="A11" s="264">
        <v>1930</v>
      </c>
      <c r="B11" s="265">
        <v>73.613</v>
      </c>
      <c r="C11" s="266">
        <v>33.348999999999997</v>
      </c>
      <c r="D11" s="267" t="s">
        <v>10</v>
      </c>
      <c r="E11" s="266">
        <v>40.264000000000003</v>
      </c>
      <c r="F11" s="267" t="s">
        <v>10</v>
      </c>
      <c r="G11" s="267" t="s">
        <v>10</v>
      </c>
      <c r="H11" s="248"/>
      <c r="I11" s="248"/>
    </row>
    <row r="12" spans="1:9" x14ac:dyDescent="0.2">
      <c r="A12" s="264">
        <v>1931</v>
      </c>
      <c r="B12" s="265">
        <v>60.426000000000002</v>
      </c>
      <c r="C12" s="266">
        <v>22.178000000000001</v>
      </c>
      <c r="D12" s="267" t="s">
        <v>10</v>
      </c>
      <c r="E12" s="266">
        <v>38.247999999999998</v>
      </c>
      <c r="F12" s="267" t="s">
        <v>10</v>
      </c>
      <c r="G12" s="267" t="s">
        <v>10</v>
      </c>
      <c r="H12" s="248"/>
      <c r="I12" s="248"/>
    </row>
    <row r="13" spans="1:9" x14ac:dyDescent="0.2">
      <c r="A13" s="264">
        <v>1932</v>
      </c>
      <c r="B13" s="265">
        <v>60.117000000000004</v>
      </c>
      <c r="C13" s="266">
        <v>24.806999999999999</v>
      </c>
      <c r="D13" s="267" t="s">
        <v>10</v>
      </c>
      <c r="E13" s="266">
        <v>35.31</v>
      </c>
      <c r="F13" s="267" t="s">
        <v>10</v>
      </c>
      <c r="G13" s="267" t="s">
        <v>10</v>
      </c>
      <c r="H13" s="248"/>
      <c r="I13" s="248"/>
    </row>
    <row r="14" spans="1:9" x14ac:dyDescent="0.2">
      <c r="A14" s="264">
        <v>1933</v>
      </c>
      <c r="B14" s="265">
        <v>72.119</v>
      </c>
      <c r="C14" s="266">
        <v>39.213999999999999</v>
      </c>
      <c r="D14" s="267" t="s">
        <v>10</v>
      </c>
      <c r="E14" s="266">
        <v>32.905000000000001</v>
      </c>
      <c r="F14" s="267" t="s">
        <v>10</v>
      </c>
      <c r="G14" s="267" t="s">
        <v>10</v>
      </c>
      <c r="H14" s="248"/>
      <c r="I14" s="248"/>
    </row>
    <row r="15" spans="1:9" x14ac:dyDescent="0.2">
      <c r="A15" s="264">
        <v>1934</v>
      </c>
      <c r="B15" s="265">
        <v>81.876000000000005</v>
      </c>
      <c r="C15" s="266">
        <v>51.226999999999997</v>
      </c>
      <c r="D15" s="267" t="s">
        <v>10</v>
      </c>
      <c r="E15" s="266">
        <v>30.649000000000001</v>
      </c>
      <c r="F15" s="267" t="s">
        <v>10</v>
      </c>
      <c r="G15" s="267" t="s">
        <v>10</v>
      </c>
      <c r="H15" s="248"/>
      <c r="I15" s="248"/>
    </row>
    <row r="16" spans="1:9" x14ac:dyDescent="0.2">
      <c r="A16" s="264">
        <v>1935</v>
      </c>
      <c r="B16" s="265">
        <v>81.141800000000018</v>
      </c>
      <c r="C16" s="265">
        <v>45.875172000000006</v>
      </c>
      <c r="D16" s="265">
        <v>7.0925330000000004</v>
      </c>
      <c r="E16" s="265">
        <v>28.174095000000001</v>
      </c>
      <c r="F16" s="265">
        <v>0</v>
      </c>
      <c r="G16" s="265">
        <v>0</v>
      </c>
      <c r="H16" s="248"/>
      <c r="I16" s="253"/>
    </row>
    <row r="17" spans="1:9" x14ac:dyDescent="0.2">
      <c r="A17" s="264">
        <v>1936</v>
      </c>
      <c r="B17" s="265">
        <v>85.441751000000011</v>
      </c>
      <c r="C17" s="265">
        <v>51.467157</v>
      </c>
      <c r="D17" s="265">
        <v>6.451981</v>
      </c>
      <c r="E17" s="265">
        <v>27.522613</v>
      </c>
      <c r="F17" s="265">
        <v>0</v>
      </c>
      <c r="G17" s="265">
        <v>0</v>
      </c>
      <c r="H17" s="248"/>
      <c r="I17" s="253"/>
    </row>
    <row r="18" spans="1:9" x14ac:dyDescent="0.2">
      <c r="A18" s="264">
        <v>1937</v>
      </c>
      <c r="B18" s="265">
        <v>93.719146999999992</v>
      </c>
      <c r="C18" s="265">
        <v>59.009748999999999</v>
      </c>
      <c r="D18" s="265">
        <v>7.3959910000000004</v>
      </c>
      <c r="E18" s="265">
        <v>27.313406999999998</v>
      </c>
      <c r="F18" s="265">
        <v>0</v>
      </c>
      <c r="G18" s="265">
        <v>0</v>
      </c>
      <c r="H18" s="248"/>
      <c r="I18" s="253"/>
    </row>
    <row r="19" spans="1:9" x14ac:dyDescent="0.2">
      <c r="A19" s="264">
        <v>1938</v>
      </c>
      <c r="B19" s="265">
        <v>106.02925500000001</v>
      </c>
      <c r="C19" s="265">
        <v>69.283912000000001</v>
      </c>
      <c r="D19" s="265">
        <v>7.7669370000000004</v>
      </c>
      <c r="E19" s="265">
        <v>28.978406</v>
      </c>
      <c r="F19" s="265">
        <v>0</v>
      </c>
      <c r="G19" s="265">
        <v>0</v>
      </c>
      <c r="H19" s="248"/>
      <c r="I19" s="253"/>
    </row>
    <row r="20" spans="1:9" x14ac:dyDescent="0.2">
      <c r="A20" s="264">
        <v>1939</v>
      </c>
      <c r="B20" s="265">
        <v>120.28391199999999</v>
      </c>
      <c r="C20" s="265">
        <v>75.673559999999995</v>
      </c>
      <c r="D20" s="265">
        <v>11.491035</v>
      </c>
      <c r="E20" s="265">
        <v>33.119317000000002</v>
      </c>
      <c r="F20" s="265">
        <v>0</v>
      </c>
      <c r="G20" s="265">
        <v>0</v>
      </c>
      <c r="H20" s="248"/>
      <c r="I20" s="253"/>
    </row>
    <row r="21" spans="1:9" x14ac:dyDescent="0.2">
      <c r="A21" s="264">
        <v>1940</v>
      </c>
      <c r="B21" s="265">
        <v>141.151241</v>
      </c>
      <c r="C21" s="265">
        <v>84.739969000000002</v>
      </c>
      <c r="D21" s="265">
        <v>14.593302</v>
      </c>
      <c r="E21" s="265">
        <v>41.817970000000003</v>
      </c>
      <c r="F21" s="265">
        <v>0</v>
      </c>
      <c r="G21" s="265">
        <v>0</v>
      </c>
      <c r="H21" s="248"/>
      <c r="I21" s="253"/>
    </row>
    <row r="22" spans="1:9" x14ac:dyDescent="0.2">
      <c r="A22" s="264">
        <v>1941</v>
      </c>
      <c r="B22" s="265">
        <v>157.29814500000001</v>
      </c>
      <c r="C22" s="265">
        <v>88.835536000000005</v>
      </c>
      <c r="D22" s="265">
        <v>15.544394</v>
      </c>
      <c r="E22" s="265">
        <v>52.918215000000004</v>
      </c>
      <c r="F22" s="265">
        <v>0</v>
      </c>
      <c r="G22" s="265">
        <v>0</v>
      </c>
      <c r="H22" s="248"/>
      <c r="I22" s="253"/>
    </row>
    <row r="23" spans="1:9" x14ac:dyDescent="0.2">
      <c r="A23" s="264">
        <v>1942</v>
      </c>
      <c r="B23" s="265">
        <v>209.591499</v>
      </c>
      <c r="C23" s="265">
        <v>112.618723</v>
      </c>
      <c r="D23" s="265">
        <v>36.501483</v>
      </c>
      <c r="E23" s="265">
        <v>60.471292999999996</v>
      </c>
      <c r="F23" s="265">
        <v>0</v>
      </c>
      <c r="G23" s="265">
        <v>0</v>
      </c>
      <c r="H23" s="248"/>
      <c r="I23" s="253"/>
    </row>
    <row r="24" spans="1:9" x14ac:dyDescent="0.2">
      <c r="A24" s="264">
        <v>1943</v>
      </c>
      <c r="B24" s="265">
        <v>271.79882900000001</v>
      </c>
      <c r="C24" s="265">
        <v>148.051547</v>
      </c>
      <c r="D24" s="265">
        <v>43.994278999999999</v>
      </c>
      <c r="E24" s="265">
        <v>79.753003000000007</v>
      </c>
      <c r="F24" s="265">
        <v>0</v>
      </c>
      <c r="G24" s="265">
        <v>0</v>
      </c>
      <c r="H24" s="248"/>
      <c r="I24" s="253"/>
    </row>
    <row r="25" spans="1:9" x14ac:dyDescent="0.2">
      <c r="A25" s="264">
        <v>1944</v>
      </c>
      <c r="B25" s="265">
        <v>292.44227899999998</v>
      </c>
      <c r="C25" s="265">
        <v>162.482283</v>
      </c>
      <c r="D25" s="265">
        <v>37.174636</v>
      </c>
      <c r="E25" s="265">
        <v>92.785360000000011</v>
      </c>
      <c r="F25" s="265">
        <v>0</v>
      </c>
      <c r="G25" s="265">
        <v>0</v>
      </c>
      <c r="H25" s="248"/>
      <c r="I25" s="253"/>
    </row>
    <row r="26" spans="1:9" x14ac:dyDescent="0.2">
      <c r="A26" s="264">
        <v>1945</v>
      </c>
      <c r="B26" s="265">
        <v>367.32890299999997</v>
      </c>
      <c r="C26" s="265">
        <v>206.28400499999998</v>
      </c>
      <c r="D26" s="265">
        <v>48.935499999999998</v>
      </c>
      <c r="E26" s="265">
        <v>112.109398</v>
      </c>
      <c r="F26" s="265">
        <v>0</v>
      </c>
      <c r="G26" s="265">
        <v>0</v>
      </c>
      <c r="H26" s="248"/>
      <c r="I26" s="253"/>
    </row>
    <row r="27" spans="1:9" x14ac:dyDescent="0.2">
      <c r="A27" s="264">
        <v>1946</v>
      </c>
      <c r="B27" s="265">
        <v>385.92004999999995</v>
      </c>
      <c r="C27" s="265">
        <v>213.22168299999998</v>
      </c>
      <c r="D27" s="265">
        <v>41.034506999999998</v>
      </c>
      <c r="E27" s="265">
        <v>131.66386</v>
      </c>
      <c r="F27" s="265">
        <v>0</v>
      </c>
      <c r="G27" s="265">
        <v>0</v>
      </c>
      <c r="H27" s="248"/>
      <c r="I27" s="253"/>
    </row>
    <row r="28" spans="1:9" x14ac:dyDescent="0.2">
      <c r="A28" s="264">
        <v>1947</v>
      </c>
      <c r="B28" s="265">
        <v>379.00440700000001</v>
      </c>
      <c r="C28" s="265">
        <v>201.18312700000001</v>
      </c>
      <c r="D28" s="265">
        <v>40.811211</v>
      </c>
      <c r="E28" s="265">
        <v>137.01006899999999</v>
      </c>
      <c r="F28" s="265">
        <v>0</v>
      </c>
      <c r="G28" s="265">
        <v>0</v>
      </c>
      <c r="H28" s="248"/>
      <c r="I28" s="253"/>
    </row>
    <row r="29" spans="1:9" x14ac:dyDescent="0.2">
      <c r="A29" s="264">
        <v>1948</v>
      </c>
      <c r="B29" s="265">
        <v>458.05098599999997</v>
      </c>
      <c r="C29" s="265">
        <v>237.94361699999999</v>
      </c>
      <c r="D29" s="265">
        <v>47.861891999999997</v>
      </c>
      <c r="E29" s="265">
        <v>172.24547699999999</v>
      </c>
      <c r="F29" s="265">
        <v>0</v>
      </c>
      <c r="G29" s="265">
        <v>0</v>
      </c>
      <c r="H29" s="248"/>
      <c r="I29" s="253"/>
    </row>
    <row r="30" spans="1:9" x14ac:dyDescent="0.2">
      <c r="A30" s="264">
        <v>1949</v>
      </c>
      <c r="B30" s="265">
        <v>505.96719999999999</v>
      </c>
      <c r="C30" s="265">
        <v>270.07473099999999</v>
      </c>
      <c r="D30" s="265">
        <v>53.673138999999999</v>
      </c>
      <c r="E30" s="265">
        <v>182.21933000000001</v>
      </c>
      <c r="F30" s="265">
        <v>0</v>
      </c>
      <c r="G30" s="265">
        <v>0</v>
      </c>
      <c r="H30" s="248"/>
      <c r="I30" s="253"/>
    </row>
    <row r="31" spans="1:9" x14ac:dyDescent="0.2">
      <c r="A31" s="264">
        <v>1950</v>
      </c>
      <c r="B31" s="265">
        <v>565.51522399999999</v>
      </c>
      <c r="C31" s="265">
        <v>313.24771500000003</v>
      </c>
      <c r="D31" s="265">
        <v>55.466720000000002</v>
      </c>
      <c r="E31" s="265">
        <v>196.80078900000001</v>
      </c>
      <c r="F31" s="265">
        <v>0</v>
      </c>
      <c r="G31" s="265">
        <v>0</v>
      </c>
      <c r="H31" s="248"/>
      <c r="I31" s="253"/>
    </row>
    <row r="32" spans="1:9" x14ac:dyDescent="0.2">
      <c r="A32" s="264">
        <v>1951</v>
      </c>
      <c r="B32" s="265">
        <v>546.86674700000003</v>
      </c>
      <c r="C32" s="265">
        <v>285.98927199999997</v>
      </c>
      <c r="D32" s="265">
        <v>48.686981000000003</v>
      </c>
      <c r="E32" s="265">
        <v>212.190494</v>
      </c>
      <c r="F32" s="265">
        <v>0</v>
      </c>
      <c r="G32" s="265">
        <v>0</v>
      </c>
      <c r="H32" s="248"/>
      <c r="I32" s="253"/>
    </row>
    <row r="33" spans="1:9" x14ac:dyDescent="0.2">
      <c r="A33" s="264">
        <v>1952</v>
      </c>
      <c r="B33" s="265">
        <v>667.66245100000003</v>
      </c>
      <c r="C33" s="265">
        <v>352.82361300000002</v>
      </c>
      <c r="D33" s="265">
        <v>56.921849999999999</v>
      </c>
      <c r="E33" s="265">
        <v>257.916988</v>
      </c>
      <c r="F33" s="265">
        <v>0</v>
      </c>
      <c r="G33" s="265">
        <v>0</v>
      </c>
      <c r="H33" s="248"/>
      <c r="I33" s="253"/>
    </row>
    <row r="34" spans="1:9" x14ac:dyDescent="0.2">
      <c r="A34" s="264">
        <v>1953</v>
      </c>
      <c r="B34" s="265">
        <v>775.07752100000005</v>
      </c>
      <c r="C34" s="265">
        <v>404.95890600000007</v>
      </c>
      <c r="D34" s="265">
        <v>58.258992999999997</v>
      </c>
      <c r="E34" s="265">
        <v>311.859622</v>
      </c>
      <c r="F34" s="265">
        <v>0</v>
      </c>
      <c r="G34" s="265">
        <v>0</v>
      </c>
      <c r="H34" s="248"/>
      <c r="I34" s="253"/>
    </row>
    <row r="35" spans="1:9" x14ac:dyDescent="0.2">
      <c r="A35" s="264">
        <v>1954</v>
      </c>
      <c r="B35" s="265">
        <v>985.73387699999989</v>
      </c>
      <c r="C35" s="265">
        <v>524.56410399999993</v>
      </c>
      <c r="D35" s="265">
        <v>63.582422000000001</v>
      </c>
      <c r="E35" s="265">
        <v>397.58735100000001</v>
      </c>
      <c r="F35" s="265">
        <v>0</v>
      </c>
      <c r="G35" s="265">
        <v>0</v>
      </c>
      <c r="H35" s="248"/>
      <c r="I35" s="253"/>
    </row>
    <row r="36" spans="1:9" x14ac:dyDescent="0.2">
      <c r="A36" s="264">
        <v>1955</v>
      </c>
      <c r="B36" s="265">
        <v>1084.757449</v>
      </c>
      <c r="C36" s="265">
        <v>535.19164699999999</v>
      </c>
      <c r="D36" s="265">
        <v>73.930445000000006</v>
      </c>
      <c r="E36" s="265">
        <v>475.635357</v>
      </c>
      <c r="F36" s="265">
        <v>0</v>
      </c>
      <c r="G36" s="265">
        <v>0</v>
      </c>
      <c r="H36" s="248"/>
      <c r="I36" s="253"/>
    </row>
    <row r="37" spans="1:9" x14ac:dyDescent="0.2">
      <c r="A37" s="264">
        <v>1956</v>
      </c>
      <c r="B37" s="265">
        <v>1245.6752590000001</v>
      </c>
      <c r="C37" s="265">
        <v>601.49883799999998</v>
      </c>
      <c r="D37" s="265">
        <v>97.422120000000007</v>
      </c>
      <c r="E37" s="265">
        <v>546.75430100000005</v>
      </c>
      <c r="F37" s="265">
        <v>0</v>
      </c>
      <c r="G37" s="265">
        <v>0</v>
      </c>
      <c r="H37" s="248"/>
      <c r="I37" s="253"/>
    </row>
    <row r="38" spans="1:9" x14ac:dyDescent="0.2">
      <c r="A38" s="264">
        <v>1957</v>
      </c>
      <c r="B38" s="265">
        <v>1411.6641089999998</v>
      </c>
      <c r="C38" s="265">
        <v>648.15533900000003</v>
      </c>
      <c r="D38" s="265">
        <v>85.308729999999997</v>
      </c>
      <c r="E38" s="265">
        <v>678.20003999999994</v>
      </c>
      <c r="F38" s="265">
        <v>0</v>
      </c>
      <c r="G38" s="265">
        <v>0</v>
      </c>
      <c r="H38" s="248"/>
      <c r="I38" s="253"/>
    </row>
    <row r="39" spans="1:9" x14ac:dyDescent="0.2">
      <c r="A39" s="264">
        <v>1958</v>
      </c>
      <c r="B39" s="265">
        <v>1564.5129729999999</v>
      </c>
      <c r="C39" s="265">
        <v>741.22388499999988</v>
      </c>
      <c r="D39" s="265">
        <v>65.201537999999999</v>
      </c>
      <c r="E39" s="265">
        <v>758.08755000000008</v>
      </c>
      <c r="F39" s="265">
        <v>0</v>
      </c>
      <c r="G39" s="265">
        <v>0</v>
      </c>
      <c r="H39" s="248"/>
      <c r="I39" s="253"/>
    </row>
    <row r="40" spans="1:9" x14ac:dyDescent="0.2">
      <c r="A40" s="264">
        <v>1959</v>
      </c>
      <c r="B40" s="265">
        <v>1773.651519</v>
      </c>
      <c r="C40" s="265">
        <v>838.74164599999995</v>
      </c>
      <c r="D40" s="265">
        <v>66.627453000000003</v>
      </c>
      <c r="E40" s="265">
        <v>868.28241999999989</v>
      </c>
      <c r="F40" s="265">
        <v>0</v>
      </c>
      <c r="G40" s="265">
        <v>0</v>
      </c>
      <c r="H40" s="248"/>
      <c r="I40" s="253"/>
    </row>
    <row r="41" spans="1:9" x14ac:dyDescent="0.2">
      <c r="A41" s="264">
        <v>1960</v>
      </c>
      <c r="B41" s="265">
        <v>1989.6302370000001</v>
      </c>
      <c r="C41" s="265">
        <v>955.28110800000002</v>
      </c>
      <c r="D41" s="265">
        <v>71.065169999999995</v>
      </c>
      <c r="E41" s="265">
        <v>963.2839590000001</v>
      </c>
      <c r="F41" s="265">
        <v>0</v>
      </c>
      <c r="G41" s="265">
        <v>0</v>
      </c>
      <c r="H41" s="248"/>
      <c r="I41" s="253"/>
    </row>
    <row r="42" spans="1:9" x14ac:dyDescent="0.2">
      <c r="A42" s="264">
        <v>1961</v>
      </c>
      <c r="B42" s="265">
        <v>2076.2888599999997</v>
      </c>
      <c r="C42" s="265">
        <v>1007.213411</v>
      </c>
      <c r="D42" s="265">
        <v>90.329317000000003</v>
      </c>
      <c r="E42" s="265">
        <v>978.74613199999999</v>
      </c>
      <c r="F42" s="265">
        <v>0</v>
      </c>
      <c r="G42" s="265">
        <v>0</v>
      </c>
      <c r="H42" s="248"/>
      <c r="I42" s="253"/>
    </row>
    <row r="43" spans="1:9" x14ac:dyDescent="0.2">
      <c r="A43" s="264">
        <v>1962</v>
      </c>
      <c r="B43" s="265">
        <v>2137.882028</v>
      </c>
      <c r="C43" s="265">
        <v>1101.7036800000001</v>
      </c>
      <c r="D43" s="265">
        <v>71.667913999999996</v>
      </c>
      <c r="E43" s="265">
        <v>964.51043400000003</v>
      </c>
      <c r="F43" s="265">
        <v>0</v>
      </c>
      <c r="G43" s="265">
        <v>0</v>
      </c>
      <c r="H43" s="248"/>
      <c r="I43" s="253"/>
    </row>
    <row r="44" spans="1:9" x14ac:dyDescent="0.2">
      <c r="A44" s="264">
        <v>1963</v>
      </c>
      <c r="B44" s="265">
        <v>2248.7590149999996</v>
      </c>
      <c r="C44" s="265">
        <v>1171.6549199999999</v>
      </c>
      <c r="D44" s="265">
        <v>94.079768999999999</v>
      </c>
      <c r="E44" s="265">
        <v>983.02432599999997</v>
      </c>
      <c r="F44" s="265">
        <v>0</v>
      </c>
      <c r="G44" s="265">
        <v>0</v>
      </c>
      <c r="H44" s="248"/>
      <c r="I44" s="253"/>
    </row>
    <row r="45" spans="1:9" x14ac:dyDescent="0.2">
      <c r="A45" s="264">
        <v>1964</v>
      </c>
      <c r="B45" s="265">
        <v>2521.9295279999997</v>
      </c>
      <c r="C45" s="265">
        <v>1381.0105989999997</v>
      </c>
      <c r="D45" s="265">
        <v>93.229204999999993</v>
      </c>
      <c r="E45" s="265">
        <v>1047.6897240000001</v>
      </c>
      <c r="F45" s="265">
        <v>0</v>
      </c>
      <c r="G45" s="265">
        <v>0</v>
      </c>
      <c r="H45" s="248"/>
      <c r="I45" s="253"/>
    </row>
    <row r="46" spans="1:9" x14ac:dyDescent="0.2">
      <c r="A46" s="264">
        <v>1965</v>
      </c>
      <c r="B46" s="265">
        <v>2534.1422560000001</v>
      </c>
      <c r="C46" s="265">
        <v>1373.5757630000001</v>
      </c>
      <c r="D46" s="265">
        <v>95.043789000000004</v>
      </c>
      <c r="E46" s="265">
        <v>1065.522704</v>
      </c>
      <c r="F46" s="265">
        <v>0</v>
      </c>
      <c r="G46" s="265">
        <v>0</v>
      </c>
      <c r="H46" s="248"/>
      <c r="I46" s="253"/>
    </row>
    <row r="47" spans="1:9" x14ac:dyDescent="0.2">
      <c r="A47" s="264">
        <v>1966</v>
      </c>
      <c r="B47" s="265">
        <v>2694.034302</v>
      </c>
      <c r="C47" s="265">
        <v>1466.7542020000001</v>
      </c>
      <c r="D47" s="265">
        <v>88.604823999999994</v>
      </c>
      <c r="E47" s="265">
        <v>1138.6752760000002</v>
      </c>
      <c r="F47" s="265">
        <v>0</v>
      </c>
      <c r="G47" s="265">
        <v>0</v>
      </c>
      <c r="H47" s="248"/>
      <c r="I47" s="253"/>
    </row>
    <row r="48" spans="1:9" x14ac:dyDescent="0.2">
      <c r="A48" s="264">
        <v>1967</v>
      </c>
      <c r="B48" s="265">
        <v>3262.1066129999999</v>
      </c>
      <c r="C48" s="265">
        <v>1897.808495</v>
      </c>
      <c r="D48" s="265">
        <v>92.630796000000004</v>
      </c>
      <c r="E48" s="265">
        <v>1271.667322</v>
      </c>
      <c r="F48" s="265">
        <v>0</v>
      </c>
      <c r="G48" s="265">
        <v>0</v>
      </c>
      <c r="H48" s="248"/>
      <c r="I48" s="253"/>
    </row>
    <row r="49" spans="1:9" x14ac:dyDescent="0.2">
      <c r="A49" s="264">
        <v>1968</v>
      </c>
      <c r="B49" s="265">
        <v>3860.2659389999999</v>
      </c>
      <c r="C49" s="265">
        <v>2335.6707270000002</v>
      </c>
      <c r="D49" s="265">
        <v>110.978292</v>
      </c>
      <c r="E49" s="265">
        <v>1413.6169199999999</v>
      </c>
      <c r="F49" s="265">
        <v>0</v>
      </c>
      <c r="G49" s="265">
        <v>0</v>
      </c>
      <c r="H49" s="248"/>
      <c r="I49" s="253"/>
    </row>
    <row r="50" spans="1:9" x14ac:dyDescent="0.2">
      <c r="A50" s="264">
        <v>1969</v>
      </c>
      <c r="B50" s="265">
        <v>4042.5504639999999</v>
      </c>
      <c r="C50" s="265">
        <v>2417.0880319999997</v>
      </c>
      <c r="D50" s="265">
        <v>117.255917</v>
      </c>
      <c r="E50" s="265">
        <v>1508.2065150000001</v>
      </c>
      <c r="F50" s="265">
        <v>0</v>
      </c>
      <c r="G50" s="265">
        <v>0</v>
      </c>
      <c r="H50" s="248"/>
      <c r="I50" s="253"/>
    </row>
    <row r="51" spans="1:9" x14ac:dyDescent="0.2">
      <c r="A51" s="264">
        <v>1970</v>
      </c>
      <c r="B51" s="265">
        <v>4795.4196150000007</v>
      </c>
      <c r="C51" s="265">
        <v>3055.4260760000002</v>
      </c>
      <c r="D51" s="265">
        <v>167.34823700000001</v>
      </c>
      <c r="E51" s="265">
        <v>1572.6453019999999</v>
      </c>
      <c r="F51" s="265">
        <v>0</v>
      </c>
      <c r="G51" s="265">
        <v>0</v>
      </c>
      <c r="H51" s="248"/>
      <c r="I51" s="253"/>
    </row>
    <row r="52" spans="1:9" x14ac:dyDescent="0.2">
      <c r="A52" s="264">
        <v>1971</v>
      </c>
      <c r="B52" s="265">
        <v>5622.8113700000004</v>
      </c>
      <c r="C52" s="265">
        <v>3271.2448720000002</v>
      </c>
      <c r="D52" s="265">
        <v>213.424903</v>
      </c>
      <c r="E52" s="265">
        <v>2092.5673200000001</v>
      </c>
      <c r="F52" s="265">
        <v>0</v>
      </c>
      <c r="G52" s="265">
        <v>45.574275</v>
      </c>
      <c r="H52" s="248"/>
      <c r="I52" s="253"/>
    </row>
    <row r="53" spans="1:9" x14ac:dyDescent="0.2">
      <c r="A53" s="264">
        <v>1972</v>
      </c>
      <c r="B53" s="265">
        <v>6503.5018099999998</v>
      </c>
      <c r="C53" s="265">
        <v>3669.5314899999994</v>
      </c>
      <c r="D53" s="265">
        <v>332.674826</v>
      </c>
      <c r="E53" s="265">
        <v>2399.2959289999999</v>
      </c>
      <c r="F53" s="265">
        <v>0</v>
      </c>
      <c r="G53" s="265">
        <v>101.999565</v>
      </c>
      <c r="H53" s="248"/>
      <c r="I53" s="253"/>
    </row>
    <row r="54" spans="1:9" x14ac:dyDescent="0.2">
      <c r="A54" s="264">
        <v>1973</v>
      </c>
      <c r="B54" s="265">
        <v>8052.1658639999996</v>
      </c>
      <c r="C54" s="265">
        <v>4800.8044579999996</v>
      </c>
      <c r="D54" s="265">
        <v>384.114375</v>
      </c>
      <c r="E54" s="265">
        <v>2700.1820339999999</v>
      </c>
      <c r="F54" s="265">
        <v>99.729792000000003</v>
      </c>
      <c r="G54" s="265">
        <v>67.335205000000002</v>
      </c>
      <c r="H54" s="248"/>
      <c r="I54" s="253"/>
    </row>
    <row r="55" spans="1:9" x14ac:dyDescent="0.2">
      <c r="A55" s="264">
        <v>1974</v>
      </c>
      <c r="B55" s="265">
        <v>10494.739286</v>
      </c>
      <c r="C55" s="265">
        <v>5836.593264000001</v>
      </c>
      <c r="D55" s="265">
        <v>360.58849300000003</v>
      </c>
      <c r="E55" s="265">
        <v>3193.7930649999998</v>
      </c>
      <c r="F55" s="265">
        <v>1037.9902999999999</v>
      </c>
      <c r="G55" s="265">
        <v>65.774163999999999</v>
      </c>
      <c r="H55" s="248"/>
      <c r="I55" s="253"/>
    </row>
    <row r="56" spans="1:9" x14ac:dyDescent="0.2">
      <c r="A56" s="264">
        <v>1975</v>
      </c>
      <c r="B56" s="265">
        <v>12920.907581000001</v>
      </c>
      <c r="C56" s="265">
        <v>6580.3058150000015</v>
      </c>
      <c r="D56" s="265">
        <v>342.87526399999996</v>
      </c>
      <c r="E56" s="265">
        <v>4088.6571429999999</v>
      </c>
      <c r="F56" s="265">
        <v>1837.009337</v>
      </c>
      <c r="G56" s="265">
        <v>72.060022000000004</v>
      </c>
      <c r="H56" s="248"/>
      <c r="I56" s="253"/>
    </row>
    <row r="57" spans="1:9" x14ac:dyDescent="0.2">
      <c r="A57" s="264">
        <v>1976</v>
      </c>
      <c r="B57" s="265">
        <v>17135.530059448978</v>
      </c>
      <c r="C57" s="265">
        <v>8857.0586114489797</v>
      </c>
      <c r="D57" s="265">
        <v>384.52005699999995</v>
      </c>
      <c r="E57" s="265">
        <v>4971.9240749999999</v>
      </c>
      <c r="F57" s="265">
        <v>2821.5648100000003</v>
      </c>
      <c r="G57" s="265">
        <v>100.46250599999999</v>
      </c>
      <c r="H57" s="248"/>
      <c r="I57" s="253"/>
    </row>
    <row r="58" spans="1:9" x14ac:dyDescent="0.2">
      <c r="A58" s="264">
        <v>1977</v>
      </c>
      <c r="B58" s="265">
        <v>20911.863639170868</v>
      </c>
      <c r="C58" s="265">
        <v>10875.473681170866</v>
      </c>
      <c r="D58" s="265">
        <v>384.72008399999999</v>
      </c>
      <c r="E58" s="265">
        <v>5811.917222</v>
      </c>
      <c r="F58" s="265">
        <v>3712.7281420000004</v>
      </c>
      <c r="G58" s="265">
        <v>127.02451000000001</v>
      </c>
      <c r="H58" s="248"/>
      <c r="I58" s="253"/>
    </row>
    <row r="59" spans="1:9" x14ac:dyDescent="0.2">
      <c r="A59" s="264">
        <v>1978</v>
      </c>
      <c r="B59" s="265">
        <v>24323.245857326372</v>
      </c>
      <c r="C59" s="265">
        <v>13133.545430326376</v>
      </c>
      <c r="D59" s="265">
        <v>362.79696299999995</v>
      </c>
      <c r="E59" s="265">
        <v>6482.9211830000004</v>
      </c>
      <c r="F59" s="265">
        <v>4183.771702</v>
      </c>
      <c r="G59" s="265">
        <v>160.210579</v>
      </c>
      <c r="H59" s="248"/>
      <c r="I59" s="253"/>
    </row>
    <row r="60" spans="1:9" x14ac:dyDescent="0.2">
      <c r="A60" s="264">
        <v>1979</v>
      </c>
      <c r="B60" s="265">
        <v>30814.398183151963</v>
      </c>
      <c r="C60" s="265">
        <v>17027.019306151964</v>
      </c>
      <c r="D60" s="265">
        <v>352.42615699999999</v>
      </c>
      <c r="E60" s="265">
        <v>7926.0035709999993</v>
      </c>
      <c r="F60" s="265">
        <v>5257.9859630000001</v>
      </c>
      <c r="G60" s="265">
        <v>250.96318600000001</v>
      </c>
      <c r="H60" s="248"/>
      <c r="I60" s="253"/>
    </row>
    <row r="61" spans="1:9" x14ac:dyDescent="0.2">
      <c r="A61" s="264">
        <v>1980</v>
      </c>
      <c r="B61" s="265">
        <v>44783.750596347534</v>
      </c>
      <c r="C61" s="265">
        <v>27819.439186347536</v>
      </c>
      <c r="D61" s="265">
        <v>400.44872100000003</v>
      </c>
      <c r="E61" s="265">
        <v>10116.139371000001</v>
      </c>
      <c r="F61" s="265">
        <v>6115.6077759999998</v>
      </c>
      <c r="G61" s="265">
        <v>332.115542</v>
      </c>
      <c r="H61" s="248"/>
      <c r="I61" s="253"/>
    </row>
    <row r="62" spans="1:9" x14ac:dyDescent="0.2">
      <c r="A62" s="264">
        <v>1981</v>
      </c>
      <c r="B62" s="265">
        <v>56601.910878146038</v>
      </c>
      <c r="C62" s="265">
        <v>32442.993390146032</v>
      </c>
      <c r="D62" s="265">
        <v>530.63770999999997</v>
      </c>
      <c r="E62" s="265">
        <v>12941.212858999999</v>
      </c>
      <c r="F62" s="265">
        <v>9778.4821640000009</v>
      </c>
      <c r="G62" s="265">
        <v>908.58475499999997</v>
      </c>
      <c r="H62" s="248"/>
      <c r="I62" s="253"/>
    </row>
    <row r="63" spans="1:9" x14ac:dyDescent="0.2">
      <c r="A63" s="264">
        <v>1982</v>
      </c>
      <c r="B63" s="265">
        <v>80396.776283625586</v>
      </c>
      <c r="C63" s="265">
        <v>48225.249431625583</v>
      </c>
      <c r="D63" s="265">
        <v>1295.4553040000001</v>
      </c>
      <c r="E63" s="265">
        <v>15581.529211000001</v>
      </c>
      <c r="F63" s="265">
        <v>13745.682605999998</v>
      </c>
      <c r="G63" s="265">
        <v>1548.859731</v>
      </c>
      <c r="H63" s="248"/>
      <c r="I63" s="253"/>
    </row>
    <row r="64" spans="1:9" x14ac:dyDescent="0.2">
      <c r="A64" s="264">
        <v>1983</v>
      </c>
      <c r="B64" s="265">
        <v>144015.59187764087</v>
      </c>
      <c r="C64" s="265">
        <v>78622.408544640872</v>
      </c>
      <c r="D64" s="265">
        <v>2240.556677</v>
      </c>
      <c r="E64" s="265">
        <v>18759.228310999999</v>
      </c>
      <c r="F64" s="265">
        <v>18166.767187000001</v>
      </c>
      <c r="G64" s="265">
        <v>26226.631158</v>
      </c>
      <c r="H64" s="248"/>
      <c r="I64" s="253"/>
    </row>
    <row r="65" spans="1:9" x14ac:dyDescent="0.2">
      <c r="A65" s="264">
        <v>1984</v>
      </c>
      <c r="B65" s="265">
        <v>189008.75479128858</v>
      </c>
      <c r="C65" s="265">
        <v>94378.876433288562</v>
      </c>
      <c r="D65" s="265">
        <v>3194.233937</v>
      </c>
      <c r="E65" s="265">
        <v>21725.116999999998</v>
      </c>
      <c r="F65" s="265">
        <v>25656.958215999999</v>
      </c>
      <c r="G65" s="265">
        <v>44053.569205000007</v>
      </c>
      <c r="H65" s="248"/>
      <c r="I65" s="253"/>
    </row>
    <row r="66" spans="1:9" x14ac:dyDescent="0.2">
      <c r="A66" s="264">
        <v>1985</v>
      </c>
      <c r="B66" s="265">
        <v>212727.64867618139</v>
      </c>
      <c r="C66" s="265">
        <v>78468.029415438214</v>
      </c>
      <c r="D66" s="265">
        <v>3510.0251669999998</v>
      </c>
      <c r="E66" s="265">
        <v>21686.647364</v>
      </c>
      <c r="F66" s="265">
        <v>26676.984780000003</v>
      </c>
      <c r="G66" s="265">
        <v>82385.961949743185</v>
      </c>
      <c r="H66" s="248"/>
      <c r="I66" s="253"/>
    </row>
    <row r="67" spans="1:9" x14ac:dyDescent="0.2">
      <c r="A67" s="264">
        <v>1986</v>
      </c>
      <c r="B67" s="265">
        <v>252573.71585130232</v>
      </c>
      <c r="C67" s="265">
        <v>145475.30681274729</v>
      </c>
      <c r="D67" s="265">
        <v>4892.1296749999992</v>
      </c>
      <c r="E67" s="265">
        <v>25983.628407</v>
      </c>
      <c r="F67" s="265">
        <v>28974.128503</v>
      </c>
      <c r="G67" s="265">
        <v>47248.522453555037</v>
      </c>
      <c r="H67" s="248"/>
      <c r="I67" s="253"/>
    </row>
    <row r="68" spans="1:9" x14ac:dyDescent="0.2">
      <c r="A68" s="264">
        <v>1987</v>
      </c>
      <c r="B68" s="265">
        <v>326998.21861639316</v>
      </c>
      <c r="C68" s="265">
        <v>208485.59049635573</v>
      </c>
      <c r="D68" s="265">
        <v>8661</v>
      </c>
      <c r="E68" s="265">
        <v>30984</v>
      </c>
      <c r="F68" s="265">
        <v>34389</v>
      </c>
      <c r="G68" s="265">
        <v>44478.628120037458</v>
      </c>
      <c r="H68" s="248"/>
      <c r="I68" s="253"/>
    </row>
    <row r="69" spans="1:9" x14ac:dyDescent="0.2">
      <c r="A69" s="264">
        <v>1988</v>
      </c>
      <c r="B69" s="265">
        <v>376598.12277251569</v>
      </c>
      <c r="C69" s="265">
        <v>251390.66469336973</v>
      </c>
      <c r="D69" s="265">
        <v>10312</v>
      </c>
      <c r="E69" s="265">
        <v>37989</v>
      </c>
      <c r="F69" s="265">
        <v>41828</v>
      </c>
      <c r="G69" s="265">
        <v>35078.45807914593</v>
      </c>
      <c r="H69" s="248"/>
      <c r="I69" s="253"/>
    </row>
    <row r="70" spans="1:9" x14ac:dyDescent="0.2">
      <c r="A70" s="264">
        <v>1989</v>
      </c>
      <c r="B70" s="265">
        <v>515154.32336694567</v>
      </c>
      <c r="C70" s="265">
        <v>388210.16681713157</v>
      </c>
      <c r="D70" s="265">
        <v>12170</v>
      </c>
      <c r="E70" s="265">
        <v>45795</v>
      </c>
      <c r="F70" s="265">
        <v>56226</v>
      </c>
      <c r="G70" s="265">
        <v>12753.156549814088</v>
      </c>
      <c r="H70" s="248"/>
      <c r="I70" s="253"/>
    </row>
    <row r="71" spans="1:9" x14ac:dyDescent="0.2">
      <c r="A71" s="264">
        <v>1990</v>
      </c>
      <c r="B71" s="265">
        <v>746705.74743691296</v>
      </c>
      <c r="C71" s="265">
        <v>562381.97283014597</v>
      </c>
      <c r="D71" s="265">
        <v>23355</v>
      </c>
      <c r="E71" s="265">
        <v>58750</v>
      </c>
      <c r="F71" s="265">
        <v>88162</v>
      </c>
      <c r="G71" s="265">
        <v>14056.774606767001</v>
      </c>
      <c r="H71" s="248"/>
      <c r="I71" s="253"/>
    </row>
    <row r="72" spans="1:9" x14ac:dyDescent="0.2">
      <c r="A72" s="264">
        <v>1991</v>
      </c>
      <c r="B72" s="265">
        <v>1258341.9936084666</v>
      </c>
      <c r="C72" s="265">
        <v>906335.89123546414</v>
      </c>
      <c r="D72" s="265">
        <v>81106</v>
      </c>
      <c r="E72" s="265">
        <v>131826</v>
      </c>
      <c r="F72" s="265">
        <v>102811.80544171309</v>
      </c>
      <c r="G72" s="265">
        <v>36262.296931289078</v>
      </c>
      <c r="H72" s="248"/>
      <c r="I72" s="253"/>
    </row>
    <row r="73" spans="1:9" x14ac:dyDescent="0.2">
      <c r="A73" s="264">
        <v>1992</v>
      </c>
      <c r="B73" s="265">
        <v>2031815.3609981015</v>
      </c>
      <c r="C73" s="265">
        <v>1620443.6384594522</v>
      </c>
      <c r="D73" s="265">
        <v>64475</v>
      </c>
      <c r="E73" s="265">
        <v>185496</v>
      </c>
      <c r="F73" s="265">
        <v>88805.219148359101</v>
      </c>
      <c r="G73" s="265">
        <v>72595.503390290207</v>
      </c>
      <c r="H73" s="248"/>
      <c r="I73" s="253"/>
    </row>
    <row r="74" spans="1:9" x14ac:dyDescent="0.2">
      <c r="A74" s="264">
        <v>1993</v>
      </c>
      <c r="B74" s="265">
        <v>3740386</v>
      </c>
      <c r="C74" s="265">
        <v>2981042</v>
      </c>
      <c r="D74" s="265">
        <v>108592</v>
      </c>
      <c r="E74" s="265">
        <v>325682.27201565559</v>
      </c>
      <c r="F74" s="265">
        <v>178369.7656555773</v>
      </c>
      <c r="G74" s="265">
        <v>146486.7186888454</v>
      </c>
      <c r="H74" s="248"/>
      <c r="I74" s="253"/>
    </row>
    <row r="75" spans="1:9" x14ac:dyDescent="0.2">
      <c r="A75" s="264">
        <v>1994</v>
      </c>
      <c r="B75" s="265">
        <v>7101166</v>
      </c>
      <c r="C75" s="265">
        <v>4168088</v>
      </c>
      <c r="D75" s="265">
        <v>502437</v>
      </c>
      <c r="E75" s="265">
        <v>789155</v>
      </c>
      <c r="F75" s="265">
        <v>766100</v>
      </c>
      <c r="G75" s="265">
        <v>875385</v>
      </c>
      <c r="H75" s="248"/>
      <c r="I75" s="253"/>
    </row>
    <row r="76" spans="1:9" x14ac:dyDescent="0.2">
      <c r="A76" s="264">
        <v>1995</v>
      </c>
      <c r="B76" s="265">
        <v>11262065</v>
      </c>
      <c r="C76" s="265">
        <v>5862872</v>
      </c>
      <c r="D76" s="265">
        <v>762908</v>
      </c>
      <c r="E76" s="265">
        <v>1785123</v>
      </c>
      <c r="F76" s="265">
        <v>1509047</v>
      </c>
      <c r="G76" s="265">
        <v>1342114</v>
      </c>
      <c r="H76" s="248"/>
      <c r="I76" s="253"/>
    </row>
    <row r="77" spans="1:9" x14ac:dyDescent="0.2">
      <c r="A77" s="264">
        <v>1996</v>
      </c>
      <c r="B77" s="265">
        <v>14201680</v>
      </c>
      <c r="C77" s="265">
        <v>7919075</v>
      </c>
      <c r="D77" s="265">
        <v>1269439</v>
      </c>
      <c r="E77" s="265">
        <v>2545919</v>
      </c>
      <c r="F77" s="265">
        <v>932534</v>
      </c>
      <c r="G77" s="265">
        <v>1534712</v>
      </c>
      <c r="H77" s="248"/>
      <c r="I77" s="253"/>
    </row>
    <row r="78" spans="1:9" x14ac:dyDescent="0.2">
      <c r="A78" s="264">
        <v>1997</v>
      </c>
      <c r="B78" s="265">
        <v>21263853</v>
      </c>
      <c r="C78" s="265">
        <v>11830423</v>
      </c>
      <c r="D78" s="265">
        <v>1473380</v>
      </c>
      <c r="E78" s="265">
        <v>4108781</v>
      </c>
      <c r="F78" s="265">
        <v>1360757</v>
      </c>
      <c r="G78" s="265">
        <v>2490513</v>
      </c>
      <c r="H78" s="248"/>
      <c r="I78" s="253"/>
    </row>
    <row r="79" spans="1:9" x14ac:dyDescent="0.2">
      <c r="A79" s="264">
        <v>1998</v>
      </c>
      <c r="B79" s="265">
        <v>29231870</v>
      </c>
      <c r="C79" s="265">
        <v>15300793</v>
      </c>
      <c r="D79" s="265">
        <v>2915541</v>
      </c>
      <c r="E79" s="265">
        <v>6547978</v>
      </c>
      <c r="F79" s="265">
        <v>1415912</v>
      </c>
      <c r="G79" s="265">
        <v>3051646</v>
      </c>
      <c r="H79" s="248"/>
      <c r="I79" s="253"/>
    </row>
    <row r="80" spans="1:9" x14ac:dyDescent="0.2">
      <c r="A80" s="264">
        <v>1999</v>
      </c>
      <c r="B80" s="265">
        <v>43173529</v>
      </c>
      <c r="C80" s="265">
        <v>23897246</v>
      </c>
      <c r="D80" s="265">
        <v>3927960</v>
      </c>
      <c r="E80" s="265">
        <v>13778877</v>
      </c>
      <c r="F80" s="265">
        <v>2628528</v>
      </c>
      <c r="G80" s="265">
        <v>-1059081</v>
      </c>
      <c r="H80" s="248"/>
      <c r="I80" s="253"/>
    </row>
    <row r="81" spans="1:9" x14ac:dyDescent="0.2">
      <c r="A81" s="248"/>
      <c r="B81" s="253"/>
      <c r="C81" s="253"/>
      <c r="D81" s="253"/>
      <c r="E81" s="253"/>
      <c r="F81" s="253"/>
      <c r="G81" s="253"/>
      <c r="H81" s="248"/>
      <c r="I81" s="248"/>
    </row>
    <row r="82" spans="1:9" x14ac:dyDescent="0.2">
      <c r="A82" s="254"/>
      <c r="B82" s="255"/>
      <c r="C82" s="255"/>
      <c r="D82" s="255"/>
      <c r="E82" s="255"/>
      <c r="F82" s="255"/>
      <c r="G82" s="255"/>
      <c r="H82" s="248"/>
      <c r="I82" s="248"/>
    </row>
    <row r="83" spans="1:9" x14ac:dyDescent="0.2">
      <c r="B83" s="253"/>
      <c r="C83" s="253"/>
      <c r="D83" s="253"/>
      <c r="E83" s="253"/>
      <c r="F83" s="253"/>
      <c r="G83" s="253"/>
      <c r="H83" s="248"/>
      <c r="I83" s="248"/>
    </row>
    <row r="84" spans="1:9" x14ac:dyDescent="0.2">
      <c r="A84" s="410"/>
      <c r="B84" s="253"/>
      <c r="C84" s="253"/>
      <c r="D84" s="253"/>
      <c r="E84" s="253"/>
      <c r="F84" s="253"/>
      <c r="G84" s="253"/>
      <c r="H84" s="248"/>
      <c r="I84" s="248"/>
    </row>
    <row r="85" spans="1:9" x14ac:dyDescent="0.2">
      <c r="A85" s="124" t="s">
        <v>598</v>
      </c>
      <c r="B85" s="253"/>
      <c r="C85" s="253"/>
      <c r="D85" s="253"/>
      <c r="E85" s="253"/>
      <c r="F85" s="253"/>
      <c r="G85" s="253"/>
      <c r="H85" s="248"/>
      <c r="I85" s="248"/>
    </row>
    <row r="86" spans="1:9" x14ac:dyDescent="0.2">
      <c r="A86" s="248"/>
      <c r="B86" s="253"/>
      <c r="C86" s="253"/>
      <c r="D86" s="253"/>
      <c r="E86" s="253"/>
      <c r="F86" s="253"/>
      <c r="G86" s="253"/>
      <c r="H86" s="248"/>
      <c r="I86" s="248"/>
    </row>
    <row r="87" spans="1:9" x14ac:dyDescent="0.2">
      <c r="A87" s="248"/>
      <c r="B87" s="253"/>
      <c r="C87" s="253"/>
      <c r="D87" s="253"/>
      <c r="E87" s="253"/>
      <c r="F87" s="253"/>
      <c r="G87" s="253"/>
      <c r="H87" s="248"/>
      <c r="I87" s="248"/>
    </row>
    <row r="88" spans="1:9" x14ac:dyDescent="0.2">
      <c r="A88" s="248"/>
      <c r="B88" s="253"/>
      <c r="C88" s="253"/>
      <c r="D88" s="253"/>
      <c r="E88" s="253"/>
      <c r="F88" s="253"/>
      <c r="G88" s="253"/>
      <c r="H88" s="248"/>
      <c r="I88" s="248"/>
    </row>
    <row r="89" spans="1:9" x14ac:dyDescent="0.2">
      <c r="A89" s="248"/>
      <c r="B89" s="253"/>
      <c r="C89" s="253"/>
      <c r="D89" s="253"/>
      <c r="E89" s="253"/>
      <c r="F89" s="253"/>
      <c r="G89" s="253"/>
      <c r="H89" s="248"/>
      <c r="I89" s="248"/>
    </row>
    <row r="90" spans="1:9" x14ac:dyDescent="0.2">
      <c r="A90" s="248"/>
      <c r="B90" s="253"/>
      <c r="C90" s="253"/>
      <c r="D90" s="253"/>
      <c r="E90" s="253"/>
      <c r="F90" s="253"/>
      <c r="G90" s="253"/>
      <c r="H90" s="248"/>
      <c r="I90" s="248"/>
    </row>
    <row r="91" spans="1:9" x14ac:dyDescent="0.2">
      <c r="A91" s="248"/>
      <c r="B91" s="253"/>
      <c r="C91" s="253"/>
      <c r="D91" s="253"/>
      <c r="E91" s="253"/>
      <c r="F91" s="253"/>
      <c r="G91" s="253"/>
      <c r="H91" s="248"/>
      <c r="I91" s="248"/>
    </row>
    <row r="92" spans="1:9" x14ac:dyDescent="0.2">
      <c r="A92" s="248"/>
      <c r="B92" s="253"/>
      <c r="C92" s="253"/>
      <c r="D92" s="253"/>
      <c r="E92" s="253"/>
      <c r="F92" s="253"/>
      <c r="G92" s="253"/>
      <c r="H92" s="248"/>
      <c r="I92" s="248"/>
    </row>
    <row r="93" spans="1:9" x14ac:dyDescent="0.2">
      <c r="A93" s="248"/>
      <c r="B93" s="253"/>
      <c r="C93" s="253"/>
      <c r="D93" s="253"/>
      <c r="E93" s="253"/>
      <c r="F93" s="253"/>
      <c r="G93" s="253"/>
      <c r="H93" s="248"/>
      <c r="I93" s="248"/>
    </row>
    <row r="94" spans="1:9" x14ac:dyDescent="0.2">
      <c r="A94" s="248"/>
      <c r="B94" s="253"/>
      <c r="C94" s="253"/>
      <c r="D94" s="253"/>
      <c r="E94" s="253"/>
      <c r="F94" s="253"/>
      <c r="G94" s="253"/>
      <c r="H94" s="248"/>
      <c r="I94" s="248"/>
    </row>
    <row r="95" spans="1:9" x14ac:dyDescent="0.2">
      <c r="A95" s="248"/>
      <c r="B95" s="253"/>
      <c r="C95" s="253"/>
      <c r="D95" s="253"/>
      <c r="E95" s="253"/>
      <c r="F95" s="253"/>
      <c r="G95" s="253"/>
      <c r="H95" s="248"/>
      <c r="I95" s="248"/>
    </row>
    <row r="96" spans="1:9" x14ac:dyDescent="0.2">
      <c r="A96" s="248"/>
      <c r="B96" s="253"/>
      <c r="C96" s="253"/>
      <c r="D96" s="253"/>
      <c r="E96" s="253"/>
      <c r="F96" s="253"/>
      <c r="G96" s="253"/>
      <c r="H96" s="248"/>
      <c r="I96" s="248"/>
    </row>
    <row r="97" spans="1:9" x14ac:dyDescent="0.2">
      <c r="A97" s="248"/>
      <c r="B97" s="253"/>
      <c r="C97" s="253"/>
      <c r="D97" s="253"/>
      <c r="E97" s="253"/>
      <c r="F97" s="253"/>
      <c r="G97" s="253"/>
      <c r="H97" s="248"/>
      <c r="I97" s="248"/>
    </row>
    <row r="98" spans="1:9" x14ac:dyDescent="0.2">
      <c r="A98" s="248"/>
      <c r="B98" s="253"/>
      <c r="C98" s="253"/>
      <c r="D98" s="253"/>
      <c r="E98" s="253"/>
      <c r="F98" s="253"/>
      <c r="G98" s="253"/>
      <c r="H98" s="248"/>
      <c r="I98" s="248"/>
    </row>
    <row r="99" spans="1:9" x14ac:dyDescent="0.2">
      <c r="A99" s="248"/>
      <c r="B99" s="253"/>
      <c r="C99" s="253"/>
      <c r="D99" s="253"/>
      <c r="E99" s="253"/>
      <c r="F99" s="253"/>
      <c r="G99" s="253"/>
      <c r="H99" s="248"/>
      <c r="I99" s="248"/>
    </row>
    <row r="100" spans="1:9" x14ac:dyDescent="0.2">
      <c r="A100" s="248"/>
      <c r="B100" s="253"/>
      <c r="C100" s="253"/>
      <c r="D100" s="253"/>
      <c r="E100" s="253"/>
      <c r="F100" s="253"/>
      <c r="G100" s="253"/>
      <c r="H100" s="248"/>
      <c r="I100" s="248"/>
    </row>
    <row r="101" spans="1:9" x14ac:dyDescent="0.2">
      <c r="A101" s="248"/>
      <c r="B101" s="253"/>
      <c r="C101" s="253"/>
      <c r="D101" s="253"/>
      <c r="E101" s="253"/>
      <c r="F101" s="253"/>
      <c r="G101" s="253"/>
      <c r="H101" s="248"/>
      <c r="I101" s="248"/>
    </row>
    <row r="102" spans="1:9" x14ac:dyDescent="0.2">
      <c r="A102" s="248"/>
      <c r="B102" s="253"/>
      <c r="C102" s="253"/>
      <c r="D102" s="253"/>
      <c r="E102" s="253"/>
      <c r="F102" s="253"/>
      <c r="G102" s="253"/>
      <c r="H102" s="248"/>
      <c r="I102" s="248"/>
    </row>
    <row r="103" spans="1:9" x14ac:dyDescent="0.2">
      <c r="A103" s="248"/>
      <c r="B103" s="253"/>
      <c r="C103" s="253"/>
      <c r="D103" s="253"/>
      <c r="E103" s="253"/>
      <c r="F103" s="253"/>
      <c r="G103" s="253"/>
      <c r="H103" s="248"/>
      <c r="I103" s="248"/>
    </row>
    <row r="104" spans="1:9" x14ac:dyDescent="0.2">
      <c r="A104" s="248"/>
      <c r="B104" s="253"/>
      <c r="C104" s="253"/>
      <c r="D104" s="253"/>
      <c r="E104" s="253"/>
      <c r="F104" s="253"/>
      <c r="G104" s="253"/>
      <c r="H104" s="248"/>
      <c r="I104" s="248"/>
    </row>
    <row r="105" spans="1:9" x14ac:dyDescent="0.2">
      <c r="A105" s="248"/>
      <c r="B105" s="253"/>
      <c r="C105" s="253"/>
      <c r="D105" s="253"/>
      <c r="E105" s="253"/>
      <c r="F105" s="253"/>
      <c r="G105" s="253"/>
      <c r="H105" s="248"/>
      <c r="I105" s="248"/>
    </row>
    <row r="106" spans="1:9" x14ac:dyDescent="0.2">
      <c r="A106" s="248"/>
      <c r="B106" s="253"/>
      <c r="C106" s="253"/>
      <c r="D106" s="253"/>
      <c r="E106" s="253"/>
      <c r="F106" s="253"/>
      <c r="G106" s="253"/>
      <c r="H106" s="248"/>
      <c r="I106" s="248"/>
    </row>
    <row r="107" spans="1:9" x14ac:dyDescent="0.2">
      <c r="A107" s="248"/>
      <c r="B107" s="253"/>
      <c r="C107" s="253"/>
      <c r="D107" s="253"/>
      <c r="E107" s="253"/>
      <c r="F107" s="253"/>
      <c r="G107" s="253"/>
      <c r="H107" s="248"/>
      <c r="I107" s="248"/>
    </row>
    <row r="108" spans="1:9" x14ac:dyDescent="0.2">
      <c r="A108" s="248"/>
      <c r="B108" s="253"/>
      <c r="C108" s="253"/>
      <c r="D108" s="253"/>
      <c r="E108" s="253"/>
      <c r="F108" s="253"/>
      <c r="G108" s="253"/>
      <c r="H108" s="248"/>
      <c r="I108" s="248"/>
    </row>
    <row r="109" spans="1:9" x14ac:dyDescent="0.2">
      <c r="A109" s="248"/>
      <c r="B109" s="253"/>
      <c r="C109" s="253"/>
      <c r="D109" s="253"/>
      <c r="E109" s="253"/>
      <c r="F109" s="253"/>
      <c r="G109" s="253"/>
      <c r="H109" s="248"/>
      <c r="I109" s="248"/>
    </row>
    <row r="110" spans="1:9" x14ac:dyDescent="0.2">
      <c r="A110" s="248"/>
      <c r="B110" s="253"/>
      <c r="C110" s="253"/>
      <c r="D110" s="253"/>
      <c r="E110" s="253"/>
      <c r="F110" s="253"/>
      <c r="G110" s="253"/>
      <c r="H110" s="248"/>
      <c r="I110" s="248"/>
    </row>
    <row r="111" spans="1:9" x14ac:dyDescent="0.2">
      <c r="A111" s="248"/>
      <c r="B111" s="253"/>
      <c r="C111" s="253"/>
      <c r="D111" s="253"/>
      <c r="E111" s="253"/>
      <c r="F111" s="253"/>
      <c r="G111" s="253"/>
      <c r="H111" s="248"/>
      <c r="I111" s="248"/>
    </row>
    <row r="112" spans="1:9" x14ac:dyDescent="0.2">
      <c r="A112" s="248"/>
      <c r="B112" s="253"/>
      <c r="C112" s="253"/>
      <c r="D112" s="253"/>
      <c r="E112" s="253"/>
      <c r="F112" s="253"/>
      <c r="G112" s="253"/>
      <c r="H112" s="248"/>
      <c r="I112" s="248"/>
    </row>
    <row r="113" spans="1:9" x14ac:dyDescent="0.2">
      <c r="A113" s="248"/>
      <c r="B113" s="253"/>
      <c r="C113" s="253"/>
      <c r="D113" s="253"/>
      <c r="E113" s="253"/>
      <c r="F113" s="253"/>
      <c r="G113" s="253"/>
      <c r="H113" s="248"/>
      <c r="I113" s="248"/>
    </row>
    <row r="114" spans="1:9" x14ac:dyDescent="0.2">
      <c r="A114" s="248"/>
      <c r="B114" s="253"/>
      <c r="C114" s="253"/>
      <c r="D114" s="253"/>
      <c r="E114" s="253"/>
      <c r="F114" s="253"/>
      <c r="G114" s="253"/>
      <c r="H114" s="248"/>
      <c r="I114" s="248"/>
    </row>
    <row r="115" spans="1:9" x14ac:dyDescent="0.2">
      <c r="A115" s="248"/>
      <c r="B115" s="253"/>
      <c r="C115" s="253"/>
      <c r="D115" s="253"/>
      <c r="E115" s="253"/>
      <c r="F115" s="253"/>
      <c r="G115" s="253"/>
      <c r="H115" s="248"/>
      <c r="I115" s="248"/>
    </row>
    <row r="116" spans="1:9" x14ac:dyDescent="0.2">
      <c r="A116" s="248"/>
      <c r="B116" s="253"/>
      <c r="C116" s="253"/>
      <c r="D116" s="253"/>
      <c r="E116" s="253"/>
      <c r="F116" s="253"/>
      <c r="G116" s="253"/>
      <c r="H116" s="248"/>
      <c r="I116" s="248"/>
    </row>
    <row r="117" spans="1:9" x14ac:dyDescent="0.2">
      <c r="A117" s="248"/>
      <c r="B117" s="253"/>
      <c r="C117" s="253"/>
      <c r="D117" s="253"/>
      <c r="E117" s="253"/>
      <c r="F117" s="253"/>
      <c r="G117" s="253"/>
      <c r="H117" s="248"/>
      <c r="I117" s="248"/>
    </row>
    <row r="118" spans="1:9" x14ac:dyDescent="0.2">
      <c r="A118" s="248"/>
      <c r="B118" s="253"/>
      <c r="C118" s="253"/>
      <c r="D118" s="253"/>
      <c r="E118" s="253"/>
      <c r="F118" s="253"/>
      <c r="G118" s="253"/>
      <c r="H118" s="248"/>
      <c r="I118" s="248"/>
    </row>
    <row r="119" spans="1:9" x14ac:dyDescent="0.2">
      <c r="A119" s="248"/>
      <c r="B119" s="253"/>
      <c r="C119" s="253"/>
      <c r="D119" s="253"/>
      <c r="E119" s="253"/>
      <c r="F119" s="253"/>
      <c r="G119" s="253"/>
      <c r="H119" s="248"/>
      <c r="I119" s="248"/>
    </row>
    <row r="120" spans="1:9" x14ac:dyDescent="0.2">
      <c r="A120" s="248"/>
      <c r="B120" s="253"/>
      <c r="C120" s="253"/>
      <c r="D120" s="253"/>
      <c r="E120" s="253"/>
      <c r="F120" s="253"/>
      <c r="G120" s="253"/>
      <c r="H120" s="248"/>
      <c r="I120" s="248"/>
    </row>
    <row r="121" spans="1:9" x14ac:dyDescent="0.2">
      <c r="A121" s="248"/>
      <c r="B121" s="253"/>
      <c r="C121" s="253"/>
      <c r="D121" s="253"/>
      <c r="E121" s="253"/>
      <c r="F121" s="253"/>
      <c r="G121" s="253"/>
      <c r="H121" s="248"/>
      <c r="I121" s="248"/>
    </row>
    <row r="122" spans="1:9" x14ac:dyDescent="0.2">
      <c r="A122" s="248"/>
      <c r="B122" s="253"/>
      <c r="C122" s="253"/>
      <c r="D122" s="253"/>
      <c r="E122" s="253"/>
      <c r="F122" s="253"/>
      <c r="G122" s="253"/>
      <c r="H122" s="248"/>
      <c r="I122" s="248"/>
    </row>
    <row r="123" spans="1:9" x14ac:dyDescent="0.2">
      <c r="A123" s="248"/>
      <c r="B123" s="253"/>
      <c r="C123" s="253"/>
      <c r="D123" s="253"/>
      <c r="E123" s="253"/>
      <c r="F123" s="253"/>
      <c r="G123" s="253"/>
      <c r="H123" s="248"/>
      <c r="I123" s="248"/>
    </row>
    <row r="124" spans="1:9" x14ac:dyDescent="0.2">
      <c r="A124" s="248"/>
      <c r="B124" s="253"/>
      <c r="C124" s="253"/>
      <c r="D124" s="253"/>
      <c r="E124" s="253"/>
      <c r="F124" s="253"/>
      <c r="G124" s="253"/>
      <c r="H124" s="248"/>
      <c r="I124" s="248"/>
    </row>
    <row r="125" spans="1:9" x14ac:dyDescent="0.2">
      <c r="A125" s="248"/>
      <c r="B125" s="253"/>
      <c r="C125" s="253"/>
      <c r="D125" s="253"/>
      <c r="E125" s="253"/>
      <c r="F125" s="253"/>
      <c r="G125" s="253"/>
      <c r="H125" s="248"/>
      <c r="I125" s="248"/>
    </row>
    <row r="126" spans="1:9" x14ac:dyDescent="0.2">
      <c r="A126" s="248"/>
      <c r="B126" s="253"/>
      <c r="C126" s="253"/>
      <c r="D126" s="253"/>
      <c r="E126" s="253"/>
      <c r="F126" s="253"/>
      <c r="G126" s="253"/>
      <c r="H126" s="248"/>
      <c r="I126" s="248"/>
    </row>
    <row r="127" spans="1:9" x14ac:dyDescent="0.2">
      <c r="A127" s="248"/>
      <c r="B127" s="253"/>
      <c r="C127" s="253"/>
      <c r="D127" s="253"/>
      <c r="E127" s="253"/>
      <c r="F127" s="253"/>
      <c r="G127" s="253"/>
      <c r="H127" s="248"/>
      <c r="I127" s="248"/>
    </row>
    <row r="128" spans="1:9" x14ac:dyDescent="0.2">
      <c r="A128" s="248"/>
      <c r="B128" s="253"/>
      <c r="C128" s="253"/>
      <c r="D128" s="253"/>
      <c r="E128" s="253"/>
      <c r="F128" s="253"/>
      <c r="G128" s="253"/>
      <c r="H128" s="248"/>
      <c r="I128" s="248"/>
    </row>
    <row r="129" spans="1:9" x14ac:dyDescent="0.2">
      <c r="A129" s="248"/>
      <c r="B129" s="253"/>
      <c r="C129" s="253"/>
      <c r="D129" s="253"/>
      <c r="E129" s="253"/>
      <c r="F129" s="253"/>
      <c r="G129" s="253"/>
      <c r="H129" s="248"/>
      <c r="I129" s="248"/>
    </row>
    <row r="130" spans="1:9" x14ac:dyDescent="0.2">
      <c r="A130" s="248"/>
      <c r="B130" s="253"/>
      <c r="C130" s="253"/>
      <c r="D130" s="253"/>
      <c r="E130" s="253"/>
      <c r="F130" s="253"/>
      <c r="G130" s="253"/>
      <c r="H130" s="248"/>
      <c r="I130" s="248"/>
    </row>
    <row r="131" spans="1:9" x14ac:dyDescent="0.2">
      <c r="A131" s="248"/>
      <c r="B131" s="253"/>
      <c r="C131" s="253"/>
      <c r="D131" s="253"/>
      <c r="E131" s="253"/>
      <c r="F131" s="253"/>
      <c r="G131" s="253"/>
      <c r="H131" s="248"/>
      <c r="I131" s="248"/>
    </row>
    <row r="132" spans="1:9" x14ac:dyDescent="0.2">
      <c r="A132" s="248"/>
      <c r="B132" s="253"/>
      <c r="C132" s="253"/>
      <c r="D132" s="253"/>
      <c r="E132" s="253"/>
      <c r="F132" s="253"/>
      <c r="G132" s="253"/>
      <c r="H132" s="248"/>
      <c r="I132" s="248"/>
    </row>
    <row r="133" spans="1:9" x14ac:dyDescent="0.2">
      <c r="A133" s="248"/>
      <c r="B133" s="253"/>
      <c r="C133" s="253"/>
      <c r="D133" s="253"/>
      <c r="E133" s="253"/>
      <c r="F133" s="253"/>
      <c r="G133" s="253"/>
      <c r="H133" s="248"/>
      <c r="I133" s="248"/>
    </row>
    <row r="134" spans="1:9" x14ac:dyDescent="0.2">
      <c r="A134" s="248"/>
      <c r="B134" s="253"/>
      <c r="C134" s="253"/>
      <c r="D134" s="253"/>
      <c r="E134" s="253"/>
      <c r="F134" s="253"/>
      <c r="G134" s="253"/>
      <c r="H134" s="248"/>
      <c r="I134" s="248"/>
    </row>
    <row r="135" spans="1:9" x14ac:dyDescent="0.2">
      <c r="A135" s="248"/>
      <c r="B135" s="253"/>
      <c r="C135" s="253"/>
      <c r="D135" s="253"/>
      <c r="E135" s="253"/>
      <c r="F135" s="253"/>
      <c r="G135" s="253"/>
      <c r="H135" s="248"/>
      <c r="I135" s="248"/>
    </row>
    <row r="136" spans="1:9" x14ac:dyDescent="0.2">
      <c r="A136" s="248"/>
      <c r="B136" s="253"/>
      <c r="C136" s="253"/>
      <c r="D136" s="253"/>
      <c r="E136" s="253"/>
      <c r="F136" s="253"/>
      <c r="G136" s="253"/>
      <c r="H136" s="248"/>
      <c r="I136" s="248"/>
    </row>
    <row r="137" spans="1:9" x14ac:dyDescent="0.2">
      <c r="A137" s="248"/>
      <c r="B137" s="253"/>
      <c r="C137" s="253"/>
      <c r="D137" s="253"/>
      <c r="E137" s="253"/>
      <c r="F137" s="253"/>
      <c r="G137" s="253"/>
      <c r="H137" s="248"/>
      <c r="I137" s="248"/>
    </row>
    <row r="138" spans="1:9" x14ac:dyDescent="0.2">
      <c r="A138" s="248"/>
      <c r="B138" s="253"/>
      <c r="C138" s="253"/>
      <c r="D138" s="253"/>
      <c r="E138" s="253"/>
      <c r="F138" s="253"/>
      <c r="G138" s="253"/>
      <c r="H138" s="248"/>
      <c r="I138" s="248"/>
    </row>
    <row r="139" spans="1:9" x14ac:dyDescent="0.2">
      <c r="A139" s="248"/>
      <c r="B139" s="253"/>
      <c r="C139" s="253"/>
      <c r="D139" s="253"/>
      <c r="E139" s="253"/>
      <c r="F139" s="253"/>
      <c r="G139" s="253"/>
      <c r="H139" s="248"/>
      <c r="I139" s="248"/>
    </row>
    <row r="140" spans="1:9" x14ac:dyDescent="0.2">
      <c r="A140" s="248"/>
      <c r="B140" s="253"/>
      <c r="C140" s="253"/>
      <c r="D140" s="253"/>
      <c r="E140" s="253"/>
      <c r="F140" s="253"/>
      <c r="G140" s="253"/>
      <c r="H140" s="248"/>
      <c r="I140" s="248"/>
    </row>
    <row r="141" spans="1:9" x14ac:dyDescent="0.2">
      <c r="A141" s="248"/>
      <c r="B141" s="253"/>
      <c r="C141" s="253"/>
      <c r="D141" s="253"/>
      <c r="E141" s="253"/>
      <c r="F141" s="253"/>
      <c r="G141" s="253"/>
      <c r="H141" s="248"/>
      <c r="I141" s="248"/>
    </row>
    <row r="142" spans="1:9" x14ac:dyDescent="0.2">
      <c r="A142" s="248"/>
      <c r="B142" s="253"/>
      <c r="C142" s="253"/>
      <c r="D142" s="253"/>
      <c r="E142" s="253"/>
      <c r="F142" s="253"/>
      <c r="G142" s="253"/>
      <c r="H142" s="248"/>
      <c r="I142" s="248"/>
    </row>
    <row r="143" spans="1:9" x14ac:dyDescent="0.2">
      <c r="A143" s="248"/>
      <c r="B143" s="253"/>
      <c r="C143" s="253"/>
      <c r="D143" s="253"/>
      <c r="E143" s="253"/>
      <c r="F143" s="253"/>
      <c r="G143" s="253"/>
      <c r="H143" s="248"/>
      <c r="I143" s="248"/>
    </row>
    <row r="144" spans="1:9" x14ac:dyDescent="0.2">
      <c r="A144" s="248"/>
      <c r="B144" s="253"/>
      <c r="C144" s="253"/>
      <c r="D144" s="253"/>
      <c r="E144" s="253"/>
      <c r="F144" s="253"/>
      <c r="G144" s="253"/>
      <c r="H144" s="248"/>
      <c r="I144" s="248"/>
    </row>
    <row r="145" spans="1:9" x14ac:dyDescent="0.2">
      <c r="A145" s="248"/>
      <c r="B145" s="253"/>
      <c r="C145" s="253"/>
      <c r="D145" s="253"/>
      <c r="E145" s="253"/>
      <c r="F145" s="253"/>
      <c r="G145" s="253"/>
      <c r="H145" s="248"/>
      <c r="I145" s="248"/>
    </row>
    <row r="146" spans="1:9" x14ac:dyDescent="0.2">
      <c r="A146" s="248"/>
      <c r="B146" s="253"/>
      <c r="C146" s="253"/>
      <c r="D146" s="253"/>
      <c r="E146" s="253"/>
      <c r="F146" s="253"/>
      <c r="G146" s="253"/>
      <c r="H146" s="248"/>
      <c r="I146" s="248"/>
    </row>
    <row r="147" spans="1:9" x14ac:dyDescent="0.2">
      <c r="A147" s="248"/>
      <c r="B147" s="253"/>
      <c r="C147" s="253"/>
      <c r="D147" s="253"/>
      <c r="E147" s="253"/>
      <c r="F147" s="253"/>
      <c r="G147" s="253"/>
      <c r="H147" s="248"/>
      <c r="I147" s="248"/>
    </row>
    <row r="148" spans="1:9" x14ac:dyDescent="0.2">
      <c r="A148" s="248"/>
      <c r="B148" s="253"/>
      <c r="C148" s="253"/>
      <c r="D148" s="253"/>
      <c r="E148" s="253"/>
      <c r="F148" s="253"/>
      <c r="G148" s="253"/>
      <c r="H148" s="248"/>
      <c r="I148" s="248"/>
    </row>
    <row r="149" spans="1:9" x14ac:dyDescent="0.2">
      <c r="A149" s="248"/>
      <c r="B149" s="253"/>
      <c r="C149" s="253"/>
      <c r="D149" s="253"/>
      <c r="E149" s="253"/>
      <c r="F149" s="253"/>
      <c r="G149" s="253"/>
      <c r="H149" s="248"/>
      <c r="I149" s="248"/>
    </row>
    <row r="150" spans="1:9" x14ac:dyDescent="0.2">
      <c r="A150" s="248"/>
      <c r="B150" s="253"/>
      <c r="C150" s="253"/>
      <c r="D150" s="253"/>
      <c r="E150" s="253"/>
      <c r="F150" s="253"/>
      <c r="G150" s="253"/>
      <c r="H150" s="248"/>
      <c r="I150" s="248"/>
    </row>
    <row r="151" spans="1:9" x14ac:dyDescent="0.2">
      <c r="A151" s="248"/>
      <c r="B151" s="253"/>
      <c r="C151" s="253"/>
      <c r="D151" s="253"/>
      <c r="E151" s="253"/>
      <c r="F151" s="253"/>
      <c r="G151" s="253"/>
      <c r="H151" s="248"/>
      <c r="I151" s="248"/>
    </row>
    <row r="152" spans="1:9" x14ac:dyDescent="0.2">
      <c r="A152" s="248"/>
      <c r="B152" s="253"/>
      <c r="C152" s="253"/>
      <c r="D152" s="253"/>
      <c r="E152" s="253"/>
      <c r="F152" s="253"/>
      <c r="G152" s="253"/>
      <c r="H152" s="248"/>
      <c r="I152" s="248"/>
    </row>
    <row r="153" spans="1:9" x14ac:dyDescent="0.2">
      <c r="A153" s="248"/>
      <c r="B153" s="253"/>
      <c r="C153" s="253"/>
      <c r="D153" s="253"/>
      <c r="E153" s="253"/>
      <c r="F153" s="253"/>
      <c r="G153" s="253"/>
      <c r="H153" s="248"/>
      <c r="I153" s="248"/>
    </row>
    <row r="154" spans="1:9" x14ac:dyDescent="0.2">
      <c r="A154" s="248"/>
      <c r="B154" s="253"/>
      <c r="C154" s="253"/>
      <c r="D154" s="253"/>
      <c r="E154" s="253"/>
      <c r="F154" s="253"/>
      <c r="G154" s="253"/>
      <c r="H154" s="248"/>
      <c r="I154" s="248"/>
    </row>
    <row r="155" spans="1:9" x14ac:dyDescent="0.2">
      <c r="A155" s="248"/>
      <c r="B155" s="253"/>
      <c r="C155" s="253"/>
      <c r="D155" s="253"/>
      <c r="E155" s="253"/>
      <c r="F155" s="253"/>
      <c r="G155" s="253"/>
      <c r="H155" s="248"/>
      <c r="I155" s="248"/>
    </row>
    <row r="156" spans="1:9" x14ac:dyDescent="0.2">
      <c r="A156" s="248"/>
      <c r="B156" s="253"/>
      <c r="C156" s="253"/>
      <c r="D156" s="253"/>
      <c r="E156" s="253"/>
      <c r="F156" s="253"/>
      <c r="G156" s="253"/>
      <c r="H156" s="248"/>
      <c r="I156" s="248"/>
    </row>
    <row r="157" spans="1:9" x14ac:dyDescent="0.2">
      <c r="A157" s="248"/>
      <c r="B157" s="253"/>
      <c r="C157" s="253"/>
      <c r="D157" s="253"/>
      <c r="E157" s="253"/>
      <c r="F157" s="253"/>
      <c r="G157" s="253"/>
      <c r="H157" s="248"/>
      <c r="I157" s="248"/>
    </row>
    <row r="158" spans="1:9" x14ac:dyDescent="0.2">
      <c r="A158" s="248"/>
      <c r="B158" s="253"/>
      <c r="C158" s="253"/>
      <c r="D158" s="253"/>
      <c r="E158" s="253"/>
      <c r="F158" s="253"/>
      <c r="G158" s="253"/>
      <c r="H158" s="248"/>
      <c r="I158" s="248"/>
    </row>
    <row r="159" spans="1:9" x14ac:dyDescent="0.2">
      <c r="A159" s="248"/>
      <c r="B159" s="253"/>
      <c r="C159" s="253"/>
      <c r="D159" s="253"/>
      <c r="E159" s="253"/>
      <c r="F159" s="253"/>
      <c r="G159" s="253"/>
      <c r="H159" s="248"/>
      <c r="I159" s="248"/>
    </row>
    <row r="160" spans="1:9" x14ac:dyDescent="0.2">
      <c r="A160" s="248"/>
      <c r="B160" s="253"/>
      <c r="C160" s="253"/>
      <c r="D160" s="253"/>
      <c r="E160" s="253"/>
      <c r="F160" s="253"/>
      <c r="G160" s="253"/>
      <c r="H160" s="248"/>
      <c r="I160" s="248"/>
    </row>
    <row r="161" spans="1:9" x14ac:dyDescent="0.2">
      <c r="A161" s="248"/>
      <c r="B161" s="253"/>
      <c r="C161" s="253"/>
      <c r="D161" s="253"/>
      <c r="E161" s="253"/>
      <c r="F161" s="253"/>
      <c r="G161" s="253"/>
      <c r="H161" s="248"/>
      <c r="I161" s="248"/>
    </row>
    <row r="162" spans="1:9" x14ac:dyDescent="0.2">
      <c r="A162" s="248"/>
      <c r="B162" s="253"/>
      <c r="C162" s="253"/>
      <c r="D162" s="253"/>
      <c r="E162" s="253"/>
      <c r="F162" s="253"/>
      <c r="G162" s="253"/>
      <c r="H162" s="248"/>
      <c r="I162" s="248"/>
    </row>
    <row r="163" spans="1:9" x14ac:dyDescent="0.2">
      <c r="A163" s="248"/>
      <c r="B163" s="253"/>
      <c r="C163" s="253"/>
      <c r="D163" s="253"/>
      <c r="E163" s="253"/>
      <c r="F163" s="253"/>
      <c r="G163" s="253"/>
      <c r="H163" s="248"/>
      <c r="I163" s="248"/>
    </row>
    <row r="164" spans="1:9" x14ac:dyDescent="0.2">
      <c r="A164" s="248"/>
      <c r="B164" s="253"/>
      <c r="C164" s="253"/>
      <c r="D164" s="253"/>
      <c r="E164" s="253"/>
      <c r="F164" s="253"/>
      <c r="G164" s="253"/>
      <c r="H164" s="248"/>
      <c r="I164" s="248"/>
    </row>
  </sheetData>
  <mergeCells count="3">
    <mergeCell ref="A1:G1"/>
    <mergeCell ref="A2:G2"/>
    <mergeCell ref="A3:G3"/>
  </mergeCells>
  <hyperlinks>
    <hyperlink ref="A85" location="'indice cap.1'!A1" display="regresar al índice" xr:uid="{00000000-0004-0000-1600-000000000000}"/>
  </hyperlinks>
  <pageMargins left="0.70866141732283472" right="0.70866141732283472" top="0.74803149606299213" bottom="0.74803149606299213" header="0.31496062992125984" footer="0.31496062992125984"/>
  <pageSetup paperSize="9" scale="95" orientation="portrait" verticalDpi="599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86"/>
  <sheetViews>
    <sheetView showGridLines="0" workbookViewId="0">
      <selection activeCell="A5" sqref="A5:B6"/>
    </sheetView>
  </sheetViews>
  <sheetFormatPr defaultColWidth="11.42578125" defaultRowHeight="12.75" x14ac:dyDescent="0.2"/>
  <cols>
    <col min="1" max="1" width="11.42578125" style="108"/>
    <col min="2" max="2" width="3.5703125" style="108" customWidth="1"/>
    <col min="3" max="3" width="17.140625" style="108" customWidth="1"/>
    <col min="4" max="9" width="17.28515625" style="108" customWidth="1"/>
    <col min="10" max="11" width="14.5703125" style="108" customWidth="1"/>
    <col min="12" max="16384" width="11.42578125" style="108"/>
  </cols>
  <sheetData>
    <row r="1" spans="1:11" x14ac:dyDescent="0.2">
      <c r="A1" s="558" t="s">
        <v>681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</row>
    <row r="2" spans="1:11" x14ac:dyDescent="0.2">
      <c r="A2" s="558" t="s">
        <v>447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</row>
    <row r="3" spans="1:11" x14ac:dyDescent="0.2">
      <c r="A3" s="558" t="s">
        <v>86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</row>
    <row r="4" spans="1:11" x14ac:dyDescent="0.2">
      <c r="D4" s="268"/>
    </row>
    <row r="5" spans="1:11" x14ac:dyDescent="0.2">
      <c r="A5" s="586" t="s">
        <v>87</v>
      </c>
      <c r="B5" s="587"/>
      <c r="C5" s="587" t="s">
        <v>808</v>
      </c>
      <c r="D5" s="587" t="s">
        <v>448</v>
      </c>
      <c r="E5" s="584"/>
      <c r="F5" s="584"/>
      <c r="G5" s="584"/>
      <c r="H5" s="587" t="s">
        <v>805</v>
      </c>
      <c r="I5" s="587" t="s">
        <v>744</v>
      </c>
      <c r="J5" s="587" t="s">
        <v>806</v>
      </c>
      <c r="K5" s="589" t="s">
        <v>807</v>
      </c>
    </row>
    <row r="6" spans="1:11" x14ac:dyDescent="0.2">
      <c r="A6" s="553"/>
      <c r="B6" s="588"/>
      <c r="C6" s="588"/>
      <c r="D6" s="398" t="s">
        <v>803</v>
      </c>
      <c r="E6" s="398" t="s">
        <v>449</v>
      </c>
      <c r="F6" s="398" t="s">
        <v>804</v>
      </c>
      <c r="G6" s="398" t="s">
        <v>450</v>
      </c>
      <c r="H6" s="588"/>
      <c r="I6" s="588"/>
      <c r="J6" s="588"/>
      <c r="K6" s="590"/>
    </row>
    <row r="7" spans="1:11" x14ac:dyDescent="0.2">
      <c r="A7" s="270"/>
      <c r="B7" s="271"/>
      <c r="C7" s="272" t="s">
        <v>809</v>
      </c>
      <c r="D7" s="272" t="s">
        <v>451</v>
      </c>
      <c r="E7" s="272" t="s">
        <v>452</v>
      </c>
      <c r="F7" s="272" t="s">
        <v>125</v>
      </c>
      <c r="G7" s="272" t="s">
        <v>144</v>
      </c>
      <c r="H7" s="272" t="s">
        <v>127</v>
      </c>
      <c r="I7" s="272" t="s">
        <v>453</v>
      </c>
      <c r="J7" s="272" t="s">
        <v>454</v>
      </c>
      <c r="K7" s="215" t="s">
        <v>455</v>
      </c>
    </row>
    <row r="8" spans="1:11" x14ac:dyDescent="0.2">
      <c r="C8" s="115"/>
    </row>
    <row r="9" spans="1:11" x14ac:dyDescent="0.2">
      <c r="A9" s="180">
        <v>1927</v>
      </c>
      <c r="B9" s="180"/>
      <c r="C9" s="226">
        <v>39.905000000000001</v>
      </c>
      <c r="D9" s="226">
        <v>33</v>
      </c>
      <c r="E9" s="227" t="s">
        <v>456</v>
      </c>
      <c r="F9" s="227" t="s">
        <v>456</v>
      </c>
      <c r="G9" s="227" t="s">
        <v>456</v>
      </c>
      <c r="H9" s="218">
        <v>6.9050000000000002</v>
      </c>
      <c r="I9" s="179" t="s">
        <v>456</v>
      </c>
      <c r="J9" s="179" t="s">
        <v>456</v>
      </c>
      <c r="K9" s="227" t="s">
        <v>10</v>
      </c>
    </row>
    <row r="10" spans="1:11" x14ac:dyDescent="0.2">
      <c r="A10" s="180">
        <v>1928</v>
      </c>
      <c r="B10" s="180"/>
      <c r="C10" s="226">
        <v>35.579000000000001</v>
      </c>
      <c r="D10" s="226">
        <v>28.579000000000001</v>
      </c>
      <c r="E10" s="227" t="s">
        <v>456</v>
      </c>
      <c r="F10" s="227" t="s">
        <v>456</v>
      </c>
      <c r="G10" s="227" t="s">
        <v>456</v>
      </c>
      <c r="H10" s="218">
        <v>7</v>
      </c>
      <c r="I10" s="179" t="s">
        <v>456</v>
      </c>
      <c r="J10" s="179" t="s">
        <v>456</v>
      </c>
      <c r="K10" s="227" t="s">
        <v>10</v>
      </c>
    </row>
    <row r="11" spans="1:11" x14ac:dyDescent="0.2">
      <c r="A11" s="180">
        <v>1929</v>
      </c>
      <c r="B11" s="180"/>
      <c r="C11" s="226">
        <v>32.705999999999996</v>
      </c>
      <c r="D11" s="226">
        <v>25.457999999999998</v>
      </c>
      <c r="E11" s="227" t="s">
        <v>456</v>
      </c>
      <c r="F11" s="227" t="s">
        <v>456</v>
      </c>
      <c r="G11" s="227" t="s">
        <v>456</v>
      </c>
      <c r="H11" s="218">
        <v>7.2480000000000002</v>
      </c>
      <c r="I11" s="179" t="s">
        <v>456</v>
      </c>
      <c r="J11" s="179" t="s">
        <v>456</v>
      </c>
      <c r="K11" s="227" t="s">
        <v>10</v>
      </c>
    </row>
    <row r="12" spans="1:11" x14ac:dyDescent="0.2">
      <c r="A12" s="180">
        <v>1930</v>
      </c>
      <c r="B12" s="180"/>
      <c r="C12" s="226">
        <v>33.142000000000003</v>
      </c>
      <c r="D12" s="226">
        <v>23.149000000000001</v>
      </c>
      <c r="E12" s="227" t="s">
        <v>456</v>
      </c>
      <c r="F12" s="227" t="s">
        <v>456</v>
      </c>
      <c r="G12" s="227" t="s">
        <v>456</v>
      </c>
      <c r="H12" s="218">
        <v>9.9930000000000003</v>
      </c>
      <c r="I12" s="179" t="s">
        <v>456</v>
      </c>
      <c r="J12" s="179" t="s">
        <v>456</v>
      </c>
      <c r="K12" s="227" t="s">
        <v>10</v>
      </c>
    </row>
    <row r="13" spans="1:11" x14ac:dyDescent="0.2">
      <c r="A13" s="180">
        <v>1931</v>
      </c>
      <c r="B13" s="180"/>
      <c r="C13" s="226">
        <v>20.684999999999999</v>
      </c>
      <c r="D13" s="226">
        <v>13.204000000000001</v>
      </c>
      <c r="E13" s="227" t="s">
        <v>456</v>
      </c>
      <c r="F13" s="227" t="s">
        <v>456</v>
      </c>
      <c r="G13" s="227" t="s">
        <v>456</v>
      </c>
      <c r="H13" s="218">
        <v>7.4809999999999999</v>
      </c>
      <c r="I13" s="179" t="s">
        <v>456</v>
      </c>
      <c r="J13" s="179" t="s">
        <v>456</v>
      </c>
      <c r="K13" s="227" t="s">
        <v>10</v>
      </c>
    </row>
    <row r="14" spans="1:11" x14ac:dyDescent="0.2">
      <c r="A14" s="180">
        <v>1932</v>
      </c>
      <c r="B14" s="180"/>
      <c r="C14" s="226">
        <v>35.225999999999999</v>
      </c>
      <c r="D14" s="226">
        <v>25.637</v>
      </c>
      <c r="E14" s="227" t="s">
        <v>456</v>
      </c>
      <c r="F14" s="227" t="s">
        <v>456</v>
      </c>
      <c r="G14" s="227" t="s">
        <v>456</v>
      </c>
      <c r="H14" s="218">
        <v>9.5890000000000004</v>
      </c>
      <c r="I14" s="179" t="s">
        <v>456</v>
      </c>
      <c r="J14" s="179" t="s">
        <v>456</v>
      </c>
      <c r="K14" s="227" t="s">
        <v>10</v>
      </c>
    </row>
    <row r="15" spans="1:11" x14ac:dyDescent="0.2">
      <c r="A15" s="180">
        <v>1933</v>
      </c>
      <c r="B15" s="180"/>
      <c r="C15" s="226">
        <v>53.335999999999999</v>
      </c>
      <c r="D15" s="226">
        <v>42.996000000000002</v>
      </c>
      <c r="E15" s="227" t="s">
        <v>456</v>
      </c>
      <c r="F15" s="227" t="s">
        <v>456</v>
      </c>
      <c r="G15" s="227" t="s">
        <v>456</v>
      </c>
      <c r="H15" s="218">
        <v>10.34</v>
      </c>
      <c r="I15" s="179" t="s">
        <v>456</v>
      </c>
      <c r="J15" s="179" t="s">
        <v>456</v>
      </c>
      <c r="K15" s="227" t="s">
        <v>10</v>
      </c>
    </row>
    <row r="16" spans="1:11" x14ac:dyDescent="0.2">
      <c r="A16" s="180">
        <v>1934</v>
      </c>
      <c r="B16" s="180"/>
      <c r="C16" s="226">
        <v>62.701999999999998</v>
      </c>
      <c r="D16" s="226">
        <v>50.293999999999997</v>
      </c>
      <c r="E16" s="227" t="s">
        <v>456</v>
      </c>
      <c r="F16" s="227" t="s">
        <v>456</v>
      </c>
      <c r="G16" s="227" t="s">
        <v>456</v>
      </c>
      <c r="H16" s="218">
        <v>12.407999999999999</v>
      </c>
      <c r="I16" s="179" t="s">
        <v>456</v>
      </c>
      <c r="J16" s="179" t="s">
        <v>456</v>
      </c>
      <c r="K16" s="227" t="s">
        <v>10</v>
      </c>
    </row>
    <row r="17" spans="1:11" x14ac:dyDescent="0.2">
      <c r="A17" s="180">
        <v>1935</v>
      </c>
      <c r="B17" s="180"/>
      <c r="C17" s="226">
        <v>55.975000000000001</v>
      </c>
      <c r="D17" s="226">
        <v>39.134999999999998</v>
      </c>
      <c r="E17" s="226">
        <v>4.5149999999999997</v>
      </c>
      <c r="F17" s="226">
        <v>4.5949999999999998</v>
      </c>
      <c r="G17" s="227" t="s">
        <v>456</v>
      </c>
      <c r="H17" s="218">
        <v>7.73</v>
      </c>
      <c r="I17" s="179" t="s">
        <v>456</v>
      </c>
      <c r="J17" s="179" t="s">
        <v>456</v>
      </c>
      <c r="K17" s="227" t="s">
        <v>10</v>
      </c>
    </row>
    <row r="18" spans="1:11" x14ac:dyDescent="0.2">
      <c r="A18" s="180">
        <v>1936</v>
      </c>
      <c r="B18" s="180"/>
      <c r="C18" s="226">
        <v>73.093000000000004</v>
      </c>
      <c r="D18" s="226">
        <v>51.442</v>
      </c>
      <c r="E18" s="226">
        <v>5.3659999999999997</v>
      </c>
      <c r="F18" s="226">
        <v>5.0209999999999999</v>
      </c>
      <c r="G18" s="227" t="s">
        <v>456</v>
      </c>
      <c r="H18" s="218">
        <v>11.264000000000001</v>
      </c>
      <c r="I18" s="179" t="s">
        <v>456</v>
      </c>
      <c r="J18" s="179" t="s">
        <v>456</v>
      </c>
      <c r="K18" s="227" t="s">
        <v>10</v>
      </c>
    </row>
    <row r="19" spans="1:11" x14ac:dyDescent="0.2">
      <c r="A19" s="180">
        <v>1937</v>
      </c>
      <c r="B19" s="180"/>
      <c r="C19" s="226">
        <v>76.013000000000005</v>
      </c>
      <c r="D19" s="226">
        <v>52.463999999999999</v>
      </c>
      <c r="E19" s="226">
        <v>4.7469999999999999</v>
      </c>
      <c r="F19" s="226">
        <v>3.415</v>
      </c>
      <c r="G19" s="227" t="s">
        <v>456</v>
      </c>
      <c r="H19" s="218">
        <v>15.387</v>
      </c>
      <c r="I19" s="179" t="s">
        <v>456</v>
      </c>
      <c r="J19" s="179" t="s">
        <v>456</v>
      </c>
      <c r="K19" s="227" t="s">
        <v>10</v>
      </c>
    </row>
    <row r="20" spans="1:11" x14ac:dyDescent="0.2">
      <c r="A20" s="180">
        <v>1938</v>
      </c>
      <c r="B20" s="180"/>
      <c r="C20" s="226">
        <v>87.301999999999992</v>
      </c>
      <c r="D20" s="226">
        <v>59.884999999999998</v>
      </c>
      <c r="E20" s="226">
        <v>5.76</v>
      </c>
      <c r="F20" s="226">
        <v>3.9990000000000001</v>
      </c>
      <c r="G20" s="227" t="s">
        <v>456</v>
      </c>
      <c r="H20" s="218">
        <v>17.657999999999998</v>
      </c>
      <c r="I20" s="179" t="s">
        <v>456</v>
      </c>
      <c r="J20" s="179" t="s">
        <v>456</v>
      </c>
      <c r="K20" s="227" t="s">
        <v>10</v>
      </c>
    </row>
    <row r="21" spans="1:11" x14ac:dyDescent="0.2">
      <c r="A21" s="180">
        <v>1939</v>
      </c>
      <c r="B21" s="180"/>
      <c r="C21" s="226">
        <v>96.805999999999997</v>
      </c>
      <c r="D21" s="226">
        <v>56.612000000000002</v>
      </c>
      <c r="E21" s="226">
        <v>6.1859999999999999</v>
      </c>
      <c r="F21" s="226">
        <v>9.3040000000000003</v>
      </c>
      <c r="G21" s="227" t="s">
        <v>456</v>
      </c>
      <c r="H21" s="218">
        <v>24.703999999999997</v>
      </c>
      <c r="I21" s="179" t="s">
        <v>456</v>
      </c>
      <c r="J21" s="179" t="s">
        <v>456</v>
      </c>
      <c r="K21" s="227" t="s">
        <v>10</v>
      </c>
    </row>
    <row r="22" spans="1:11" x14ac:dyDescent="0.2">
      <c r="A22" s="180">
        <v>1940</v>
      </c>
      <c r="B22" s="180"/>
      <c r="C22" s="226">
        <v>132.029</v>
      </c>
      <c r="D22" s="226">
        <v>85.831999999999994</v>
      </c>
      <c r="E22" s="226">
        <v>11.391999999999999</v>
      </c>
      <c r="F22" s="226">
        <v>13.509</v>
      </c>
      <c r="G22" s="227" t="s">
        <v>456</v>
      </c>
      <c r="H22" s="218">
        <v>21.295999999999999</v>
      </c>
      <c r="I22" s="179" t="s">
        <v>456</v>
      </c>
      <c r="J22" s="179" t="s">
        <v>456</v>
      </c>
      <c r="K22" s="227" t="s">
        <v>10</v>
      </c>
    </row>
    <row r="23" spans="1:11" x14ac:dyDescent="0.2">
      <c r="A23" s="180">
        <v>1941</v>
      </c>
      <c r="B23" s="180"/>
      <c r="C23" s="226">
        <v>149.233</v>
      </c>
      <c r="D23" s="226">
        <v>94.853999999999999</v>
      </c>
      <c r="E23" s="226">
        <v>9.8580000000000005</v>
      </c>
      <c r="F23" s="226">
        <v>17.643000000000001</v>
      </c>
      <c r="G23" s="227" t="s">
        <v>456</v>
      </c>
      <c r="H23" s="218">
        <v>26.878</v>
      </c>
      <c r="I23" s="179" t="s">
        <v>456</v>
      </c>
      <c r="J23" s="179" t="s">
        <v>456</v>
      </c>
      <c r="K23" s="227" t="s">
        <v>10</v>
      </c>
    </row>
    <row r="24" spans="1:11" x14ac:dyDescent="0.2">
      <c r="A24" s="180">
        <v>1942</v>
      </c>
      <c r="B24" s="180"/>
      <c r="C24" s="226">
        <v>210.99299999999999</v>
      </c>
      <c r="D24" s="226">
        <v>134.834</v>
      </c>
      <c r="E24" s="226">
        <v>18.222999999999999</v>
      </c>
      <c r="F24" s="226">
        <v>14.79</v>
      </c>
      <c r="G24" s="227" t="s">
        <v>456</v>
      </c>
      <c r="H24" s="218">
        <v>43.146000000000001</v>
      </c>
      <c r="I24" s="179" t="s">
        <v>456</v>
      </c>
      <c r="J24" s="179" t="s">
        <v>456</v>
      </c>
      <c r="K24" s="227" t="s">
        <v>10</v>
      </c>
    </row>
    <row r="25" spans="1:11" x14ac:dyDescent="0.2">
      <c r="A25" s="180">
        <v>1943</v>
      </c>
      <c r="B25" s="180"/>
      <c r="C25" s="226">
        <v>298.91399999999999</v>
      </c>
      <c r="D25" s="226">
        <v>196.81800000000001</v>
      </c>
      <c r="E25" s="226">
        <v>26.056999999999999</v>
      </c>
      <c r="F25" s="226">
        <v>22.279</v>
      </c>
      <c r="G25" s="227" t="s">
        <v>456</v>
      </c>
      <c r="H25" s="218">
        <v>53.76</v>
      </c>
      <c r="I25" s="179" t="s">
        <v>456</v>
      </c>
      <c r="J25" s="179" t="s">
        <v>456</v>
      </c>
      <c r="K25" s="227" t="s">
        <v>10</v>
      </c>
    </row>
    <row r="26" spans="1:11" x14ac:dyDescent="0.2">
      <c r="A26" s="180">
        <v>1944</v>
      </c>
      <c r="B26" s="180"/>
      <c r="C26" s="226">
        <v>339.38299999999998</v>
      </c>
      <c r="D26" s="226">
        <v>231.012</v>
      </c>
      <c r="E26" s="226">
        <v>32.966999999999999</v>
      </c>
      <c r="F26" s="226">
        <v>24.030999999999999</v>
      </c>
      <c r="G26" s="227" t="s">
        <v>456</v>
      </c>
      <c r="H26" s="218">
        <v>51.372999999999998</v>
      </c>
      <c r="I26" s="179" t="s">
        <v>456</v>
      </c>
      <c r="J26" s="179" t="s">
        <v>456</v>
      </c>
      <c r="K26" s="227" t="s">
        <v>10</v>
      </c>
    </row>
    <row r="27" spans="1:11" x14ac:dyDescent="0.2">
      <c r="A27" s="180">
        <v>1945</v>
      </c>
      <c r="B27" s="180"/>
      <c r="C27" s="226">
        <v>387.255</v>
      </c>
      <c r="D27" s="226">
        <v>268.07799999999997</v>
      </c>
      <c r="E27" s="226">
        <v>38.375</v>
      </c>
      <c r="F27" s="226">
        <v>10.276</v>
      </c>
      <c r="G27" s="226">
        <v>2</v>
      </c>
      <c r="H27" s="218">
        <v>68.525999999999996</v>
      </c>
      <c r="I27" s="179" t="s">
        <v>456</v>
      </c>
      <c r="J27" s="179" t="s">
        <v>456</v>
      </c>
      <c r="K27" s="227" t="s">
        <v>10</v>
      </c>
    </row>
    <row r="28" spans="1:11" x14ac:dyDescent="0.2">
      <c r="A28" s="180">
        <v>1946</v>
      </c>
      <c r="B28" s="180"/>
      <c r="C28" s="226">
        <v>345.95499999999998</v>
      </c>
      <c r="D28" s="226">
        <v>216.15199999999999</v>
      </c>
      <c r="E28" s="226">
        <v>38.252000000000002</v>
      </c>
      <c r="F28" s="226">
        <v>19.358000000000001</v>
      </c>
      <c r="G28" s="226">
        <v>9</v>
      </c>
      <c r="H28" s="218">
        <v>63.192999999999998</v>
      </c>
      <c r="I28" s="179" t="s">
        <v>456</v>
      </c>
      <c r="J28" s="179" t="s">
        <v>456</v>
      </c>
      <c r="K28" s="227" t="s">
        <v>10</v>
      </c>
    </row>
    <row r="29" spans="1:11" x14ac:dyDescent="0.2">
      <c r="A29" s="180">
        <v>1947</v>
      </c>
      <c r="B29" s="180"/>
      <c r="C29" s="226">
        <v>358.51900000000001</v>
      </c>
      <c r="D29" s="226">
        <v>244.809</v>
      </c>
      <c r="E29" s="226">
        <v>37.582999999999998</v>
      </c>
      <c r="F29" s="226">
        <v>18.875</v>
      </c>
      <c r="G29" s="226">
        <v>8</v>
      </c>
      <c r="H29" s="218">
        <v>49.251999999999995</v>
      </c>
      <c r="I29" s="179" t="s">
        <v>456</v>
      </c>
      <c r="J29" s="179" t="s">
        <v>456</v>
      </c>
      <c r="K29" s="227" t="s">
        <v>10</v>
      </c>
    </row>
    <row r="30" spans="1:11" x14ac:dyDescent="0.2">
      <c r="A30" s="180">
        <v>1948</v>
      </c>
      <c r="B30" s="180"/>
      <c r="C30" s="226">
        <v>391.33399999999995</v>
      </c>
      <c r="D30" s="226">
        <v>272.37</v>
      </c>
      <c r="E30" s="226">
        <v>40.731999999999999</v>
      </c>
      <c r="F30" s="226">
        <v>26.568000000000001</v>
      </c>
      <c r="G30" s="226">
        <v>12</v>
      </c>
      <c r="H30" s="218">
        <v>39.663999999999994</v>
      </c>
      <c r="I30" s="179" t="s">
        <v>456</v>
      </c>
      <c r="J30" s="179" t="s">
        <v>456</v>
      </c>
      <c r="K30" s="227" t="s">
        <v>10</v>
      </c>
    </row>
    <row r="31" spans="1:11" x14ac:dyDescent="0.2">
      <c r="A31" s="180">
        <v>1949</v>
      </c>
      <c r="B31" s="180"/>
      <c r="C31" s="226">
        <v>387.55799999999999</v>
      </c>
      <c r="D31" s="226">
        <v>268.142</v>
      </c>
      <c r="E31" s="226">
        <v>40.348999999999997</v>
      </c>
      <c r="F31" s="226">
        <v>23.507999999999999</v>
      </c>
      <c r="G31" s="226">
        <v>6</v>
      </c>
      <c r="H31" s="218">
        <v>49.558999999999997</v>
      </c>
      <c r="I31" s="179" t="s">
        <v>456</v>
      </c>
      <c r="J31" s="179" t="s">
        <v>456</v>
      </c>
      <c r="K31" s="227" t="s">
        <v>10</v>
      </c>
    </row>
    <row r="32" spans="1:11" x14ac:dyDescent="0.2">
      <c r="A32" s="180">
        <v>1950</v>
      </c>
      <c r="B32" s="180"/>
      <c r="C32" s="226">
        <v>557.36</v>
      </c>
      <c r="D32" s="226">
        <v>389.81799999999998</v>
      </c>
      <c r="E32" s="226">
        <v>49.363999999999997</v>
      </c>
      <c r="F32" s="226">
        <v>37.408000000000001</v>
      </c>
      <c r="G32" s="226">
        <v>20</v>
      </c>
      <c r="H32" s="218">
        <v>60.77</v>
      </c>
      <c r="I32" s="179" t="s">
        <v>456</v>
      </c>
      <c r="J32" s="179" t="s">
        <v>456</v>
      </c>
      <c r="K32" s="227" t="s">
        <v>10</v>
      </c>
    </row>
    <row r="33" spans="1:11" x14ac:dyDescent="0.2">
      <c r="A33" s="180">
        <v>1951</v>
      </c>
      <c r="B33" s="180"/>
      <c r="C33" s="226">
        <v>488.44099999999997</v>
      </c>
      <c r="D33" s="226">
        <v>340.13499999999999</v>
      </c>
      <c r="E33" s="226">
        <v>51.198999999999998</v>
      </c>
      <c r="F33" s="226">
        <v>20.353999999999999</v>
      </c>
      <c r="G33" s="226">
        <v>6</v>
      </c>
      <c r="H33" s="218">
        <v>70.753</v>
      </c>
      <c r="I33" s="179" t="s">
        <v>456</v>
      </c>
      <c r="J33" s="179" t="s">
        <v>456</v>
      </c>
      <c r="K33" s="227" t="s">
        <v>10</v>
      </c>
    </row>
    <row r="34" spans="1:11" x14ac:dyDescent="0.2">
      <c r="A34" s="180">
        <v>1952</v>
      </c>
      <c r="B34" s="180"/>
      <c r="C34" s="226">
        <v>622.01599999999996</v>
      </c>
      <c r="D34" s="226">
        <v>438.73</v>
      </c>
      <c r="E34" s="226">
        <v>62.533999999999999</v>
      </c>
      <c r="F34" s="226">
        <v>30.495999999999999</v>
      </c>
      <c r="G34" s="226">
        <v>11</v>
      </c>
      <c r="H34" s="218">
        <v>79.256</v>
      </c>
      <c r="I34" s="179" t="s">
        <v>456</v>
      </c>
      <c r="J34" s="179" t="s">
        <v>456</v>
      </c>
      <c r="K34" s="227" t="s">
        <v>10</v>
      </c>
    </row>
    <row r="35" spans="1:11" x14ac:dyDescent="0.2">
      <c r="A35" s="180">
        <v>1953</v>
      </c>
      <c r="B35" s="180"/>
      <c r="C35" s="226">
        <v>675.51800000000003</v>
      </c>
      <c r="D35" s="226">
        <v>461.17200000000003</v>
      </c>
      <c r="E35" s="226">
        <v>72.754000000000005</v>
      </c>
      <c r="F35" s="226">
        <v>31.236000000000001</v>
      </c>
      <c r="G35" s="226">
        <v>10</v>
      </c>
      <c r="H35" s="218">
        <v>100.35600000000001</v>
      </c>
      <c r="I35" s="179" t="s">
        <v>456</v>
      </c>
      <c r="J35" s="179" t="s">
        <v>456</v>
      </c>
      <c r="K35" s="227" t="s">
        <v>10</v>
      </c>
    </row>
    <row r="36" spans="1:11" x14ac:dyDescent="0.2">
      <c r="A36" s="180">
        <v>1954</v>
      </c>
      <c r="B36" s="180"/>
      <c r="C36" s="226">
        <v>822.65699999999993</v>
      </c>
      <c r="D36" s="226">
        <v>561.70899999999995</v>
      </c>
      <c r="E36" s="226">
        <v>92.471000000000004</v>
      </c>
      <c r="F36" s="226">
        <v>35.871000000000002</v>
      </c>
      <c r="G36" s="226">
        <v>11.923</v>
      </c>
      <c r="H36" s="218">
        <v>120.68299999999999</v>
      </c>
      <c r="I36" s="179" t="s">
        <v>456</v>
      </c>
      <c r="J36" s="179" t="s">
        <v>456</v>
      </c>
      <c r="K36" s="227" t="s">
        <v>10</v>
      </c>
    </row>
    <row r="37" spans="1:11" x14ac:dyDescent="0.2">
      <c r="A37" s="180">
        <v>1955</v>
      </c>
      <c r="B37" s="180"/>
      <c r="C37" s="226">
        <v>786.81700000000001</v>
      </c>
      <c r="D37" s="226">
        <v>514.95500000000004</v>
      </c>
      <c r="E37" s="226">
        <v>103.574</v>
      </c>
      <c r="F37" s="226">
        <v>34.048999999999999</v>
      </c>
      <c r="G37" s="226">
        <v>12.545999999999999</v>
      </c>
      <c r="H37" s="218">
        <v>121.693</v>
      </c>
      <c r="I37" s="179" t="s">
        <v>456</v>
      </c>
      <c r="J37" s="179" t="s">
        <v>456</v>
      </c>
      <c r="K37" s="227" t="s">
        <v>10</v>
      </c>
    </row>
    <row r="38" spans="1:11" x14ac:dyDescent="0.2">
      <c r="A38" s="180">
        <v>1956</v>
      </c>
      <c r="B38" s="180"/>
      <c r="C38" s="226">
        <v>902.69299999999998</v>
      </c>
      <c r="D38" s="226">
        <v>593.44100000000003</v>
      </c>
      <c r="E38" s="226">
        <v>122.74299999999999</v>
      </c>
      <c r="F38" s="226">
        <v>34.4</v>
      </c>
      <c r="G38" s="226">
        <v>9.7159999999999993</v>
      </c>
      <c r="H38" s="218">
        <v>142.393</v>
      </c>
      <c r="I38" s="179" t="s">
        <v>456</v>
      </c>
      <c r="J38" s="179" t="s">
        <v>456</v>
      </c>
      <c r="K38" s="227" t="s">
        <v>10</v>
      </c>
    </row>
    <row r="39" spans="1:11" x14ac:dyDescent="0.2">
      <c r="A39" s="180">
        <v>1957</v>
      </c>
      <c r="B39" s="180"/>
      <c r="C39" s="226">
        <v>957.73</v>
      </c>
      <c r="D39" s="226">
        <v>608.43799999999999</v>
      </c>
      <c r="E39" s="226">
        <v>131.535</v>
      </c>
      <c r="F39" s="226">
        <v>42.357999999999997</v>
      </c>
      <c r="G39" s="226">
        <v>12.148</v>
      </c>
      <c r="H39" s="218">
        <v>161.626</v>
      </c>
      <c r="I39" s="179" t="s">
        <v>456</v>
      </c>
      <c r="J39" s="179" t="s">
        <v>456</v>
      </c>
      <c r="K39" s="273">
        <v>1.625</v>
      </c>
    </row>
    <row r="40" spans="1:11" x14ac:dyDescent="0.2">
      <c r="A40" s="180">
        <v>1958</v>
      </c>
      <c r="B40" s="180"/>
      <c r="C40" s="226">
        <v>934.2639999999999</v>
      </c>
      <c r="D40" s="226">
        <v>600.16999999999996</v>
      </c>
      <c r="E40" s="226">
        <v>138.89500000000001</v>
      </c>
      <c r="F40" s="226">
        <v>43.338000000000001</v>
      </c>
      <c r="G40" s="226">
        <v>7.5540000000000003</v>
      </c>
      <c r="H40" s="218">
        <v>134.708</v>
      </c>
      <c r="I40" s="179" t="s">
        <v>456</v>
      </c>
      <c r="J40" s="179" t="s">
        <v>456</v>
      </c>
      <c r="K40" s="273">
        <v>9.5990000000000002</v>
      </c>
    </row>
    <row r="41" spans="1:11" x14ac:dyDescent="0.2">
      <c r="A41" s="180">
        <v>1959</v>
      </c>
      <c r="B41" s="180"/>
      <c r="C41" s="226">
        <v>1137.384</v>
      </c>
      <c r="D41" s="226">
        <v>724.54600000000005</v>
      </c>
      <c r="E41" s="226">
        <v>164.53100000000001</v>
      </c>
      <c r="F41" s="226">
        <v>65.472999999999999</v>
      </c>
      <c r="G41" s="226">
        <v>19.215</v>
      </c>
      <c r="H41" s="218">
        <v>136.452</v>
      </c>
      <c r="I41" s="179" t="s">
        <v>456</v>
      </c>
      <c r="J41" s="179" t="s">
        <v>456</v>
      </c>
      <c r="K41" s="273">
        <v>27.167000000000002</v>
      </c>
    </row>
    <row r="42" spans="1:11" x14ac:dyDescent="0.2">
      <c r="A42" s="180">
        <v>1960</v>
      </c>
      <c r="B42" s="180"/>
      <c r="C42" s="226">
        <v>1264.9449999999999</v>
      </c>
      <c r="D42" s="226">
        <v>800.11400000000003</v>
      </c>
      <c r="E42" s="226">
        <v>193.922</v>
      </c>
      <c r="F42" s="226">
        <v>71.33</v>
      </c>
      <c r="G42" s="226">
        <v>25.817</v>
      </c>
      <c r="H42" s="218">
        <v>128.84799999999998</v>
      </c>
      <c r="I42" s="179" t="s">
        <v>456</v>
      </c>
      <c r="J42" s="179" t="s">
        <v>456</v>
      </c>
      <c r="K42" s="273">
        <v>44.914000000000001</v>
      </c>
    </row>
    <row r="43" spans="1:11" x14ac:dyDescent="0.2">
      <c r="A43" s="180">
        <v>1961</v>
      </c>
      <c r="B43" s="180"/>
      <c r="C43" s="226">
        <v>1315.4590000000001</v>
      </c>
      <c r="D43" s="226">
        <v>828.53899999999999</v>
      </c>
      <c r="E43" s="226">
        <v>204.53200000000001</v>
      </c>
      <c r="F43" s="226">
        <v>70.122</v>
      </c>
      <c r="G43" s="226">
        <v>25.216999999999999</v>
      </c>
      <c r="H43" s="218">
        <v>149.41499999999999</v>
      </c>
      <c r="I43" s="179" t="s">
        <v>456</v>
      </c>
      <c r="J43" s="179" t="s">
        <v>456</v>
      </c>
      <c r="K43" s="273">
        <v>37.634</v>
      </c>
    </row>
    <row r="44" spans="1:11" x14ac:dyDescent="0.2">
      <c r="A44" s="180">
        <v>1962</v>
      </c>
      <c r="B44" s="180"/>
      <c r="C44" s="226">
        <v>1479.5550000000001</v>
      </c>
      <c r="D44" s="226">
        <v>942.33900000000006</v>
      </c>
      <c r="E44" s="226">
        <v>258.75400000000002</v>
      </c>
      <c r="F44" s="226">
        <v>75.331999999999994</v>
      </c>
      <c r="G44" s="226">
        <v>23.928000000000001</v>
      </c>
      <c r="H44" s="218">
        <v>131.11099999999999</v>
      </c>
      <c r="I44" s="179" t="s">
        <v>456</v>
      </c>
      <c r="J44" s="179" t="s">
        <v>456</v>
      </c>
      <c r="K44" s="273">
        <v>48.091000000000001</v>
      </c>
    </row>
    <row r="45" spans="1:11" x14ac:dyDescent="0.2">
      <c r="A45" s="180">
        <v>1963</v>
      </c>
      <c r="B45" s="180"/>
      <c r="C45" s="226">
        <v>1706.4329999999998</v>
      </c>
      <c r="D45" s="226">
        <v>1093.0609999999999</v>
      </c>
      <c r="E45" s="226">
        <v>326.05399999999997</v>
      </c>
      <c r="F45" s="226">
        <v>77.516999999999996</v>
      </c>
      <c r="G45" s="226">
        <v>16.327999999999999</v>
      </c>
      <c r="H45" s="218">
        <v>137.56800000000001</v>
      </c>
      <c r="I45" s="179" t="s">
        <v>456</v>
      </c>
      <c r="J45" s="179" t="s">
        <v>456</v>
      </c>
      <c r="K45" s="273">
        <v>55.905000000000001</v>
      </c>
    </row>
    <row r="46" spans="1:11" x14ac:dyDescent="0.2">
      <c r="A46" s="180">
        <v>1964</v>
      </c>
      <c r="B46" s="180"/>
      <c r="C46" s="226">
        <v>1883.164</v>
      </c>
      <c r="D46" s="226">
        <v>1212.2539999999999</v>
      </c>
      <c r="E46" s="226">
        <v>415.45800000000003</v>
      </c>
      <c r="F46" s="226">
        <v>65.917000000000002</v>
      </c>
      <c r="G46" s="226">
        <v>10.93</v>
      </c>
      <c r="H46" s="218">
        <v>118.569</v>
      </c>
      <c r="I46" s="179" t="s">
        <v>456</v>
      </c>
      <c r="J46" s="179" t="s">
        <v>456</v>
      </c>
      <c r="K46" s="273">
        <v>60.036000000000001</v>
      </c>
    </row>
    <row r="47" spans="1:11" x14ac:dyDescent="0.2">
      <c r="A47" s="180">
        <v>1965</v>
      </c>
      <c r="B47" s="180"/>
      <c r="C47" s="226">
        <v>1957.7380000000003</v>
      </c>
      <c r="D47" s="226">
        <v>1202.961</v>
      </c>
      <c r="E47" s="226">
        <v>467.69600000000003</v>
      </c>
      <c r="F47" s="226">
        <v>63.091999999999999</v>
      </c>
      <c r="G47" s="226">
        <v>10.195</v>
      </c>
      <c r="H47" s="218">
        <v>131.22</v>
      </c>
      <c r="I47" s="179" t="s">
        <v>456</v>
      </c>
      <c r="J47" s="179" t="s">
        <v>456</v>
      </c>
      <c r="K47" s="273">
        <v>82.573999999999998</v>
      </c>
    </row>
    <row r="48" spans="1:11" x14ac:dyDescent="0.2">
      <c r="A48" s="180">
        <v>1966</v>
      </c>
      <c r="B48" s="180"/>
      <c r="C48" s="226">
        <v>2350.9460000000004</v>
      </c>
      <c r="D48" s="226">
        <v>1435.3920000000001</v>
      </c>
      <c r="E48" s="226">
        <v>564.02599999999995</v>
      </c>
      <c r="F48" s="226">
        <v>82.543000000000006</v>
      </c>
      <c r="G48" s="226">
        <v>11.705</v>
      </c>
      <c r="H48" s="218">
        <v>145.66400000000002</v>
      </c>
      <c r="I48" s="179" t="s">
        <v>456</v>
      </c>
      <c r="J48" s="179" t="s">
        <v>456</v>
      </c>
      <c r="K48" s="273">
        <v>111.616</v>
      </c>
    </row>
    <row r="49" spans="1:11" x14ac:dyDescent="0.2">
      <c r="A49" s="180">
        <v>1967</v>
      </c>
      <c r="B49" s="180"/>
      <c r="C49" s="226">
        <v>2682.9690000000001</v>
      </c>
      <c r="D49" s="226">
        <v>1709.729</v>
      </c>
      <c r="E49" s="226">
        <v>629</v>
      </c>
      <c r="F49" s="226">
        <v>65.123000000000005</v>
      </c>
      <c r="G49" s="226">
        <v>8.7210000000000001</v>
      </c>
      <c r="H49" s="218">
        <v>151.142</v>
      </c>
      <c r="I49" s="179" t="s">
        <v>456</v>
      </c>
      <c r="J49" s="179" t="s">
        <v>456</v>
      </c>
      <c r="K49" s="273">
        <v>119.254</v>
      </c>
    </row>
    <row r="50" spans="1:11" x14ac:dyDescent="0.2">
      <c r="A50" s="180">
        <v>1968</v>
      </c>
      <c r="B50" s="180"/>
      <c r="C50" s="226">
        <v>3420.2819999999997</v>
      </c>
      <c r="D50" s="226">
        <v>2098.1329999999998</v>
      </c>
      <c r="E50" s="226">
        <v>817</v>
      </c>
      <c r="F50" s="226">
        <v>99.575999999999993</v>
      </c>
      <c r="G50" s="226">
        <v>10.509</v>
      </c>
      <c r="H50" s="218">
        <v>209.45</v>
      </c>
      <c r="I50" s="179" t="s">
        <v>456</v>
      </c>
      <c r="J50" s="179" t="s">
        <v>456</v>
      </c>
      <c r="K50" s="273">
        <v>185.614</v>
      </c>
    </row>
    <row r="51" spans="1:11" x14ac:dyDescent="0.2">
      <c r="A51" s="180">
        <v>1969</v>
      </c>
      <c r="B51" s="180"/>
      <c r="C51" s="226">
        <v>4092.8759999999997</v>
      </c>
      <c r="D51" s="226">
        <v>2433.8719999999998</v>
      </c>
      <c r="E51" s="226">
        <v>1170.095</v>
      </c>
      <c r="F51" s="226">
        <v>118.172</v>
      </c>
      <c r="G51" s="226">
        <v>13.574</v>
      </c>
      <c r="H51" s="218">
        <v>135.988</v>
      </c>
      <c r="I51" s="179" t="s">
        <v>456</v>
      </c>
      <c r="J51" s="179" t="s">
        <v>456</v>
      </c>
      <c r="K51" s="273">
        <v>221.17500000000001</v>
      </c>
    </row>
    <row r="52" spans="1:11" x14ac:dyDescent="0.2">
      <c r="A52" s="180">
        <v>1970</v>
      </c>
      <c r="B52" s="180"/>
      <c r="C52" s="226">
        <v>4748.1959999999999</v>
      </c>
      <c r="D52" s="226">
        <v>2854.915</v>
      </c>
      <c r="E52" s="226">
        <v>1473.5840000000001</v>
      </c>
      <c r="F52" s="226">
        <v>143.459</v>
      </c>
      <c r="G52" s="226">
        <v>18.841000000000001</v>
      </c>
      <c r="H52" s="218">
        <v>257.39699999999999</v>
      </c>
      <c r="I52" s="179" t="s">
        <v>456</v>
      </c>
      <c r="J52" s="179" t="s">
        <v>456</v>
      </c>
      <c r="K52" s="274" t="s">
        <v>10</v>
      </c>
    </row>
    <row r="53" spans="1:11" x14ac:dyDescent="0.2">
      <c r="A53" s="180">
        <v>1971</v>
      </c>
      <c r="B53" s="180"/>
      <c r="C53" s="226">
        <v>5814.6010000000015</v>
      </c>
      <c r="D53" s="226">
        <v>3402.9140000000002</v>
      </c>
      <c r="E53" s="226">
        <v>1833.4590000000001</v>
      </c>
      <c r="F53" s="226">
        <v>206.596</v>
      </c>
      <c r="G53" s="226">
        <v>40.652999999999999</v>
      </c>
      <c r="H53" s="218">
        <v>283.27800000000002</v>
      </c>
      <c r="I53" s="179" t="s">
        <v>456</v>
      </c>
      <c r="J53" s="179" t="s">
        <v>456</v>
      </c>
      <c r="K53" s="273">
        <v>47.701000000000001</v>
      </c>
    </row>
    <row r="54" spans="1:11" x14ac:dyDescent="0.2">
      <c r="A54" s="180">
        <v>1972</v>
      </c>
      <c r="B54" s="180"/>
      <c r="C54" s="226">
        <v>6879.2690000000011</v>
      </c>
      <c r="D54" s="226">
        <v>3999.9290000000001</v>
      </c>
      <c r="E54" s="226">
        <v>2175</v>
      </c>
      <c r="F54" s="226">
        <v>225.678</v>
      </c>
      <c r="G54" s="226">
        <v>23.283000000000001</v>
      </c>
      <c r="H54" s="218">
        <v>344.596</v>
      </c>
      <c r="I54" s="179" t="s">
        <v>456</v>
      </c>
      <c r="J54" s="179" t="s">
        <v>456</v>
      </c>
      <c r="K54" s="273">
        <v>110.783</v>
      </c>
    </row>
    <row r="55" spans="1:11" x14ac:dyDescent="0.2">
      <c r="A55" s="180">
        <v>1973</v>
      </c>
      <c r="B55" s="180"/>
      <c r="C55" s="226">
        <v>8976.1879999999983</v>
      </c>
      <c r="D55" s="226">
        <v>5490.5879999999997</v>
      </c>
      <c r="E55" s="226">
        <v>2537.1489999999999</v>
      </c>
      <c r="F55" s="226">
        <v>299.024</v>
      </c>
      <c r="G55" s="226">
        <v>49.238999999999997</v>
      </c>
      <c r="H55" s="218">
        <v>439.13499999999999</v>
      </c>
      <c r="I55" s="179" t="s">
        <v>456</v>
      </c>
      <c r="J55" s="179" t="s">
        <v>456</v>
      </c>
      <c r="K55" s="273">
        <v>161.053</v>
      </c>
    </row>
    <row r="56" spans="1:11" x14ac:dyDescent="0.2">
      <c r="A56" s="180">
        <v>1974</v>
      </c>
      <c r="B56" s="180"/>
      <c r="C56" s="226">
        <v>12581.53</v>
      </c>
      <c r="D56" s="226">
        <v>8122.65</v>
      </c>
      <c r="E56" s="226">
        <v>3053.8159999999998</v>
      </c>
      <c r="F56" s="226">
        <v>403.53700000000003</v>
      </c>
      <c r="G56" s="226">
        <v>126.245</v>
      </c>
      <c r="H56" s="218">
        <v>607.58399999999995</v>
      </c>
      <c r="I56" s="179" t="s">
        <v>456</v>
      </c>
      <c r="J56" s="179" t="s">
        <v>456</v>
      </c>
      <c r="K56" s="273">
        <v>267.69799999999998</v>
      </c>
    </row>
    <row r="57" spans="1:11" x14ac:dyDescent="0.2">
      <c r="A57" s="180">
        <v>1975</v>
      </c>
      <c r="B57" s="180"/>
      <c r="C57" s="226">
        <v>14471.323</v>
      </c>
      <c r="D57" s="226">
        <v>9580.8070000000007</v>
      </c>
      <c r="E57" s="226">
        <v>3350.21</v>
      </c>
      <c r="F57" s="226">
        <v>501.99400000000003</v>
      </c>
      <c r="G57" s="226">
        <v>141.16499999999999</v>
      </c>
      <c r="H57" s="218">
        <v>542.86199999999997</v>
      </c>
      <c r="I57" s="179" t="s">
        <v>456</v>
      </c>
      <c r="J57" s="179" t="s">
        <v>456</v>
      </c>
      <c r="K57" s="273">
        <v>354.28500000000003</v>
      </c>
    </row>
    <row r="58" spans="1:11" x14ac:dyDescent="0.2">
      <c r="A58" s="180">
        <v>1976</v>
      </c>
      <c r="B58" s="247" t="s">
        <v>121</v>
      </c>
      <c r="C58" s="226">
        <v>18998.009448979592</v>
      </c>
      <c r="D58" s="226">
        <v>13035.745999999999</v>
      </c>
      <c r="E58" s="226">
        <v>3906.1849999999999</v>
      </c>
      <c r="F58" s="226">
        <v>553.29899999999998</v>
      </c>
      <c r="G58" s="226">
        <v>124.286</v>
      </c>
      <c r="H58" s="218">
        <v>822.77099999999996</v>
      </c>
      <c r="I58" s="179" t="s">
        <v>456</v>
      </c>
      <c r="J58" s="179" t="s">
        <v>456</v>
      </c>
      <c r="K58" s="226">
        <v>555.72244897959183</v>
      </c>
    </row>
    <row r="59" spans="1:11" x14ac:dyDescent="0.2">
      <c r="A59" s="180">
        <v>1977</v>
      </c>
      <c r="B59" s="180"/>
      <c r="C59" s="226">
        <v>22957.615567457382</v>
      </c>
      <c r="D59" s="226">
        <v>16091.821</v>
      </c>
      <c r="E59" s="226">
        <v>4194.7420000000002</v>
      </c>
      <c r="F59" s="226">
        <v>765.95299999999997</v>
      </c>
      <c r="G59" s="226">
        <v>236.517</v>
      </c>
      <c r="H59" s="218">
        <v>877.86400000000003</v>
      </c>
      <c r="I59" s="179" t="s">
        <v>456</v>
      </c>
      <c r="J59" s="179" t="s">
        <v>456</v>
      </c>
      <c r="K59" s="226">
        <v>790.7185674573758</v>
      </c>
    </row>
    <row r="60" spans="1:11" x14ac:dyDescent="0.2">
      <c r="A60" s="180">
        <v>1978</v>
      </c>
      <c r="B60" s="180"/>
      <c r="C60" s="226">
        <v>25710.792629981024</v>
      </c>
      <c r="D60" s="226">
        <v>18438.942999999999</v>
      </c>
      <c r="E60" s="226">
        <v>4580</v>
      </c>
      <c r="F60" s="226">
        <v>708.68499999999995</v>
      </c>
      <c r="G60" s="226">
        <v>305.19799999999998</v>
      </c>
      <c r="H60" s="218">
        <v>831.94299999999998</v>
      </c>
      <c r="I60" s="179" t="s">
        <v>456</v>
      </c>
      <c r="J60" s="179" t="s">
        <v>456</v>
      </c>
      <c r="K60" s="226">
        <v>846.02362998102467</v>
      </c>
    </row>
    <row r="61" spans="1:11" x14ac:dyDescent="0.2">
      <c r="A61" s="180">
        <v>1979</v>
      </c>
      <c r="B61" s="180"/>
      <c r="C61" s="226">
        <v>30179.60779911045</v>
      </c>
      <c r="D61" s="226">
        <v>21578.819</v>
      </c>
      <c r="E61" s="226">
        <v>5275.1610000000001</v>
      </c>
      <c r="F61" s="226">
        <v>976.20299999999997</v>
      </c>
      <c r="G61" s="226">
        <v>237.44300000000001</v>
      </c>
      <c r="H61" s="218">
        <v>1032.318</v>
      </c>
      <c r="I61" s="179" t="s">
        <v>456</v>
      </c>
      <c r="J61" s="179" t="s">
        <v>456</v>
      </c>
      <c r="K61" s="226">
        <v>1079.6637991104521</v>
      </c>
    </row>
    <row r="62" spans="1:11" x14ac:dyDescent="0.2">
      <c r="A62" s="180">
        <v>1980</v>
      </c>
      <c r="B62" s="180"/>
      <c r="C62" s="226">
        <v>38611.190170365073</v>
      </c>
      <c r="D62" s="226">
        <v>28288.162</v>
      </c>
      <c r="E62" s="226">
        <v>6649.232</v>
      </c>
      <c r="F62" s="226">
        <v>1349.028</v>
      </c>
      <c r="G62" s="226">
        <v>510.976</v>
      </c>
      <c r="H62" s="218">
        <v>834.33600000000001</v>
      </c>
      <c r="I62" s="179" t="s">
        <v>456</v>
      </c>
      <c r="J62" s="179" t="s">
        <v>456</v>
      </c>
      <c r="K62" s="226">
        <v>979.45617036506792</v>
      </c>
    </row>
    <row r="63" spans="1:11" x14ac:dyDescent="0.2">
      <c r="A63" s="180">
        <v>1981</v>
      </c>
      <c r="B63" s="180"/>
      <c r="C63" s="226">
        <v>42870.786629449343</v>
      </c>
      <c r="D63" s="226">
        <v>31426.607</v>
      </c>
      <c r="E63" s="226">
        <v>7652.451</v>
      </c>
      <c r="F63" s="226">
        <v>1329.808</v>
      </c>
      <c r="G63" s="226">
        <v>459.471</v>
      </c>
      <c r="H63" s="218">
        <v>643.64099999999996</v>
      </c>
      <c r="I63" s="179" t="s">
        <v>456</v>
      </c>
      <c r="J63" s="179" t="s">
        <v>456</v>
      </c>
      <c r="K63" s="226">
        <v>1358.8086294493462</v>
      </c>
    </row>
    <row r="64" spans="1:11" x14ac:dyDescent="0.2">
      <c r="A64" s="180">
        <v>1982</v>
      </c>
      <c r="B64" s="180"/>
      <c r="C64" s="226">
        <v>51875.117348405074</v>
      </c>
      <c r="D64" s="226">
        <v>38196</v>
      </c>
      <c r="E64" s="226">
        <v>9986</v>
      </c>
      <c r="F64" s="226">
        <v>1125</v>
      </c>
      <c r="G64" s="226">
        <v>1169</v>
      </c>
      <c r="H64" s="218">
        <v>661.74199999999996</v>
      </c>
      <c r="I64" s="179" t="s">
        <v>456</v>
      </c>
      <c r="J64" s="179" t="s">
        <v>456</v>
      </c>
      <c r="K64" s="226">
        <v>737.37534840507897</v>
      </c>
    </row>
    <row r="65" spans="1:11" x14ac:dyDescent="0.2">
      <c r="A65" s="180">
        <v>1983</v>
      </c>
      <c r="B65" s="180"/>
      <c r="C65" s="226">
        <v>71840.143646408833</v>
      </c>
      <c r="D65" s="226">
        <v>51192</v>
      </c>
      <c r="E65" s="226">
        <v>14386</v>
      </c>
      <c r="F65" s="226">
        <v>1427</v>
      </c>
      <c r="G65" s="226">
        <v>1091</v>
      </c>
      <c r="H65" s="218">
        <v>1405</v>
      </c>
      <c r="I65" s="179" t="s">
        <v>456</v>
      </c>
      <c r="J65" s="179" t="s">
        <v>456</v>
      </c>
      <c r="K65" s="226">
        <v>2339.1436464088397</v>
      </c>
    </row>
    <row r="66" spans="1:11" x14ac:dyDescent="0.2">
      <c r="A66" s="180">
        <v>1984</v>
      </c>
      <c r="B66" s="180"/>
      <c r="C66" s="226">
        <v>110039.70883434534</v>
      </c>
      <c r="D66" s="226">
        <v>73629</v>
      </c>
      <c r="E66" s="226">
        <v>24493</v>
      </c>
      <c r="F66" s="226">
        <v>2036</v>
      </c>
      <c r="G66" s="226">
        <v>1696</v>
      </c>
      <c r="H66" s="218">
        <v>4623.8</v>
      </c>
      <c r="I66" s="179" t="s">
        <v>456</v>
      </c>
      <c r="J66" s="179" t="s">
        <v>456</v>
      </c>
      <c r="K66" s="226">
        <v>3561.9088343453345</v>
      </c>
    </row>
    <row r="67" spans="1:11" x14ac:dyDescent="0.2">
      <c r="A67" s="180">
        <v>1985</v>
      </c>
      <c r="B67" s="180"/>
      <c r="C67" s="226">
        <v>183872.19964464544</v>
      </c>
      <c r="D67" s="226">
        <v>91742</v>
      </c>
      <c r="E67" s="226">
        <v>40422</v>
      </c>
      <c r="F67" s="226">
        <v>1858</v>
      </c>
      <c r="G67" s="226">
        <v>946</v>
      </c>
      <c r="H67" s="218">
        <v>44200</v>
      </c>
      <c r="I67" s="179" t="s">
        <v>456</v>
      </c>
      <c r="J67" s="179" t="s">
        <v>456</v>
      </c>
      <c r="K67" s="226">
        <v>4704.1996446454532</v>
      </c>
    </row>
    <row r="68" spans="1:11" x14ac:dyDescent="0.2">
      <c r="A68" s="180">
        <v>1986</v>
      </c>
      <c r="B68" s="180"/>
      <c r="C68" s="226">
        <v>238105.02692440455</v>
      </c>
      <c r="D68" s="226">
        <v>105393</v>
      </c>
      <c r="E68" s="226">
        <v>56004</v>
      </c>
      <c r="F68" s="226">
        <v>1635</v>
      </c>
      <c r="G68" s="226">
        <v>800</v>
      </c>
      <c r="H68" s="218">
        <v>63947</v>
      </c>
      <c r="I68" s="179" t="s">
        <v>456</v>
      </c>
      <c r="J68" s="179" t="s">
        <v>456</v>
      </c>
      <c r="K68" s="226">
        <v>10326.026924404558</v>
      </c>
    </row>
    <row r="69" spans="1:11" x14ac:dyDescent="0.2">
      <c r="A69" s="180">
        <v>1987</v>
      </c>
      <c r="B69" s="180"/>
      <c r="C69" s="226">
        <v>336564.92268565617</v>
      </c>
      <c r="D69" s="226">
        <v>137763</v>
      </c>
      <c r="E69" s="226">
        <v>88523</v>
      </c>
      <c r="F69" s="226">
        <v>1250</v>
      </c>
      <c r="G69" s="226">
        <v>2379</v>
      </c>
      <c r="H69" s="218">
        <v>92974</v>
      </c>
      <c r="I69" s="179" t="s">
        <v>456</v>
      </c>
      <c r="J69" s="179" t="s">
        <v>456</v>
      </c>
      <c r="K69" s="226">
        <v>13675.922685656154</v>
      </c>
    </row>
    <row r="70" spans="1:11" x14ac:dyDescent="0.2">
      <c r="A70" s="180">
        <v>1988</v>
      </c>
      <c r="B70" s="180"/>
      <c r="C70" s="226">
        <v>480811.67842000001</v>
      </c>
      <c r="D70" s="226">
        <v>202712</v>
      </c>
      <c r="E70" s="226">
        <v>129016</v>
      </c>
      <c r="F70" s="226">
        <v>2826</v>
      </c>
      <c r="G70" s="226">
        <v>1904</v>
      </c>
      <c r="H70" s="218">
        <v>120451</v>
      </c>
      <c r="I70" s="179" t="s">
        <v>456</v>
      </c>
      <c r="J70" s="179" t="s">
        <v>456</v>
      </c>
      <c r="K70" s="226">
        <v>23902.67842</v>
      </c>
    </row>
    <row r="71" spans="1:11" x14ac:dyDescent="0.2">
      <c r="A71" s="180">
        <v>1989</v>
      </c>
      <c r="B71" s="180"/>
      <c r="C71" s="226">
        <v>714268.02890243905</v>
      </c>
      <c r="D71" s="226">
        <v>280676</v>
      </c>
      <c r="E71" s="226">
        <v>195571</v>
      </c>
      <c r="F71" s="226">
        <v>2102</v>
      </c>
      <c r="G71" s="226">
        <v>2911</v>
      </c>
      <c r="H71" s="218">
        <v>188992</v>
      </c>
      <c r="I71" s="179" t="s">
        <v>456</v>
      </c>
      <c r="J71" s="179" t="s">
        <v>456</v>
      </c>
      <c r="K71" s="226">
        <v>44016.028902439029</v>
      </c>
    </row>
    <row r="72" spans="1:11" x14ac:dyDescent="0.2">
      <c r="A72" s="180">
        <v>1990</v>
      </c>
      <c r="B72" s="180"/>
      <c r="C72" s="226">
        <v>1192621.7980984719</v>
      </c>
      <c r="D72" s="226">
        <v>421696</v>
      </c>
      <c r="E72" s="226">
        <v>322709</v>
      </c>
      <c r="F72" s="226">
        <v>6569</v>
      </c>
      <c r="G72" s="226">
        <v>2863</v>
      </c>
      <c r="H72" s="218">
        <v>379269</v>
      </c>
      <c r="I72" s="179" t="s">
        <v>456</v>
      </c>
      <c r="J72" s="179">
        <v>181</v>
      </c>
      <c r="K72" s="226">
        <v>59334.798098471983</v>
      </c>
    </row>
    <row r="73" spans="1:11" x14ac:dyDescent="0.2">
      <c r="A73" s="180">
        <v>1991</v>
      </c>
      <c r="B73" s="180"/>
      <c r="C73" s="226">
        <v>1938014.4010620851</v>
      </c>
      <c r="D73" s="226">
        <v>634490</v>
      </c>
      <c r="E73" s="226">
        <v>530850</v>
      </c>
      <c r="F73" s="226">
        <v>12382</v>
      </c>
      <c r="G73" s="226">
        <v>1743</v>
      </c>
      <c r="H73" s="218">
        <v>609459</v>
      </c>
      <c r="I73" s="226">
        <v>44209</v>
      </c>
      <c r="J73" s="226">
        <v>4833</v>
      </c>
      <c r="K73" s="226">
        <v>100048.40106208512</v>
      </c>
    </row>
    <row r="74" spans="1:11" x14ac:dyDescent="0.2">
      <c r="A74" s="180">
        <v>1992</v>
      </c>
      <c r="B74" s="180"/>
      <c r="C74" s="226">
        <v>3034144.7000271222</v>
      </c>
      <c r="D74" s="226">
        <v>871570</v>
      </c>
      <c r="E74" s="226">
        <v>923490</v>
      </c>
      <c r="F74" s="226">
        <v>7703</v>
      </c>
      <c r="G74" s="226">
        <v>756</v>
      </c>
      <c r="H74" s="218">
        <v>932442</v>
      </c>
      <c r="I74" s="226">
        <v>51127</v>
      </c>
      <c r="J74" s="226">
        <v>8019</v>
      </c>
      <c r="K74" s="226">
        <v>239037.70002712234</v>
      </c>
    </row>
    <row r="75" spans="1:11" x14ac:dyDescent="0.2">
      <c r="A75" s="180">
        <v>1993</v>
      </c>
      <c r="B75" s="180"/>
      <c r="C75" s="226">
        <v>4703740.9668763839</v>
      </c>
      <c r="D75" s="226">
        <v>1353468</v>
      </c>
      <c r="E75" s="226">
        <v>1507425</v>
      </c>
      <c r="F75" s="226">
        <v>10299</v>
      </c>
      <c r="G75" s="226">
        <v>780</v>
      </c>
      <c r="H75" s="218">
        <v>1241487</v>
      </c>
      <c r="I75" s="226">
        <v>152139</v>
      </c>
      <c r="J75" s="226">
        <v>8003</v>
      </c>
      <c r="K75" s="226">
        <v>430139.96687638422</v>
      </c>
    </row>
    <row r="76" spans="1:11" x14ac:dyDescent="0.2">
      <c r="A76" s="180">
        <v>1994</v>
      </c>
      <c r="B76" s="180"/>
      <c r="C76" s="226">
        <v>7598539.9352485761</v>
      </c>
      <c r="D76" s="226">
        <v>1885194</v>
      </c>
      <c r="E76" s="226">
        <v>1658392</v>
      </c>
      <c r="F76" s="226">
        <v>167904</v>
      </c>
      <c r="G76" s="226">
        <v>967</v>
      </c>
      <c r="H76" s="218">
        <v>2815632</v>
      </c>
      <c r="I76" s="226">
        <v>149300</v>
      </c>
      <c r="J76" s="226">
        <v>8266</v>
      </c>
      <c r="K76" s="226">
        <v>912884.93524857599</v>
      </c>
    </row>
    <row r="77" spans="1:11" x14ac:dyDescent="0.2">
      <c r="A77" s="180">
        <v>1995</v>
      </c>
      <c r="B77" s="180"/>
      <c r="C77" s="226">
        <v>10929824.95759959</v>
      </c>
      <c r="D77" s="226">
        <v>2015142</v>
      </c>
      <c r="E77" s="226">
        <v>2110440</v>
      </c>
      <c r="F77" s="226">
        <v>665468</v>
      </c>
      <c r="G77" s="226">
        <v>1113</v>
      </c>
      <c r="H77" s="218">
        <v>3655637</v>
      </c>
      <c r="I77" s="226">
        <v>255340</v>
      </c>
      <c r="J77" s="226">
        <v>8253</v>
      </c>
      <c r="K77" s="226">
        <v>2218431.9575995896</v>
      </c>
    </row>
    <row r="78" spans="1:11" x14ac:dyDescent="0.2">
      <c r="A78" s="180">
        <v>1996</v>
      </c>
      <c r="B78" s="180"/>
      <c r="C78" s="226">
        <v>15852826.051183268</v>
      </c>
      <c r="D78" s="226">
        <v>2742481</v>
      </c>
      <c r="E78" s="226">
        <v>3004429</v>
      </c>
      <c r="F78" s="226">
        <v>523064</v>
      </c>
      <c r="G78" s="226">
        <v>3467</v>
      </c>
      <c r="H78" s="218">
        <v>5669172</v>
      </c>
      <c r="I78" s="226">
        <v>132449</v>
      </c>
      <c r="J78" s="226">
        <v>10892</v>
      </c>
      <c r="K78" s="226">
        <v>3766872.0511832694</v>
      </c>
    </row>
    <row r="79" spans="1:11" x14ac:dyDescent="0.2">
      <c r="A79" s="180">
        <v>1997</v>
      </c>
      <c r="B79" s="180"/>
      <c r="C79" s="226">
        <f>+D79+E79+F79+G79+H79+I79+J79+K79</f>
        <v>21572768</v>
      </c>
      <c r="D79" s="226">
        <v>3629002</v>
      </c>
      <c r="E79" s="226">
        <v>4038943</v>
      </c>
      <c r="F79" s="226">
        <v>540922</v>
      </c>
      <c r="G79" s="226">
        <v>1252</v>
      </c>
      <c r="H79" s="218">
        <v>6261727</v>
      </c>
      <c r="I79" s="226">
        <v>294627</v>
      </c>
      <c r="J79" s="226">
        <v>12806</v>
      </c>
      <c r="K79" s="226">
        <v>6793489</v>
      </c>
    </row>
    <row r="80" spans="1:11" x14ac:dyDescent="0.2">
      <c r="A80" s="180">
        <v>1998</v>
      </c>
      <c r="B80" s="180"/>
      <c r="C80" s="226">
        <f>+D80+E80+F80+G80+H80+I80+J80+K80</f>
        <v>30949303</v>
      </c>
      <c r="D80" s="226">
        <v>4698417</v>
      </c>
      <c r="E80" s="226">
        <v>3970850</v>
      </c>
      <c r="F80" s="226">
        <v>640775</v>
      </c>
      <c r="G80" s="226">
        <v>4591</v>
      </c>
      <c r="H80" s="218">
        <v>8547849</v>
      </c>
      <c r="I80" s="226">
        <v>1373196</v>
      </c>
      <c r="J80" s="226">
        <v>10720</v>
      </c>
      <c r="K80" s="226">
        <v>11702905</v>
      </c>
    </row>
    <row r="81" spans="1:11" x14ac:dyDescent="0.2">
      <c r="A81" s="180">
        <v>1999</v>
      </c>
      <c r="B81" s="180"/>
      <c r="C81" s="226">
        <f>+D81+E81+F81+G81+H81+I81+J81+K81</f>
        <v>54165956</v>
      </c>
      <c r="D81" s="226">
        <v>6648851</v>
      </c>
      <c r="E81" s="226">
        <v>4099171</v>
      </c>
      <c r="F81" s="226">
        <v>458473</v>
      </c>
      <c r="G81" s="226">
        <v>1477</v>
      </c>
      <c r="H81" s="218">
        <v>11669030</v>
      </c>
      <c r="I81" s="226">
        <v>2862410</v>
      </c>
      <c r="J81" s="226">
        <v>5932</v>
      </c>
      <c r="K81" s="226">
        <v>28420612</v>
      </c>
    </row>
    <row r="82" spans="1:11" x14ac:dyDescent="0.2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</row>
    <row r="85" spans="1:11" x14ac:dyDescent="0.2">
      <c r="A85" s="410"/>
    </row>
    <row r="86" spans="1:11" x14ac:dyDescent="0.2">
      <c r="A86" s="124" t="s">
        <v>598</v>
      </c>
    </row>
  </sheetData>
  <mergeCells count="10">
    <mergeCell ref="A1:K1"/>
    <mergeCell ref="A2:K2"/>
    <mergeCell ref="A3:K3"/>
    <mergeCell ref="A5:B6"/>
    <mergeCell ref="D5:G5"/>
    <mergeCell ref="K5:K6"/>
    <mergeCell ref="J5:J6"/>
    <mergeCell ref="I5:I6"/>
    <mergeCell ref="H5:H6"/>
    <mergeCell ref="C5:C6"/>
  </mergeCells>
  <hyperlinks>
    <hyperlink ref="A86" location="'indice cap.1'!A1" display="regresar al índice" xr:uid="{00000000-0004-0000-1700-000000000000}"/>
  </hyperlinks>
  <pageMargins left="0.31496062992125984" right="0" top="0.74803149606299213" bottom="0.74803149606299213" header="0.31496062992125984" footer="0.31496062992125984"/>
  <pageSetup paperSize="9" scale="80" orientation="landscape" verticalDpi="599" r:id="rId1"/>
  <ignoredErrors>
    <ignoredError sqref="B5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3"/>
  <sheetViews>
    <sheetView showGridLines="0" topLeftCell="A49" workbookViewId="0">
      <selection activeCell="A5" sqref="A5"/>
    </sheetView>
  </sheetViews>
  <sheetFormatPr defaultColWidth="11.42578125" defaultRowHeight="12.75" x14ac:dyDescent="0.2"/>
  <cols>
    <col min="1" max="1" width="11.42578125" style="108"/>
    <col min="2" max="4" width="15.7109375" style="108" customWidth="1"/>
    <col min="5" max="16384" width="11.42578125" style="108"/>
  </cols>
  <sheetData>
    <row r="1" spans="1:4" x14ac:dyDescent="0.2">
      <c r="A1" s="493" t="s">
        <v>680</v>
      </c>
      <c r="B1" s="493"/>
      <c r="C1" s="493"/>
      <c r="D1" s="493"/>
    </row>
    <row r="2" spans="1:4" x14ac:dyDescent="0.2">
      <c r="A2" s="493" t="s">
        <v>260</v>
      </c>
      <c r="B2" s="493"/>
      <c r="C2" s="493"/>
      <c r="D2" s="493"/>
    </row>
    <row r="3" spans="1:4" x14ac:dyDescent="0.2">
      <c r="A3" s="493" t="s">
        <v>86</v>
      </c>
      <c r="B3" s="493"/>
      <c r="C3" s="493"/>
      <c r="D3" s="493"/>
    </row>
    <row r="4" spans="1:4" x14ac:dyDescent="0.2">
      <c r="A4" s="110"/>
      <c r="B4" s="110"/>
      <c r="C4" s="110"/>
      <c r="D4" s="110"/>
    </row>
    <row r="5" spans="1:4" ht="24" customHeight="1" x14ac:dyDescent="0.2">
      <c r="A5" s="392" t="s">
        <v>87</v>
      </c>
      <c r="B5" s="401" t="s">
        <v>812</v>
      </c>
      <c r="C5" s="401" t="s">
        <v>811</v>
      </c>
      <c r="D5" s="277" t="s">
        <v>810</v>
      </c>
    </row>
    <row r="6" spans="1:4" x14ac:dyDescent="0.2">
      <c r="A6" s="110"/>
      <c r="B6" s="115"/>
      <c r="C6" s="115"/>
      <c r="D6" s="275"/>
    </row>
    <row r="7" spans="1:4" x14ac:dyDescent="0.2">
      <c r="A7" s="228">
        <v>1927</v>
      </c>
      <c r="B7" s="226">
        <v>3.6459999999999999</v>
      </c>
      <c r="C7" s="226">
        <v>36.200000000000003</v>
      </c>
      <c r="D7" s="179" t="s">
        <v>10</v>
      </c>
    </row>
    <row r="8" spans="1:4" x14ac:dyDescent="0.2">
      <c r="A8" s="228">
        <v>1928</v>
      </c>
      <c r="B8" s="226">
        <v>6.3730000000000002</v>
      </c>
      <c r="C8" s="226">
        <v>35.6</v>
      </c>
      <c r="D8" s="226">
        <v>8.4</v>
      </c>
    </row>
    <row r="9" spans="1:4" x14ac:dyDescent="0.2">
      <c r="A9" s="228">
        <v>1929</v>
      </c>
      <c r="B9" s="226">
        <v>6.6390000000000002</v>
      </c>
      <c r="C9" s="226">
        <v>30.5</v>
      </c>
      <c r="D9" s="226">
        <v>8.6</v>
      </c>
    </row>
    <row r="10" spans="1:4" x14ac:dyDescent="0.2">
      <c r="A10" s="228">
        <v>1930</v>
      </c>
      <c r="B10" s="226">
        <v>6.24</v>
      </c>
      <c r="C10" s="226">
        <v>29.3</v>
      </c>
      <c r="D10" s="226">
        <v>8.6</v>
      </c>
    </row>
    <row r="11" spans="1:4" x14ac:dyDescent="0.2">
      <c r="A11" s="228">
        <v>1931</v>
      </c>
      <c r="B11" s="226">
        <v>6.5350000000000001</v>
      </c>
      <c r="C11" s="226">
        <v>24.4</v>
      </c>
      <c r="D11" s="226">
        <v>8.8000000000000007</v>
      </c>
    </row>
    <row r="12" spans="1:4" x14ac:dyDescent="0.2">
      <c r="A12" s="228">
        <v>1932</v>
      </c>
      <c r="B12" s="226">
        <v>5.532</v>
      </c>
      <c r="C12" s="226">
        <v>24.6</v>
      </c>
      <c r="D12" s="226">
        <v>8.9</v>
      </c>
    </row>
    <row r="13" spans="1:4" x14ac:dyDescent="0.2">
      <c r="A13" s="228">
        <v>1933</v>
      </c>
      <c r="B13" s="226">
        <v>5.2210000000000001</v>
      </c>
      <c r="C13" s="226">
        <v>24.8</v>
      </c>
      <c r="D13" s="226">
        <v>15.7</v>
      </c>
    </row>
    <row r="14" spans="1:4" x14ac:dyDescent="0.2">
      <c r="A14" s="228">
        <v>1934</v>
      </c>
      <c r="B14" s="226">
        <v>5.0510000000000002</v>
      </c>
      <c r="C14" s="226">
        <v>26.1</v>
      </c>
      <c r="D14" s="226">
        <v>15.6</v>
      </c>
    </row>
    <row r="15" spans="1:4" x14ac:dyDescent="0.2">
      <c r="A15" s="228">
        <v>1935</v>
      </c>
      <c r="B15" s="226">
        <v>5.0510000000000002</v>
      </c>
      <c r="C15" s="226">
        <v>29.2</v>
      </c>
      <c r="D15" s="226">
        <v>15.5</v>
      </c>
    </row>
    <row r="16" spans="1:4" x14ac:dyDescent="0.2">
      <c r="A16" s="228">
        <v>1936</v>
      </c>
      <c r="B16" s="226">
        <v>6.8380000000000001</v>
      </c>
      <c r="C16" s="226">
        <v>30.8</v>
      </c>
      <c r="D16" s="226">
        <v>27.2</v>
      </c>
    </row>
    <row r="17" spans="1:4" x14ac:dyDescent="0.2">
      <c r="A17" s="228">
        <v>1937</v>
      </c>
      <c r="B17" s="226">
        <v>7.0540000000000003</v>
      </c>
      <c r="C17" s="226">
        <v>32.5</v>
      </c>
      <c r="D17" s="226">
        <v>28.3</v>
      </c>
    </row>
    <row r="18" spans="1:4" x14ac:dyDescent="0.2">
      <c r="A18" s="228">
        <v>1938</v>
      </c>
      <c r="B18" s="226">
        <v>11.468</v>
      </c>
      <c r="C18" s="226">
        <v>31.6</v>
      </c>
      <c r="D18" s="226">
        <v>29.522891000000001</v>
      </c>
    </row>
    <row r="19" spans="1:4" x14ac:dyDescent="0.2">
      <c r="A19" s="228">
        <v>1939</v>
      </c>
      <c r="B19" s="226">
        <v>10.783999999999999</v>
      </c>
      <c r="C19" s="226">
        <v>35.799999999999997</v>
      </c>
      <c r="D19" s="226">
        <v>30.446562</v>
      </c>
    </row>
    <row r="20" spans="1:4" x14ac:dyDescent="0.2">
      <c r="A20" s="228">
        <v>1940</v>
      </c>
      <c r="B20" s="226">
        <v>25.905000000000001</v>
      </c>
      <c r="C20" s="226">
        <v>38.6</v>
      </c>
      <c r="D20" s="226">
        <v>30.664572</v>
      </c>
    </row>
    <row r="21" spans="1:4" x14ac:dyDescent="0.2">
      <c r="A21" s="228">
        <v>1941</v>
      </c>
      <c r="B21" s="226">
        <v>27.068999999999999</v>
      </c>
      <c r="C21" s="226">
        <v>40.700000000000003</v>
      </c>
      <c r="D21" s="226">
        <v>30.781939000000001</v>
      </c>
    </row>
    <row r="22" spans="1:4" x14ac:dyDescent="0.2">
      <c r="A22" s="228">
        <v>1942</v>
      </c>
      <c r="B22" s="226">
        <v>19.957999999999998</v>
      </c>
      <c r="C22" s="226">
        <v>45.6</v>
      </c>
      <c r="D22" s="226">
        <v>31.070747000000001</v>
      </c>
    </row>
    <row r="23" spans="1:4" x14ac:dyDescent="0.2">
      <c r="A23" s="228">
        <v>1943</v>
      </c>
      <c r="B23" s="226">
        <v>25.568999999999999</v>
      </c>
      <c r="C23" s="226">
        <v>67.8</v>
      </c>
      <c r="D23" s="226">
        <v>31.372285999999999</v>
      </c>
    </row>
    <row r="24" spans="1:4" x14ac:dyDescent="0.2">
      <c r="A24" s="228">
        <v>1944</v>
      </c>
      <c r="B24" s="226">
        <v>16.564</v>
      </c>
      <c r="C24" s="226">
        <v>81.8</v>
      </c>
      <c r="D24" s="226">
        <v>67.623052999999999</v>
      </c>
    </row>
    <row r="25" spans="1:4" x14ac:dyDescent="0.2">
      <c r="A25" s="228">
        <v>1945</v>
      </c>
      <c r="B25" s="226">
        <v>25.081</v>
      </c>
      <c r="C25" s="226">
        <v>91.7</v>
      </c>
      <c r="D25" s="226">
        <v>71.684951999999996</v>
      </c>
    </row>
    <row r="26" spans="1:4" x14ac:dyDescent="0.2">
      <c r="A26" s="228">
        <v>1946</v>
      </c>
      <c r="B26" s="226">
        <v>30.96</v>
      </c>
      <c r="C26" s="226">
        <v>96.4</v>
      </c>
      <c r="D26" s="226">
        <v>77.263000000000005</v>
      </c>
    </row>
    <row r="27" spans="1:4" x14ac:dyDescent="0.2">
      <c r="A27" s="228">
        <v>1947</v>
      </c>
      <c r="B27" s="226">
        <v>38.732999999999997</v>
      </c>
      <c r="C27" s="226">
        <v>105.6</v>
      </c>
      <c r="D27" s="226">
        <v>86.198999999999998</v>
      </c>
    </row>
    <row r="28" spans="1:4" x14ac:dyDescent="0.2">
      <c r="A28" s="228">
        <v>1948</v>
      </c>
      <c r="B28" s="226">
        <v>39.487000000000002</v>
      </c>
      <c r="C28" s="226">
        <v>124</v>
      </c>
      <c r="D28" s="226">
        <v>109.58799999999999</v>
      </c>
    </row>
    <row r="29" spans="1:4" x14ac:dyDescent="0.2">
      <c r="A29" s="228">
        <v>1949</v>
      </c>
      <c r="B29" s="226">
        <v>39.332000000000001</v>
      </c>
      <c r="C29" s="226">
        <v>131.19999999999999</v>
      </c>
      <c r="D29" s="226">
        <v>186.9</v>
      </c>
    </row>
    <row r="30" spans="1:4" x14ac:dyDescent="0.2">
      <c r="A30" s="228">
        <v>1950</v>
      </c>
      <c r="B30" s="226">
        <v>39.536000000000001</v>
      </c>
      <c r="C30" s="226">
        <v>144.1</v>
      </c>
      <c r="D30" s="226">
        <v>210.7</v>
      </c>
    </row>
    <row r="31" spans="1:4" x14ac:dyDescent="0.2">
      <c r="A31" s="228">
        <v>1951</v>
      </c>
      <c r="B31" s="226">
        <v>38.954999999999998</v>
      </c>
      <c r="C31" s="226">
        <v>144</v>
      </c>
      <c r="D31" s="226">
        <v>227.8</v>
      </c>
    </row>
    <row r="32" spans="1:4" x14ac:dyDescent="0.2">
      <c r="A32" s="228">
        <v>1952</v>
      </c>
      <c r="B32" s="226">
        <v>39.735999999999997</v>
      </c>
      <c r="C32" s="226">
        <v>151.19999999999999</v>
      </c>
      <c r="D32" s="226">
        <v>245.8</v>
      </c>
    </row>
    <row r="33" spans="1:4" x14ac:dyDescent="0.2">
      <c r="A33" s="228">
        <v>1953</v>
      </c>
      <c r="B33" s="226">
        <v>39.441000000000003</v>
      </c>
      <c r="C33" s="226">
        <v>167.4</v>
      </c>
      <c r="D33" s="226">
        <v>331.3</v>
      </c>
    </row>
    <row r="34" spans="1:4" x14ac:dyDescent="0.2">
      <c r="A34" s="228">
        <v>1954</v>
      </c>
      <c r="B34" s="226">
        <v>40.097000000000001</v>
      </c>
      <c r="C34" s="226">
        <v>186.6</v>
      </c>
      <c r="D34" s="226">
        <v>342.5</v>
      </c>
    </row>
    <row r="35" spans="1:4" x14ac:dyDescent="0.2">
      <c r="A35" s="228">
        <v>1955</v>
      </c>
      <c r="B35" s="226">
        <v>40.478999999999999</v>
      </c>
      <c r="C35" s="226">
        <v>202.6</v>
      </c>
      <c r="D35" s="226">
        <v>352.7</v>
      </c>
    </row>
    <row r="36" spans="1:4" x14ac:dyDescent="0.2">
      <c r="A36" s="228">
        <v>1956</v>
      </c>
      <c r="B36" s="226">
        <v>40.686999999999998</v>
      </c>
      <c r="C36" s="226">
        <v>215.1</v>
      </c>
      <c r="D36" s="226">
        <v>364.1</v>
      </c>
    </row>
    <row r="37" spans="1:4" x14ac:dyDescent="0.2">
      <c r="A37" s="228">
        <v>1957</v>
      </c>
      <c r="B37" s="226">
        <v>41.262</v>
      </c>
      <c r="C37" s="226">
        <v>238.4</v>
      </c>
      <c r="D37" s="226">
        <v>361</v>
      </c>
    </row>
    <row r="38" spans="1:4" x14ac:dyDescent="0.2">
      <c r="A38" s="228">
        <v>1958</v>
      </c>
      <c r="B38" s="226">
        <v>41.506999999999998</v>
      </c>
      <c r="C38" s="226">
        <v>250.1</v>
      </c>
      <c r="D38" s="226">
        <v>362.2</v>
      </c>
    </row>
    <row r="39" spans="1:4" x14ac:dyDescent="0.2">
      <c r="A39" s="228">
        <v>1959</v>
      </c>
      <c r="B39" s="226">
        <v>42.517000000000003</v>
      </c>
      <c r="C39" s="226">
        <v>290.7</v>
      </c>
      <c r="D39" s="226">
        <v>367.4</v>
      </c>
    </row>
    <row r="40" spans="1:4" x14ac:dyDescent="0.2">
      <c r="A40" s="228">
        <v>1960</v>
      </c>
      <c r="B40" s="226">
        <v>44.328000000000003</v>
      </c>
      <c r="C40" s="226">
        <v>317.5</v>
      </c>
      <c r="D40" s="226">
        <v>389.6</v>
      </c>
    </row>
    <row r="41" spans="1:4" x14ac:dyDescent="0.2">
      <c r="A41" s="228">
        <v>1961</v>
      </c>
      <c r="B41" s="226">
        <v>45.134999999999998</v>
      </c>
      <c r="C41" s="226">
        <v>330.6</v>
      </c>
      <c r="D41" s="226">
        <v>409</v>
      </c>
    </row>
    <row r="42" spans="1:4" x14ac:dyDescent="0.2">
      <c r="A42" s="228">
        <v>1962</v>
      </c>
      <c r="B42" s="226">
        <v>51.948999999999998</v>
      </c>
      <c r="C42" s="226">
        <v>353</v>
      </c>
      <c r="D42" s="226">
        <v>425.7</v>
      </c>
    </row>
    <row r="43" spans="1:4" x14ac:dyDescent="0.2">
      <c r="A43" s="228">
        <v>1963</v>
      </c>
      <c r="B43" s="226">
        <v>52.338999999999999</v>
      </c>
      <c r="C43" s="226">
        <v>364.3</v>
      </c>
      <c r="D43" s="226">
        <v>449.6</v>
      </c>
    </row>
    <row r="44" spans="1:4" x14ac:dyDescent="0.2">
      <c r="A44" s="228">
        <v>1964</v>
      </c>
      <c r="B44" s="226">
        <v>59.561999999999998</v>
      </c>
      <c r="C44" s="226">
        <v>372.7</v>
      </c>
      <c r="D44" s="226">
        <v>473.5</v>
      </c>
    </row>
    <row r="45" spans="1:4" x14ac:dyDescent="0.2">
      <c r="A45" s="228">
        <v>1965</v>
      </c>
      <c r="B45" s="226">
        <v>87.980999999999995</v>
      </c>
      <c r="C45" s="226">
        <v>389.1</v>
      </c>
      <c r="D45" s="226">
        <v>539.70000000000005</v>
      </c>
    </row>
    <row r="46" spans="1:4" x14ac:dyDescent="0.2">
      <c r="A46" s="228">
        <v>1966</v>
      </c>
      <c r="B46" s="226">
        <v>90.647999999999996</v>
      </c>
      <c r="C46" s="226">
        <v>400</v>
      </c>
      <c r="D46" s="226">
        <v>492.2</v>
      </c>
    </row>
    <row r="47" spans="1:4" x14ac:dyDescent="0.2">
      <c r="A47" s="228">
        <v>1967</v>
      </c>
      <c r="B47" s="226">
        <v>91.49</v>
      </c>
      <c r="C47" s="226">
        <v>473.3</v>
      </c>
      <c r="D47" s="226">
        <v>553.5</v>
      </c>
    </row>
    <row r="48" spans="1:4" x14ac:dyDescent="0.2">
      <c r="A48" s="228">
        <v>1968</v>
      </c>
      <c r="B48" s="226">
        <v>102.65</v>
      </c>
      <c r="C48" s="226">
        <v>531.20000000000005</v>
      </c>
      <c r="D48" s="226">
        <v>578.4</v>
      </c>
    </row>
    <row r="49" spans="1:4" x14ac:dyDescent="0.2">
      <c r="A49" s="228">
        <v>1969</v>
      </c>
      <c r="B49" s="226">
        <v>92.143000000000001</v>
      </c>
      <c r="C49" s="226">
        <v>617.70000000000005</v>
      </c>
      <c r="D49" s="226">
        <v>633.79999999999995</v>
      </c>
    </row>
    <row r="50" spans="1:4" x14ac:dyDescent="0.2">
      <c r="A50" s="228">
        <v>1970</v>
      </c>
      <c r="B50" s="226">
        <v>96</v>
      </c>
      <c r="C50" s="226">
        <v>733.8</v>
      </c>
      <c r="D50" s="226">
        <v>678.7</v>
      </c>
    </row>
    <row r="51" spans="1:4" x14ac:dyDescent="0.2">
      <c r="A51" s="228">
        <v>1971</v>
      </c>
      <c r="B51" s="226">
        <v>101.405</v>
      </c>
      <c r="C51" s="226">
        <v>828.3</v>
      </c>
      <c r="D51" s="226">
        <v>730.6</v>
      </c>
    </row>
    <row r="52" spans="1:4" x14ac:dyDescent="0.2">
      <c r="A52" s="228">
        <v>1972</v>
      </c>
      <c r="B52" s="226">
        <v>111.065</v>
      </c>
      <c r="C52" s="226">
        <v>913</v>
      </c>
      <c r="D52" s="226">
        <v>684.3</v>
      </c>
    </row>
    <row r="53" spans="1:4" x14ac:dyDescent="0.2">
      <c r="A53" s="228">
        <v>1973</v>
      </c>
      <c r="B53" s="226">
        <v>163.059</v>
      </c>
      <c r="C53" s="226">
        <v>1065.5999999999999</v>
      </c>
      <c r="D53" s="226">
        <v>843.5</v>
      </c>
    </row>
    <row r="54" spans="1:4" x14ac:dyDescent="0.2">
      <c r="A54" s="228">
        <v>1974</v>
      </c>
      <c r="B54" s="226">
        <v>385.791</v>
      </c>
      <c r="C54" s="226">
        <v>1185.5</v>
      </c>
      <c r="D54" s="226">
        <v>1618.7</v>
      </c>
    </row>
    <row r="55" spans="1:4" x14ac:dyDescent="0.2">
      <c r="A55" s="228">
        <v>1975</v>
      </c>
      <c r="B55" s="226">
        <v>468.16500000000002</v>
      </c>
      <c r="C55" s="226">
        <v>1557</v>
      </c>
      <c r="D55" s="226">
        <v>1976</v>
      </c>
    </row>
    <row r="56" spans="1:4" x14ac:dyDescent="0.2">
      <c r="A56" s="228">
        <v>1976</v>
      </c>
      <c r="B56" s="226">
        <v>505.88900000000001</v>
      </c>
      <c r="C56" s="226">
        <v>2027</v>
      </c>
      <c r="D56" s="226">
        <v>2345</v>
      </c>
    </row>
    <row r="57" spans="1:4" x14ac:dyDescent="0.2">
      <c r="A57" s="228">
        <v>1977</v>
      </c>
      <c r="B57" s="226">
        <v>586.68600000000004</v>
      </c>
      <c r="C57" s="226">
        <v>2567</v>
      </c>
      <c r="D57" s="226">
        <v>2544</v>
      </c>
    </row>
    <row r="58" spans="1:4" x14ac:dyDescent="0.2">
      <c r="A58" s="228">
        <v>1978</v>
      </c>
      <c r="B58" s="226">
        <v>759.99400000000003</v>
      </c>
      <c r="C58" s="226">
        <v>3819</v>
      </c>
      <c r="D58" s="226">
        <v>4676</v>
      </c>
    </row>
    <row r="59" spans="1:4" x14ac:dyDescent="0.2">
      <c r="A59" s="228">
        <v>1979</v>
      </c>
      <c r="B59" s="226">
        <v>997.10299999999995</v>
      </c>
      <c r="C59" s="226">
        <v>4823</v>
      </c>
      <c r="D59" s="226">
        <v>4691</v>
      </c>
    </row>
    <row r="60" spans="1:4" x14ac:dyDescent="0.2">
      <c r="A60" s="228">
        <v>1980</v>
      </c>
      <c r="B60" s="226">
        <v>2234.8490000000002</v>
      </c>
      <c r="C60" s="226">
        <v>6447</v>
      </c>
      <c r="D60" s="226">
        <v>4606</v>
      </c>
    </row>
    <row r="61" spans="1:4" x14ac:dyDescent="0.2">
      <c r="A61" s="228">
        <v>1981</v>
      </c>
      <c r="B61" s="226">
        <v>3291.0450000000001</v>
      </c>
      <c r="C61" s="226">
        <v>7952</v>
      </c>
      <c r="D61" s="226">
        <v>4858</v>
      </c>
    </row>
    <row r="62" spans="1:4" x14ac:dyDescent="0.2">
      <c r="A62" s="228">
        <v>1982</v>
      </c>
      <c r="B62" s="226">
        <v>3791.672</v>
      </c>
      <c r="C62" s="226">
        <v>9996</v>
      </c>
      <c r="D62" s="226">
        <v>4895</v>
      </c>
    </row>
    <row r="63" spans="1:4" x14ac:dyDescent="0.2">
      <c r="A63" s="228">
        <v>1983</v>
      </c>
      <c r="B63" s="226">
        <v>3046.7950000000001</v>
      </c>
      <c r="C63" s="226">
        <v>12443</v>
      </c>
      <c r="D63" s="226">
        <v>6281</v>
      </c>
    </row>
    <row r="64" spans="1:4" x14ac:dyDescent="0.2">
      <c r="A64" s="228">
        <v>1984</v>
      </c>
      <c r="B64" s="226">
        <v>3158.7289999999998</v>
      </c>
      <c r="C64" s="226">
        <v>15472</v>
      </c>
      <c r="D64" s="226">
        <v>9229</v>
      </c>
    </row>
    <row r="65" spans="1:4" x14ac:dyDescent="0.2">
      <c r="A65" s="228">
        <v>1985</v>
      </c>
      <c r="B65" s="226">
        <v>3297.7669999999998</v>
      </c>
      <c r="C65" s="226">
        <v>15480</v>
      </c>
      <c r="D65" s="226">
        <v>16029</v>
      </c>
    </row>
    <row r="66" spans="1:4" x14ac:dyDescent="0.2">
      <c r="A66" s="228">
        <v>1986</v>
      </c>
      <c r="B66" s="226">
        <v>3563.4079999999999</v>
      </c>
      <c r="C66" s="226">
        <v>27605</v>
      </c>
      <c r="D66" s="226">
        <v>14744</v>
      </c>
    </row>
    <row r="67" spans="1:4" x14ac:dyDescent="0.2">
      <c r="A67" s="228">
        <v>1987</v>
      </c>
      <c r="B67" s="226">
        <v>4806.5060000000003</v>
      </c>
      <c r="C67" s="226">
        <v>36865</v>
      </c>
      <c r="D67" s="226">
        <v>17909</v>
      </c>
    </row>
    <row r="68" spans="1:4" x14ac:dyDescent="0.2">
      <c r="A68" s="228">
        <v>1988</v>
      </c>
      <c r="B68" s="226">
        <v>1393.742</v>
      </c>
      <c r="C68" s="226">
        <v>62258</v>
      </c>
      <c r="D68" s="226">
        <v>19649</v>
      </c>
    </row>
    <row r="69" spans="1:4" x14ac:dyDescent="0.2">
      <c r="A69" s="228">
        <v>1989</v>
      </c>
      <c r="B69" s="226">
        <v>3143.2429999999999</v>
      </c>
      <c r="C69" s="226">
        <v>92745</v>
      </c>
      <c r="D69" s="226">
        <v>25608</v>
      </c>
    </row>
    <row r="70" spans="1:4" x14ac:dyDescent="0.2">
      <c r="A70" s="228">
        <v>1990</v>
      </c>
      <c r="B70" s="226">
        <v>4936.527</v>
      </c>
      <c r="C70" s="226">
        <v>151927</v>
      </c>
      <c r="D70" s="226">
        <v>33402</v>
      </c>
    </row>
    <row r="71" spans="1:4" x14ac:dyDescent="0.2">
      <c r="A71" s="228">
        <v>1991</v>
      </c>
      <c r="B71" s="226">
        <v>16118.4</v>
      </c>
      <c r="C71" s="226">
        <v>308277</v>
      </c>
      <c r="D71" s="226">
        <v>51131</v>
      </c>
    </row>
    <row r="72" spans="1:4" x14ac:dyDescent="0.2">
      <c r="A72" s="228">
        <v>1992</v>
      </c>
      <c r="B72" s="226">
        <v>17813.2</v>
      </c>
      <c r="C72" s="226">
        <v>590009</v>
      </c>
      <c r="D72" s="226">
        <v>75965</v>
      </c>
    </row>
    <row r="73" spans="1:4" x14ac:dyDescent="0.2">
      <c r="A73" s="228">
        <v>1993</v>
      </c>
      <c r="B73" s="226">
        <v>506650.52799999999</v>
      </c>
      <c r="C73" s="226">
        <v>970508</v>
      </c>
      <c r="D73" s="226">
        <v>196683</v>
      </c>
    </row>
    <row r="74" spans="1:4" x14ac:dyDescent="0.2">
      <c r="A74" s="228">
        <v>1994</v>
      </c>
      <c r="B74" s="226">
        <v>649768</v>
      </c>
      <c r="C74" s="226">
        <v>1370629</v>
      </c>
      <c r="D74" s="226">
        <v>241082</v>
      </c>
    </row>
    <row r="75" spans="1:4" x14ac:dyDescent="0.2">
      <c r="A75" s="228">
        <v>1995</v>
      </c>
      <c r="B75" s="226">
        <v>797730</v>
      </c>
      <c r="C75" s="226">
        <v>2568235</v>
      </c>
      <c r="D75" s="226">
        <v>295229</v>
      </c>
    </row>
    <row r="76" spans="1:4" x14ac:dyDescent="0.2">
      <c r="A76" s="228">
        <v>1996</v>
      </c>
      <c r="B76" s="226">
        <v>1729598</v>
      </c>
      <c r="C76" s="226">
        <v>3714425.4369999999</v>
      </c>
      <c r="D76" s="226">
        <v>506114</v>
      </c>
    </row>
    <row r="77" spans="1:4" x14ac:dyDescent="0.2">
      <c r="A77" s="228">
        <v>1997</v>
      </c>
      <c r="B77" s="226">
        <v>1746064</v>
      </c>
      <c r="C77" s="226">
        <v>6238741.9840000002</v>
      </c>
      <c r="D77" s="226">
        <v>237985</v>
      </c>
    </row>
    <row r="78" spans="1:4" x14ac:dyDescent="0.2">
      <c r="A78" s="228">
        <v>1998</v>
      </c>
      <c r="B78" s="226">
        <v>4752979.6400060002</v>
      </c>
      <c r="C78" s="226">
        <v>8799028.6339999996</v>
      </c>
      <c r="D78" s="226">
        <v>368573.66800000001</v>
      </c>
    </row>
    <row r="79" spans="1:4" x14ac:dyDescent="0.2">
      <c r="A79" s="228">
        <v>1999</v>
      </c>
      <c r="B79" s="226">
        <v>5053742.8959999997</v>
      </c>
      <c r="C79" s="226">
        <v>8837987.125</v>
      </c>
      <c r="D79" s="226">
        <v>441573.31099999999</v>
      </c>
    </row>
    <row r="80" spans="1:4" x14ac:dyDescent="0.2">
      <c r="B80" s="191"/>
      <c r="C80" s="191"/>
      <c r="D80" s="191"/>
    </row>
    <row r="81" spans="1:4" x14ac:dyDescent="0.2">
      <c r="A81" s="269"/>
      <c r="B81" s="269"/>
      <c r="C81" s="276"/>
      <c r="D81" s="269"/>
    </row>
    <row r="82" spans="1:4" x14ac:dyDescent="0.2">
      <c r="C82" s="191"/>
    </row>
    <row r="83" spans="1:4" x14ac:dyDescent="0.2">
      <c r="A83" s="410"/>
      <c r="C83" s="191"/>
    </row>
    <row r="84" spans="1:4" x14ac:dyDescent="0.2">
      <c r="A84" s="124" t="s">
        <v>598</v>
      </c>
      <c r="C84" s="191"/>
    </row>
    <row r="85" spans="1:4" x14ac:dyDescent="0.2">
      <c r="C85" s="191"/>
    </row>
    <row r="86" spans="1:4" x14ac:dyDescent="0.2">
      <c r="C86" s="191"/>
    </row>
    <row r="87" spans="1:4" x14ac:dyDescent="0.2">
      <c r="C87" s="191"/>
    </row>
    <row r="88" spans="1:4" x14ac:dyDescent="0.2">
      <c r="C88" s="191"/>
    </row>
    <row r="89" spans="1:4" x14ac:dyDescent="0.2">
      <c r="C89" s="191"/>
    </row>
    <row r="90" spans="1:4" x14ac:dyDescent="0.2">
      <c r="C90" s="191"/>
    </row>
    <row r="91" spans="1:4" x14ac:dyDescent="0.2">
      <c r="C91" s="191"/>
    </row>
    <row r="92" spans="1:4" x14ac:dyDescent="0.2">
      <c r="C92" s="191"/>
    </row>
    <row r="93" spans="1:4" x14ac:dyDescent="0.2">
      <c r="C93" s="191"/>
    </row>
    <row r="94" spans="1:4" x14ac:dyDescent="0.2">
      <c r="C94" s="191"/>
    </row>
    <row r="95" spans="1:4" x14ac:dyDescent="0.2">
      <c r="C95" s="191"/>
    </row>
    <row r="96" spans="1:4" x14ac:dyDescent="0.2">
      <c r="C96" s="191"/>
    </row>
    <row r="97" spans="3:3" x14ac:dyDescent="0.2">
      <c r="C97" s="191"/>
    </row>
    <row r="98" spans="3:3" x14ac:dyDescent="0.2">
      <c r="C98" s="191"/>
    </row>
    <row r="99" spans="3:3" x14ac:dyDescent="0.2">
      <c r="C99" s="191"/>
    </row>
    <row r="100" spans="3:3" x14ac:dyDescent="0.2">
      <c r="C100" s="191"/>
    </row>
    <row r="101" spans="3:3" x14ac:dyDescent="0.2">
      <c r="C101" s="191"/>
    </row>
    <row r="102" spans="3:3" x14ac:dyDescent="0.2">
      <c r="C102" s="191"/>
    </row>
    <row r="103" spans="3:3" x14ac:dyDescent="0.2">
      <c r="C103" s="191"/>
    </row>
  </sheetData>
  <mergeCells count="3">
    <mergeCell ref="A1:D1"/>
    <mergeCell ref="A2:D2"/>
    <mergeCell ref="A3:D3"/>
  </mergeCells>
  <hyperlinks>
    <hyperlink ref="A84" location="'indice cap.1'!A1" display="regresar al índice" xr:uid="{00000000-0004-0000-1800-000000000000}"/>
  </hyperlinks>
  <pageMargins left="0.70866141732283472" right="0.70866141732283472" top="0.74803149606299213" bottom="0.74803149606299213" header="0.31496062992125984" footer="0.31496062992125984"/>
  <pageSetup paperSize="9" orientation="portrait" verticalDpi="599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4"/>
  <sheetViews>
    <sheetView showGridLines="0" workbookViewId="0">
      <selection activeCell="A5" sqref="A5"/>
    </sheetView>
  </sheetViews>
  <sheetFormatPr defaultColWidth="11.42578125" defaultRowHeight="12.75" x14ac:dyDescent="0.2"/>
  <cols>
    <col min="1" max="1" width="11.42578125" style="108"/>
    <col min="2" max="6" width="15.7109375" style="108" customWidth="1"/>
    <col min="7" max="16384" width="11.42578125" style="108"/>
  </cols>
  <sheetData>
    <row r="1" spans="1:6" x14ac:dyDescent="0.2">
      <c r="A1" s="591" t="s">
        <v>679</v>
      </c>
      <c r="B1" s="592"/>
      <c r="C1" s="592"/>
      <c r="D1" s="592"/>
      <c r="E1" s="592"/>
      <c r="F1" s="592"/>
    </row>
    <row r="2" spans="1:6" x14ac:dyDescent="0.2">
      <c r="A2" s="558" t="s">
        <v>775</v>
      </c>
      <c r="B2" s="494"/>
      <c r="C2" s="494"/>
      <c r="D2" s="494"/>
      <c r="E2" s="494"/>
      <c r="F2" s="494"/>
    </row>
    <row r="3" spans="1:6" x14ac:dyDescent="0.2">
      <c r="A3" s="558" t="s">
        <v>86</v>
      </c>
      <c r="B3" s="494"/>
      <c r="C3" s="494"/>
      <c r="D3" s="494"/>
      <c r="E3" s="494"/>
      <c r="F3" s="494"/>
    </row>
    <row r="5" spans="1:6" ht="25.5" x14ac:dyDescent="0.2">
      <c r="A5" s="396" t="s">
        <v>87</v>
      </c>
      <c r="B5" s="397" t="s">
        <v>797</v>
      </c>
      <c r="C5" s="397" t="s">
        <v>813</v>
      </c>
      <c r="D5" s="397" t="s">
        <v>814</v>
      </c>
      <c r="E5" s="397" t="s">
        <v>815</v>
      </c>
      <c r="F5" s="399" t="s">
        <v>816</v>
      </c>
    </row>
    <row r="6" spans="1:6" x14ac:dyDescent="0.2">
      <c r="A6" s="281"/>
      <c r="B6" s="282" t="s">
        <v>457</v>
      </c>
      <c r="C6" s="282" t="s">
        <v>136</v>
      </c>
      <c r="D6" s="282" t="s">
        <v>113</v>
      </c>
      <c r="E6" s="282" t="s">
        <v>100</v>
      </c>
      <c r="F6" s="283" t="s">
        <v>101</v>
      </c>
    </row>
    <row r="7" spans="1:6" x14ac:dyDescent="0.2">
      <c r="A7" s="268"/>
      <c r="B7" s="278"/>
      <c r="C7" s="278"/>
      <c r="D7" s="278"/>
      <c r="E7" s="278"/>
      <c r="F7" s="278"/>
    </row>
    <row r="8" spans="1:6" x14ac:dyDescent="0.2">
      <c r="A8" s="217">
        <v>1928</v>
      </c>
      <c r="B8" s="226">
        <v>7.6909999999999998</v>
      </c>
      <c r="C8" s="226">
        <v>7.6909999999999998</v>
      </c>
      <c r="D8" s="227" t="s">
        <v>10</v>
      </c>
      <c r="E8" s="227" t="s">
        <v>10</v>
      </c>
      <c r="F8" s="227" t="s">
        <v>10</v>
      </c>
    </row>
    <row r="9" spans="1:6" x14ac:dyDescent="0.2">
      <c r="A9" s="217">
        <v>1929</v>
      </c>
      <c r="B9" s="226">
        <v>12.324999999999999</v>
      </c>
      <c r="C9" s="226">
        <v>12.324999999999999</v>
      </c>
      <c r="D9" s="227" t="s">
        <v>10</v>
      </c>
      <c r="E9" s="227" t="s">
        <v>10</v>
      </c>
      <c r="F9" s="227" t="s">
        <v>10</v>
      </c>
    </row>
    <row r="10" spans="1:6" x14ac:dyDescent="0.2">
      <c r="A10" s="217">
        <v>1930</v>
      </c>
      <c r="B10" s="226">
        <v>13.055</v>
      </c>
      <c r="C10" s="226">
        <v>13.055</v>
      </c>
      <c r="D10" s="227" t="s">
        <v>10</v>
      </c>
      <c r="E10" s="227" t="s">
        <v>10</v>
      </c>
      <c r="F10" s="227" t="s">
        <v>10</v>
      </c>
    </row>
    <row r="11" spans="1:6" x14ac:dyDescent="0.2">
      <c r="A11" s="217">
        <v>1931</v>
      </c>
      <c r="B11" s="226">
        <v>13.004</v>
      </c>
      <c r="C11" s="226">
        <v>13.004</v>
      </c>
      <c r="D11" s="227" t="s">
        <v>10</v>
      </c>
      <c r="E11" s="227" t="s">
        <v>10</v>
      </c>
      <c r="F11" s="227" t="s">
        <v>10</v>
      </c>
    </row>
    <row r="12" spans="1:6" x14ac:dyDescent="0.2">
      <c r="A12" s="217">
        <v>1932</v>
      </c>
      <c r="B12" s="226">
        <v>13.314</v>
      </c>
      <c r="C12" s="226">
        <v>13.314</v>
      </c>
      <c r="D12" s="227" t="s">
        <v>10</v>
      </c>
      <c r="E12" s="227" t="s">
        <v>10</v>
      </c>
      <c r="F12" s="227" t="s">
        <v>10</v>
      </c>
    </row>
    <row r="13" spans="1:6" x14ac:dyDescent="0.2">
      <c r="A13" s="217">
        <v>1933</v>
      </c>
      <c r="B13" s="226">
        <v>17.245999999999999</v>
      </c>
      <c r="C13" s="226">
        <v>17.245999999999999</v>
      </c>
      <c r="D13" s="227" t="s">
        <v>10</v>
      </c>
      <c r="E13" s="227" t="s">
        <v>10</v>
      </c>
      <c r="F13" s="227" t="s">
        <v>10</v>
      </c>
    </row>
    <row r="14" spans="1:6" x14ac:dyDescent="0.2">
      <c r="A14" s="217">
        <v>1934</v>
      </c>
      <c r="B14" s="226">
        <v>18.991</v>
      </c>
      <c r="C14" s="226">
        <v>18.991</v>
      </c>
      <c r="D14" s="227" t="s">
        <v>10</v>
      </c>
      <c r="E14" s="227" t="s">
        <v>10</v>
      </c>
      <c r="F14" s="227" t="s">
        <v>10</v>
      </c>
    </row>
    <row r="15" spans="1:6" x14ac:dyDescent="0.2">
      <c r="A15" s="217">
        <v>1935</v>
      </c>
      <c r="B15" s="226">
        <v>18.609000000000002</v>
      </c>
      <c r="C15" s="226">
        <v>18.609000000000002</v>
      </c>
      <c r="D15" s="227" t="s">
        <v>10</v>
      </c>
      <c r="E15" s="227" t="s">
        <v>10</v>
      </c>
      <c r="F15" s="227" t="s">
        <v>10</v>
      </c>
    </row>
    <row r="16" spans="1:6" x14ac:dyDescent="0.2">
      <c r="A16" s="217">
        <v>1936</v>
      </c>
      <c r="B16" s="226">
        <v>22.896999999999998</v>
      </c>
      <c r="C16" s="226">
        <v>22.896999999999998</v>
      </c>
      <c r="D16" s="227" t="s">
        <v>10</v>
      </c>
      <c r="E16" s="227" t="s">
        <v>10</v>
      </c>
      <c r="F16" s="227" t="s">
        <v>10</v>
      </c>
    </row>
    <row r="17" spans="1:6" x14ac:dyDescent="0.2">
      <c r="A17" s="217">
        <v>1937</v>
      </c>
      <c r="B17" s="226">
        <v>27.04</v>
      </c>
      <c r="C17" s="226">
        <v>27.04</v>
      </c>
      <c r="D17" s="227" t="s">
        <v>10</v>
      </c>
      <c r="E17" s="227" t="s">
        <v>10</v>
      </c>
      <c r="F17" s="227" t="s">
        <v>10</v>
      </c>
    </row>
    <row r="18" spans="1:6" x14ac:dyDescent="0.2">
      <c r="A18" s="217">
        <v>1938</v>
      </c>
      <c r="B18" s="226">
        <v>32.801836000000002</v>
      </c>
      <c r="C18" s="226">
        <v>27.756340000000002</v>
      </c>
      <c r="D18" s="226">
        <v>2.8466769999999997</v>
      </c>
      <c r="E18" s="226">
        <v>2.1988189999999999</v>
      </c>
      <c r="F18" s="227" t="s">
        <v>10</v>
      </c>
    </row>
    <row r="19" spans="1:6" x14ac:dyDescent="0.2">
      <c r="A19" s="217">
        <v>1939</v>
      </c>
      <c r="B19" s="226">
        <v>33.058562999999999</v>
      </c>
      <c r="C19" s="226">
        <v>25.523099999999999</v>
      </c>
      <c r="D19" s="226">
        <v>3.9707600000000003</v>
      </c>
      <c r="E19" s="226">
        <v>3.5647030000000002</v>
      </c>
      <c r="F19" s="227" t="s">
        <v>10</v>
      </c>
    </row>
    <row r="20" spans="1:6" x14ac:dyDescent="0.2">
      <c r="A20" s="217">
        <v>1940</v>
      </c>
      <c r="B20" s="226">
        <v>36.997259999999997</v>
      </c>
      <c r="C20" s="226">
        <v>28.502292000000001</v>
      </c>
      <c r="D20" s="226">
        <v>4.3504100000000001</v>
      </c>
      <c r="E20" s="226">
        <v>4.144558</v>
      </c>
      <c r="F20" s="227" t="s">
        <v>10</v>
      </c>
    </row>
    <row r="21" spans="1:6" x14ac:dyDescent="0.2">
      <c r="A21" s="217">
        <v>1941</v>
      </c>
      <c r="B21" s="226">
        <v>38.115141000000001</v>
      </c>
      <c r="C21" s="226">
        <v>28.826732</v>
      </c>
      <c r="D21" s="226">
        <v>4.5515909999999993</v>
      </c>
      <c r="E21" s="226">
        <v>4.7368180000000004</v>
      </c>
      <c r="F21" s="227" t="s">
        <v>10</v>
      </c>
    </row>
    <row r="22" spans="1:6" x14ac:dyDescent="0.2">
      <c r="A22" s="217">
        <v>1942</v>
      </c>
      <c r="B22" s="226">
        <v>40.305246000000004</v>
      </c>
      <c r="C22" s="226">
        <v>27.052102000000001</v>
      </c>
      <c r="D22" s="226">
        <v>7.7590130000000004</v>
      </c>
      <c r="E22" s="226">
        <v>5.4941310000000003</v>
      </c>
      <c r="F22" s="227" t="s">
        <v>10</v>
      </c>
    </row>
    <row r="23" spans="1:6" x14ac:dyDescent="0.2">
      <c r="A23" s="217">
        <v>1943</v>
      </c>
      <c r="B23" s="226">
        <v>42.684244999999997</v>
      </c>
      <c r="C23" s="226">
        <v>28.215637999999998</v>
      </c>
      <c r="D23" s="226">
        <v>8.8231580000000012</v>
      </c>
      <c r="E23" s="226">
        <v>5.6454490000000002</v>
      </c>
      <c r="F23" s="227" t="s">
        <v>10</v>
      </c>
    </row>
    <row r="24" spans="1:6" x14ac:dyDescent="0.2">
      <c r="A24" s="217">
        <v>1944</v>
      </c>
      <c r="B24" s="226">
        <v>83.119079000000013</v>
      </c>
      <c r="C24" s="226">
        <v>56.464451000000004</v>
      </c>
      <c r="D24" s="226">
        <v>14.958315000000001</v>
      </c>
      <c r="E24" s="226">
        <v>11.696313</v>
      </c>
      <c r="F24" s="227" t="s">
        <v>10</v>
      </c>
    </row>
    <row r="25" spans="1:6" x14ac:dyDescent="0.2">
      <c r="A25" s="217">
        <v>1945</v>
      </c>
      <c r="B25" s="226">
        <v>125.67173</v>
      </c>
      <c r="C25" s="226">
        <v>95.803777999999994</v>
      </c>
      <c r="D25" s="226">
        <v>11.910758000000001</v>
      </c>
      <c r="E25" s="226">
        <v>17.957194000000001</v>
      </c>
      <c r="F25" s="227" t="s">
        <v>10</v>
      </c>
    </row>
    <row r="26" spans="1:6" x14ac:dyDescent="0.2">
      <c r="A26" s="217">
        <v>1946</v>
      </c>
      <c r="B26" s="226">
        <v>144.172765</v>
      </c>
      <c r="C26" s="226">
        <v>110.90454600000001</v>
      </c>
      <c r="D26" s="226">
        <v>9.2703720000000001</v>
      </c>
      <c r="E26" s="226">
        <v>23.997847</v>
      </c>
      <c r="F26" s="227" t="s">
        <v>10</v>
      </c>
    </row>
    <row r="27" spans="1:6" x14ac:dyDescent="0.2">
      <c r="A27" s="217">
        <v>1947</v>
      </c>
      <c r="B27" s="226">
        <v>153.439785</v>
      </c>
      <c r="C27" s="226">
        <v>109.24803300000001</v>
      </c>
      <c r="D27" s="226">
        <v>11.293582000000001</v>
      </c>
      <c r="E27" s="226">
        <v>32.89817</v>
      </c>
      <c r="F27" s="227" t="s">
        <v>10</v>
      </c>
    </row>
    <row r="28" spans="1:6" x14ac:dyDescent="0.2">
      <c r="A28" s="217">
        <v>1948</v>
      </c>
      <c r="B28" s="226">
        <v>180.570245</v>
      </c>
      <c r="C28" s="226">
        <v>132.27752599999999</v>
      </c>
      <c r="D28" s="226">
        <v>12.807858000000001</v>
      </c>
      <c r="E28" s="226">
        <v>35.484861000000002</v>
      </c>
      <c r="F28" s="227" t="s">
        <v>10</v>
      </c>
    </row>
    <row r="29" spans="1:6" x14ac:dyDescent="0.2">
      <c r="A29" s="217">
        <v>1949</v>
      </c>
      <c r="B29" s="226">
        <v>276.81675200000001</v>
      </c>
      <c r="C29" s="226">
        <v>206.045547</v>
      </c>
      <c r="D29" s="226">
        <v>10.276823</v>
      </c>
      <c r="E29" s="226">
        <v>60.494382000000002</v>
      </c>
      <c r="F29" s="227" t="s">
        <v>10</v>
      </c>
    </row>
    <row r="30" spans="1:6" x14ac:dyDescent="0.2">
      <c r="A30" s="217">
        <v>1950</v>
      </c>
      <c r="B30" s="226">
        <v>280.93955400000004</v>
      </c>
      <c r="C30" s="226">
        <v>192.61001400000004</v>
      </c>
      <c r="D30" s="226">
        <v>10.920825999999998</v>
      </c>
      <c r="E30" s="226">
        <v>77.408713999999989</v>
      </c>
      <c r="F30" s="227" t="s">
        <v>10</v>
      </c>
    </row>
    <row r="31" spans="1:6" x14ac:dyDescent="0.2">
      <c r="A31" s="217">
        <v>1951</v>
      </c>
      <c r="B31" s="226">
        <v>278.67765399999996</v>
      </c>
      <c r="C31" s="226">
        <v>171.604026</v>
      </c>
      <c r="D31" s="226">
        <v>7.984604</v>
      </c>
      <c r="E31" s="226">
        <v>99.089023999999995</v>
      </c>
      <c r="F31" s="227" t="s">
        <v>10</v>
      </c>
    </row>
    <row r="32" spans="1:6" x14ac:dyDescent="0.2">
      <c r="A32" s="217">
        <v>1952</v>
      </c>
      <c r="B32" s="226">
        <v>313.63065599999999</v>
      </c>
      <c r="C32" s="226">
        <v>210.39459600000001</v>
      </c>
      <c r="D32" s="226">
        <v>9.0303889999999996</v>
      </c>
      <c r="E32" s="226">
        <v>94.205670999999995</v>
      </c>
      <c r="F32" s="227" t="s">
        <v>10</v>
      </c>
    </row>
    <row r="33" spans="1:6" x14ac:dyDescent="0.2">
      <c r="A33" s="217">
        <v>1953</v>
      </c>
      <c r="B33" s="226">
        <v>353.12206800000001</v>
      </c>
      <c r="C33" s="226">
        <v>218.30516800000001</v>
      </c>
      <c r="D33" s="226">
        <v>8.6408269999999998</v>
      </c>
      <c r="E33" s="226">
        <v>126.176073</v>
      </c>
      <c r="F33" s="227" t="s">
        <v>10</v>
      </c>
    </row>
    <row r="34" spans="1:6" x14ac:dyDescent="0.2">
      <c r="A34" s="217">
        <v>1954</v>
      </c>
      <c r="B34" s="226">
        <v>371.44058999999993</v>
      </c>
      <c r="C34" s="226">
        <v>244.68319799999998</v>
      </c>
      <c r="D34" s="226">
        <v>7.5463270000000007</v>
      </c>
      <c r="E34" s="226">
        <v>119.21106499999999</v>
      </c>
      <c r="F34" s="227" t="s">
        <v>10</v>
      </c>
    </row>
    <row r="35" spans="1:6" x14ac:dyDescent="0.2">
      <c r="A35" s="217">
        <v>1955</v>
      </c>
      <c r="B35" s="226">
        <v>448.30005699999998</v>
      </c>
      <c r="C35" s="226">
        <v>319.19825399999996</v>
      </c>
      <c r="D35" s="226">
        <v>9.9579780000000007</v>
      </c>
      <c r="E35" s="226">
        <v>119.14382499999999</v>
      </c>
      <c r="F35" s="227" t="s">
        <v>10</v>
      </c>
    </row>
    <row r="36" spans="1:6" x14ac:dyDescent="0.2">
      <c r="A36" s="217">
        <v>1956</v>
      </c>
      <c r="B36" s="226">
        <v>478.35084100000006</v>
      </c>
      <c r="C36" s="226">
        <v>326.47380900000002</v>
      </c>
      <c r="D36" s="226">
        <v>7.3039630000000004</v>
      </c>
      <c r="E36" s="226">
        <v>144.573069</v>
      </c>
      <c r="F36" s="227" t="s">
        <v>10</v>
      </c>
    </row>
    <row r="37" spans="1:6" x14ac:dyDescent="0.2">
      <c r="A37" s="217">
        <v>1957</v>
      </c>
      <c r="B37" s="226">
        <v>537.07532199999991</v>
      </c>
      <c r="C37" s="226">
        <v>372.61960699999992</v>
      </c>
      <c r="D37" s="226">
        <v>7.464893</v>
      </c>
      <c r="E37" s="226">
        <v>156.99082200000001</v>
      </c>
      <c r="F37" s="227" t="s">
        <v>10</v>
      </c>
    </row>
    <row r="38" spans="1:6" x14ac:dyDescent="0.2">
      <c r="A38" s="217">
        <v>1958</v>
      </c>
      <c r="B38" s="226">
        <v>573.042867</v>
      </c>
      <c r="C38" s="226">
        <v>374.48819800000001</v>
      </c>
      <c r="D38" s="226">
        <v>7.4320810000000002</v>
      </c>
      <c r="E38" s="226">
        <v>191.12258800000001</v>
      </c>
      <c r="F38" s="227" t="s">
        <v>10</v>
      </c>
    </row>
    <row r="39" spans="1:6" x14ac:dyDescent="0.2">
      <c r="A39" s="217">
        <v>1959</v>
      </c>
      <c r="B39" s="226">
        <v>525.150441</v>
      </c>
      <c r="C39" s="226">
        <v>308.37940200000003</v>
      </c>
      <c r="D39" s="226">
        <v>5.9398749999999998</v>
      </c>
      <c r="E39" s="226">
        <v>210.831164</v>
      </c>
      <c r="F39" s="227" t="s">
        <v>10</v>
      </c>
    </row>
    <row r="40" spans="1:6" x14ac:dyDescent="0.2">
      <c r="A40" s="217">
        <v>1960</v>
      </c>
      <c r="B40" s="226">
        <v>536.05516699999998</v>
      </c>
      <c r="C40" s="226">
        <v>324.29209100000003</v>
      </c>
      <c r="D40" s="226">
        <v>6.2954970000000001</v>
      </c>
      <c r="E40" s="226">
        <v>205.467579</v>
      </c>
      <c r="F40" s="227" t="s">
        <v>10</v>
      </c>
    </row>
    <row r="41" spans="1:6" x14ac:dyDescent="0.2">
      <c r="A41" s="217">
        <v>1961</v>
      </c>
      <c r="B41" s="226">
        <v>636.16788399999996</v>
      </c>
      <c r="C41" s="226">
        <v>283.25680899999998</v>
      </c>
      <c r="D41" s="226">
        <v>10.995454000000001</v>
      </c>
      <c r="E41" s="226">
        <v>173.92729499999999</v>
      </c>
      <c r="F41" s="226">
        <v>167.988326</v>
      </c>
    </row>
    <row r="42" spans="1:6" x14ac:dyDescent="0.2">
      <c r="A42" s="217">
        <v>1962</v>
      </c>
      <c r="B42" s="226">
        <v>628.49830399999996</v>
      </c>
      <c r="C42" s="226">
        <v>241.76817199999999</v>
      </c>
      <c r="D42" s="226">
        <v>8.9559750000000005</v>
      </c>
      <c r="E42" s="226">
        <v>193.40648100000001</v>
      </c>
      <c r="F42" s="226">
        <v>184.36767600000002</v>
      </c>
    </row>
    <row r="43" spans="1:6" x14ac:dyDescent="0.2">
      <c r="A43" s="217">
        <v>1963</v>
      </c>
      <c r="B43" s="226">
        <v>659.65212900000006</v>
      </c>
      <c r="C43" s="226">
        <v>262.472848</v>
      </c>
      <c r="D43" s="226">
        <v>9.5804819999999999</v>
      </c>
      <c r="E43" s="226">
        <v>195.026318</v>
      </c>
      <c r="F43" s="226">
        <v>192.57248100000001</v>
      </c>
    </row>
    <row r="44" spans="1:6" x14ac:dyDescent="0.2">
      <c r="A44" s="217">
        <v>1964</v>
      </c>
      <c r="B44" s="226">
        <v>744.89715000000001</v>
      </c>
      <c r="C44" s="226">
        <v>348.310971</v>
      </c>
      <c r="D44" s="226">
        <v>9.4035879999999992</v>
      </c>
      <c r="E44" s="226">
        <v>194.825515</v>
      </c>
      <c r="F44" s="226">
        <v>192.35707600000001</v>
      </c>
    </row>
    <row r="45" spans="1:6" x14ac:dyDescent="0.2">
      <c r="C45" s="191"/>
      <c r="D45" s="191"/>
      <c r="E45" s="191"/>
      <c r="F45" s="191"/>
    </row>
    <row r="46" spans="1:6" x14ac:dyDescent="0.2">
      <c r="A46" s="269"/>
      <c r="B46" s="269"/>
      <c r="C46" s="276"/>
      <c r="D46" s="276"/>
      <c r="E46" s="276"/>
      <c r="F46" s="276"/>
    </row>
    <row r="47" spans="1:6" x14ac:dyDescent="0.2">
      <c r="C47" s="191"/>
      <c r="D47" s="191"/>
      <c r="E47" s="191"/>
      <c r="F47" s="191"/>
    </row>
    <row r="48" spans="1:6" x14ac:dyDescent="0.2">
      <c r="A48" s="410"/>
      <c r="C48" s="191"/>
      <c r="D48" s="191"/>
      <c r="E48" s="191"/>
      <c r="F48" s="191"/>
    </row>
    <row r="49" spans="1:6" x14ac:dyDescent="0.2">
      <c r="A49" s="124" t="s">
        <v>598</v>
      </c>
      <c r="C49" s="191"/>
      <c r="D49" s="191"/>
      <c r="E49" s="191"/>
      <c r="F49" s="191"/>
    </row>
    <row r="50" spans="1:6" x14ac:dyDescent="0.2">
      <c r="C50" s="191"/>
      <c r="D50" s="191"/>
      <c r="E50" s="191"/>
      <c r="F50" s="191"/>
    </row>
    <row r="51" spans="1:6" x14ac:dyDescent="0.2">
      <c r="C51" s="191"/>
      <c r="D51" s="191"/>
      <c r="E51" s="191"/>
      <c r="F51" s="191"/>
    </row>
    <row r="52" spans="1:6" x14ac:dyDescent="0.2">
      <c r="C52" s="191"/>
      <c r="D52" s="191"/>
      <c r="E52" s="191"/>
      <c r="F52" s="191"/>
    </row>
    <row r="53" spans="1:6" x14ac:dyDescent="0.2">
      <c r="C53" s="191"/>
      <c r="D53" s="191"/>
      <c r="E53" s="191"/>
      <c r="F53" s="191"/>
    </row>
    <row r="54" spans="1:6" x14ac:dyDescent="0.2">
      <c r="C54" s="191"/>
      <c r="D54" s="191"/>
      <c r="E54" s="191"/>
      <c r="F54" s="191"/>
    </row>
    <row r="55" spans="1:6" x14ac:dyDescent="0.2">
      <c r="C55" s="191"/>
      <c r="D55" s="191"/>
      <c r="E55" s="191"/>
      <c r="F55" s="191"/>
    </row>
    <row r="56" spans="1:6" x14ac:dyDescent="0.2">
      <c r="C56" s="191"/>
      <c r="D56" s="191"/>
      <c r="E56" s="191"/>
      <c r="F56" s="191"/>
    </row>
    <row r="57" spans="1:6" x14ac:dyDescent="0.2">
      <c r="C57" s="191"/>
      <c r="D57" s="191"/>
      <c r="E57" s="191"/>
      <c r="F57" s="191"/>
    </row>
    <row r="58" spans="1:6" x14ac:dyDescent="0.2">
      <c r="C58" s="191"/>
      <c r="D58" s="191"/>
      <c r="E58" s="191"/>
      <c r="F58" s="191"/>
    </row>
    <row r="59" spans="1:6" x14ac:dyDescent="0.2">
      <c r="C59" s="191"/>
      <c r="D59" s="191"/>
      <c r="E59" s="191"/>
      <c r="F59" s="191"/>
    </row>
    <row r="60" spans="1:6" x14ac:dyDescent="0.2">
      <c r="C60" s="191"/>
      <c r="D60" s="191"/>
      <c r="E60" s="191"/>
      <c r="F60" s="191"/>
    </row>
    <row r="61" spans="1:6" x14ac:dyDescent="0.2">
      <c r="C61" s="191"/>
      <c r="D61" s="191"/>
      <c r="E61" s="191"/>
      <c r="F61" s="191"/>
    </row>
    <row r="62" spans="1:6" x14ac:dyDescent="0.2">
      <c r="C62" s="191"/>
      <c r="D62" s="191"/>
      <c r="E62" s="191"/>
      <c r="F62" s="191"/>
    </row>
    <row r="63" spans="1:6" x14ac:dyDescent="0.2">
      <c r="C63" s="191"/>
      <c r="D63" s="191"/>
      <c r="E63" s="191"/>
      <c r="F63" s="191"/>
    </row>
    <row r="64" spans="1:6" x14ac:dyDescent="0.2">
      <c r="C64" s="191"/>
      <c r="D64" s="191"/>
      <c r="E64" s="191"/>
      <c r="F64" s="191"/>
    </row>
    <row r="65" spans="3:6" x14ac:dyDescent="0.2">
      <c r="C65" s="191"/>
      <c r="D65" s="191"/>
      <c r="E65" s="191"/>
      <c r="F65" s="191"/>
    </row>
    <row r="66" spans="3:6" x14ac:dyDescent="0.2">
      <c r="C66" s="191"/>
      <c r="D66" s="191"/>
      <c r="E66" s="191"/>
      <c r="F66" s="191"/>
    </row>
    <row r="67" spans="3:6" x14ac:dyDescent="0.2">
      <c r="C67" s="191"/>
      <c r="D67" s="191"/>
      <c r="E67" s="191"/>
      <c r="F67" s="191"/>
    </row>
    <row r="68" spans="3:6" x14ac:dyDescent="0.2">
      <c r="C68" s="191"/>
      <c r="D68" s="191"/>
      <c r="E68" s="191"/>
      <c r="F68" s="191"/>
    </row>
    <row r="69" spans="3:6" x14ac:dyDescent="0.2">
      <c r="C69" s="191"/>
      <c r="D69" s="191"/>
      <c r="E69" s="191"/>
      <c r="F69" s="191"/>
    </row>
    <row r="70" spans="3:6" x14ac:dyDescent="0.2">
      <c r="C70" s="191"/>
      <c r="D70" s="191"/>
      <c r="E70" s="191"/>
      <c r="F70" s="191"/>
    </row>
    <row r="71" spans="3:6" x14ac:dyDescent="0.2">
      <c r="C71" s="191"/>
      <c r="D71" s="191"/>
      <c r="E71" s="191"/>
      <c r="F71" s="191"/>
    </row>
    <row r="72" spans="3:6" x14ac:dyDescent="0.2">
      <c r="C72" s="191"/>
      <c r="D72" s="191"/>
      <c r="E72" s="191"/>
      <c r="F72" s="191"/>
    </row>
    <row r="73" spans="3:6" x14ac:dyDescent="0.2">
      <c r="C73" s="191"/>
      <c r="D73" s="191"/>
      <c r="E73" s="191"/>
      <c r="F73" s="191"/>
    </row>
    <row r="74" spans="3:6" x14ac:dyDescent="0.2">
      <c r="C74" s="191"/>
      <c r="D74" s="191"/>
      <c r="E74" s="191"/>
      <c r="F74" s="191"/>
    </row>
    <row r="75" spans="3:6" x14ac:dyDescent="0.2">
      <c r="C75" s="191"/>
      <c r="D75" s="191"/>
      <c r="E75" s="191"/>
      <c r="F75" s="191"/>
    </row>
    <row r="76" spans="3:6" x14ac:dyDescent="0.2">
      <c r="C76" s="191"/>
      <c r="D76" s="191"/>
      <c r="E76" s="191"/>
      <c r="F76" s="191"/>
    </row>
    <row r="77" spans="3:6" x14ac:dyDescent="0.2">
      <c r="C77" s="191"/>
      <c r="D77" s="191"/>
      <c r="E77" s="191"/>
      <c r="F77" s="191"/>
    </row>
    <row r="78" spans="3:6" x14ac:dyDescent="0.2">
      <c r="C78" s="191"/>
      <c r="D78" s="191"/>
      <c r="E78" s="191"/>
      <c r="F78" s="191"/>
    </row>
    <row r="79" spans="3:6" x14ac:dyDescent="0.2">
      <c r="C79" s="191"/>
      <c r="D79" s="191"/>
      <c r="E79" s="191"/>
      <c r="F79" s="191"/>
    </row>
    <row r="80" spans="3:6" x14ac:dyDescent="0.2">
      <c r="C80" s="191"/>
      <c r="D80" s="191"/>
      <c r="E80" s="191"/>
      <c r="F80" s="191"/>
    </row>
    <row r="81" spans="3:6" x14ac:dyDescent="0.2">
      <c r="C81" s="191"/>
      <c r="D81" s="191"/>
      <c r="E81" s="191"/>
      <c r="F81" s="191"/>
    </row>
    <row r="82" spans="3:6" x14ac:dyDescent="0.2">
      <c r="C82" s="191"/>
      <c r="D82" s="191"/>
      <c r="E82" s="191"/>
      <c r="F82" s="191"/>
    </row>
    <row r="83" spans="3:6" x14ac:dyDescent="0.2">
      <c r="C83" s="191"/>
      <c r="D83" s="191"/>
      <c r="E83" s="191"/>
      <c r="F83" s="191"/>
    </row>
    <row r="84" spans="3:6" x14ac:dyDescent="0.2">
      <c r="C84" s="191"/>
      <c r="D84" s="191"/>
      <c r="E84" s="191"/>
      <c r="F84" s="191"/>
    </row>
    <row r="85" spans="3:6" x14ac:dyDescent="0.2">
      <c r="C85" s="191"/>
      <c r="D85" s="191"/>
      <c r="E85" s="191"/>
      <c r="F85" s="191"/>
    </row>
    <row r="86" spans="3:6" x14ac:dyDescent="0.2">
      <c r="C86" s="191"/>
      <c r="D86" s="191"/>
      <c r="E86" s="191"/>
      <c r="F86" s="191"/>
    </row>
    <row r="87" spans="3:6" x14ac:dyDescent="0.2">
      <c r="C87" s="191"/>
      <c r="D87" s="191"/>
      <c r="E87" s="191"/>
      <c r="F87" s="191"/>
    </row>
    <row r="88" spans="3:6" x14ac:dyDescent="0.2">
      <c r="C88" s="191"/>
      <c r="D88" s="191"/>
      <c r="E88" s="191"/>
      <c r="F88" s="191"/>
    </row>
    <row r="89" spans="3:6" x14ac:dyDescent="0.2">
      <c r="C89" s="191"/>
      <c r="D89" s="191"/>
      <c r="E89" s="191"/>
      <c r="F89" s="191"/>
    </row>
    <row r="90" spans="3:6" x14ac:dyDescent="0.2">
      <c r="C90" s="191"/>
      <c r="D90" s="191"/>
      <c r="E90" s="191"/>
      <c r="F90" s="191"/>
    </row>
    <row r="91" spans="3:6" x14ac:dyDescent="0.2">
      <c r="C91" s="191"/>
      <c r="D91" s="191"/>
      <c r="E91" s="191"/>
      <c r="F91" s="191"/>
    </row>
    <row r="92" spans="3:6" x14ac:dyDescent="0.2">
      <c r="C92" s="191"/>
      <c r="D92" s="191"/>
      <c r="E92" s="191"/>
      <c r="F92" s="191"/>
    </row>
    <row r="93" spans="3:6" x14ac:dyDescent="0.2">
      <c r="C93" s="191"/>
      <c r="D93" s="191"/>
      <c r="E93" s="191"/>
      <c r="F93" s="191"/>
    </row>
    <row r="94" spans="3:6" x14ac:dyDescent="0.2">
      <c r="C94" s="191"/>
      <c r="D94" s="191"/>
      <c r="E94" s="191"/>
      <c r="F94" s="191"/>
    </row>
    <row r="95" spans="3:6" x14ac:dyDescent="0.2">
      <c r="C95" s="191"/>
      <c r="D95" s="191"/>
      <c r="E95" s="191"/>
      <c r="F95" s="191"/>
    </row>
    <row r="96" spans="3:6" x14ac:dyDescent="0.2">
      <c r="C96" s="191"/>
      <c r="D96" s="191"/>
      <c r="E96" s="191"/>
      <c r="F96" s="191"/>
    </row>
    <row r="97" spans="3:6" x14ac:dyDescent="0.2">
      <c r="C97" s="191"/>
      <c r="D97" s="191"/>
      <c r="E97" s="191"/>
      <c r="F97" s="191"/>
    </row>
    <row r="98" spans="3:6" x14ac:dyDescent="0.2">
      <c r="C98" s="191"/>
      <c r="D98" s="191"/>
      <c r="E98" s="191"/>
      <c r="F98" s="191"/>
    </row>
    <row r="99" spans="3:6" x14ac:dyDescent="0.2">
      <c r="C99" s="191"/>
      <c r="D99" s="191"/>
      <c r="E99" s="191"/>
      <c r="F99" s="191"/>
    </row>
    <row r="100" spans="3:6" x14ac:dyDescent="0.2">
      <c r="C100" s="191"/>
      <c r="D100" s="191"/>
      <c r="E100" s="191"/>
      <c r="F100" s="191"/>
    </row>
    <row r="101" spans="3:6" x14ac:dyDescent="0.2">
      <c r="C101" s="191"/>
      <c r="D101" s="191"/>
      <c r="E101" s="191"/>
      <c r="F101" s="191"/>
    </row>
    <row r="102" spans="3:6" x14ac:dyDescent="0.2">
      <c r="C102" s="191"/>
      <c r="D102" s="191"/>
      <c r="E102" s="191"/>
      <c r="F102" s="191"/>
    </row>
    <row r="103" spans="3:6" x14ac:dyDescent="0.2">
      <c r="C103" s="191"/>
      <c r="D103" s="191"/>
      <c r="E103" s="191"/>
      <c r="F103" s="191"/>
    </row>
    <row r="104" spans="3:6" x14ac:dyDescent="0.2">
      <c r="C104" s="191"/>
      <c r="D104" s="191"/>
      <c r="E104" s="191"/>
      <c r="F104" s="191"/>
    </row>
  </sheetData>
  <mergeCells count="3">
    <mergeCell ref="A1:F1"/>
    <mergeCell ref="A2:F2"/>
    <mergeCell ref="A3:F3"/>
  </mergeCells>
  <hyperlinks>
    <hyperlink ref="A49" location="'indice cap.1'!A1" display="regresar al índice" xr:uid="{00000000-0004-0000-1900-000000000000}"/>
  </hyperlinks>
  <pageMargins left="0.7" right="0.7" top="0.75" bottom="0.75" header="0.3" footer="0.3"/>
  <pageSetup paperSize="9" orientation="portrait" verticalDpi="599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57"/>
  <sheetViews>
    <sheetView showGridLines="0" workbookViewId="0">
      <selection activeCell="A5" sqref="A5:A6"/>
    </sheetView>
  </sheetViews>
  <sheetFormatPr defaultColWidth="11.42578125" defaultRowHeight="12.75" x14ac:dyDescent="0.2"/>
  <cols>
    <col min="1" max="1" width="11.42578125" style="108"/>
    <col min="2" max="11" width="15.7109375" style="108" customWidth="1"/>
    <col min="12" max="16384" width="11.42578125" style="108"/>
  </cols>
  <sheetData>
    <row r="1" spans="1:12" x14ac:dyDescent="0.2">
      <c r="A1" s="558" t="s">
        <v>678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</row>
    <row r="2" spans="1:12" x14ac:dyDescent="0.2">
      <c r="A2" s="558" t="s">
        <v>134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x14ac:dyDescent="0.2">
      <c r="A3" s="558" t="s">
        <v>86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</row>
    <row r="5" spans="1:12" x14ac:dyDescent="0.2">
      <c r="A5" s="586" t="s">
        <v>87</v>
      </c>
      <c r="B5" s="593" t="s">
        <v>796</v>
      </c>
      <c r="C5" s="587" t="s">
        <v>821</v>
      </c>
      <c r="D5" s="584"/>
      <c r="E5" s="584"/>
      <c r="F5" s="584"/>
      <c r="G5" s="587" t="s">
        <v>458</v>
      </c>
      <c r="H5" s="584"/>
      <c r="I5" s="584"/>
      <c r="J5" s="584"/>
      <c r="K5" s="589" t="s">
        <v>820</v>
      </c>
    </row>
    <row r="6" spans="1:12" ht="25.5" x14ac:dyDescent="0.2">
      <c r="A6" s="594"/>
      <c r="B6" s="587"/>
      <c r="C6" s="398" t="s">
        <v>92</v>
      </c>
      <c r="D6" s="398" t="s">
        <v>817</v>
      </c>
      <c r="E6" s="398" t="s">
        <v>818</v>
      </c>
      <c r="F6" s="398" t="s">
        <v>819</v>
      </c>
      <c r="G6" s="398" t="s">
        <v>92</v>
      </c>
      <c r="H6" s="398" t="s">
        <v>817</v>
      </c>
      <c r="I6" s="398" t="s">
        <v>818</v>
      </c>
      <c r="J6" s="398" t="s">
        <v>819</v>
      </c>
      <c r="K6" s="595"/>
    </row>
    <row r="7" spans="1:12" x14ac:dyDescent="0.2">
      <c r="A7" s="281"/>
      <c r="B7" s="282" t="s">
        <v>459</v>
      </c>
      <c r="C7" s="282" t="s">
        <v>460</v>
      </c>
      <c r="D7" s="282" t="s">
        <v>113</v>
      </c>
      <c r="E7" s="282" t="s">
        <v>100</v>
      </c>
      <c r="F7" s="282" t="s">
        <v>101</v>
      </c>
      <c r="G7" s="282" t="s">
        <v>461</v>
      </c>
      <c r="H7" s="282" t="s">
        <v>114</v>
      </c>
      <c r="I7" s="282" t="s">
        <v>441</v>
      </c>
      <c r="J7" s="282" t="s">
        <v>116</v>
      </c>
      <c r="K7" s="283" t="s">
        <v>117</v>
      </c>
    </row>
    <row r="8" spans="1:12" x14ac:dyDescent="0.2">
      <c r="A8" s="268"/>
      <c r="B8" s="279"/>
      <c r="C8" s="278"/>
      <c r="D8" s="278"/>
      <c r="E8" s="278"/>
      <c r="F8" s="278"/>
      <c r="G8" s="279"/>
      <c r="H8" s="278"/>
      <c r="I8" s="279"/>
      <c r="J8" s="278"/>
      <c r="K8" s="278"/>
    </row>
    <row r="9" spans="1:12" x14ac:dyDescent="0.2">
      <c r="A9" s="217" t="s">
        <v>462</v>
      </c>
      <c r="B9" s="226">
        <v>808</v>
      </c>
      <c r="C9" s="226">
        <v>783.19325600000002</v>
      </c>
      <c r="D9" s="227" t="s">
        <v>10</v>
      </c>
      <c r="E9" s="227" t="s">
        <v>10</v>
      </c>
      <c r="F9" s="227" t="s">
        <v>10</v>
      </c>
      <c r="G9" s="226">
        <v>24.544298999999999</v>
      </c>
      <c r="H9" s="227" t="s">
        <v>10</v>
      </c>
      <c r="I9" s="227" t="s">
        <v>10</v>
      </c>
      <c r="J9" s="227" t="s">
        <v>10</v>
      </c>
      <c r="K9" s="227" t="s">
        <v>10</v>
      </c>
      <c r="L9" s="191"/>
    </row>
    <row r="10" spans="1:12" x14ac:dyDescent="0.2">
      <c r="A10" s="217" t="s">
        <v>463</v>
      </c>
      <c r="B10" s="226">
        <v>802.63379599999996</v>
      </c>
      <c r="C10" s="226">
        <v>767.95188299999995</v>
      </c>
      <c r="D10" s="227" t="s">
        <v>10</v>
      </c>
      <c r="E10" s="227" t="s">
        <v>10</v>
      </c>
      <c r="F10" s="227" t="s">
        <v>10</v>
      </c>
      <c r="G10" s="226">
        <v>34.681913000000002</v>
      </c>
      <c r="H10" s="227" t="s">
        <v>10</v>
      </c>
      <c r="I10" s="227" t="s">
        <v>10</v>
      </c>
      <c r="J10" s="227" t="s">
        <v>10</v>
      </c>
      <c r="K10" s="227" t="s">
        <v>10</v>
      </c>
      <c r="L10" s="191"/>
    </row>
    <row r="11" spans="1:12" x14ac:dyDescent="0.2">
      <c r="A11" s="217" t="s">
        <v>464</v>
      </c>
      <c r="B11" s="226">
        <v>901.562997</v>
      </c>
      <c r="C11" s="226">
        <v>833.258239</v>
      </c>
      <c r="D11" s="227" t="s">
        <v>10</v>
      </c>
      <c r="E11" s="227" t="s">
        <v>10</v>
      </c>
      <c r="F11" s="227" t="s">
        <v>10</v>
      </c>
      <c r="G11" s="226">
        <v>68.304758000000007</v>
      </c>
      <c r="H11" s="227" t="s">
        <v>10</v>
      </c>
      <c r="I11" s="227" t="s">
        <v>10</v>
      </c>
      <c r="J11" s="227" t="s">
        <v>10</v>
      </c>
      <c r="K11" s="227" t="s">
        <v>10</v>
      </c>
      <c r="L11" s="191"/>
    </row>
    <row r="12" spans="1:12" x14ac:dyDescent="0.2">
      <c r="A12" s="217">
        <v>1968</v>
      </c>
      <c r="B12" s="226">
        <v>1010.663288</v>
      </c>
      <c r="C12" s="226">
        <v>663.82453200000009</v>
      </c>
      <c r="D12" s="226">
        <v>530.22300700000005</v>
      </c>
      <c r="E12" s="226">
        <v>112.91077800000001</v>
      </c>
      <c r="F12" s="226">
        <v>20.690747000000002</v>
      </c>
      <c r="G12" s="226">
        <v>92.783390999999995</v>
      </c>
      <c r="H12" s="226">
        <v>48.835791999999998</v>
      </c>
      <c r="I12" s="226">
        <v>43.947598999999997</v>
      </c>
      <c r="J12" s="226">
        <v>0</v>
      </c>
      <c r="K12" s="226">
        <v>254.05536499999999</v>
      </c>
      <c r="L12" s="191"/>
    </row>
    <row r="13" spans="1:12" x14ac:dyDescent="0.2">
      <c r="A13" s="217">
        <v>1969</v>
      </c>
      <c r="B13" s="226">
        <v>1157.6934720000002</v>
      </c>
      <c r="C13" s="226">
        <v>695.22433500000011</v>
      </c>
      <c r="D13" s="226">
        <v>568.80512500000009</v>
      </c>
      <c r="E13" s="226">
        <v>93.947742000000005</v>
      </c>
      <c r="F13" s="226">
        <v>32.471468000000002</v>
      </c>
      <c r="G13" s="226">
        <v>109.06996700000001</v>
      </c>
      <c r="H13" s="226">
        <v>52.953667000000003</v>
      </c>
      <c r="I13" s="226">
        <v>56.116300000000003</v>
      </c>
      <c r="J13" s="226">
        <v>0</v>
      </c>
      <c r="K13" s="226">
        <v>353.39917000000003</v>
      </c>
      <c r="L13" s="191"/>
    </row>
    <row r="14" spans="1:12" x14ac:dyDescent="0.2">
      <c r="A14" s="217">
        <v>1970</v>
      </c>
      <c r="B14" s="226">
        <v>1254.9777730000001</v>
      </c>
      <c r="C14" s="226">
        <v>758.09180599999991</v>
      </c>
      <c r="D14" s="226">
        <v>651.19584499999996</v>
      </c>
      <c r="E14" s="226">
        <v>83.780771000000001</v>
      </c>
      <c r="F14" s="226">
        <v>23.115189999999998</v>
      </c>
      <c r="G14" s="226">
        <v>122.142275</v>
      </c>
      <c r="H14" s="226">
        <v>51.409913000000003</v>
      </c>
      <c r="I14" s="226">
        <v>70.732361999999995</v>
      </c>
      <c r="J14" s="226">
        <v>0</v>
      </c>
      <c r="K14" s="226">
        <v>374.74369200000001</v>
      </c>
      <c r="L14" s="191"/>
    </row>
    <row r="15" spans="1:12" x14ac:dyDescent="0.2">
      <c r="A15" s="217">
        <v>1971</v>
      </c>
      <c r="B15" s="226">
        <v>1371.087352</v>
      </c>
      <c r="C15" s="226">
        <v>912.30416099999991</v>
      </c>
      <c r="D15" s="226">
        <v>804.62285599999996</v>
      </c>
      <c r="E15" s="226">
        <v>81.921672000000001</v>
      </c>
      <c r="F15" s="226">
        <v>25.759633000000001</v>
      </c>
      <c r="G15" s="226">
        <v>144.346744</v>
      </c>
      <c r="H15" s="226">
        <v>51.249816000000003</v>
      </c>
      <c r="I15" s="226">
        <v>93.096928000000005</v>
      </c>
      <c r="J15" s="226">
        <v>0</v>
      </c>
      <c r="K15" s="226">
        <v>314.43644700000004</v>
      </c>
      <c r="L15" s="191"/>
    </row>
    <row r="16" spans="1:12" x14ac:dyDescent="0.2">
      <c r="A16" s="217">
        <v>1972</v>
      </c>
      <c r="B16" s="226">
        <v>1595.980845</v>
      </c>
      <c r="C16" s="226">
        <v>1064.430681</v>
      </c>
      <c r="D16" s="226">
        <v>944.13978199999997</v>
      </c>
      <c r="E16" s="226">
        <v>79.885148000000001</v>
      </c>
      <c r="F16" s="226">
        <v>40.405750999999995</v>
      </c>
      <c r="G16" s="226">
        <v>198.898584</v>
      </c>
      <c r="H16" s="226">
        <v>60.874417999999999</v>
      </c>
      <c r="I16" s="226">
        <v>138.02416600000001</v>
      </c>
      <c r="J16" s="226">
        <v>0</v>
      </c>
      <c r="K16" s="226">
        <v>332.65158000000002</v>
      </c>
      <c r="L16" s="191"/>
    </row>
    <row r="17" spans="1:12" x14ac:dyDescent="0.2">
      <c r="A17" s="217">
        <v>1973</v>
      </c>
      <c r="B17" s="226">
        <v>2300.3424029999996</v>
      </c>
      <c r="C17" s="226">
        <v>1517.5412699999997</v>
      </c>
      <c r="D17" s="226">
        <v>1353.8158389999999</v>
      </c>
      <c r="E17" s="226">
        <v>74.371122999999997</v>
      </c>
      <c r="F17" s="226">
        <v>89.354307999999989</v>
      </c>
      <c r="G17" s="226">
        <v>441.23006299999997</v>
      </c>
      <c r="H17" s="226">
        <v>199.841071</v>
      </c>
      <c r="I17" s="226">
        <v>241.388992</v>
      </c>
      <c r="J17" s="226">
        <v>0</v>
      </c>
      <c r="K17" s="226">
        <v>341.57107000000002</v>
      </c>
      <c r="L17" s="191"/>
    </row>
    <row r="18" spans="1:12" x14ac:dyDescent="0.2">
      <c r="A18" s="217">
        <v>1974</v>
      </c>
      <c r="B18" s="226">
        <v>4344.186952</v>
      </c>
      <c r="C18" s="226">
        <v>2671.1939730000004</v>
      </c>
      <c r="D18" s="226">
        <v>2242.5704900000001</v>
      </c>
      <c r="E18" s="226">
        <v>146.12340599999999</v>
      </c>
      <c r="F18" s="226">
        <v>282.50007700000003</v>
      </c>
      <c r="G18" s="226">
        <v>1135.0233969999999</v>
      </c>
      <c r="H18" s="226">
        <v>642.94954399999995</v>
      </c>
      <c r="I18" s="226">
        <v>492.07385299999999</v>
      </c>
      <c r="J18" s="226">
        <v>0</v>
      </c>
      <c r="K18" s="226">
        <v>537.96958199999995</v>
      </c>
      <c r="L18" s="191"/>
    </row>
    <row r="19" spans="1:12" x14ac:dyDescent="0.2">
      <c r="A19" s="217">
        <v>1975</v>
      </c>
      <c r="B19" s="226">
        <v>5990.5545940000011</v>
      </c>
      <c r="C19" s="226">
        <v>3446.9863320000004</v>
      </c>
      <c r="D19" s="226">
        <v>3001.0325830000002</v>
      </c>
      <c r="E19" s="226">
        <v>219.37142299999999</v>
      </c>
      <c r="F19" s="226">
        <v>226.58232599999997</v>
      </c>
      <c r="G19" s="226">
        <v>1612.273567</v>
      </c>
      <c r="H19" s="226">
        <v>974.36442199999999</v>
      </c>
      <c r="I19" s="226">
        <v>637.90914499999997</v>
      </c>
      <c r="J19" s="226">
        <v>0</v>
      </c>
      <c r="K19" s="226">
        <v>931.29469500000005</v>
      </c>
      <c r="L19" s="191"/>
    </row>
    <row r="20" spans="1:12" x14ac:dyDescent="0.2">
      <c r="A20" s="217">
        <v>1976</v>
      </c>
      <c r="B20" s="226">
        <v>7483.4665649999997</v>
      </c>
      <c r="C20" s="226">
        <v>4236.4718169999996</v>
      </c>
      <c r="D20" s="226">
        <v>3585.1577049999996</v>
      </c>
      <c r="E20" s="226">
        <v>375.27702099999999</v>
      </c>
      <c r="F20" s="226">
        <v>276.03709100000003</v>
      </c>
      <c r="G20" s="226">
        <v>2062.300819</v>
      </c>
      <c r="H20" s="226">
        <v>1191.523884</v>
      </c>
      <c r="I20" s="226">
        <v>870.77693499999998</v>
      </c>
      <c r="J20" s="226">
        <v>0</v>
      </c>
      <c r="K20" s="226">
        <v>1184.693929</v>
      </c>
      <c r="L20" s="191"/>
    </row>
    <row r="21" spans="1:12" x14ac:dyDescent="0.2">
      <c r="A21" s="217">
        <v>1977</v>
      </c>
      <c r="B21" s="226">
        <v>8928.9266750000006</v>
      </c>
      <c r="C21" s="226">
        <v>5129.5963040000006</v>
      </c>
      <c r="D21" s="226">
        <v>4045.3145500000001</v>
      </c>
      <c r="E21" s="226">
        <v>681.60484599999995</v>
      </c>
      <c r="F21" s="226">
        <v>402.67690799999997</v>
      </c>
      <c r="G21" s="226">
        <v>2169.4185990000001</v>
      </c>
      <c r="H21" s="226">
        <v>1249.460051</v>
      </c>
      <c r="I21" s="226">
        <v>919.95854799999995</v>
      </c>
      <c r="J21" s="226">
        <v>0</v>
      </c>
      <c r="K21" s="226">
        <v>1629.9117719999999</v>
      </c>
      <c r="L21" s="191"/>
    </row>
    <row r="22" spans="1:12" x14ac:dyDescent="0.2">
      <c r="A22" s="217">
        <v>1978</v>
      </c>
      <c r="B22" s="226">
        <v>9680.6387950000008</v>
      </c>
      <c r="C22" s="226">
        <v>5477.8946139999998</v>
      </c>
      <c r="D22" s="226">
        <v>4343.1722609999997</v>
      </c>
      <c r="E22" s="226">
        <v>845.19995399999993</v>
      </c>
      <c r="F22" s="226">
        <v>289.52239900000001</v>
      </c>
      <c r="G22" s="226">
        <v>2342.5303250000002</v>
      </c>
      <c r="H22" s="226">
        <v>1481.6780470000001</v>
      </c>
      <c r="I22" s="226">
        <v>860.85227799999996</v>
      </c>
      <c r="J22" s="226">
        <v>0</v>
      </c>
      <c r="K22" s="226">
        <v>1860.2138559999999</v>
      </c>
      <c r="L22" s="191"/>
    </row>
    <row r="23" spans="1:12" x14ac:dyDescent="0.2">
      <c r="A23" s="217">
        <v>1979</v>
      </c>
      <c r="B23" s="226">
        <v>10788.143</v>
      </c>
      <c r="C23" s="226">
        <v>6252.0470000000005</v>
      </c>
      <c r="D23" s="226">
        <v>5024.5470000000005</v>
      </c>
      <c r="E23" s="226">
        <v>944.73199999999997</v>
      </c>
      <c r="F23" s="226">
        <v>282.76799999999997</v>
      </c>
      <c r="G23" s="226">
        <v>2667.0859999999998</v>
      </c>
      <c r="H23" s="226">
        <v>1889.4369999999999</v>
      </c>
      <c r="I23" s="226">
        <v>777.649</v>
      </c>
      <c r="J23" s="226">
        <v>0</v>
      </c>
      <c r="K23" s="226">
        <v>1869.01</v>
      </c>
      <c r="L23" s="191"/>
    </row>
    <row r="24" spans="1:12" x14ac:dyDescent="0.2">
      <c r="A24" s="217">
        <v>1980</v>
      </c>
      <c r="B24" s="226">
        <v>12098.115</v>
      </c>
      <c r="C24" s="226">
        <v>7309.0150000000003</v>
      </c>
      <c r="D24" s="226">
        <v>5778.2870000000003</v>
      </c>
      <c r="E24" s="226">
        <v>1109.78</v>
      </c>
      <c r="F24" s="226">
        <v>420.94799999999998</v>
      </c>
      <c r="G24" s="226">
        <v>2993.29</v>
      </c>
      <c r="H24" s="226">
        <v>2303.3359999999998</v>
      </c>
      <c r="I24" s="226">
        <v>689.95399999999995</v>
      </c>
      <c r="J24" s="226">
        <v>0</v>
      </c>
      <c r="K24" s="226">
        <v>1795.81</v>
      </c>
      <c r="L24" s="191"/>
    </row>
    <row r="25" spans="1:12" x14ac:dyDescent="0.2">
      <c r="A25" s="217">
        <v>1981</v>
      </c>
      <c r="B25" s="226">
        <v>14064</v>
      </c>
      <c r="C25" s="226">
        <v>8851</v>
      </c>
      <c r="D25" s="226">
        <v>6844</v>
      </c>
      <c r="E25" s="226">
        <v>1466</v>
      </c>
      <c r="F25" s="226">
        <v>541</v>
      </c>
      <c r="G25" s="226">
        <v>3135</v>
      </c>
      <c r="H25" s="226">
        <v>2517</v>
      </c>
      <c r="I25" s="226">
        <v>618</v>
      </c>
      <c r="J25" s="226">
        <v>0</v>
      </c>
      <c r="K25" s="226">
        <v>2078</v>
      </c>
      <c r="L25" s="191"/>
    </row>
    <row r="26" spans="1:12" x14ac:dyDescent="0.2">
      <c r="A26" s="217">
        <v>1982</v>
      </c>
      <c r="B26" s="226">
        <v>15448</v>
      </c>
      <c r="C26" s="226">
        <v>10433</v>
      </c>
      <c r="D26" s="226">
        <v>8390</v>
      </c>
      <c r="E26" s="226">
        <v>1888</v>
      </c>
      <c r="F26" s="226">
        <v>155</v>
      </c>
      <c r="G26" s="226">
        <v>4779</v>
      </c>
      <c r="H26" s="226">
        <v>3305</v>
      </c>
      <c r="I26" s="226">
        <v>757</v>
      </c>
      <c r="J26" s="226">
        <v>717</v>
      </c>
      <c r="K26" s="226">
        <v>236</v>
      </c>
      <c r="L26" s="191"/>
    </row>
    <row r="27" spans="1:12" x14ac:dyDescent="0.2">
      <c r="A27" s="217">
        <v>1983</v>
      </c>
      <c r="B27" s="226">
        <v>22991</v>
      </c>
      <c r="C27" s="226">
        <v>16522</v>
      </c>
      <c r="D27" s="226">
        <v>11390</v>
      </c>
      <c r="E27" s="226">
        <v>2653</v>
      </c>
      <c r="F27" s="226">
        <v>2479</v>
      </c>
      <c r="G27" s="226">
        <v>6285</v>
      </c>
      <c r="H27" s="226">
        <v>4535</v>
      </c>
      <c r="I27" s="226">
        <v>834</v>
      </c>
      <c r="J27" s="226">
        <v>916</v>
      </c>
      <c r="K27" s="226">
        <v>184</v>
      </c>
      <c r="L27" s="191"/>
    </row>
    <row r="28" spans="1:12" x14ac:dyDescent="0.2">
      <c r="A28" s="217">
        <v>1984</v>
      </c>
      <c r="B28" s="226">
        <v>32882</v>
      </c>
      <c r="C28" s="226">
        <v>22224</v>
      </c>
      <c r="D28" s="226">
        <v>15443</v>
      </c>
      <c r="E28" s="226">
        <v>3961</v>
      </c>
      <c r="F28" s="226">
        <v>2820</v>
      </c>
      <c r="G28" s="226">
        <v>10522</v>
      </c>
      <c r="H28" s="226">
        <v>8020</v>
      </c>
      <c r="I28" s="226">
        <v>1228</v>
      </c>
      <c r="J28" s="226">
        <v>1274</v>
      </c>
      <c r="K28" s="226">
        <v>136</v>
      </c>
      <c r="L28" s="191"/>
    </row>
    <row r="29" spans="1:12" x14ac:dyDescent="0.2">
      <c r="A29" s="217">
        <v>1985</v>
      </c>
      <c r="B29" s="226">
        <v>48105</v>
      </c>
      <c r="C29" s="226">
        <v>29782</v>
      </c>
      <c r="D29" s="226">
        <v>21718</v>
      </c>
      <c r="E29" s="226">
        <v>5670</v>
      </c>
      <c r="F29" s="226">
        <v>2394</v>
      </c>
      <c r="G29" s="226">
        <v>18259</v>
      </c>
      <c r="H29" s="226">
        <v>14600</v>
      </c>
      <c r="I29" s="226">
        <v>1792</v>
      </c>
      <c r="J29" s="226">
        <v>1867</v>
      </c>
      <c r="K29" s="226">
        <v>64</v>
      </c>
      <c r="L29" s="191"/>
    </row>
    <row r="30" spans="1:12" x14ac:dyDescent="0.2">
      <c r="A30" s="217">
        <v>1986</v>
      </c>
      <c r="B30" s="226">
        <v>70780.334000000003</v>
      </c>
      <c r="C30" s="226">
        <v>40020.763000000006</v>
      </c>
      <c r="D30" s="226">
        <v>31703.891000000003</v>
      </c>
      <c r="E30" s="226">
        <v>6820.4489999999996</v>
      </c>
      <c r="F30" s="226">
        <v>1496.423</v>
      </c>
      <c r="G30" s="226">
        <v>24328.570999999996</v>
      </c>
      <c r="H30" s="226">
        <v>19576.842999999997</v>
      </c>
      <c r="I30" s="226">
        <v>2099.6089999999999</v>
      </c>
      <c r="J30" s="226">
        <v>2652.1190000000001</v>
      </c>
      <c r="K30" s="226">
        <v>6431</v>
      </c>
      <c r="L30" s="191"/>
    </row>
    <row r="31" spans="1:12" x14ac:dyDescent="0.2">
      <c r="A31" s="217">
        <v>1987</v>
      </c>
      <c r="B31" s="226">
        <v>85812</v>
      </c>
      <c r="C31" s="226">
        <v>50686</v>
      </c>
      <c r="D31" s="226">
        <v>39409</v>
      </c>
      <c r="E31" s="226">
        <v>9400</v>
      </c>
      <c r="F31" s="226">
        <v>1877</v>
      </c>
      <c r="G31" s="226">
        <v>30483</v>
      </c>
      <c r="H31" s="226">
        <v>23586</v>
      </c>
      <c r="I31" s="226">
        <v>3100</v>
      </c>
      <c r="J31" s="226">
        <v>3797</v>
      </c>
      <c r="K31" s="226">
        <v>4643</v>
      </c>
    </row>
    <row r="32" spans="1:12" x14ac:dyDescent="0.2">
      <c r="A32" s="217">
        <v>1988</v>
      </c>
      <c r="B32" s="226">
        <v>100688</v>
      </c>
      <c r="C32" s="226">
        <v>63070</v>
      </c>
      <c r="D32" s="226">
        <v>49565</v>
      </c>
      <c r="E32" s="226">
        <v>11568</v>
      </c>
      <c r="F32" s="226">
        <v>1937</v>
      </c>
      <c r="G32" s="226">
        <v>35178</v>
      </c>
      <c r="H32" s="226">
        <v>26327</v>
      </c>
      <c r="I32" s="226">
        <v>3497</v>
      </c>
      <c r="J32" s="226">
        <v>5354</v>
      </c>
      <c r="K32" s="226">
        <v>2440</v>
      </c>
    </row>
    <row r="33" spans="1:12" x14ac:dyDescent="0.2">
      <c r="A33" s="217">
        <v>1989</v>
      </c>
      <c r="B33" s="226">
        <v>141433</v>
      </c>
      <c r="C33" s="226">
        <v>85454</v>
      </c>
      <c r="D33" s="226">
        <v>66035</v>
      </c>
      <c r="E33" s="226">
        <v>16681</v>
      </c>
      <c r="F33" s="226">
        <v>2738</v>
      </c>
      <c r="G33" s="226">
        <v>41133</v>
      </c>
      <c r="H33" s="226">
        <v>30255</v>
      </c>
      <c r="I33" s="226">
        <v>4388</v>
      </c>
      <c r="J33" s="226">
        <v>6490</v>
      </c>
      <c r="K33" s="226">
        <v>14846</v>
      </c>
    </row>
    <row r="34" spans="1:12" x14ac:dyDescent="0.2">
      <c r="A34" s="217">
        <v>1990</v>
      </c>
      <c r="B34" s="226">
        <v>202622</v>
      </c>
      <c r="C34" s="226">
        <v>124044</v>
      </c>
      <c r="D34" s="226">
        <v>97112</v>
      </c>
      <c r="E34" s="226">
        <v>23702</v>
      </c>
      <c r="F34" s="226">
        <v>3230</v>
      </c>
      <c r="G34" s="226">
        <v>52547</v>
      </c>
      <c r="H34" s="226">
        <v>37236</v>
      </c>
      <c r="I34" s="226">
        <v>4738</v>
      </c>
      <c r="J34" s="226">
        <v>10573</v>
      </c>
      <c r="K34" s="226">
        <v>26031</v>
      </c>
    </row>
    <row r="35" spans="1:12" x14ac:dyDescent="0.2">
      <c r="A35" s="217">
        <v>1991</v>
      </c>
      <c r="B35" s="226">
        <v>291066</v>
      </c>
      <c r="C35" s="226">
        <v>198754</v>
      </c>
      <c r="D35" s="226">
        <v>156394</v>
      </c>
      <c r="E35" s="226">
        <v>37169</v>
      </c>
      <c r="F35" s="226">
        <v>5191</v>
      </c>
      <c r="G35" s="226">
        <v>70206</v>
      </c>
      <c r="H35" s="226">
        <v>46919</v>
      </c>
      <c r="I35" s="226">
        <v>5101</v>
      </c>
      <c r="J35" s="226">
        <v>18186</v>
      </c>
      <c r="K35" s="226">
        <v>22106</v>
      </c>
    </row>
    <row r="36" spans="1:12" x14ac:dyDescent="0.2">
      <c r="A36" s="217">
        <v>1992</v>
      </c>
      <c r="B36" s="226">
        <v>448420</v>
      </c>
      <c r="C36" s="226">
        <v>337745</v>
      </c>
      <c r="D36" s="226">
        <v>272587</v>
      </c>
      <c r="E36" s="226">
        <v>55372</v>
      </c>
      <c r="F36" s="226">
        <v>9786</v>
      </c>
      <c r="G36" s="226">
        <v>109275</v>
      </c>
      <c r="H36" s="226">
        <v>74945</v>
      </c>
      <c r="I36" s="226">
        <v>7460</v>
      </c>
      <c r="J36" s="226">
        <v>26870</v>
      </c>
      <c r="K36" s="226">
        <v>1400</v>
      </c>
    </row>
    <row r="37" spans="1:12" x14ac:dyDescent="0.2">
      <c r="A37" s="217">
        <v>1993</v>
      </c>
      <c r="B37" s="226">
        <v>644584</v>
      </c>
      <c r="C37" s="226">
        <v>460345</v>
      </c>
      <c r="D37" s="226">
        <v>361819</v>
      </c>
      <c r="E37" s="226">
        <v>86106</v>
      </c>
      <c r="F37" s="226">
        <v>12420</v>
      </c>
      <c r="G37" s="226">
        <v>170122</v>
      </c>
      <c r="H37" s="226">
        <v>97885</v>
      </c>
      <c r="I37" s="226">
        <v>14339</v>
      </c>
      <c r="J37" s="226">
        <v>57898</v>
      </c>
      <c r="K37" s="226">
        <v>14117</v>
      </c>
    </row>
    <row r="38" spans="1:12" x14ac:dyDescent="0.2">
      <c r="A38" s="217">
        <v>1994</v>
      </c>
      <c r="B38" s="226">
        <v>707989</v>
      </c>
      <c r="C38" s="226">
        <v>566393</v>
      </c>
      <c r="D38" s="226">
        <v>431990</v>
      </c>
      <c r="E38" s="226">
        <v>117072</v>
      </c>
      <c r="F38" s="226">
        <v>17331</v>
      </c>
      <c r="G38" s="226">
        <v>192934</v>
      </c>
      <c r="H38" s="226">
        <v>100510</v>
      </c>
      <c r="I38" s="226">
        <v>18309</v>
      </c>
      <c r="J38" s="226">
        <v>74115</v>
      </c>
      <c r="K38" s="226">
        <v>-51338</v>
      </c>
      <c r="L38" s="223"/>
    </row>
    <row r="39" spans="1:12" x14ac:dyDescent="0.2">
      <c r="A39" s="217">
        <v>1995</v>
      </c>
      <c r="B39" s="226">
        <v>718885</v>
      </c>
      <c r="C39" s="226">
        <v>621650</v>
      </c>
      <c r="D39" s="226">
        <v>467077</v>
      </c>
      <c r="E39" s="226">
        <v>133333</v>
      </c>
      <c r="F39" s="226">
        <v>21240</v>
      </c>
      <c r="G39" s="226">
        <v>186873</v>
      </c>
      <c r="H39" s="226">
        <v>100400</v>
      </c>
      <c r="I39" s="226">
        <v>17240</v>
      </c>
      <c r="J39" s="226">
        <v>69233</v>
      </c>
      <c r="K39" s="226">
        <v>-89638</v>
      </c>
      <c r="L39" s="223"/>
    </row>
    <row r="40" spans="1:12" x14ac:dyDescent="0.2">
      <c r="A40" s="217">
        <v>1996</v>
      </c>
      <c r="B40" s="226">
        <v>747644</v>
      </c>
      <c r="C40" s="226">
        <v>683618</v>
      </c>
      <c r="D40" s="226">
        <v>510305</v>
      </c>
      <c r="E40" s="226">
        <v>147915</v>
      </c>
      <c r="F40" s="226">
        <v>25398</v>
      </c>
      <c r="G40" s="226">
        <v>201259</v>
      </c>
      <c r="H40" s="226">
        <v>99737</v>
      </c>
      <c r="I40" s="226">
        <v>16637</v>
      </c>
      <c r="J40" s="226">
        <v>84885</v>
      </c>
      <c r="K40" s="226">
        <v>-137233</v>
      </c>
    </row>
    <row r="41" spans="1:12" x14ac:dyDescent="0.2">
      <c r="A41" s="217">
        <v>1997</v>
      </c>
      <c r="B41" s="226">
        <f>+C41+G41+K41</f>
        <v>686359</v>
      </c>
      <c r="C41" s="226">
        <f>+D41+E41+F41</f>
        <v>662475</v>
      </c>
      <c r="D41" s="226">
        <v>493993</v>
      </c>
      <c r="E41" s="226">
        <v>143172</v>
      </c>
      <c r="F41" s="226">
        <v>25310</v>
      </c>
      <c r="G41" s="226">
        <f>+H41+I41+J41</f>
        <v>172071</v>
      </c>
      <c r="H41" s="226">
        <v>87419</v>
      </c>
      <c r="I41" s="226">
        <v>14412</v>
      </c>
      <c r="J41" s="226">
        <v>70240</v>
      </c>
      <c r="K41" s="226">
        <v>-148187</v>
      </c>
    </row>
    <row r="42" spans="1:12" x14ac:dyDescent="0.2">
      <c r="A42" s="217">
        <v>1998</v>
      </c>
      <c r="B42" s="226">
        <f>+C42+G42+K42</f>
        <v>652871</v>
      </c>
      <c r="C42" s="226">
        <f>+D42+E42+F42</f>
        <v>636341</v>
      </c>
      <c r="D42" s="285">
        <v>485698</v>
      </c>
      <c r="E42" s="285">
        <v>123178</v>
      </c>
      <c r="F42" s="285">
        <v>27465</v>
      </c>
      <c r="G42" s="226">
        <f>+H42+I42+J42</f>
        <v>104444</v>
      </c>
      <c r="H42" s="285">
        <v>62226</v>
      </c>
      <c r="I42" s="285">
        <v>9556</v>
      </c>
      <c r="J42" s="285">
        <v>32662</v>
      </c>
      <c r="K42" s="285">
        <v>-87914</v>
      </c>
      <c r="L42" s="223"/>
    </row>
    <row r="43" spans="1:12" x14ac:dyDescent="0.2">
      <c r="A43" s="217">
        <v>1999</v>
      </c>
      <c r="B43" s="226">
        <f>+C43+G43+K43</f>
        <v>747566</v>
      </c>
      <c r="C43" s="226">
        <f>+D43+E43+F43</f>
        <v>688064</v>
      </c>
      <c r="D43" s="285">
        <v>514986</v>
      </c>
      <c r="E43" s="285">
        <v>147652</v>
      </c>
      <c r="F43" s="285">
        <v>25426</v>
      </c>
      <c r="G43" s="226">
        <f>+H43+I43+J43</f>
        <v>198251</v>
      </c>
      <c r="H43" s="285">
        <v>98929</v>
      </c>
      <c r="I43" s="285">
        <v>16479</v>
      </c>
      <c r="J43" s="285">
        <v>82843</v>
      </c>
      <c r="K43" s="285">
        <v>-138749</v>
      </c>
      <c r="L43" s="223"/>
    </row>
    <row r="44" spans="1:12" x14ac:dyDescent="0.2">
      <c r="A44" s="280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</row>
    <row r="45" spans="1:12" x14ac:dyDescent="0.2">
      <c r="A45" s="269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23"/>
    </row>
    <row r="46" spans="1:12" x14ac:dyDescent="0.2"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</row>
    <row r="47" spans="1:12" x14ac:dyDescent="0.2">
      <c r="A47" s="410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x14ac:dyDescent="0.2">
      <c r="A48" s="124" t="s">
        <v>598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2:12" x14ac:dyDescent="0.2"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2:12" x14ac:dyDescent="0.2"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spans="2:12" x14ac:dyDescent="0.2"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2:12" x14ac:dyDescent="0.2"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</row>
    <row r="53" spans="2:12" x14ac:dyDescent="0.2"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</row>
    <row r="54" spans="2:12" x14ac:dyDescent="0.2"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</row>
    <row r="55" spans="2:12" x14ac:dyDescent="0.2"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</row>
    <row r="56" spans="2:12" x14ac:dyDescent="0.2"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2:12" x14ac:dyDescent="0.2"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</row>
  </sheetData>
  <mergeCells count="8">
    <mergeCell ref="A1:K1"/>
    <mergeCell ref="A2:K2"/>
    <mergeCell ref="A3:K3"/>
    <mergeCell ref="G5:J5"/>
    <mergeCell ref="C5:F5"/>
    <mergeCell ref="B5:B6"/>
    <mergeCell ref="A5:A6"/>
    <mergeCell ref="K5:K6"/>
  </mergeCells>
  <hyperlinks>
    <hyperlink ref="A48" location="'indice cap.1'!A1" display="regresar al índice" xr:uid="{00000000-0004-0000-1A00-000000000000}"/>
  </hyperlinks>
  <pageMargins left="0.70866141732283472" right="0" top="0.74803149606299213" bottom="0.74803149606299213" header="0.31496062992125984" footer="0.31496062992125984"/>
  <pageSetup paperSize="9" scale="75" orientation="landscape" verticalDpi="599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85"/>
  <sheetViews>
    <sheetView showGridLines="0" workbookViewId="0">
      <selection activeCell="A5" sqref="A5"/>
    </sheetView>
  </sheetViews>
  <sheetFormatPr defaultColWidth="11.42578125" defaultRowHeight="12.75" x14ac:dyDescent="0.2"/>
  <cols>
    <col min="1" max="1" width="11.42578125" style="108"/>
    <col min="2" max="8" width="15.7109375" style="108" customWidth="1"/>
    <col min="9" max="16384" width="11.42578125" style="108"/>
  </cols>
  <sheetData>
    <row r="1" spans="1:8" x14ac:dyDescent="0.2">
      <c r="A1" s="493" t="s">
        <v>677</v>
      </c>
      <c r="B1" s="494"/>
      <c r="C1" s="494"/>
      <c r="D1" s="494"/>
      <c r="E1" s="494"/>
      <c r="F1" s="494"/>
      <c r="G1" s="494"/>
      <c r="H1" s="494"/>
    </row>
    <row r="2" spans="1:8" x14ac:dyDescent="0.2">
      <c r="A2" s="493" t="s">
        <v>774</v>
      </c>
      <c r="B2" s="494"/>
      <c r="C2" s="494"/>
      <c r="D2" s="494"/>
      <c r="E2" s="494"/>
      <c r="F2" s="494"/>
      <c r="G2" s="494"/>
      <c r="H2" s="494"/>
    </row>
    <row r="3" spans="1:8" x14ac:dyDescent="0.2">
      <c r="A3" s="390" t="s">
        <v>86</v>
      </c>
      <c r="B3" s="402"/>
      <c r="C3" s="402"/>
      <c r="D3" s="394"/>
      <c r="E3" s="402"/>
      <c r="F3" s="402"/>
      <c r="G3" s="402"/>
      <c r="H3" s="402"/>
    </row>
    <row r="4" spans="1:8" x14ac:dyDescent="0.2">
      <c r="A4" s="167"/>
      <c r="B4" s="167"/>
      <c r="C4" s="208"/>
      <c r="D4" s="167"/>
      <c r="E4" s="167"/>
      <c r="F4" s="167"/>
      <c r="G4" s="167"/>
      <c r="H4" s="167"/>
    </row>
    <row r="5" spans="1:8" ht="38.25" x14ac:dyDescent="0.2">
      <c r="A5" s="396" t="s">
        <v>87</v>
      </c>
      <c r="B5" s="393" t="s">
        <v>822</v>
      </c>
      <c r="C5" s="393" t="s">
        <v>823</v>
      </c>
      <c r="D5" s="393" t="s">
        <v>824</v>
      </c>
      <c r="E5" s="393" t="s">
        <v>825</v>
      </c>
      <c r="F5" s="393" t="s">
        <v>826</v>
      </c>
      <c r="G5" s="393" t="s">
        <v>827</v>
      </c>
      <c r="H5" s="395" t="s">
        <v>449</v>
      </c>
    </row>
    <row r="6" spans="1:8" x14ac:dyDescent="0.2">
      <c r="B6" s="286" t="s">
        <v>465</v>
      </c>
      <c r="C6" s="287" t="s">
        <v>98</v>
      </c>
      <c r="D6" s="287" t="s">
        <v>113</v>
      </c>
      <c r="E6" s="287" t="s">
        <v>100</v>
      </c>
      <c r="F6" s="287" t="s">
        <v>101</v>
      </c>
      <c r="G6" s="287" t="s">
        <v>102</v>
      </c>
      <c r="H6" s="288" t="s">
        <v>114</v>
      </c>
    </row>
    <row r="8" spans="1:8" x14ac:dyDescent="0.2">
      <c r="A8" s="180">
        <v>1927</v>
      </c>
      <c r="B8" s="179" t="s">
        <v>10</v>
      </c>
      <c r="C8" s="179" t="s">
        <v>10</v>
      </c>
      <c r="D8" s="179" t="s">
        <v>10</v>
      </c>
      <c r="E8" s="179" t="s">
        <v>10</v>
      </c>
      <c r="F8" s="179" t="s">
        <v>10</v>
      </c>
      <c r="G8" s="289" t="s">
        <v>10</v>
      </c>
      <c r="H8" s="179" t="s">
        <v>10</v>
      </c>
    </row>
    <row r="9" spans="1:8" x14ac:dyDescent="0.2">
      <c r="A9" s="180">
        <v>1928</v>
      </c>
      <c r="B9" s="179" t="s">
        <v>10</v>
      </c>
      <c r="C9" s="179" t="s">
        <v>10</v>
      </c>
      <c r="D9" s="179" t="s">
        <v>10</v>
      </c>
      <c r="E9" s="179" t="s">
        <v>10</v>
      </c>
      <c r="F9" s="179" t="s">
        <v>10</v>
      </c>
      <c r="G9" s="289" t="s">
        <v>10</v>
      </c>
      <c r="H9" s="179" t="s">
        <v>10</v>
      </c>
    </row>
    <row r="10" spans="1:8" x14ac:dyDescent="0.2">
      <c r="A10" s="180">
        <v>1929</v>
      </c>
      <c r="B10" s="179" t="s">
        <v>10</v>
      </c>
      <c r="C10" s="179" t="s">
        <v>10</v>
      </c>
      <c r="D10" s="179" t="s">
        <v>10</v>
      </c>
      <c r="E10" s="179" t="s">
        <v>10</v>
      </c>
      <c r="F10" s="289" t="s">
        <v>10</v>
      </c>
      <c r="G10" s="289" t="s">
        <v>10</v>
      </c>
      <c r="H10" s="289" t="s">
        <v>10</v>
      </c>
    </row>
    <row r="11" spans="1:8" x14ac:dyDescent="0.2">
      <c r="A11" s="180">
        <v>1930</v>
      </c>
      <c r="B11" s="179" t="s">
        <v>10</v>
      </c>
      <c r="C11" s="179" t="s">
        <v>10</v>
      </c>
      <c r="D11" s="179" t="s">
        <v>10</v>
      </c>
      <c r="E11" s="179" t="s">
        <v>10</v>
      </c>
      <c r="F11" s="289" t="s">
        <v>10</v>
      </c>
      <c r="G11" s="289" t="s">
        <v>10</v>
      </c>
      <c r="H11" s="289" t="s">
        <v>10</v>
      </c>
    </row>
    <row r="12" spans="1:8" x14ac:dyDescent="0.2">
      <c r="A12" s="180">
        <v>1931</v>
      </c>
      <c r="B12" s="179" t="s">
        <v>10</v>
      </c>
      <c r="C12" s="179" t="s">
        <v>10</v>
      </c>
      <c r="D12" s="179" t="s">
        <v>10</v>
      </c>
      <c r="E12" s="179" t="s">
        <v>10</v>
      </c>
      <c r="F12" s="289" t="s">
        <v>10</v>
      </c>
      <c r="G12" s="289" t="s">
        <v>10</v>
      </c>
      <c r="H12" s="289" t="s">
        <v>10</v>
      </c>
    </row>
    <row r="13" spans="1:8" x14ac:dyDescent="0.2">
      <c r="A13" s="180">
        <v>1932</v>
      </c>
      <c r="B13" s="179" t="s">
        <v>10</v>
      </c>
      <c r="C13" s="179" t="s">
        <v>10</v>
      </c>
      <c r="D13" s="179" t="s">
        <v>10</v>
      </c>
      <c r="E13" s="179" t="s">
        <v>10</v>
      </c>
      <c r="F13" s="289" t="s">
        <v>10</v>
      </c>
      <c r="G13" s="289" t="s">
        <v>10</v>
      </c>
      <c r="H13" s="289" t="s">
        <v>10</v>
      </c>
    </row>
    <row r="14" spans="1:8" x14ac:dyDescent="0.2">
      <c r="A14" s="180">
        <v>1933</v>
      </c>
      <c r="B14" s="179" t="s">
        <v>10</v>
      </c>
      <c r="C14" s="179" t="s">
        <v>10</v>
      </c>
      <c r="D14" s="179" t="s">
        <v>10</v>
      </c>
      <c r="E14" s="179" t="s">
        <v>10</v>
      </c>
      <c r="F14" s="289" t="s">
        <v>10</v>
      </c>
      <c r="G14" s="289" t="s">
        <v>10</v>
      </c>
      <c r="H14" s="289" t="s">
        <v>10</v>
      </c>
    </row>
    <row r="15" spans="1:8" x14ac:dyDescent="0.2">
      <c r="A15" s="180">
        <v>1934</v>
      </c>
      <c r="B15" s="179" t="s">
        <v>10</v>
      </c>
      <c r="C15" s="179" t="s">
        <v>10</v>
      </c>
      <c r="D15" s="179" t="s">
        <v>10</v>
      </c>
      <c r="E15" s="179" t="s">
        <v>10</v>
      </c>
      <c r="F15" s="289" t="s">
        <v>10</v>
      </c>
      <c r="G15" s="289" t="s">
        <v>10</v>
      </c>
      <c r="H15" s="289" t="s">
        <v>10</v>
      </c>
    </row>
    <row r="16" spans="1:8" x14ac:dyDescent="0.2">
      <c r="A16" s="180">
        <v>1935</v>
      </c>
      <c r="B16" s="179" t="s">
        <v>10</v>
      </c>
      <c r="C16" s="179" t="s">
        <v>10</v>
      </c>
      <c r="D16" s="179" t="s">
        <v>10</v>
      </c>
      <c r="E16" s="179" t="s">
        <v>10</v>
      </c>
      <c r="F16" s="289" t="s">
        <v>10</v>
      </c>
      <c r="G16" s="289" t="s">
        <v>10</v>
      </c>
      <c r="H16" s="289" t="s">
        <v>10</v>
      </c>
    </row>
    <row r="17" spans="1:8" x14ac:dyDescent="0.2">
      <c r="A17" s="180">
        <v>1936</v>
      </c>
      <c r="B17" s="179" t="s">
        <v>10</v>
      </c>
      <c r="C17" s="179" t="s">
        <v>10</v>
      </c>
      <c r="D17" s="179" t="s">
        <v>10</v>
      </c>
      <c r="E17" s="179" t="s">
        <v>10</v>
      </c>
      <c r="F17" s="289" t="s">
        <v>10</v>
      </c>
      <c r="G17" s="289" t="s">
        <v>10</v>
      </c>
      <c r="H17" s="289" t="s">
        <v>10</v>
      </c>
    </row>
    <row r="18" spans="1:8" x14ac:dyDescent="0.2">
      <c r="A18" s="180">
        <v>1937</v>
      </c>
      <c r="B18" s="179" t="s">
        <v>10</v>
      </c>
      <c r="C18" s="179" t="s">
        <v>10</v>
      </c>
      <c r="D18" s="179" t="s">
        <v>10</v>
      </c>
      <c r="E18" s="179" t="s">
        <v>10</v>
      </c>
      <c r="F18" s="289" t="s">
        <v>10</v>
      </c>
      <c r="G18" s="289" t="s">
        <v>10</v>
      </c>
      <c r="H18" s="289" t="s">
        <v>10</v>
      </c>
    </row>
    <row r="19" spans="1:8" x14ac:dyDescent="0.2">
      <c r="A19" s="180">
        <v>1938</v>
      </c>
      <c r="B19" s="179" t="s">
        <v>10</v>
      </c>
      <c r="C19" s="179" t="s">
        <v>10</v>
      </c>
      <c r="D19" s="179" t="s">
        <v>10</v>
      </c>
      <c r="E19" s="179" t="s">
        <v>10</v>
      </c>
      <c r="F19" s="289" t="s">
        <v>10</v>
      </c>
      <c r="G19" s="289" t="s">
        <v>10</v>
      </c>
      <c r="H19" s="289" t="s">
        <v>10</v>
      </c>
    </row>
    <row r="20" spans="1:8" x14ac:dyDescent="0.2">
      <c r="A20" s="180">
        <v>1939</v>
      </c>
      <c r="B20" s="179" t="s">
        <v>10</v>
      </c>
      <c r="C20" s="179" t="s">
        <v>10</v>
      </c>
      <c r="D20" s="179" t="s">
        <v>10</v>
      </c>
      <c r="E20" s="179" t="s">
        <v>10</v>
      </c>
      <c r="F20" s="289" t="s">
        <v>10</v>
      </c>
      <c r="G20" s="289" t="s">
        <v>10</v>
      </c>
      <c r="H20" s="289" t="s">
        <v>10</v>
      </c>
    </row>
    <row r="21" spans="1:8" x14ac:dyDescent="0.2">
      <c r="A21" s="180">
        <v>1940</v>
      </c>
      <c r="B21" s="179" t="s">
        <v>10</v>
      </c>
      <c r="C21" s="179" t="s">
        <v>10</v>
      </c>
      <c r="D21" s="179" t="s">
        <v>10</v>
      </c>
      <c r="E21" s="179" t="s">
        <v>10</v>
      </c>
      <c r="F21" s="289" t="s">
        <v>10</v>
      </c>
      <c r="G21" s="289" t="s">
        <v>10</v>
      </c>
      <c r="H21" s="289" t="s">
        <v>10</v>
      </c>
    </row>
    <row r="22" spans="1:8" x14ac:dyDescent="0.2">
      <c r="A22" s="180">
        <v>1941</v>
      </c>
      <c r="B22" s="179" t="s">
        <v>10</v>
      </c>
      <c r="C22" s="179" t="s">
        <v>10</v>
      </c>
      <c r="D22" s="179" t="s">
        <v>10</v>
      </c>
      <c r="E22" s="179" t="s">
        <v>10</v>
      </c>
      <c r="F22" s="289" t="s">
        <v>10</v>
      </c>
      <c r="G22" s="289" t="s">
        <v>10</v>
      </c>
      <c r="H22" s="289" t="s">
        <v>10</v>
      </c>
    </row>
    <row r="23" spans="1:8" x14ac:dyDescent="0.2">
      <c r="A23" s="180">
        <v>1942</v>
      </c>
      <c r="B23" s="179" t="s">
        <v>10</v>
      </c>
      <c r="C23" s="179" t="s">
        <v>10</v>
      </c>
      <c r="D23" s="179" t="s">
        <v>10</v>
      </c>
      <c r="E23" s="179" t="s">
        <v>10</v>
      </c>
      <c r="F23" s="289" t="s">
        <v>10</v>
      </c>
      <c r="G23" s="289" t="s">
        <v>10</v>
      </c>
      <c r="H23" s="289" t="s">
        <v>10</v>
      </c>
    </row>
    <row r="24" spans="1:8" x14ac:dyDescent="0.2">
      <c r="A24" s="180">
        <v>1943</v>
      </c>
      <c r="B24" s="179" t="s">
        <v>10</v>
      </c>
      <c r="C24" s="179" t="s">
        <v>10</v>
      </c>
      <c r="D24" s="179" t="s">
        <v>10</v>
      </c>
      <c r="E24" s="179" t="s">
        <v>10</v>
      </c>
      <c r="F24" s="289" t="s">
        <v>10</v>
      </c>
      <c r="G24" s="289" t="s">
        <v>10</v>
      </c>
      <c r="H24" s="289" t="s">
        <v>10</v>
      </c>
    </row>
    <row r="25" spans="1:8" x14ac:dyDescent="0.2">
      <c r="A25" s="180">
        <v>1944</v>
      </c>
      <c r="B25" s="227">
        <v>70.453000000000003</v>
      </c>
      <c r="C25" s="226">
        <v>33.908999999999999</v>
      </c>
      <c r="D25" s="226">
        <v>9.5</v>
      </c>
      <c r="E25" s="227" t="s">
        <v>10</v>
      </c>
      <c r="F25" s="227">
        <v>24.341999999999999</v>
      </c>
      <c r="G25" s="226">
        <v>2.702</v>
      </c>
      <c r="H25" s="227" t="s">
        <v>10</v>
      </c>
    </row>
    <row r="26" spans="1:8" x14ac:dyDescent="0.2">
      <c r="A26" s="180">
        <v>1945</v>
      </c>
      <c r="B26" s="227">
        <v>80.305999999999997</v>
      </c>
      <c r="C26" s="226">
        <v>30.626000000000001</v>
      </c>
      <c r="D26" s="226">
        <v>30.114000000000001</v>
      </c>
      <c r="E26" s="226">
        <v>1</v>
      </c>
      <c r="F26" s="227">
        <v>17.603999999999999</v>
      </c>
      <c r="G26" s="226">
        <v>0.83099999999999996</v>
      </c>
      <c r="H26" s="226">
        <v>0.13100000000000001</v>
      </c>
    </row>
    <row r="27" spans="1:8" x14ac:dyDescent="0.2">
      <c r="A27" s="180">
        <v>1946</v>
      </c>
      <c r="B27" s="227">
        <v>72.403999999999996</v>
      </c>
      <c r="C27" s="226">
        <v>23.94</v>
      </c>
      <c r="D27" s="226">
        <v>30.302</v>
      </c>
      <c r="E27" s="226">
        <v>1</v>
      </c>
      <c r="F27" s="227">
        <v>14.811999999999999</v>
      </c>
      <c r="G27" s="226">
        <v>2.0760000000000001</v>
      </c>
      <c r="H27" s="226">
        <v>0.27400000000000002</v>
      </c>
    </row>
    <row r="28" spans="1:8" x14ac:dyDescent="0.2">
      <c r="A28" s="180">
        <v>1947</v>
      </c>
      <c r="B28" s="227">
        <v>76.222000000000008</v>
      </c>
      <c r="C28" s="226">
        <v>21.547999999999998</v>
      </c>
      <c r="D28" s="226">
        <v>32.103999999999999</v>
      </c>
      <c r="E28" s="226">
        <v>1</v>
      </c>
      <c r="F28" s="227">
        <v>20.324999999999999</v>
      </c>
      <c r="G28" s="226">
        <v>0.79</v>
      </c>
      <c r="H28" s="226">
        <v>0.45500000000000002</v>
      </c>
    </row>
    <row r="29" spans="1:8" x14ac:dyDescent="0.2">
      <c r="A29" s="180">
        <v>1948</v>
      </c>
      <c r="B29" s="227">
        <v>76.658999999999992</v>
      </c>
      <c r="C29" s="226">
        <v>22.952000000000002</v>
      </c>
      <c r="D29" s="226">
        <v>28.702999999999999</v>
      </c>
      <c r="E29" s="226">
        <v>0.83399999999999996</v>
      </c>
      <c r="F29" s="226">
        <v>21.806000000000001</v>
      </c>
      <c r="G29" s="226">
        <v>1.8859999999999999</v>
      </c>
      <c r="H29" s="226">
        <v>0.47799999999999998</v>
      </c>
    </row>
    <row r="30" spans="1:8" x14ac:dyDescent="0.2">
      <c r="A30" s="180">
        <v>1949</v>
      </c>
      <c r="B30" s="227">
        <v>95.855000000000004</v>
      </c>
      <c r="C30" s="226">
        <v>41.847000000000001</v>
      </c>
      <c r="D30" s="226">
        <v>22.581</v>
      </c>
      <c r="E30" s="226">
        <v>1.43</v>
      </c>
      <c r="F30" s="226">
        <v>27.577000000000002</v>
      </c>
      <c r="G30" s="226">
        <v>1.95</v>
      </c>
      <c r="H30" s="226">
        <v>0.47</v>
      </c>
    </row>
    <row r="31" spans="1:8" x14ac:dyDescent="0.2">
      <c r="A31" s="180">
        <v>1950</v>
      </c>
      <c r="B31" s="227">
        <v>106.26</v>
      </c>
      <c r="C31" s="226">
        <v>39.039000000000001</v>
      </c>
      <c r="D31" s="226">
        <v>28.925000000000001</v>
      </c>
      <c r="E31" s="226">
        <v>0.96899999999999997</v>
      </c>
      <c r="F31" s="226">
        <v>34.258000000000003</v>
      </c>
      <c r="G31" s="226">
        <v>2.1549999999999998</v>
      </c>
      <c r="H31" s="226">
        <v>0.91400000000000003</v>
      </c>
    </row>
    <row r="32" spans="1:8" x14ac:dyDescent="0.2">
      <c r="A32" s="180">
        <v>1951</v>
      </c>
      <c r="B32" s="227">
        <v>117.711</v>
      </c>
      <c r="C32" s="226">
        <v>34.173999999999999</v>
      </c>
      <c r="D32" s="226">
        <v>36.39</v>
      </c>
      <c r="E32" s="226">
        <v>1.7210000000000001</v>
      </c>
      <c r="F32" s="226">
        <v>41.631</v>
      </c>
      <c r="G32" s="226">
        <v>2.7629999999999999</v>
      </c>
      <c r="H32" s="226">
        <v>1.032</v>
      </c>
    </row>
    <row r="33" spans="1:8" x14ac:dyDescent="0.2">
      <c r="A33" s="180">
        <v>1952</v>
      </c>
      <c r="B33" s="227">
        <v>137.173</v>
      </c>
      <c r="C33" s="226">
        <v>40.332000000000001</v>
      </c>
      <c r="D33" s="226">
        <v>42.667999999999999</v>
      </c>
      <c r="E33" s="226">
        <v>1.77</v>
      </c>
      <c r="F33" s="226">
        <v>46.795000000000002</v>
      </c>
      <c r="G33" s="226">
        <v>3.9209999999999998</v>
      </c>
      <c r="H33" s="226">
        <v>1.6870000000000001</v>
      </c>
    </row>
    <row r="34" spans="1:8" x14ac:dyDescent="0.2">
      <c r="A34" s="180">
        <v>1953</v>
      </c>
      <c r="B34" s="227">
        <v>141.23400000000001</v>
      </c>
      <c r="C34" s="226">
        <v>44.929000000000002</v>
      </c>
      <c r="D34" s="226">
        <v>31.677</v>
      </c>
      <c r="E34" s="226">
        <v>1.615</v>
      </c>
      <c r="F34" s="226">
        <v>58.701999999999998</v>
      </c>
      <c r="G34" s="226">
        <v>2.7290000000000001</v>
      </c>
      <c r="H34" s="226">
        <v>1.5820000000000001</v>
      </c>
    </row>
    <row r="35" spans="1:8" x14ac:dyDescent="0.2">
      <c r="A35" s="180">
        <v>1954</v>
      </c>
      <c r="B35" s="227">
        <v>123.324</v>
      </c>
      <c r="C35" s="226">
        <v>41.558999999999997</v>
      </c>
      <c r="D35" s="226">
        <v>31.638999999999999</v>
      </c>
      <c r="E35" s="226">
        <v>1.8130000000000002</v>
      </c>
      <c r="F35" s="226">
        <v>44.344000000000001</v>
      </c>
      <c r="G35" s="226">
        <v>1.944</v>
      </c>
      <c r="H35" s="226">
        <v>2.0249999999999999</v>
      </c>
    </row>
    <row r="36" spans="1:8" x14ac:dyDescent="0.2">
      <c r="A36" s="180">
        <v>1955</v>
      </c>
      <c r="B36" s="227">
        <v>130.47499999999999</v>
      </c>
      <c r="C36" s="226">
        <v>38.74</v>
      </c>
      <c r="D36" s="226">
        <v>32.540999999999997</v>
      </c>
      <c r="E36" s="226">
        <v>2.0710000000000002</v>
      </c>
      <c r="F36" s="226">
        <v>52.793999999999997</v>
      </c>
      <c r="G36" s="226">
        <v>1.925</v>
      </c>
      <c r="H36" s="226">
        <v>2.4039999999999999</v>
      </c>
    </row>
    <row r="37" spans="1:8" x14ac:dyDescent="0.2">
      <c r="A37" s="180">
        <v>1956</v>
      </c>
      <c r="B37" s="227">
        <v>130.221</v>
      </c>
      <c r="C37" s="226">
        <v>40.374000000000002</v>
      </c>
      <c r="D37" s="226">
        <v>31.904</v>
      </c>
      <c r="E37" s="226">
        <v>1.35</v>
      </c>
      <c r="F37" s="226">
        <v>51.534000000000006</v>
      </c>
      <c r="G37" s="226">
        <v>1.93</v>
      </c>
      <c r="H37" s="226">
        <v>3.129</v>
      </c>
    </row>
    <row r="38" spans="1:8" x14ac:dyDescent="0.2">
      <c r="A38" s="180">
        <v>1957</v>
      </c>
      <c r="B38" s="227">
        <v>150.18799999999999</v>
      </c>
      <c r="C38" s="226">
        <v>41.344999999999999</v>
      </c>
      <c r="D38" s="226">
        <v>38.090000000000003</v>
      </c>
      <c r="E38" s="226">
        <v>1.744</v>
      </c>
      <c r="F38" s="226">
        <v>62.052999999999997</v>
      </c>
      <c r="G38" s="226">
        <v>3.5230000000000001</v>
      </c>
      <c r="H38" s="226">
        <v>3.4329999999999998</v>
      </c>
    </row>
    <row r="39" spans="1:8" x14ac:dyDescent="0.2">
      <c r="A39" s="180">
        <v>1958</v>
      </c>
      <c r="B39" s="227">
        <v>190.88399999999996</v>
      </c>
      <c r="C39" s="226">
        <v>44.667999999999999</v>
      </c>
      <c r="D39" s="226">
        <v>40.073</v>
      </c>
      <c r="E39" s="226">
        <v>2.758</v>
      </c>
      <c r="F39" s="226">
        <v>95.566999999999993</v>
      </c>
      <c r="G39" s="226">
        <v>3.8319999999999999</v>
      </c>
      <c r="H39" s="226">
        <v>3.9860000000000002</v>
      </c>
    </row>
    <row r="40" spans="1:8" x14ac:dyDescent="0.2">
      <c r="A40" s="180">
        <v>1959</v>
      </c>
      <c r="B40" s="227">
        <v>195.48099999999999</v>
      </c>
      <c r="C40" s="226">
        <v>44.606999999999999</v>
      </c>
      <c r="D40" s="226">
        <v>38.503999999999998</v>
      </c>
      <c r="E40" s="226">
        <v>2.3560000000000003</v>
      </c>
      <c r="F40" s="226">
        <v>101.86199999999999</v>
      </c>
      <c r="G40" s="226">
        <v>4.1440000000000001</v>
      </c>
      <c r="H40" s="226">
        <v>4.008</v>
      </c>
    </row>
    <row r="41" spans="1:8" x14ac:dyDescent="0.2">
      <c r="A41" s="180">
        <v>1960</v>
      </c>
      <c r="B41" s="227">
        <v>221.94499999999999</v>
      </c>
      <c r="C41" s="226">
        <v>52.624000000000002</v>
      </c>
      <c r="D41" s="226">
        <v>44.271999999999998</v>
      </c>
      <c r="E41" s="226">
        <v>2.1080000000000001</v>
      </c>
      <c r="F41" s="226">
        <v>112.935</v>
      </c>
      <c r="G41" s="226">
        <v>4.9429999999999996</v>
      </c>
      <c r="H41" s="226">
        <v>5.0629999999999997</v>
      </c>
    </row>
    <row r="42" spans="1:8" x14ac:dyDescent="0.2">
      <c r="A42" s="180">
        <v>1961</v>
      </c>
      <c r="B42" s="227">
        <v>202.399</v>
      </c>
      <c r="C42" s="226">
        <v>52.734999999999999</v>
      </c>
      <c r="D42" s="226">
        <v>38.350999999999999</v>
      </c>
      <c r="E42" s="226">
        <v>2.073</v>
      </c>
      <c r="F42" s="226">
        <v>98.777999999999992</v>
      </c>
      <c r="G42" s="226">
        <v>5.24</v>
      </c>
      <c r="H42" s="226">
        <v>5.2220000000000004</v>
      </c>
    </row>
    <row r="43" spans="1:8" x14ac:dyDescent="0.2">
      <c r="A43" s="180">
        <v>1962</v>
      </c>
      <c r="B43" s="227">
        <v>150.91800000000001</v>
      </c>
      <c r="C43" s="226">
        <v>59.531999999999996</v>
      </c>
      <c r="D43" s="226">
        <v>46.317</v>
      </c>
      <c r="E43" s="226">
        <v>2.4970000000000003</v>
      </c>
      <c r="F43" s="226">
        <v>29.558</v>
      </c>
      <c r="G43" s="226">
        <v>6.2560000000000002</v>
      </c>
      <c r="H43" s="226">
        <v>6.758</v>
      </c>
    </row>
    <row r="44" spans="1:8" x14ac:dyDescent="0.2">
      <c r="A44" s="180">
        <v>1963</v>
      </c>
      <c r="B44" s="227">
        <v>174.17800000000003</v>
      </c>
      <c r="C44" s="226">
        <v>74.218000000000004</v>
      </c>
      <c r="D44" s="226">
        <v>55.002000000000002</v>
      </c>
      <c r="E44" s="226">
        <v>2.5789999999999997</v>
      </c>
      <c r="F44" s="226">
        <v>27.16</v>
      </c>
      <c r="G44" s="226">
        <v>6.5739999999999998</v>
      </c>
      <c r="H44" s="226">
        <v>8.6449999999999996</v>
      </c>
    </row>
    <row r="45" spans="1:8" x14ac:dyDescent="0.2">
      <c r="A45" s="180">
        <v>1964</v>
      </c>
      <c r="B45" s="227">
        <v>193.357</v>
      </c>
      <c r="C45" s="226">
        <v>77.046000000000006</v>
      </c>
      <c r="D45" s="226">
        <v>56.454000000000001</v>
      </c>
      <c r="E45" s="226">
        <v>2.7989999999999999</v>
      </c>
      <c r="F45" s="226">
        <v>38.671999999999997</v>
      </c>
      <c r="G45" s="226">
        <v>8.4659999999999993</v>
      </c>
      <c r="H45" s="226">
        <v>9.92</v>
      </c>
    </row>
    <row r="46" spans="1:8" x14ac:dyDescent="0.2">
      <c r="A46" s="180">
        <v>1965</v>
      </c>
      <c r="B46" s="227">
        <v>174.773</v>
      </c>
      <c r="C46" s="226">
        <v>64.355999999999995</v>
      </c>
      <c r="D46" s="226">
        <v>49.765999999999998</v>
      </c>
      <c r="E46" s="226">
        <v>3.0059999999999998</v>
      </c>
      <c r="F46" s="226">
        <v>39.320999999999998</v>
      </c>
      <c r="G46" s="226">
        <v>5.7460000000000004</v>
      </c>
      <c r="H46" s="226">
        <v>12.577999999999999</v>
      </c>
    </row>
    <row r="47" spans="1:8" x14ac:dyDescent="0.2">
      <c r="A47" s="180">
        <v>1966</v>
      </c>
      <c r="B47" s="227">
        <v>191.934</v>
      </c>
      <c r="C47" s="226">
        <v>72.759</v>
      </c>
      <c r="D47" s="226">
        <v>48.26</v>
      </c>
      <c r="E47" s="226">
        <v>3.4359999999999999</v>
      </c>
      <c r="F47" s="226">
        <v>46.8</v>
      </c>
      <c r="G47" s="226">
        <v>6.1660000000000004</v>
      </c>
      <c r="H47" s="226">
        <v>14.513</v>
      </c>
    </row>
    <row r="48" spans="1:8" x14ac:dyDescent="0.2">
      <c r="A48" s="180">
        <v>1967</v>
      </c>
      <c r="B48" s="227">
        <v>208.20599999999999</v>
      </c>
      <c r="C48" s="226">
        <v>73.040999999999997</v>
      </c>
      <c r="D48" s="226">
        <v>49.231999999999999</v>
      </c>
      <c r="E48" s="226">
        <v>4.0459999999999994</v>
      </c>
      <c r="F48" s="226">
        <v>59.189</v>
      </c>
      <c r="G48" s="226">
        <v>6.9969999999999999</v>
      </c>
      <c r="H48" s="226">
        <v>15.701000000000001</v>
      </c>
    </row>
    <row r="49" spans="1:8" x14ac:dyDescent="0.2">
      <c r="A49" s="180">
        <v>1968</v>
      </c>
      <c r="B49" s="227">
        <v>243.68200000000002</v>
      </c>
      <c r="C49" s="226">
        <v>77.028000000000006</v>
      </c>
      <c r="D49" s="226">
        <v>64.367999999999995</v>
      </c>
      <c r="E49" s="226">
        <v>4.1210000000000004</v>
      </c>
      <c r="F49" s="226">
        <v>72.209000000000003</v>
      </c>
      <c r="G49" s="226">
        <v>6.5579999999999998</v>
      </c>
      <c r="H49" s="226">
        <v>19.398</v>
      </c>
    </row>
    <row r="50" spans="1:8" x14ac:dyDescent="0.2">
      <c r="A50" s="180">
        <v>1969</v>
      </c>
      <c r="B50" s="227">
        <v>262.83199999999999</v>
      </c>
      <c r="C50" s="226">
        <v>78.784999999999997</v>
      </c>
      <c r="D50" s="226">
        <v>83.369</v>
      </c>
      <c r="E50" s="226">
        <v>4.5250000000000004</v>
      </c>
      <c r="F50" s="226">
        <v>69.581000000000003</v>
      </c>
      <c r="G50" s="226">
        <v>5.36</v>
      </c>
      <c r="H50" s="226">
        <v>21.212</v>
      </c>
    </row>
    <row r="51" spans="1:8" x14ac:dyDescent="0.2">
      <c r="A51" s="180">
        <v>1970</v>
      </c>
      <c r="B51" s="227">
        <v>332.57</v>
      </c>
      <c r="C51" s="226">
        <v>104.70699999999999</v>
      </c>
      <c r="D51" s="226">
        <v>86.602000000000004</v>
      </c>
      <c r="E51" s="226">
        <v>11.56</v>
      </c>
      <c r="F51" s="226">
        <v>84.766000000000005</v>
      </c>
      <c r="G51" s="226">
        <v>5.4240000000000004</v>
      </c>
      <c r="H51" s="226">
        <v>39.511000000000003</v>
      </c>
    </row>
    <row r="52" spans="1:8" x14ac:dyDescent="0.2">
      <c r="A52" s="180">
        <v>1971</v>
      </c>
      <c r="B52" s="227">
        <v>459.58600000000001</v>
      </c>
      <c r="C52" s="226">
        <v>133.095</v>
      </c>
      <c r="D52" s="226">
        <v>133.43700000000001</v>
      </c>
      <c r="E52" s="226">
        <v>12.933</v>
      </c>
      <c r="F52" s="226">
        <v>119.748</v>
      </c>
      <c r="G52" s="226">
        <v>5.665</v>
      </c>
      <c r="H52" s="226">
        <v>54.707999999999998</v>
      </c>
    </row>
    <row r="53" spans="1:8" x14ac:dyDescent="0.2">
      <c r="A53" s="180">
        <v>1972</v>
      </c>
      <c r="B53" s="227">
        <v>676.94799999999998</v>
      </c>
      <c r="C53" s="226">
        <v>178.971</v>
      </c>
      <c r="D53" s="226">
        <v>243.637</v>
      </c>
      <c r="E53" s="226">
        <v>12.869</v>
      </c>
      <c r="F53" s="226">
        <v>159.827</v>
      </c>
      <c r="G53" s="226">
        <v>6.7119999999999997</v>
      </c>
      <c r="H53" s="226">
        <v>74.932000000000002</v>
      </c>
    </row>
    <row r="54" spans="1:8" x14ac:dyDescent="0.2">
      <c r="A54" s="180">
        <v>1973</v>
      </c>
      <c r="B54" s="227">
        <v>989.40600000000006</v>
      </c>
      <c r="C54" s="226">
        <v>264.41899999999998</v>
      </c>
      <c r="D54" s="226">
        <v>363.23200000000003</v>
      </c>
      <c r="E54" s="226">
        <v>43.712000000000003</v>
      </c>
      <c r="F54" s="226">
        <v>200.78</v>
      </c>
      <c r="G54" s="226">
        <v>8.94</v>
      </c>
      <c r="H54" s="226">
        <v>108.32299999999999</v>
      </c>
    </row>
    <row r="55" spans="1:8" x14ac:dyDescent="0.2">
      <c r="A55" s="180">
        <v>1974</v>
      </c>
      <c r="B55" s="227">
        <v>1867.5139999999999</v>
      </c>
      <c r="C55" s="226">
        <v>504.71</v>
      </c>
      <c r="D55" s="226">
        <v>833.476</v>
      </c>
      <c r="E55" s="226">
        <v>17.686</v>
      </c>
      <c r="F55" s="226">
        <v>282.03500000000003</v>
      </c>
      <c r="G55" s="226">
        <v>48.863</v>
      </c>
      <c r="H55" s="226">
        <v>180.744</v>
      </c>
    </row>
    <row r="56" spans="1:8" x14ac:dyDescent="0.2">
      <c r="A56" s="180">
        <v>1975</v>
      </c>
      <c r="B56" s="227">
        <v>2302.3880000000004</v>
      </c>
      <c r="C56" s="226">
        <v>531.08900000000006</v>
      </c>
      <c r="D56" s="226">
        <v>1100.865</v>
      </c>
      <c r="E56" s="226">
        <v>51.93</v>
      </c>
      <c r="F56" s="226">
        <v>349.55099999999999</v>
      </c>
      <c r="G56" s="226">
        <v>49.402999999999999</v>
      </c>
      <c r="H56" s="226">
        <v>219.55</v>
      </c>
    </row>
    <row r="57" spans="1:8" x14ac:dyDescent="0.2">
      <c r="A57" s="180">
        <v>1976</v>
      </c>
      <c r="B57" s="227">
        <v>3243.386</v>
      </c>
      <c r="C57" s="226">
        <v>803.52300000000002</v>
      </c>
      <c r="D57" s="226">
        <v>1562.4570000000001</v>
      </c>
      <c r="E57" s="226">
        <v>21.423999999999999</v>
      </c>
      <c r="F57" s="226">
        <v>410.12900000000002</v>
      </c>
      <c r="G57" s="226">
        <v>116.886</v>
      </c>
      <c r="H57" s="226">
        <v>328.96699999999998</v>
      </c>
    </row>
    <row r="58" spans="1:8" x14ac:dyDescent="0.2">
      <c r="A58" s="180">
        <v>1977</v>
      </c>
      <c r="B58" s="227">
        <v>3900.7460000000001</v>
      </c>
      <c r="C58" s="226">
        <v>878.68100000000004</v>
      </c>
      <c r="D58" s="226">
        <v>1912.7660000000001</v>
      </c>
      <c r="E58" s="226">
        <v>27.323</v>
      </c>
      <c r="F58" s="226">
        <v>509.935</v>
      </c>
      <c r="G58" s="226">
        <v>139.24100000000001</v>
      </c>
      <c r="H58" s="226">
        <v>432.8</v>
      </c>
    </row>
    <row r="59" spans="1:8" x14ac:dyDescent="0.2">
      <c r="A59" s="180">
        <v>1978</v>
      </c>
      <c r="B59" s="227">
        <v>3706.4180000000001</v>
      </c>
      <c r="C59" s="226">
        <v>1005.477</v>
      </c>
      <c r="D59" s="226">
        <v>1536.9780000000001</v>
      </c>
      <c r="E59" s="226">
        <v>32.513999999999996</v>
      </c>
      <c r="F59" s="226">
        <v>539.26400000000001</v>
      </c>
      <c r="G59" s="226">
        <v>128.096</v>
      </c>
      <c r="H59" s="226">
        <v>464.089</v>
      </c>
    </row>
    <row r="60" spans="1:8" x14ac:dyDescent="0.2">
      <c r="A60" s="180">
        <v>1979</v>
      </c>
      <c r="B60" s="227">
        <v>3618.585</v>
      </c>
      <c r="C60" s="226">
        <v>949.36099999999999</v>
      </c>
      <c r="D60" s="226">
        <v>1628.748</v>
      </c>
      <c r="E60" s="226">
        <v>31.430999999999997</v>
      </c>
      <c r="F60" s="226">
        <v>321.495</v>
      </c>
      <c r="G60" s="226">
        <v>171.98400000000001</v>
      </c>
      <c r="H60" s="226">
        <v>515.56600000000003</v>
      </c>
    </row>
    <row r="61" spans="1:8" x14ac:dyDescent="0.2">
      <c r="A61" s="180">
        <v>1980</v>
      </c>
      <c r="B61" s="227">
        <v>4961.0930000000008</v>
      </c>
      <c r="C61" s="226">
        <v>1166.9449999999999</v>
      </c>
      <c r="D61" s="226">
        <v>2327.9389999999999</v>
      </c>
      <c r="E61" s="226">
        <v>54.674999999999997</v>
      </c>
      <c r="F61" s="226">
        <v>604.04600000000005</v>
      </c>
      <c r="G61" s="226">
        <v>170.20500000000001</v>
      </c>
      <c r="H61" s="226">
        <v>637.28300000000002</v>
      </c>
    </row>
    <row r="62" spans="1:8" x14ac:dyDescent="0.2">
      <c r="A62" s="180">
        <v>1981</v>
      </c>
      <c r="B62" s="227">
        <v>6332.1090000000004</v>
      </c>
      <c r="C62" s="226">
        <v>1191.299</v>
      </c>
      <c r="D62" s="226">
        <v>3429.7460000000001</v>
      </c>
      <c r="E62" s="226">
        <v>47.01</v>
      </c>
      <c r="F62" s="226">
        <v>729.79499999999996</v>
      </c>
      <c r="G62" s="226">
        <v>252.57</v>
      </c>
      <c r="H62" s="226">
        <v>681.68899999999996</v>
      </c>
    </row>
    <row r="63" spans="1:8" x14ac:dyDescent="0.2">
      <c r="A63" s="180">
        <v>1982</v>
      </c>
      <c r="B63" s="227">
        <v>6220</v>
      </c>
      <c r="C63" s="226">
        <v>1322</v>
      </c>
      <c r="D63" s="226">
        <v>3149</v>
      </c>
      <c r="E63" s="226">
        <v>72</v>
      </c>
      <c r="F63" s="226">
        <v>788</v>
      </c>
      <c r="G63" s="226">
        <v>53</v>
      </c>
      <c r="H63" s="226">
        <v>836</v>
      </c>
    </row>
    <row r="64" spans="1:8" x14ac:dyDescent="0.2">
      <c r="A64" s="180">
        <v>1983</v>
      </c>
      <c r="B64" s="227">
        <v>8263</v>
      </c>
      <c r="C64" s="226">
        <v>1654</v>
      </c>
      <c r="D64" s="226">
        <v>4416</v>
      </c>
      <c r="E64" s="226">
        <v>135</v>
      </c>
      <c r="F64" s="226">
        <v>919</v>
      </c>
      <c r="G64" s="226">
        <v>91</v>
      </c>
      <c r="H64" s="226">
        <v>1048</v>
      </c>
    </row>
    <row r="65" spans="1:8" x14ac:dyDescent="0.2">
      <c r="A65" s="180">
        <v>1984</v>
      </c>
      <c r="B65" s="227">
        <v>10726</v>
      </c>
      <c r="C65" s="226">
        <v>2505</v>
      </c>
      <c r="D65" s="226">
        <v>5074</v>
      </c>
      <c r="E65" s="226">
        <v>126</v>
      </c>
      <c r="F65" s="226">
        <v>1193</v>
      </c>
      <c r="G65" s="226">
        <v>240</v>
      </c>
      <c r="H65" s="226">
        <v>1588</v>
      </c>
    </row>
    <row r="66" spans="1:8" x14ac:dyDescent="0.2">
      <c r="A66" s="180">
        <v>1985</v>
      </c>
      <c r="B66" s="227">
        <v>15158</v>
      </c>
      <c r="C66" s="226">
        <v>3244</v>
      </c>
      <c r="D66" s="226">
        <v>7018</v>
      </c>
      <c r="E66" s="226">
        <v>132</v>
      </c>
      <c r="F66" s="226">
        <v>1854</v>
      </c>
      <c r="G66" s="226">
        <v>556</v>
      </c>
      <c r="H66" s="226">
        <v>2354</v>
      </c>
    </row>
    <row r="67" spans="1:8" x14ac:dyDescent="0.2">
      <c r="A67" s="180">
        <v>1986</v>
      </c>
      <c r="B67" s="227">
        <v>21174</v>
      </c>
      <c r="C67" s="226">
        <v>4150</v>
      </c>
      <c r="D67" s="226">
        <v>9644</v>
      </c>
      <c r="E67" s="226">
        <v>125</v>
      </c>
      <c r="F67" s="226">
        <v>1760</v>
      </c>
      <c r="G67" s="226">
        <v>1652</v>
      </c>
      <c r="H67" s="226">
        <v>3843</v>
      </c>
    </row>
    <row r="68" spans="1:8" x14ac:dyDescent="0.2">
      <c r="A68" s="180">
        <v>1987</v>
      </c>
      <c r="B68" s="227">
        <v>26530</v>
      </c>
      <c r="C68" s="226">
        <v>5546</v>
      </c>
      <c r="D68" s="226">
        <v>12303</v>
      </c>
      <c r="E68" s="226">
        <v>119</v>
      </c>
      <c r="F68" s="226">
        <v>1587</v>
      </c>
      <c r="G68" s="226">
        <v>1285</v>
      </c>
      <c r="H68" s="226">
        <v>5690</v>
      </c>
    </row>
    <row r="69" spans="1:8" x14ac:dyDescent="0.2">
      <c r="A69" s="180">
        <v>1988</v>
      </c>
      <c r="B69" s="227">
        <v>30599</v>
      </c>
      <c r="C69" s="226">
        <v>6914</v>
      </c>
      <c r="D69" s="226">
        <v>10696</v>
      </c>
      <c r="E69" s="226">
        <v>129</v>
      </c>
      <c r="F69" s="226">
        <v>1583</v>
      </c>
      <c r="G69" s="226">
        <v>2909</v>
      </c>
      <c r="H69" s="226">
        <v>8368</v>
      </c>
    </row>
    <row r="70" spans="1:8" x14ac:dyDescent="0.2">
      <c r="A70" s="180">
        <v>1989</v>
      </c>
      <c r="B70" s="227">
        <v>42199</v>
      </c>
      <c r="C70" s="226">
        <v>8194</v>
      </c>
      <c r="D70" s="226">
        <v>15686</v>
      </c>
      <c r="E70" s="226">
        <v>159</v>
      </c>
      <c r="F70" s="226">
        <v>3795</v>
      </c>
      <c r="G70" s="226">
        <v>3178</v>
      </c>
      <c r="H70" s="226">
        <v>11187</v>
      </c>
    </row>
    <row r="71" spans="1:8" x14ac:dyDescent="0.2">
      <c r="A71" s="180">
        <v>1990</v>
      </c>
      <c r="B71" s="227">
        <f>+C71+D71+E71+F71+G71+H71</f>
        <v>62782</v>
      </c>
      <c r="C71" s="226">
        <v>12456</v>
      </c>
      <c r="D71" s="226">
        <v>26725</v>
      </c>
      <c r="E71" s="226">
        <v>224</v>
      </c>
      <c r="F71" s="226">
        <v>5414</v>
      </c>
      <c r="G71" s="226">
        <v>2380</v>
      </c>
      <c r="H71" s="226">
        <v>15583</v>
      </c>
    </row>
    <row r="72" spans="1:8" x14ac:dyDescent="0.2">
      <c r="A72" s="180">
        <v>1991</v>
      </c>
      <c r="B72" s="227">
        <f t="shared" ref="B72:B80" si="0">+C72+D72+E72+F72+G72+H72</f>
        <v>87969</v>
      </c>
      <c r="C72" s="226">
        <v>19713</v>
      </c>
      <c r="D72" s="226">
        <v>31949</v>
      </c>
      <c r="E72" s="226">
        <v>328</v>
      </c>
      <c r="F72" s="226">
        <v>10510</v>
      </c>
      <c r="G72" s="226">
        <v>3683</v>
      </c>
      <c r="H72" s="226">
        <v>21786</v>
      </c>
    </row>
    <row r="73" spans="1:8" x14ac:dyDescent="0.2">
      <c r="A73" s="180">
        <v>1992</v>
      </c>
      <c r="B73" s="227">
        <f t="shared" si="0"/>
        <v>140022</v>
      </c>
      <c r="C73" s="226">
        <v>25460</v>
      </c>
      <c r="D73" s="226">
        <v>57618</v>
      </c>
      <c r="E73" s="226">
        <v>493</v>
      </c>
      <c r="F73" s="226">
        <v>19107</v>
      </c>
      <c r="G73" s="226">
        <v>5002</v>
      </c>
      <c r="H73" s="226">
        <v>32342</v>
      </c>
    </row>
    <row r="74" spans="1:8" x14ac:dyDescent="0.2">
      <c r="A74" s="180">
        <v>1993</v>
      </c>
      <c r="B74" s="227">
        <f t="shared" si="0"/>
        <v>282754</v>
      </c>
      <c r="C74" s="226">
        <v>29618</v>
      </c>
      <c r="D74" s="226">
        <v>168076</v>
      </c>
      <c r="E74" s="226">
        <v>886</v>
      </c>
      <c r="F74" s="226">
        <v>19123</v>
      </c>
      <c r="G74" s="226">
        <v>14471</v>
      </c>
      <c r="H74" s="226">
        <v>50580</v>
      </c>
    </row>
    <row r="75" spans="1:8" x14ac:dyDescent="0.2">
      <c r="A75" s="180">
        <v>1994</v>
      </c>
      <c r="B75" s="227">
        <f t="shared" si="0"/>
        <v>406942</v>
      </c>
      <c r="C75" s="226">
        <v>41103</v>
      </c>
      <c r="D75" s="226">
        <v>225740</v>
      </c>
      <c r="E75" s="226">
        <v>1656</v>
      </c>
      <c r="F75" s="226">
        <v>32703</v>
      </c>
      <c r="G75" s="226">
        <v>36759</v>
      </c>
      <c r="H75" s="226">
        <v>68981</v>
      </c>
    </row>
    <row r="76" spans="1:8" x14ac:dyDescent="0.2">
      <c r="A76" s="180">
        <v>1995</v>
      </c>
      <c r="B76" s="227">
        <f t="shared" si="0"/>
        <v>484379</v>
      </c>
      <c r="C76" s="226">
        <v>48861</v>
      </c>
      <c r="D76" s="226">
        <v>175316</v>
      </c>
      <c r="E76" s="226">
        <v>3371</v>
      </c>
      <c r="F76" s="226">
        <v>30642</v>
      </c>
      <c r="G76" s="226">
        <v>144604</v>
      </c>
      <c r="H76" s="226">
        <v>81585</v>
      </c>
    </row>
    <row r="77" spans="1:8" x14ac:dyDescent="0.2">
      <c r="A77" s="180">
        <v>1996</v>
      </c>
      <c r="B77" s="227">
        <f t="shared" si="0"/>
        <v>700067</v>
      </c>
      <c r="C77" s="226">
        <v>43885</v>
      </c>
      <c r="D77" s="226">
        <v>264420</v>
      </c>
      <c r="E77" s="226">
        <v>2031</v>
      </c>
      <c r="F77" s="226">
        <v>60166</v>
      </c>
      <c r="G77" s="226">
        <v>224360</v>
      </c>
      <c r="H77" s="226">
        <v>105205</v>
      </c>
    </row>
    <row r="78" spans="1:8" x14ac:dyDescent="0.2">
      <c r="A78" s="180">
        <v>1997</v>
      </c>
      <c r="B78" s="227">
        <f t="shared" si="0"/>
        <v>894659</v>
      </c>
      <c r="C78" s="226">
        <v>41195</v>
      </c>
      <c r="D78" s="226">
        <v>335521</v>
      </c>
      <c r="E78" s="226">
        <v>1479</v>
      </c>
      <c r="F78" s="226">
        <v>61568</v>
      </c>
      <c r="G78" s="226">
        <v>331502</v>
      </c>
      <c r="H78" s="226">
        <v>123394</v>
      </c>
    </row>
    <row r="79" spans="1:8" x14ac:dyDescent="0.2">
      <c r="A79" s="180">
        <v>1998</v>
      </c>
      <c r="B79" s="227">
        <f t="shared" si="0"/>
        <v>871558</v>
      </c>
      <c r="C79" s="226">
        <v>43602</v>
      </c>
      <c r="D79" s="226">
        <v>360273</v>
      </c>
      <c r="E79" s="226">
        <v>1370</v>
      </c>
      <c r="F79" s="226">
        <f>54485+19700</f>
        <v>74185</v>
      </c>
      <c r="G79" s="226">
        <v>289948</v>
      </c>
      <c r="H79" s="226">
        <v>102180</v>
      </c>
    </row>
    <row r="80" spans="1:8" x14ac:dyDescent="0.2">
      <c r="A80" s="180">
        <v>1999</v>
      </c>
      <c r="B80" s="227">
        <f t="shared" si="0"/>
        <v>1131377</v>
      </c>
      <c r="C80" s="226">
        <v>53003</v>
      </c>
      <c r="D80" s="226">
        <v>441326</v>
      </c>
      <c r="E80" s="226">
        <v>451</v>
      </c>
      <c r="F80" s="226">
        <f>64264+20437</f>
        <v>84701</v>
      </c>
      <c r="G80" s="226">
        <v>445694</v>
      </c>
      <c r="H80" s="226">
        <v>106202</v>
      </c>
    </row>
    <row r="82" spans="1:8" x14ac:dyDescent="0.2">
      <c r="A82" s="269"/>
      <c r="B82" s="269"/>
      <c r="C82" s="269"/>
      <c r="D82" s="269"/>
      <c r="E82" s="269"/>
      <c r="F82" s="269"/>
      <c r="G82" s="269"/>
      <c r="H82" s="269"/>
    </row>
    <row r="84" spans="1:8" x14ac:dyDescent="0.2">
      <c r="A84" s="410"/>
    </row>
    <row r="85" spans="1:8" x14ac:dyDescent="0.2">
      <c r="A85" s="124" t="s">
        <v>598</v>
      </c>
    </row>
  </sheetData>
  <mergeCells count="2">
    <mergeCell ref="A1:H1"/>
    <mergeCell ref="A2:H2"/>
  </mergeCells>
  <hyperlinks>
    <hyperlink ref="A85" location="'indice cap.1'!A1" display="regresar al índice" xr:uid="{00000000-0004-0000-1B00-000000000000}"/>
  </hyperlinks>
  <pageMargins left="0.70866141732283472" right="0" top="0" bottom="0" header="0.31496062992125984" footer="0.31496062992125984"/>
  <pageSetup paperSize="9" scale="75" orientation="portrait" verticalDpi="599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86"/>
  <sheetViews>
    <sheetView showGridLines="0" topLeftCell="A25" workbookViewId="0">
      <selection activeCell="A5" sqref="A5:A6"/>
    </sheetView>
  </sheetViews>
  <sheetFormatPr defaultColWidth="11.42578125" defaultRowHeight="12.75" x14ac:dyDescent="0.2"/>
  <cols>
    <col min="1" max="1" width="8.85546875" style="24" customWidth="1"/>
    <col min="2" max="9" width="15.7109375" style="24" customWidth="1"/>
    <col min="10" max="16384" width="11.42578125" style="24"/>
  </cols>
  <sheetData>
    <row r="1" spans="1:10" s="23" customFormat="1" x14ac:dyDescent="0.2">
      <c r="A1" s="558" t="s">
        <v>688</v>
      </c>
      <c r="B1" s="494"/>
      <c r="C1" s="494"/>
      <c r="D1" s="494"/>
      <c r="E1" s="494"/>
      <c r="F1" s="494"/>
      <c r="G1" s="494"/>
      <c r="H1" s="494"/>
      <c r="I1" s="494"/>
    </row>
    <row r="2" spans="1:10" s="23" customFormat="1" x14ac:dyDescent="0.2">
      <c r="A2" s="558" t="s">
        <v>849</v>
      </c>
      <c r="B2" s="494"/>
      <c r="C2" s="494"/>
      <c r="D2" s="494"/>
      <c r="E2" s="494"/>
      <c r="F2" s="494"/>
      <c r="G2" s="494"/>
      <c r="H2" s="494"/>
      <c r="I2" s="494"/>
    </row>
    <row r="3" spans="1:10" s="23" customFormat="1" x14ac:dyDescent="0.2">
      <c r="A3" s="394" t="s">
        <v>472</v>
      </c>
      <c r="B3" s="390"/>
      <c r="C3" s="394"/>
      <c r="D3" s="394"/>
      <c r="E3" s="394"/>
      <c r="F3" s="394"/>
      <c r="G3" s="394"/>
      <c r="H3" s="394"/>
      <c r="I3" s="394"/>
    </row>
    <row r="4" spans="1:10" x14ac:dyDescent="0.2">
      <c r="A4" s="291"/>
      <c r="B4" s="291"/>
      <c r="C4" s="291"/>
      <c r="D4" s="291"/>
      <c r="E4" s="291"/>
      <c r="F4" s="291"/>
      <c r="G4" s="291"/>
      <c r="H4" s="291"/>
      <c r="I4" s="291"/>
    </row>
    <row r="5" spans="1:10" x14ac:dyDescent="0.2">
      <c r="A5" s="599" t="s">
        <v>87</v>
      </c>
      <c r="B5" s="596" t="s">
        <v>830</v>
      </c>
      <c r="C5" s="597"/>
      <c r="D5" s="597"/>
      <c r="E5" s="495" t="s">
        <v>831</v>
      </c>
      <c r="F5" s="495" t="s">
        <v>832</v>
      </c>
      <c r="G5" s="596" t="s">
        <v>473</v>
      </c>
      <c r="H5" s="596"/>
      <c r="I5" s="598"/>
    </row>
    <row r="6" spans="1:10" ht="25.5" x14ac:dyDescent="0.2">
      <c r="A6" s="582"/>
      <c r="B6" s="296" t="s">
        <v>468</v>
      </c>
      <c r="C6" s="296" t="s">
        <v>750</v>
      </c>
      <c r="D6" s="296" t="s">
        <v>751</v>
      </c>
      <c r="E6" s="580"/>
      <c r="F6" s="580"/>
      <c r="G6" s="296" t="s">
        <v>828</v>
      </c>
      <c r="H6" s="296" t="s">
        <v>829</v>
      </c>
      <c r="I6" s="297" t="s">
        <v>474</v>
      </c>
    </row>
    <row r="7" spans="1:10" x14ac:dyDescent="0.2">
      <c r="A7" s="291"/>
      <c r="B7" s="298" t="s">
        <v>469</v>
      </c>
      <c r="C7" s="600" t="s">
        <v>98</v>
      </c>
      <c r="D7" s="600" t="s">
        <v>113</v>
      </c>
      <c r="E7" s="600" t="s">
        <v>100</v>
      </c>
      <c r="F7" s="600" t="s">
        <v>101</v>
      </c>
      <c r="G7" s="600" t="s">
        <v>102</v>
      </c>
      <c r="H7" s="600" t="s">
        <v>114</v>
      </c>
      <c r="I7" s="601" t="s">
        <v>441</v>
      </c>
    </row>
    <row r="8" spans="1:10" x14ac:dyDescent="0.2">
      <c r="A8" s="291"/>
      <c r="B8" s="298" t="s">
        <v>475</v>
      </c>
      <c r="C8" s="600"/>
      <c r="D8" s="600"/>
      <c r="E8" s="600"/>
      <c r="F8" s="600"/>
      <c r="G8" s="600"/>
      <c r="H8" s="600"/>
      <c r="I8" s="601"/>
    </row>
    <row r="9" spans="1:10" x14ac:dyDescent="0.2">
      <c r="A9" s="291"/>
      <c r="B9" s="292"/>
      <c r="C9" s="292"/>
      <c r="D9" s="292"/>
      <c r="E9" s="292"/>
      <c r="F9" s="292"/>
      <c r="G9" s="292"/>
      <c r="H9" s="292"/>
      <c r="I9" s="291"/>
    </row>
    <row r="10" spans="1:10" x14ac:dyDescent="0.2">
      <c r="A10" s="299">
        <v>1928</v>
      </c>
      <c r="B10" s="300">
        <v>0.26100000000000989</v>
      </c>
      <c r="C10" s="300">
        <v>0.26100000000000989</v>
      </c>
      <c r="D10" s="301" t="s">
        <v>10</v>
      </c>
      <c r="E10" s="300">
        <v>0.19599999999999795</v>
      </c>
      <c r="F10" s="302">
        <v>-1.2403120594381978E-3</v>
      </c>
      <c r="G10" s="300">
        <v>0.31623109600679367</v>
      </c>
      <c r="H10" s="300">
        <v>-5.547419717043283E-2</v>
      </c>
      <c r="I10" s="300">
        <v>2.4310116364906209E-4</v>
      </c>
      <c r="J10" s="293"/>
    </row>
    <row r="11" spans="1:10" x14ac:dyDescent="0.2">
      <c r="A11" s="299">
        <v>1929</v>
      </c>
      <c r="B11" s="300">
        <v>-7.9050000000000002</v>
      </c>
      <c r="C11" s="300">
        <v>-7.9050000000000002</v>
      </c>
      <c r="D11" s="301" t="s">
        <v>10</v>
      </c>
      <c r="E11" s="300">
        <v>-5.4709999999999965</v>
      </c>
      <c r="F11" s="302">
        <v>2.3488536005186411E-2</v>
      </c>
      <c r="G11" s="300">
        <v>-8.9555482613679729</v>
      </c>
      <c r="H11" s="300">
        <v>0.92204248088359264</v>
      </c>
      <c r="I11" s="300">
        <v>0.12850578048437988</v>
      </c>
      <c r="J11" s="293"/>
    </row>
    <row r="12" spans="1:10" x14ac:dyDescent="0.2">
      <c r="A12" s="299">
        <v>1930</v>
      </c>
      <c r="B12" s="300">
        <v>-9.6890000000000001</v>
      </c>
      <c r="C12" s="300">
        <v>-9.6890000000000001</v>
      </c>
      <c r="D12" s="301" t="s">
        <v>10</v>
      </c>
      <c r="E12" s="300">
        <v>-5.9440000000000026</v>
      </c>
      <c r="F12" s="302">
        <v>1.2250569364089525E-3</v>
      </c>
      <c r="G12" s="300">
        <v>-9.7370896100387316</v>
      </c>
      <c r="H12" s="300">
        <v>4.080787160871862E-2</v>
      </c>
      <c r="I12" s="300">
        <v>7.2817384300130072E-3</v>
      </c>
      <c r="J12" s="293"/>
    </row>
    <row r="13" spans="1:10" x14ac:dyDescent="0.2">
      <c r="A13" s="299">
        <v>1931</v>
      </c>
      <c r="B13" s="300">
        <v>-10.127000000000002</v>
      </c>
      <c r="C13" s="300">
        <v>-10.127000000000002</v>
      </c>
      <c r="D13" s="301" t="s">
        <v>10</v>
      </c>
      <c r="E13" s="300">
        <v>-6.2360000000000007</v>
      </c>
      <c r="F13" s="302">
        <v>3.26595661198259E-3</v>
      </c>
      <c r="G13" s="300">
        <v>-10.235792280701755</v>
      </c>
      <c r="H13" s="300">
        <v>8.8425775269428616E-2</v>
      </c>
      <c r="I13" s="300">
        <v>2.0366505432324544E-2</v>
      </c>
      <c r="J13" s="293"/>
    </row>
    <row r="14" spans="1:10" x14ac:dyDescent="0.2">
      <c r="A14" s="299">
        <v>1932</v>
      </c>
      <c r="B14" s="300">
        <v>20.748999999999995</v>
      </c>
      <c r="C14" s="300">
        <v>20.748999999999995</v>
      </c>
      <c r="D14" s="301" t="s">
        <v>10</v>
      </c>
      <c r="E14" s="300">
        <v>14.055</v>
      </c>
      <c r="F14" s="302">
        <v>-5.6429037583016761E-2</v>
      </c>
      <c r="G14" s="300">
        <v>22.27681619256018</v>
      </c>
      <c r="H14" s="300">
        <v>-2.3209263157894795</v>
      </c>
      <c r="I14" s="300">
        <v>0.79311012322929386</v>
      </c>
      <c r="J14" s="293"/>
    </row>
    <row r="15" spans="1:10" x14ac:dyDescent="0.2">
      <c r="A15" s="299">
        <v>1933</v>
      </c>
      <c r="B15" s="300">
        <v>27.323000000000008</v>
      </c>
      <c r="C15" s="300">
        <v>27.323000000000008</v>
      </c>
      <c r="D15" s="301" t="s">
        <v>10</v>
      </c>
      <c r="E15" s="300">
        <v>18.400999999999996</v>
      </c>
      <c r="F15" s="302">
        <v>-3.0943798094222874E-2</v>
      </c>
      <c r="G15" s="300">
        <v>28.595718415615391</v>
      </c>
      <c r="H15" s="300">
        <v>-1.842115244347182</v>
      </c>
      <c r="I15" s="300">
        <v>0.5693968287317972</v>
      </c>
      <c r="J15" s="293"/>
    </row>
    <row r="16" spans="1:10" x14ac:dyDescent="0.2">
      <c r="A16" s="299">
        <v>1934</v>
      </c>
      <c r="B16" s="300">
        <v>23.039000000000001</v>
      </c>
      <c r="C16" s="300">
        <v>23.039000000000001</v>
      </c>
      <c r="D16" s="301" t="s">
        <v>10</v>
      </c>
      <c r="E16" s="300">
        <v>11.006999999999998</v>
      </c>
      <c r="F16" s="302">
        <v>8.4121812090600212E-2</v>
      </c>
      <c r="G16" s="300">
        <v>18.031144404434489</v>
      </c>
      <c r="H16" s="300">
        <v>5.9337843812467579</v>
      </c>
      <c r="I16" s="300">
        <v>-0.92592878568124348</v>
      </c>
      <c r="J16" s="293"/>
    </row>
    <row r="17" spans="1:10" x14ac:dyDescent="0.2">
      <c r="A17" s="299">
        <v>1935</v>
      </c>
      <c r="B17" s="300">
        <v>3.0280000000000058</v>
      </c>
      <c r="C17" s="300">
        <v>3.0280000000000058</v>
      </c>
      <c r="D17" s="301" t="s">
        <v>10</v>
      </c>
      <c r="E17" s="300">
        <v>1.2560000000000002</v>
      </c>
      <c r="F17" s="302">
        <v>1.3517570808246893E-2</v>
      </c>
      <c r="G17" s="300">
        <v>2.0744975903278831</v>
      </c>
      <c r="H17" s="300">
        <v>0.97048047860727737</v>
      </c>
      <c r="I17" s="300">
        <v>-1.6978068935154411E-2</v>
      </c>
      <c r="J17" s="293"/>
    </row>
    <row r="18" spans="1:10" x14ac:dyDescent="0.2">
      <c r="A18" s="299">
        <v>1936</v>
      </c>
      <c r="B18" s="300">
        <v>25.495999999999981</v>
      </c>
      <c r="C18" s="300">
        <v>25.495999999999981</v>
      </c>
      <c r="D18" s="301" t="s">
        <v>10</v>
      </c>
      <c r="E18" s="300">
        <v>22.378</v>
      </c>
      <c r="F18" s="302">
        <v>-0.12174608708558177</v>
      </c>
      <c r="G18" s="300">
        <v>34.236638576222227</v>
      </c>
      <c r="H18" s="300">
        <v>-11.465072513023406</v>
      </c>
      <c r="I18" s="300">
        <v>2.7244339368011623</v>
      </c>
      <c r="J18" s="293"/>
    </row>
    <row r="19" spans="1:10" x14ac:dyDescent="0.2">
      <c r="A19" s="299">
        <v>1937</v>
      </c>
      <c r="B19" s="300">
        <v>15.39</v>
      </c>
      <c r="C19" s="300">
        <v>15.39</v>
      </c>
      <c r="D19" s="301" t="s">
        <v>10</v>
      </c>
      <c r="E19" s="300">
        <v>16.591999999999999</v>
      </c>
      <c r="F19" s="302">
        <v>-9.0232372360340651E-2</v>
      </c>
      <c r="G19" s="300">
        <v>23.887362969918026</v>
      </c>
      <c r="H19" s="300">
        <v>-9.9944984921207709</v>
      </c>
      <c r="I19" s="300">
        <v>1.4971355222027594</v>
      </c>
      <c r="J19" s="293"/>
    </row>
    <row r="20" spans="1:10" x14ac:dyDescent="0.2">
      <c r="A20" s="299">
        <v>1938</v>
      </c>
      <c r="B20" s="300">
        <v>-3.3509999999999991</v>
      </c>
      <c r="C20" s="300">
        <v>-3.3509999999999991</v>
      </c>
      <c r="D20" s="301" t="s">
        <v>10</v>
      </c>
      <c r="E20" s="300">
        <v>-5.1749999999999998</v>
      </c>
      <c r="F20" s="302">
        <v>3.8824157934386205E-2</v>
      </c>
      <c r="G20" s="300">
        <v>-7.6513190294443518</v>
      </c>
      <c r="H20" s="300">
        <v>4.0994040121339053</v>
      </c>
      <c r="I20" s="300">
        <v>0.20091501731044747</v>
      </c>
      <c r="J20" s="293"/>
    </row>
    <row r="21" spans="1:10" x14ac:dyDescent="0.2">
      <c r="A21" s="299">
        <v>1939</v>
      </c>
      <c r="B21" s="300">
        <v>17.98</v>
      </c>
      <c r="C21" s="300">
        <v>17.98</v>
      </c>
      <c r="D21" s="301" t="s">
        <v>10</v>
      </c>
      <c r="E21" s="300">
        <v>8.4710000000000036</v>
      </c>
      <c r="F21" s="302">
        <v>4.7830028439268091E-2</v>
      </c>
      <c r="G21" s="300">
        <v>12.929675127126076</v>
      </c>
      <c r="H21" s="300">
        <v>5.4554930437829183</v>
      </c>
      <c r="I21" s="300">
        <v>-0.40516817090903245</v>
      </c>
      <c r="J21" s="293"/>
    </row>
    <row r="22" spans="1:10" x14ac:dyDescent="0.2">
      <c r="A22" s="299">
        <v>1940</v>
      </c>
      <c r="B22" s="300">
        <v>35.582000000000022</v>
      </c>
      <c r="C22" s="300">
        <v>35.582000000000022</v>
      </c>
      <c r="D22" s="301" t="s">
        <v>10</v>
      </c>
      <c r="E22" s="300">
        <v>20.869</v>
      </c>
      <c r="F22" s="302">
        <v>2.7634458539054219E-2</v>
      </c>
      <c r="G22" s="300">
        <v>32.430013659035488</v>
      </c>
      <c r="H22" s="300">
        <v>3.7286898562160466</v>
      </c>
      <c r="I22" s="300">
        <v>-0.5767035152515092</v>
      </c>
      <c r="J22" s="293"/>
    </row>
    <row r="23" spans="1:10" x14ac:dyDescent="0.2">
      <c r="A23" s="299">
        <v>1941</v>
      </c>
      <c r="B23" s="300">
        <v>56.657000000000011</v>
      </c>
      <c r="C23" s="300">
        <v>56.657000000000011</v>
      </c>
      <c r="D23" s="301" t="s">
        <v>10</v>
      </c>
      <c r="E23" s="300">
        <v>54.774000000000001</v>
      </c>
      <c r="F23" s="302">
        <v>-0.15002774729839663</v>
      </c>
      <c r="G23" s="300">
        <v>76.900093915225384</v>
      </c>
      <c r="H23" s="300">
        <v>-28.460713745747736</v>
      </c>
      <c r="I23" s="300">
        <v>8.2176198305223664</v>
      </c>
      <c r="J23" s="293"/>
    </row>
    <row r="24" spans="1:10" x14ac:dyDescent="0.2">
      <c r="A24" s="299">
        <v>1942</v>
      </c>
      <c r="B24" s="300">
        <v>122.19499999999999</v>
      </c>
      <c r="C24" s="300">
        <v>122.19499999999999</v>
      </c>
      <c r="D24" s="301" t="s">
        <v>10</v>
      </c>
      <c r="E24" s="300">
        <v>77.585999999999984</v>
      </c>
      <c r="F24" s="302">
        <v>4.9638936835981973E-2</v>
      </c>
      <c r="G24" s="300">
        <v>112.77834476540373</v>
      </c>
      <c r="H24" s="300">
        <v>13.267941787952784</v>
      </c>
      <c r="I24" s="300">
        <v>-3.8512865533565162</v>
      </c>
      <c r="J24" s="293"/>
    </row>
    <row r="25" spans="1:10" x14ac:dyDescent="0.2">
      <c r="A25" s="299">
        <v>1943</v>
      </c>
      <c r="B25" s="300">
        <v>155.53099999999995</v>
      </c>
      <c r="C25" s="300">
        <v>155.53099999999995</v>
      </c>
      <c r="D25" s="301" t="s">
        <v>10</v>
      </c>
      <c r="E25" s="300">
        <v>89.79</v>
      </c>
      <c r="F25" s="302">
        <v>7.004899591042224E-2</v>
      </c>
      <c r="G25" s="300">
        <v>136.80767393209908</v>
      </c>
      <c r="H25" s="300">
        <v>25.013025410697665</v>
      </c>
      <c r="I25" s="300">
        <v>-6.28969934279678</v>
      </c>
      <c r="J25" s="293"/>
    </row>
    <row r="26" spans="1:10" x14ac:dyDescent="0.2">
      <c r="A26" s="299">
        <v>1944</v>
      </c>
      <c r="B26" s="300">
        <v>129.56400000000008</v>
      </c>
      <c r="C26" s="300">
        <v>129.56400000000008</v>
      </c>
      <c r="D26" s="301" t="s">
        <v>10</v>
      </c>
      <c r="E26" s="300">
        <v>189.70099999999996</v>
      </c>
      <c r="F26" s="302">
        <v>-0.29165681375496022</v>
      </c>
      <c r="G26" s="300">
        <v>233.70852339880756</v>
      </c>
      <c r="H26" s="300">
        <v>-159.47211262493715</v>
      </c>
      <c r="I26" s="300">
        <v>55.327589226129675</v>
      </c>
      <c r="J26" s="293"/>
    </row>
    <row r="27" spans="1:10" x14ac:dyDescent="0.2">
      <c r="A27" s="299">
        <v>1945</v>
      </c>
      <c r="B27" s="300">
        <v>67.88900000000001</v>
      </c>
      <c r="C27" s="300">
        <v>67.88900000000001</v>
      </c>
      <c r="D27" s="301" t="s">
        <v>10</v>
      </c>
      <c r="E27" s="300">
        <v>5.2340000000000373</v>
      </c>
      <c r="F27" s="302">
        <v>0.11130297015792201</v>
      </c>
      <c r="G27" s="300">
        <v>7.0307619770513563</v>
      </c>
      <c r="H27" s="300">
        <v>61.440797768755161</v>
      </c>
      <c r="I27" s="300">
        <v>-0.58255974580650616</v>
      </c>
      <c r="J27" s="293"/>
    </row>
    <row r="28" spans="1:10" x14ac:dyDescent="0.2">
      <c r="A28" s="299">
        <v>1946</v>
      </c>
      <c r="B28" s="300">
        <v>64.48599999999999</v>
      </c>
      <c r="C28" s="300">
        <v>64.48599999999999</v>
      </c>
      <c r="D28" s="301" t="s">
        <v>10</v>
      </c>
      <c r="E28" s="300">
        <v>64.38</v>
      </c>
      <c r="F28" s="302">
        <v>-3.5683005080485941E-2</v>
      </c>
      <c r="G28" s="300">
        <v>84.183518366499342</v>
      </c>
      <c r="H28" s="300">
        <v>-21.99479023358105</v>
      </c>
      <c r="I28" s="300">
        <v>2.2972718670816974</v>
      </c>
      <c r="J28" s="293"/>
    </row>
    <row r="29" spans="1:10" x14ac:dyDescent="0.2">
      <c r="A29" s="299">
        <v>1947</v>
      </c>
      <c r="B29" s="300">
        <v>-113.88900000000001</v>
      </c>
      <c r="C29" s="300">
        <v>-113.88900000000001</v>
      </c>
      <c r="D29" s="301" t="s">
        <v>10</v>
      </c>
      <c r="E29" s="300">
        <v>-86.938999999999965</v>
      </c>
      <c r="F29" s="302">
        <v>-3.9144499946530686E-4</v>
      </c>
      <c r="G29" s="300">
        <v>-113.64771565099956</v>
      </c>
      <c r="H29" s="300">
        <v>-0.20725251219190405</v>
      </c>
      <c r="I29" s="300">
        <v>-3.403183680855193E-2</v>
      </c>
      <c r="J29" s="293"/>
    </row>
    <row r="30" spans="1:10" x14ac:dyDescent="0.2">
      <c r="A30" s="299">
        <v>1948</v>
      </c>
      <c r="B30" s="300">
        <v>43.241999999999962</v>
      </c>
      <c r="C30" s="300">
        <v>43.241999999999962</v>
      </c>
      <c r="D30" s="301" t="s">
        <v>10</v>
      </c>
      <c r="E30" s="300">
        <v>18.177999999999884</v>
      </c>
      <c r="F30" s="302">
        <v>3.5570350658416849E-2</v>
      </c>
      <c r="G30" s="300">
        <v>24.409099992147873</v>
      </c>
      <c r="H30" s="300">
        <v>19.479497842120793</v>
      </c>
      <c r="I30" s="300">
        <v>-0.64659783426870376</v>
      </c>
      <c r="J30" s="293"/>
    </row>
    <row r="31" spans="1:10" x14ac:dyDescent="0.2">
      <c r="A31" s="299">
        <v>1949</v>
      </c>
      <c r="B31" s="300">
        <v>77.952999999999975</v>
      </c>
      <c r="C31" s="300">
        <v>77.952999999999975</v>
      </c>
      <c r="D31" s="301" t="s">
        <v>10</v>
      </c>
      <c r="E31" s="300">
        <v>29.608000000000175</v>
      </c>
      <c r="F31" s="302">
        <v>6.6169756162489879E-2</v>
      </c>
      <c r="G31" s="300">
        <v>41.716257923467211</v>
      </c>
      <c r="H31" s="300">
        <v>38.195896216991827</v>
      </c>
      <c r="I31" s="300">
        <v>-1.9591541404590629</v>
      </c>
      <c r="J31" s="293"/>
    </row>
    <row r="32" spans="1:10" x14ac:dyDescent="0.2">
      <c r="A32" s="299">
        <v>1950</v>
      </c>
      <c r="B32" s="300">
        <v>222.53100000000006</v>
      </c>
      <c r="C32" s="300">
        <v>222.53100000000006</v>
      </c>
      <c r="D32" s="301" t="s">
        <v>10</v>
      </c>
      <c r="E32" s="300">
        <v>167.11699999999996</v>
      </c>
      <c r="F32" s="302">
        <v>-1.7369157718210237E-2</v>
      </c>
      <c r="G32" s="300">
        <v>232.55718997041737</v>
      </c>
      <c r="H32" s="300">
        <v>-12.928871500811537</v>
      </c>
      <c r="I32" s="300">
        <v>2.9026815303942328</v>
      </c>
      <c r="J32" s="293"/>
    </row>
    <row r="33" spans="1:10" x14ac:dyDescent="0.2">
      <c r="A33" s="299">
        <v>1951</v>
      </c>
      <c r="B33" s="300">
        <v>-58.423000000000002</v>
      </c>
      <c r="C33" s="300">
        <v>-58.423000000000002</v>
      </c>
      <c r="D33" s="301" t="s">
        <v>10</v>
      </c>
      <c r="E33" s="300">
        <v>-57.919000000000096</v>
      </c>
      <c r="F33" s="302">
        <v>3.2306003221998392E-2</v>
      </c>
      <c r="G33" s="300">
        <v>-82.470231946320212</v>
      </c>
      <c r="H33" s="300">
        <v>22.176100545705353</v>
      </c>
      <c r="I33" s="300">
        <v>1.8711314006148569</v>
      </c>
      <c r="J33" s="293"/>
    </row>
    <row r="34" spans="1:10" x14ac:dyDescent="0.2">
      <c r="A34" s="299">
        <v>1952</v>
      </c>
      <c r="B34" s="300">
        <v>217.69399999999996</v>
      </c>
      <c r="C34" s="300">
        <v>217.69399999999996</v>
      </c>
      <c r="D34" s="301" t="s">
        <v>10</v>
      </c>
      <c r="E34" s="300">
        <v>166.21800000000007</v>
      </c>
      <c r="F34" s="302">
        <v>-2.2262171099226791E-2</v>
      </c>
      <c r="G34" s="300">
        <v>232.97562246718209</v>
      </c>
      <c r="H34" s="300">
        <v>-18.981996022953417</v>
      </c>
      <c r="I34" s="300">
        <v>3.7003735557712787</v>
      </c>
      <c r="J34" s="293"/>
    </row>
    <row r="35" spans="1:10" x14ac:dyDescent="0.2">
      <c r="A35" s="299">
        <v>1953</v>
      </c>
      <c r="B35" s="300">
        <v>96.059999999999945</v>
      </c>
      <c r="C35" s="300">
        <v>96.059999999999945</v>
      </c>
      <c r="D35" s="301" t="s">
        <v>10</v>
      </c>
      <c r="E35" s="300">
        <v>22.661000000000058</v>
      </c>
      <c r="F35" s="302">
        <v>7.3456426683210063E-2</v>
      </c>
      <c r="G35" s="300">
        <v>33.426863593574069</v>
      </c>
      <c r="H35" s="300">
        <v>64.297732491494074</v>
      </c>
      <c r="I35" s="300">
        <v>-1.6645960850681973</v>
      </c>
      <c r="J35" s="293"/>
    </row>
    <row r="36" spans="1:10" x14ac:dyDescent="0.2">
      <c r="A36" s="299">
        <v>1954</v>
      </c>
      <c r="B36" s="300">
        <v>210.779</v>
      </c>
      <c r="C36" s="300">
        <v>210.779</v>
      </c>
      <c r="D36" s="301" t="s">
        <v>10</v>
      </c>
      <c r="E36" s="300">
        <v>91.38799999999992</v>
      </c>
      <c r="F36" s="302">
        <v>7.85906817790476E-2</v>
      </c>
      <c r="G36" s="300">
        <v>141.98716160652759</v>
      </c>
      <c r="H36" s="300">
        <v>75.974083619895993</v>
      </c>
      <c r="I36" s="300">
        <v>-7.1822452264235892</v>
      </c>
      <c r="J36" s="293"/>
    </row>
    <row r="37" spans="1:10" x14ac:dyDescent="0.2">
      <c r="A37" s="299">
        <v>1955</v>
      </c>
      <c r="B37" s="300">
        <v>-60.70699999999988</v>
      </c>
      <c r="C37" s="300">
        <v>-60.70699999999988</v>
      </c>
      <c r="D37" s="301" t="s">
        <v>10</v>
      </c>
      <c r="E37" s="300">
        <v>-33.197000000000003</v>
      </c>
      <c r="F37" s="302">
        <v>-9.77996297963446E-3</v>
      </c>
      <c r="G37" s="300">
        <v>-51.252651107809356</v>
      </c>
      <c r="H37" s="300">
        <v>-9.1296834611555848</v>
      </c>
      <c r="I37" s="300">
        <v>-0.32466543103493706</v>
      </c>
      <c r="J37" s="293"/>
    </row>
    <row r="38" spans="1:10" x14ac:dyDescent="0.2">
      <c r="A38" s="299">
        <v>1956</v>
      </c>
      <c r="B38" s="300">
        <v>196.79600000000005</v>
      </c>
      <c r="C38" s="300">
        <v>196.79600000000005</v>
      </c>
      <c r="D38" s="301" t="s">
        <v>10</v>
      </c>
      <c r="E38" s="300">
        <v>110.10099999999989</v>
      </c>
      <c r="F38" s="302">
        <v>2.569132157281806E-2</v>
      </c>
      <c r="G38" s="300">
        <v>172.81292008988015</v>
      </c>
      <c r="H38" s="300">
        <v>26.811720106608654</v>
      </c>
      <c r="I38" s="300">
        <v>-2.8286401964887489</v>
      </c>
      <c r="J38" s="293"/>
    </row>
    <row r="39" spans="1:10" x14ac:dyDescent="0.2">
      <c r="A39" s="299">
        <v>1957</v>
      </c>
      <c r="B39" s="300">
        <v>89.089999999999918</v>
      </c>
      <c r="C39" s="300">
        <v>87.464999999999918</v>
      </c>
      <c r="D39" s="301">
        <v>1.625</v>
      </c>
      <c r="E39" s="300">
        <v>56.04300000000012</v>
      </c>
      <c r="F39" s="302">
        <v>1.0237106286334896E-3</v>
      </c>
      <c r="G39" s="300">
        <v>88.02164535085177</v>
      </c>
      <c r="H39" s="300">
        <v>1.1257264639087028</v>
      </c>
      <c r="I39" s="300">
        <v>-5.7371814760557527E-2</v>
      </c>
      <c r="J39" s="293"/>
    </row>
    <row r="40" spans="1:10" x14ac:dyDescent="0.2">
      <c r="A40" s="299">
        <v>1958</v>
      </c>
      <c r="B40" s="300">
        <v>-19.157000000000085</v>
      </c>
      <c r="C40" s="300">
        <v>-27.131000000000085</v>
      </c>
      <c r="D40" s="301">
        <v>7.9740000000000002</v>
      </c>
      <c r="E40" s="300">
        <v>-36.04300000000012</v>
      </c>
      <c r="F40" s="302">
        <v>3.5212590618773687E-2</v>
      </c>
      <c r="G40" s="300">
        <v>-57.878630911706551</v>
      </c>
      <c r="H40" s="300">
        <v>37.45246350803388</v>
      </c>
      <c r="I40" s="300">
        <v>1.2691674036725189</v>
      </c>
      <c r="J40" s="293"/>
    </row>
    <row r="41" spans="1:10" x14ac:dyDescent="0.2">
      <c r="A41" s="299">
        <v>1959</v>
      </c>
      <c r="B41" s="300">
        <v>216.24600000000012</v>
      </c>
      <c r="C41" s="300">
        <v>198.67800000000011</v>
      </c>
      <c r="D41" s="301">
        <v>17.568000000000001</v>
      </c>
      <c r="E41" s="300">
        <v>127.05800000000022</v>
      </c>
      <c r="F41" s="302">
        <v>1.0257694531072614E-2</v>
      </c>
      <c r="G41" s="300">
        <v>205.33581351980601</v>
      </c>
      <c r="H41" s="300">
        <v>12.213508631923169</v>
      </c>
      <c r="I41" s="300">
        <v>-1.3033221517290769</v>
      </c>
      <c r="J41" s="293"/>
    </row>
    <row r="42" spans="1:10" x14ac:dyDescent="0.2">
      <c r="A42" s="299">
        <v>1960</v>
      </c>
      <c r="B42" s="300">
        <v>205.12100000000027</v>
      </c>
      <c r="C42" s="300">
        <v>187.37400000000025</v>
      </c>
      <c r="D42" s="301">
        <v>17.747</v>
      </c>
      <c r="E42" s="300">
        <v>76.590999999999894</v>
      </c>
      <c r="F42" s="302">
        <v>6.4188823605850098E-2</v>
      </c>
      <c r="G42" s="300">
        <v>128.69342177486985</v>
      </c>
      <c r="H42" s="300">
        <v>81.343864413925985</v>
      </c>
      <c r="I42" s="300">
        <v>-4.9162861887957376</v>
      </c>
      <c r="J42" s="293"/>
    </row>
    <row r="43" spans="1:10" x14ac:dyDescent="0.2">
      <c r="A43" s="299">
        <v>1961</v>
      </c>
      <c r="B43" s="300">
        <v>87.68499999999969</v>
      </c>
      <c r="C43" s="300">
        <v>94.964999999999691</v>
      </c>
      <c r="D43" s="301">
        <v>-7.28</v>
      </c>
      <c r="E43" s="300">
        <v>22.317000000000007</v>
      </c>
      <c r="F43" s="302">
        <v>3.8917019672040087E-2</v>
      </c>
      <c r="G43" s="300">
        <v>38.367056567429927</v>
      </c>
      <c r="H43" s="300">
        <v>50.186454560590768</v>
      </c>
      <c r="I43" s="300">
        <v>-0.86851112802074226</v>
      </c>
      <c r="J43" s="293"/>
    </row>
    <row r="44" spans="1:10" x14ac:dyDescent="0.2">
      <c r="A44" s="299">
        <v>1962</v>
      </c>
      <c r="B44" s="300">
        <v>257.06399999999996</v>
      </c>
      <c r="C44" s="300">
        <v>246.60699999999997</v>
      </c>
      <c r="D44" s="301">
        <v>10.457000000000001</v>
      </c>
      <c r="E44" s="300">
        <v>181.19699999999989</v>
      </c>
      <c r="F44" s="302">
        <v>-3.7019447876301959E-2</v>
      </c>
      <c r="G44" s="300">
        <v>304.80339151452995</v>
      </c>
      <c r="H44" s="300">
        <v>-54.447204411372255</v>
      </c>
      <c r="I44" s="300">
        <v>6.7078128968421424</v>
      </c>
      <c r="J44" s="293"/>
    </row>
    <row r="45" spans="1:10" x14ac:dyDescent="0.2">
      <c r="A45" s="299">
        <v>1963</v>
      </c>
      <c r="B45" s="300">
        <v>328.065</v>
      </c>
      <c r="C45" s="300">
        <v>320.2510000000002</v>
      </c>
      <c r="D45" s="301">
        <v>7.8140000000000001</v>
      </c>
      <c r="E45" s="300">
        <v>159.93799999999987</v>
      </c>
      <c r="F45" s="302">
        <v>3.6194500832542831E-2</v>
      </c>
      <c r="G45" s="300">
        <v>274.83110542701911</v>
      </c>
      <c r="H45" s="300">
        <v>59.022770647136745</v>
      </c>
      <c r="I45" s="300">
        <v>-5.7888760741553256</v>
      </c>
      <c r="J45" s="293"/>
    </row>
    <row r="46" spans="1:10" x14ac:dyDescent="0.2">
      <c r="A46" s="299">
        <v>1964</v>
      </c>
      <c r="B46" s="300">
        <v>348.49</v>
      </c>
      <c r="C46" s="300">
        <v>344.35899999999992</v>
      </c>
      <c r="D46" s="301">
        <v>4.1310000000000002</v>
      </c>
      <c r="E46" s="300">
        <v>158.54300000000012</v>
      </c>
      <c r="F46" s="302">
        <v>4.2507104723279898E-2</v>
      </c>
      <c r="G46" s="300">
        <v>279.17319674959532</v>
      </c>
      <c r="H46" s="300">
        <v>76.056007154547444</v>
      </c>
      <c r="I46" s="300">
        <v>-6.7392039041429825</v>
      </c>
      <c r="J46" s="293"/>
    </row>
    <row r="47" spans="1:10" x14ac:dyDescent="0.2">
      <c r="A47" s="299">
        <v>1965</v>
      </c>
      <c r="B47" s="300">
        <v>143.83699999999999</v>
      </c>
      <c r="C47" s="300">
        <v>121.29899999999998</v>
      </c>
      <c r="D47" s="301">
        <v>22.537999999999997</v>
      </c>
      <c r="E47" s="300">
        <v>98.961999999999989</v>
      </c>
      <c r="F47" s="302">
        <v>-1.6111481676986505E-2</v>
      </c>
      <c r="G47" s="300">
        <v>172.66453303647464</v>
      </c>
      <c r="H47" s="300">
        <v>-30.421957486192749</v>
      </c>
      <c r="I47" s="300">
        <v>1.5944244497181046</v>
      </c>
      <c r="J47" s="293"/>
    </row>
    <row r="48" spans="1:10" x14ac:dyDescent="0.2">
      <c r="A48" s="299">
        <v>1966</v>
      </c>
      <c r="B48" s="300">
        <v>478.79500000000002</v>
      </c>
      <c r="C48" s="300">
        <v>449.75300000000016</v>
      </c>
      <c r="D48" s="301">
        <v>29.042000000000002</v>
      </c>
      <c r="E48" s="300">
        <v>245.245</v>
      </c>
      <c r="F48" s="302">
        <v>2.3859044128487161E-2</v>
      </c>
      <c r="G48" s="300">
        <v>433.74397113188439</v>
      </c>
      <c r="H48" s="300">
        <v>50.902340145406356</v>
      </c>
      <c r="I48" s="300">
        <v>-5.8513112772906766</v>
      </c>
      <c r="J48" s="293"/>
    </row>
    <row r="49" spans="1:10" x14ac:dyDescent="0.2">
      <c r="A49" s="299">
        <v>1967</v>
      </c>
      <c r="B49" s="300">
        <v>560.97899999999993</v>
      </c>
      <c r="C49" s="300">
        <v>553.34099999999989</v>
      </c>
      <c r="D49" s="301">
        <v>7.6380000000000052</v>
      </c>
      <c r="E49" s="300">
        <v>77.200999999999567</v>
      </c>
      <c r="F49" s="302">
        <v>0.1919968579380511</v>
      </c>
      <c r="G49" s="300">
        <v>151.36119146662773</v>
      </c>
      <c r="H49" s="300">
        <v>424.44015796304791</v>
      </c>
      <c r="I49" s="300">
        <v>-14.822349429675796</v>
      </c>
      <c r="J49" s="293"/>
    </row>
    <row r="50" spans="1:10" x14ac:dyDescent="0.2">
      <c r="A50" s="299">
        <v>1968</v>
      </c>
      <c r="B50" s="300">
        <v>783.15899999999999</v>
      </c>
      <c r="C50" s="300">
        <v>716.79899999999998</v>
      </c>
      <c r="D50" s="301">
        <v>66.36</v>
      </c>
      <c r="E50" s="300">
        <v>331.97200000000021</v>
      </c>
      <c r="F50" s="302">
        <v>5.2029029731627485E-2</v>
      </c>
      <c r="G50" s="300">
        <v>668.14040107542064</v>
      </c>
      <c r="H50" s="300">
        <v>132.29077998264691</v>
      </c>
      <c r="I50" s="300">
        <v>-17.272181058067872</v>
      </c>
      <c r="J50" s="293"/>
    </row>
    <row r="51" spans="1:10" x14ac:dyDescent="0.2">
      <c r="A51" s="299">
        <v>1969</v>
      </c>
      <c r="B51" s="300">
        <v>845.6389999999999</v>
      </c>
      <c r="C51" s="300">
        <v>810.07099999999991</v>
      </c>
      <c r="D51" s="301">
        <v>35.567999999999984</v>
      </c>
      <c r="E51" s="300">
        <v>461.23300000000017</v>
      </c>
      <c r="F51" s="302">
        <v>-2.7516986335036631E-2</v>
      </c>
      <c r="G51" s="300">
        <v>915.60462503299937</v>
      </c>
      <c r="H51" s="300">
        <v>-82.657367191267483</v>
      </c>
      <c r="I51" s="300">
        <v>12.691742158268198</v>
      </c>
      <c r="J51" s="293"/>
    </row>
    <row r="52" spans="1:10" x14ac:dyDescent="0.2">
      <c r="A52" s="299">
        <v>1970</v>
      </c>
      <c r="B52" s="300">
        <v>1297.915999999999</v>
      </c>
      <c r="C52" s="300">
        <v>1519.097999999999</v>
      </c>
      <c r="D52" s="301">
        <v>-221.18199999999999</v>
      </c>
      <c r="E52" s="300">
        <v>1017.535</v>
      </c>
      <c r="F52" s="302">
        <v>-0.17954359912397622</v>
      </c>
      <c r="G52" s="300">
        <v>1837.2410924697401</v>
      </c>
      <c r="H52" s="300">
        <v>-722.01698860435624</v>
      </c>
      <c r="I52" s="300">
        <v>182.69189613461549</v>
      </c>
      <c r="J52" s="293"/>
    </row>
    <row r="53" spans="1:10" x14ac:dyDescent="0.2">
      <c r="A53" s="299">
        <v>1971</v>
      </c>
      <c r="B53" s="300">
        <v>1118.1880000000019</v>
      </c>
      <c r="C53" s="300">
        <v>1070.4870000000019</v>
      </c>
      <c r="D53" s="301">
        <v>47.701000000000001</v>
      </c>
      <c r="E53" s="300">
        <v>335.00600000000031</v>
      </c>
      <c r="F53" s="302">
        <v>0.11782821653609821</v>
      </c>
      <c r="G53" s="300">
        <v>644.35337436530335</v>
      </c>
      <c r="H53" s="300">
        <v>513.30778514359054</v>
      </c>
      <c r="I53" s="300">
        <v>-39.473159508892877</v>
      </c>
      <c r="J53" s="293"/>
    </row>
    <row r="54" spans="1:10" x14ac:dyDescent="0.2">
      <c r="A54" s="299">
        <v>1972</v>
      </c>
      <c r="B54" s="300">
        <v>1818.02</v>
      </c>
      <c r="C54" s="300">
        <v>1754.9379999999983</v>
      </c>
      <c r="D54" s="301">
        <v>63.082000000000001</v>
      </c>
      <c r="E54" s="300">
        <v>1116.7839999999987</v>
      </c>
      <c r="F54" s="302">
        <v>-6.0296038029434174E-2</v>
      </c>
      <c r="G54" s="300">
        <v>2080.6941424397296</v>
      </c>
      <c r="H54" s="300">
        <v>-330.01179297439484</v>
      </c>
      <c r="I54" s="300">
        <v>67.337650534663908</v>
      </c>
      <c r="J54" s="293"/>
    </row>
    <row r="55" spans="1:10" x14ac:dyDescent="0.2">
      <c r="A55" s="299">
        <v>1973</v>
      </c>
      <c r="B55" s="300">
        <v>2529.7780000000016</v>
      </c>
      <c r="C55" s="300">
        <v>2479.5080000000016</v>
      </c>
      <c r="D55" s="301">
        <v>50.27</v>
      </c>
      <c r="E55" s="300">
        <v>2047.612000000001</v>
      </c>
      <c r="F55" s="302">
        <v>-0.1708797824597541</v>
      </c>
      <c r="G55" s="300">
        <v>3465.0358583204688</v>
      </c>
      <c r="H55" s="300">
        <v>-1285.1533514424484</v>
      </c>
      <c r="I55" s="300">
        <v>349.89549312198142</v>
      </c>
      <c r="J55" s="293"/>
    </row>
    <row r="56" spans="1:10" x14ac:dyDescent="0.2">
      <c r="A56" s="299">
        <v>1974</v>
      </c>
      <c r="B56" s="300">
        <v>4970.6000000000004</v>
      </c>
      <c r="C56" s="300">
        <v>4863.9559999999983</v>
      </c>
      <c r="D56" s="301">
        <v>106.64400000000001</v>
      </c>
      <c r="E56" s="300">
        <v>1811.4809999999998</v>
      </c>
      <c r="F56" s="302">
        <v>0.20414643647821928</v>
      </c>
      <c r="G56" s="300">
        <v>3435.254663948861</v>
      </c>
      <c r="H56" s="300">
        <v>1905.1527269491387</v>
      </c>
      <c r="I56" s="300">
        <v>-369.80739089800136</v>
      </c>
      <c r="J56" s="293"/>
    </row>
    <row r="57" spans="1:10" x14ac:dyDescent="0.2">
      <c r="A57" s="299">
        <v>1975</v>
      </c>
      <c r="B57" s="300">
        <v>2473.0430000000001</v>
      </c>
      <c r="C57" s="300">
        <v>2386.4549999999999</v>
      </c>
      <c r="D57" s="301">
        <v>86.588000000000022</v>
      </c>
      <c r="E57" s="300">
        <v>641.03300000000127</v>
      </c>
      <c r="F57" s="302">
        <v>0.12607654063937335</v>
      </c>
      <c r="G57" s="300">
        <v>1296.4607909392867</v>
      </c>
      <c r="H57" s="300">
        <v>1257.4014321363939</v>
      </c>
      <c r="I57" s="300">
        <v>-80.81922307567902</v>
      </c>
      <c r="J57" s="293"/>
    </row>
    <row r="58" spans="1:10" x14ac:dyDescent="0.2">
      <c r="A58" s="299">
        <v>1976</v>
      </c>
      <c r="B58" s="300">
        <v>7198.7614489795887</v>
      </c>
      <c r="C58" s="300">
        <v>6997.3239999999969</v>
      </c>
      <c r="D58" s="301">
        <v>201.43744897959169</v>
      </c>
      <c r="E58" s="300">
        <v>4729.3100000000004</v>
      </c>
      <c r="F58" s="302">
        <v>-0.16092756483257098</v>
      </c>
      <c r="G58" s="300">
        <v>8803.7432280204357</v>
      </c>
      <c r="H58" s="300">
        <v>-2366.0581206791735</v>
      </c>
      <c r="I58" s="300">
        <v>761.07634163832699</v>
      </c>
      <c r="J58" s="293"/>
    </row>
    <row r="59" spans="1:10" x14ac:dyDescent="0.2">
      <c r="A59" s="299">
        <v>1977</v>
      </c>
      <c r="B59" s="300">
        <v>5643.0878623621447</v>
      </c>
      <c r="C59" s="300">
        <v>5408.8650000000016</v>
      </c>
      <c r="D59" s="301">
        <v>234.22286236214291</v>
      </c>
      <c r="E59" s="300">
        <v>1388.3274939999992</v>
      </c>
      <c r="F59" s="302">
        <v>0.19008674090925348</v>
      </c>
      <c r="G59" s="300">
        <v>2848.3132230410115</v>
      </c>
      <c r="H59" s="300">
        <v>3058.6772879703067</v>
      </c>
      <c r="I59" s="300">
        <v>-263.90264864917117</v>
      </c>
      <c r="J59" s="293"/>
    </row>
    <row r="60" spans="1:10" x14ac:dyDescent="0.2">
      <c r="A60" s="299">
        <v>1978</v>
      </c>
      <c r="B60" s="300">
        <v>4001.1329410301828</v>
      </c>
      <c r="C60" s="300">
        <v>3945.2360000000008</v>
      </c>
      <c r="D60" s="301">
        <v>55.896941030181893</v>
      </c>
      <c r="E60" s="300">
        <v>3904.3365060000015</v>
      </c>
      <c r="F60" s="302">
        <v>-0.20050027717607244</v>
      </c>
      <c r="G60" s="300">
        <v>7227.3739776050215</v>
      </c>
      <c r="H60" s="300">
        <v>-4009.0615882165039</v>
      </c>
      <c r="I60" s="300">
        <v>782.82055164165922</v>
      </c>
      <c r="J60" s="293"/>
    </row>
    <row r="61" spans="1:10" x14ac:dyDescent="0.2">
      <c r="A61" s="299">
        <v>1979</v>
      </c>
      <c r="B61" s="300">
        <v>6389.6135467385366</v>
      </c>
      <c r="C61" s="300">
        <v>6155.7920000000013</v>
      </c>
      <c r="D61" s="301">
        <v>233.82154673853563</v>
      </c>
      <c r="E61" s="300">
        <v>3570.44</v>
      </c>
      <c r="F61" s="302">
        <v>-9.3220003567167087E-3</v>
      </c>
      <c r="G61" s="300">
        <v>6576.0096658952034</v>
      </c>
      <c r="H61" s="300">
        <v>-219.67976211029037</v>
      </c>
      <c r="I61" s="300">
        <v>33.283642953633716</v>
      </c>
      <c r="J61" s="293"/>
    </row>
    <row r="62" spans="1:10" x14ac:dyDescent="0.2">
      <c r="A62" s="299">
        <v>1980</v>
      </c>
      <c r="B62" s="300">
        <v>11019.744371254614</v>
      </c>
      <c r="C62" s="300">
        <v>11119.951999999997</v>
      </c>
      <c r="D62" s="301">
        <v>-100.20762874538423</v>
      </c>
      <c r="E62" s="300">
        <v>4210.4510000000009</v>
      </c>
      <c r="F62" s="302">
        <v>0.11754556903249691</v>
      </c>
      <c r="G62" s="300">
        <v>8249.6969936472851</v>
      </c>
      <c r="H62" s="300">
        <v>3264.9672362857673</v>
      </c>
      <c r="I62" s="300">
        <v>-494.91985867844414</v>
      </c>
      <c r="J62" s="293"/>
    </row>
    <row r="63" spans="1:10" x14ac:dyDescent="0.2">
      <c r="A63" s="299">
        <v>1981</v>
      </c>
      <c r="B63" s="300">
        <v>6486.6344590842846</v>
      </c>
      <c r="C63" s="300">
        <v>6107.2820000000065</v>
      </c>
      <c r="D63" s="301">
        <v>379.35245908427828</v>
      </c>
      <c r="E63" s="300">
        <v>2270.8169999999991</v>
      </c>
      <c r="F63" s="302">
        <v>6.7804979864269921E-2</v>
      </c>
      <c r="G63" s="300">
        <v>4603.2709300630095</v>
      </c>
      <c r="H63" s="300">
        <v>2037.3362299817184</v>
      </c>
      <c r="I63" s="300">
        <v>-153.9727009604494</v>
      </c>
      <c r="J63" s="293"/>
    </row>
    <row r="64" spans="1:10" x14ac:dyDescent="0.2">
      <c r="A64" s="299">
        <v>1982</v>
      </c>
      <c r="B64" s="300">
        <v>11820.143967329843</v>
      </c>
      <c r="C64" s="300">
        <v>12444.43</v>
      </c>
      <c r="D64" s="301">
        <v>-624.28603267015762</v>
      </c>
      <c r="E64" s="300">
        <v>3855</v>
      </c>
      <c r="F64" s="302">
        <v>0.11814959169009809</v>
      </c>
      <c r="G64" s="300">
        <v>8270.1031858174683</v>
      </c>
      <c r="H64" s="300">
        <v>4005.5074574777054</v>
      </c>
      <c r="I64" s="300">
        <v>-455.46667596533007</v>
      </c>
      <c r="J64" s="293"/>
    </row>
    <row r="65" spans="1:10" x14ac:dyDescent="0.2">
      <c r="A65" s="299">
        <v>1983</v>
      </c>
      <c r="B65" s="300">
        <v>25349.017869381034</v>
      </c>
      <c r="C65" s="300">
        <v>23744.240000000002</v>
      </c>
      <c r="D65" s="301">
        <v>1604.7778693810333</v>
      </c>
      <c r="E65" s="300">
        <v>4926</v>
      </c>
      <c r="F65" s="302">
        <v>0.38068677886675584</v>
      </c>
      <c r="G65" s="300">
        <v>12442.974692240272</v>
      </c>
      <c r="H65" s="300">
        <v>14781.306249838395</v>
      </c>
      <c r="I65" s="300">
        <v>-1875.2630726976349</v>
      </c>
      <c r="J65" s="293"/>
    </row>
    <row r="66" spans="1:10" x14ac:dyDescent="0.2">
      <c r="A66" s="299">
        <v>1984</v>
      </c>
      <c r="B66" s="300">
        <v>48399.761769792924</v>
      </c>
      <c r="C66" s="300">
        <v>47177.075000000012</v>
      </c>
      <c r="D66" s="301">
        <v>1222.6867697929124</v>
      </c>
      <c r="E66" s="300">
        <v>17376</v>
      </c>
      <c r="F66" s="302">
        <v>8.021391935364397E-2</v>
      </c>
      <c r="G66" s="300">
        <v>45285.215709129632</v>
      </c>
      <c r="H66" s="300">
        <v>4508.343123352206</v>
      </c>
      <c r="I66" s="300">
        <v>-1393.7970626889146</v>
      </c>
      <c r="J66" s="293"/>
    </row>
    <row r="67" spans="1:10" x14ac:dyDescent="0.2">
      <c r="A67" s="299">
        <v>1985</v>
      </c>
      <c r="B67" s="300">
        <v>84074.387826395425</v>
      </c>
      <c r="C67" s="300">
        <v>83177.495999999985</v>
      </c>
      <c r="D67" s="301">
        <v>896.89182639543696</v>
      </c>
      <c r="E67" s="300">
        <v>15369</v>
      </c>
      <c r="F67" s="302">
        <v>0.61503363248140674</v>
      </c>
      <c r="G67" s="300">
        <v>49507.037546410451</v>
      </c>
      <c r="H67" s="300">
        <v>44019.802177591722</v>
      </c>
      <c r="I67" s="300">
        <v>-9452.4518976067484</v>
      </c>
      <c r="J67" s="293"/>
    </row>
    <row r="68" spans="1:10" x14ac:dyDescent="0.2">
      <c r="A68" s="299">
        <v>1986</v>
      </c>
      <c r="B68" s="300">
        <v>71012.685368441933</v>
      </c>
      <c r="C68" s="300">
        <v>65860.128000000026</v>
      </c>
      <c r="D68" s="301">
        <v>5152.5573684419032</v>
      </c>
      <c r="E68" s="300">
        <v>27312</v>
      </c>
      <c r="F68" s="302">
        <v>-0.17156763989139234</v>
      </c>
      <c r="G68" s="300">
        <v>83292.296058388529</v>
      </c>
      <c r="H68" s="300">
        <v>-16965.466070660332</v>
      </c>
      <c r="I68" s="300">
        <v>4685.8553807137214</v>
      </c>
      <c r="J68" s="293"/>
    </row>
    <row r="69" spans="1:10" x14ac:dyDescent="0.2">
      <c r="A69" s="299">
        <v>1987</v>
      </c>
      <c r="B69" s="300">
        <v>120777.80891610675</v>
      </c>
      <c r="C69" s="300">
        <v>116941.87199999997</v>
      </c>
      <c r="D69" s="301">
        <v>3835.9369161067789</v>
      </c>
      <c r="E69" s="300">
        <v>36454</v>
      </c>
      <c r="F69" s="302">
        <v>7.0973829542408939E-2</v>
      </c>
      <c r="G69" s="300">
        <v>113759.56178180562</v>
      </c>
      <c r="H69" s="300">
        <v>9605.5271164400838</v>
      </c>
      <c r="I69" s="300">
        <v>-2587.279982138949</v>
      </c>
      <c r="J69" s="293"/>
    </row>
    <row r="70" spans="1:10" x14ac:dyDescent="0.2">
      <c r="A70" s="299">
        <v>1988</v>
      </c>
      <c r="B70" s="300">
        <v>201893.08367310275</v>
      </c>
      <c r="C70" s="300">
        <v>191792</v>
      </c>
      <c r="D70" s="301">
        <v>10101.083673102745</v>
      </c>
      <c r="E70" s="300">
        <v>83787</v>
      </c>
      <c r="F70" s="302">
        <v>-0.27187740481461908</v>
      </c>
      <c r="G70" s="300">
        <v>238688.69976330851</v>
      </c>
      <c r="H70" s="300">
        <v>-59575.408207408218</v>
      </c>
      <c r="I70" s="300">
        <v>22779.792117202422</v>
      </c>
      <c r="J70" s="293"/>
    </row>
    <row r="71" spans="1:10" x14ac:dyDescent="0.2">
      <c r="A71" s="299">
        <v>1989</v>
      </c>
      <c r="B71" s="300">
        <v>285855.69651658536</v>
      </c>
      <c r="C71" s="300">
        <v>266023</v>
      </c>
      <c r="D71" s="301">
        <v>19832.696516585365</v>
      </c>
      <c r="E71" s="300">
        <v>94549</v>
      </c>
      <c r="F71" s="302">
        <v>5.2629910412154146E-2</v>
      </c>
      <c r="G71" s="300">
        <v>274323.11476761173</v>
      </c>
      <c r="H71" s="300">
        <v>16508.687148532452</v>
      </c>
      <c r="I71" s="300">
        <v>-4976.1053995587863</v>
      </c>
      <c r="J71" s="293"/>
    </row>
    <row r="72" spans="1:10" x14ac:dyDescent="0.2">
      <c r="A72" s="299">
        <v>1990</v>
      </c>
      <c r="B72" s="300">
        <v>581463.31165866076</v>
      </c>
      <c r="C72" s="300">
        <v>566120</v>
      </c>
      <c r="D72" s="301">
        <v>15343.311658660816</v>
      </c>
      <c r="E72" s="300">
        <v>194818</v>
      </c>
      <c r="F72" s="302">
        <v>3.1900450993868734E-2</v>
      </c>
      <c r="G72" s="300">
        <v>571456.93769315898</v>
      </c>
      <c r="H72" s="300">
        <v>16221.156027225294</v>
      </c>
      <c r="I72" s="300">
        <v>-6214.782061723643</v>
      </c>
      <c r="J72" s="293"/>
    </row>
    <row r="73" spans="1:10" x14ac:dyDescent="0.2">
      <c r="A73" s="299">
        <v>1991</v>
      </c>
      <c r="B73" s="300">
        <v>866729.96991603845</v>
      </c>
      <c r="C73" s="300">
        <v>825872</v>
      </c>
      <c r="D73" s="301">
        <v>40857.96991603847</v>
      </c>
      <c r="E73" s="300">
        <v>233836</v>
      </c>
      <c r="F73" s="302">
        <v>0.24358751162713421</v>
      </c>
      <c r="G73" s="300">
        <v>742867.42536622216</v>
      </c>
      <c r="H73" s="300">
        <v>180822.07391865892</v>
      </c>
      <c r="I73" s="300">
        <v>-56959.52936884237</v>
      </c>
      <c r="J73" s="293"/>
    </row>
    <row r="74" spans="1:10" x14ac:dyDescent="0.2">
      <c r="A74" s="299">
        <v>1992</v>
      </c>
      <c r="B74" s="300">
        <v>1341779.8645903699</v>
      </c>
      <c r="C74" s="300">
        <v>1202777</v>
      </c>
      <c r="D74" s="301">
        <v>139002.86459036981</v>
      </c>
      <c r="E74" s="300">
        <v>429833</v>
      </c>
      <c r="F74" s="302">
        <v>-2.0257664328991787E-2</v>
      </c>
      <c r="G74" s="300">
        <v>1356817.7162940456</v>
      </c>
      <c r="H74" s="300">
        <v>-23745.26433519967</v>
      </c>
      <c r="I74" s="300">
        <v>8707.4126315237954</v>
      </c>
      <c r="J74" s="293"/>
    </row>
    <row r="75" spans="1:10" x14ac:dyDescent="0.2">
      <c r="A75" s="299">
        <v>1993</v>
      </c>
      <c r="B75" s="300">
        <v>1954637.77405229</v>
      </c>
      <c r="C75" s="300">
        <v>1764301</v>
      </c>
      <c r="D75" s="301">
        <v>190336.77405229007</v>
      </c>
      <c r="E75" s="300">
        <v>444421</v>
      </c>
      <c r="F75" s="302">
        <v>0.34131952634047158</v>
      </c>
      <c r="G75" s="300">
        <v>1554555.995417991</v>
      </c>
      <c r="H75" s="300">
        <v>551771.34385005862</v>
      </c>
      <c r="I75" s="300">
        <v>-151689.56521575944</v>
      </c>
      <c r="J75" s="293"/>
    </row>
    <row r="76" spans="1:10" x14ac:dyDescent="0.2">
      <c r="A76" s="299">
        <v>1994</v>
      </c>
      <c r="B76" s="300">
        <v>3209923.3390698675</v>
      </c>
      <c r="C76" s="300">
        <v>2726716</v>
      </c>
      <c r="D76" s="301">
        <v>483207.33906986733</v>
      </c>
      <c r="E76" s="300">
        <v>241546</v>
      </c>
      <c r="F76" s="302">
        <v>1.2727916142467497</v>
      </c>
      <c r="G76" s="300">
        <v>1152350.0529360126</v>
      </c>
      <c r="H76" s="300">
        <v>2365011.0093886987</v>
      </c>
      <c r="I76" s="300">
        <v>-307437.72325484455</v>
      </c>
      <c r="J76" s="293"/>
    </row>
    <row r="77" spans="1:10" x14ac:dyDescent="0.2">
      <c r="A77" s="299">
        <v>1995</v>
      </c>
      <c r="B77" s="300">
        <v>3709799.2604699135</v>
      </c>
      <c r="C77" s="300">
        <v>2404543.6030000001</v>
      </c>
      <c r="D77" s="301">
        <v>1305255.6574699136</v>
      </c>
      <c r="E77" s="300">
        <v>553719</v>
      </c>
      <c r="F77" s="302">
        <v>0.44287907458976061</v>
      </c>
      <c r="G77" s="300">
        <v>2886872.8084815163</v>
      </c>
      <c r="H77" s="300">
        <v>1068157.010291165</v>
      </c>
      <c r="I77" s="300">
        <v>-245230.55830276757</v>
      </c>
      <c r="J77" s="293"/>
    </row>
    <row r="78" spans="1:10" x14ac:dyDescent="0.2">
      <c r="A78" s="299">
        <v>1996</v>
      </c>
      <c r="B78" s="300">
        <v>5508583.7579115573</v>
      </c>
      <c r="C78" s="300">
        <v>3961884.3969999999</v>
      </c>
      <c r="D78" s="301">
        <v>1546699.3609115579</v>
      </c>
      <c r="E78" s="300">
        <v>650550</v>
      </c>
      <c r="F78" s="302">
        <v>0.69124661392748976</v>
      </c>
      <c r="G78" s="300">
        <v>3841401.9946037703</v>
      </c>
      <c r="H78" s="300">
        <v>2116872.2479983168</v>
      </c>
      <c r="I78" s="300">
        <v>-449690.48469052836</v>
      </c>
      <c r="J78" s="293"/>
    </row>
    <row r="79" spans="1:10" x14ac:dyDescent="0.2">
      <c r="A79" s="299">
        <v>1997</v>
      </c>
      <c r="B79" s="300">
        <v>6341444.5687947161</v>
      </c>
      <c r="C79" s="300">
        <v>3316116</v>
      </c>
      <c r="D79" s="301">
        <v>3025328.5687947166</v>
      </c>
      <c r="E79" s="300">
        <v>966964</v>
      </c>
      <c r="F79" s="302">
        <v>0.1567653831116802</v>
      </c>
      <c r="G79" s="300">
        <v>5861366.5730842752</v>
      </c>
      <c r="H79" s="300">
        <v>631664.47762564593</v>
      </c>
      <c r="I79" s="300">
        <v>-151586.48191520479</v>
      </c>
      <c r="J79" s="293"/>
    </row>
    <row r="80" spans="1:10" x14ac:dyDescent="0.2">
      <c r="A80" s="299">
        <v>1998</v>
      </c>
      <c r="B80" s="300">
        <v>10437606</v>
      </c>
      <c r="C80" s="300">
        <v>5532164</v>
      </c>
      <c r="D80" s="301">
        <v>4905442</v>
      </c>
      <c r="E80" s="300">
        <v>1660083</v>
      </c>
      <c r="F80" s="302">
        <v>6.5879305894986473E-2</v>
      </c>
      <c r="G80" s="300">
        <v>10172154.428240364</v>
      </c>
      <c r="H80" s="300">
        <v>374816.68752770132</v>
      </c>
      <c r="I80" s="300">
        <v>-109365.11576806568</v>
      </c>
      <c r="J80" s="293"/>
    </row>
    <row r="81" spans="1:10" x14ac:dyDescent="0.2">
      <c r="A81" s="299">
        <v>1999</v>
      </c>
      <c r="B81" s="300">
        <v>28178775</v>
      </c>
      <c r="C81" s="300">
        <v>11579768</v>
      </c>
      <c r="D81" s="301">
        <v>16599007</v>
      </c>
      <c r="E81" s="300">
        <v>7720781</v>
      </c>
      <c r="F81" s="302">
        <v>-1.4265450303896197</v>
      </c>
      <c r="G81" s="300">
        <v>36295024.490425065</v>
      </c>
      <c r="H81" s="300">
        <v>-19130291.256701667</v>
      </c>
      <c r="I81" s="300">
        <v>11014041.766276602</v>
      </c>
      <c r="J81" s="293"/>
    </row>
    <row r="82" spans="1:10" x14ac:dyDescent="0.2">
      <c r="A82" s="76"/>
      <c r="B82" s="294"/>
      <c r="C82" s="294"/>
      <c r="D82" s="294"/>
      <c r="E82" s="294"/>
      <c r="F82" s="294"/>
      <c r="G82" s="294"/>
      <c r="H82" s="294"/>
      <c r="I82" s="294"/>
    </row>
    <row r="83" spans="1:10" x14ac:dyDescent="0.2">
      <c r="A83" s="295"/>
      <c r="B83" s="295"/>
      <c r="C83" s="295"/>
      <c r="D83" s="295"/>
      <c r="E83" s="295"/>
      <c r="F83" s="295"/>
      <c r="G83" s="295"/>
      <c r="H83" s="295"/>
      <c r="I83" s="295"/>
    </row>
    <row r="85" spans="1:10" x14ac:dyDescent="0.2">
      <c r="A85" s="410"/>
    </row>
    <row r="86" spans="1:10" x14ac:dyDescent="0.2">
      <c r="A86" s="84" t="s">
        <v>598</v>
      </c>
    </row>
  </sheetData>
  <mergeCells count="14">
    <mergeCell ref="H7:H8"/>
    <mergeCell ref="I7:I8"/>
    <mergeCell ref="C7:C8"/>
    <mergeCell ref="D7:D8"/>
    <mergeCell ref="E7:E8"/>
    <mergeCell ref="F7:F8"/>
    <mergeCell ref="G7:G8"/>
    <mergeCell ref="A1:I1"/>
    <mergeCell ref="A2:I2"/>
    <mergeCell ref="B5:D5"/>
    <mergeCell ref="G5:I5"/>
    <mergeCell ref="A5:A6"/>
    <mergeCell ref="E5:E6"/>
    <mergeCell ref="F5:F6"/>
  </mergeCells>
  <hyperlinks>
    <hyperlink ref="A86" location="'indice cap.1'!A1" display="regresar al índice" xr:uid="{00000000-0004-0000-1C00-000000000000}"/>
  </hyperlinks>
  <pageMargins left="0.70866141732283472" right="0" top="0" bottom="0" header="0.31496062992125984" footer="0.31496062992125984"/>
  <pageSetup paperSize="9" scale="75" orientation="portrait" verticalDpi="599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85"/>
  <sheetViews>
    <sheetView showGridLines="0" topLeftCell="A39" workbookViewId="0">
      <selection activeCell="A4" sqref="A4:A5"/>
    </sheetView>
  </sheetViews>
  <sheetFormatPr defaultColWidth="11.42578125" defaultRowHeight="12.75" x14ac:dyDescent="0.2"/>
  <cols>
    <col min="1" max="1" width="11.42578125" style="24"/>
    <col min="2" max="8" width="15.7109375" style="24" customWidth="1"/>
    <col min="9" max="16384" width="11.42578125" style="24"/>
  </cols>
  <sheetData>
    <row r="1" spans="1:9" x14ac:dyDescent="0.2">
      <c r="A1" s="558" t="s">
        <v>689</v>
      </c>
      <c r="B1" s="558"/>
      <c r="C1" s="558"/>
      <c r="D1" s="558"/>
      <c r="E1" s="558"/>
      <c r="F1" s="558"/>
      <c r="G1" s="558"/>
      <c r="H1" s="558"/>
    </row>
    <row r="2" spans="1:9" x14ac:dyDescent="0.2">
      <c r="A2" s="558" t="s">
        <v>476</v>
      </c>
      <c r="B2" s="494"/>
      <c r="C2" s="494"/>
      <c r="D2" s="494"/>
      <c r="E2" s="494"/>
      <c r="F2" s="494"/>
      <c r="G2" s="494"/>
      <c r="H2" s="494"/>
    </row>
    <row r="3" spans="1:9" x14ac:dyDescent="0.2">
      <c r="B3" s="290"/>
      <c r="C3" s="65"/>
      <c r="D3" s="65"/>
      <c r="E3" s="65"/>
      <c r="F3" s="65"/>
      <c r="G3" s="290"/>
      <c r="H3" s="290"/>
    </row>
    <row r="4" spans="1:9" x14ac:dyDescent="0.2">
      <c r="A4" s="607" t="s">
        <v>87</v>
      </c>
      <c r="B4" s="605" t="s">
        <v>833</v>
      </c>
      <c r="C4" s="602" t="s">
        <v>477</v>
      </c>
      <c r="D4" s="602"/>
      <c r="E4" s="602"/>
      <c r="F4" s="602" t="s">
        <v>478</v>
      </c>
      <c r="G4" s="603"/>
      <c r="H4" s="604"/>
    </row>
    <row r="5" spans="1:9" ht="25.5" x14ac:dyDescent="0.2">
      <c r="A5" s="608"/>
      <c r="B5" s="606"/>
      <c r="C5" s="296" t="s">
        <v>750</v>
      </c>
      <c r="D5" s="296" t="s">
        <v>751</v>
      </c>
      <c r="E5" s="296" t="s">
        <v>468</v>
      </c>
      <c r="F5" s="296" t="s">
        <v>96</v>
      </c>
      <c r="G5" s="296" t="s">
        <v>442</v>
      </c>
      <c r="H5" s="297" t="s">
        <v>474</v>
      </c>
    </row>
    <row r="6" spans="1:9" x14ac:dyDescent="0.2">
      <c r="B6" s="610" t="s">
        <v>97</v>
      </c>
      <c r="C6" s="612" t="s">
        <v>98</v>
      </c>
      <c r="D6" s="612" t="s">
        <v>113</v>
      </c>
      <c r="E6" s="305" t="s">
        <v>479</v>
      </c>
      <c r="F6" s="600" t="s">
        <v>101</v>
      </c>
      <c r="G6" s="600" t="s">
        <v>102</v>
      </c>
      <c r="H6" s="601" t="s">
        <v>114</v>
      </c>
    </row>
    <row r="7" spans="1:9" x14ac:dyDescent="0.2">
      <c r="B7" s="611"/>
      <c r="C7" s="613"/>
      <c r="D7" s="613"/>
      <c r="E7" s="305" t="s">
        <v>480</v>
      </c>
      <c r="F7" s="613"/>
      <c r="G7" s="613"/>
      <c r="H7" s="609"/>
    </row>
    <row r="8" spans="1:9" x14ac:dyDescent="0.2">
      <c r="A8" s="292"/>
      <c r="B8" s="292"/>
      <c r="C8" s="306"/>
      <c r="D8" s="306"/>
      <c r="F8" s="291"/>
      <c r="G8" s="291"/>
      <c r="H8" s="291"/>
    </row>
    <row r="9" spans="1:9" x14ac:dyDescent="0.2">
      <c r="A9" s="299">
        <v>1928</v>
      </c>
      <c r="B9" s="300">
        <v>0.26100000000000989</v>
      </c>
      <c r="C9" s="307">
        <v>100</v>
      </c>
      <c r="D9" s="307">
        <v>0</v>
      </c>
      <c r="E9" s="308">
        <v>100</v>
      </c>
      <c r="F9" s="307">
        <v>121.16133946619986</v>
      </c>
      <c r="G9" s="307">
        <v>-21.254481674494532</v>
      </c>
      <c r="H9" s="307">
        <v>9.3142208294656276E-2</v>
      </c>
      <c r="I9" s="309"/>
    </row>
    <row r="10" spans="1:9" x14ac:dyDescent="0.2">
      <c r="A10" s="299">
        <v>1929</v>
      </c>
      <c r="B10" s="300">
        <v>-7.9050000000000002</v>
      </c>
      <c r="C10" s="307">
        <v>100</v>
      </c>
      <c r="D10" s="307">
        <v>0</v>
      </c>
      <c r="E10" s="308">
        <v>100</v>
      </c>
      <c r="F10" s="307">
        <v>113.28966807549617</v>
      </c>
      <c r="G10" s="307">
        <v>-11.664041503903762</v>
      </c>
      <c r="H10" s="307">
        <v>-1.6256265715924083</v>
      </c>
      <c r="I10" s="309"/>
    </row>
    <row r="11" spans="1:9" x14ac:dyDescent="0.2">
      <c r="A11" s="299">
        <v>1930</v>
      </c>
      <c r="B11" s="300">
        <v>-9.6890000000000001</v>
      </c>
      <c r="C11" s="307">
        <v>100</v>
      </c>
      <c r="D11" s="307">
        <v>0</v>
      </c>
      <c r="E11" s="308">
        <v>100</v>
      </c>
      <c r="F11" s="307">
        <v>100.49633202640862</v>
      </c>
      <c r="G11" s="307">
        <v>-0.42117733108389538</v>
      </c>
      <c r="H11" s="307">
        <v>-7.5154695324729154E-2</v>
      </c>
      <c r="I11" s="309"/>
    </row>
    <row r="12" spans="1:9" x14ac:dyDescent="0.2">
      <c r="A12" s="299">
        <v>1931</v>
      </c>
      <c r="B12" s="300">
        <v>-10.127000000000002</v>
      </c>
      <c r="C12" s="307">
        <v>100</v>
      </c>
      <c r="D12" s="307">
        <v>0</v>
      </c>
      <c r="E12" s="308">
        <v>100</v>
      </c>
      <c r="F12" s="307">
        <v>101.07427945790218</v>
      </c>
      <c r="G12" s="307">
        <v>-0.87316851258446326</v>
      </c>
      <c r="H12" s="307">
        <v>-0.20111094531771048</v>
      </c>
      <c r="I12" s="309"/>
    </row>
    <row r="13" spans="1:9" x14ac:dyDescent="0.2">
      <c r="A13" s="299">
        <v>1932</v>
      </c>
      <c r="B13" s="300">
        <v>20.748999999999995</v>
      </c>
      <c r="C13" s="307">
        <v>100</v>
      </c>
      <c r="D13" s="307">
        <v>0</v>
      </c>
      <c r="E13" s="308">
        <v>100</v>
      </c>
      <c r="F13" s="307">
        <v>107.36332446170988</v>
      </c>
      <c r="G13" s="307">
        <v>-11.185726135184732</v>
      </c>
      <c r="H13" s="307">
        <v>3.8224016734748374</v>
      </c>
      <c r="I13" s="309"/>
    </row>
    <row r="14" spans="1:9" x14ac:dyDescent="0.2">
      <c r="A14" s="299">
        <v>1933</v>
      </c>
      <c r="B14" s="300">
        <v>27.323000000000008</v>
      </c>
      <c r="C14" s="307">
        <v>100</v>
      </c>
      <c r="D14" s="307">
        <v>0</v>
      </c>
      <c r="E14" s="308">
        <v>100</v>
      </c>
      <c r="F14" s="307">
        <v>104.65804785570904</v>
      </c>
      <c r="G14" s="307">
        <v>-6.7419948188236338</v>
      </c>
      <c r="H14" s="307">
        <v>2.0839469631145811</v>
      </c>
      <c r="I14" s="309"/>
    </row>
    <row r="15" spans="1:9" x14ac:dyDescent="0.2">
      <c r="A15" s="299">
        <v>1934</v>
      </c>
      <c r="B15" s="300">
        <v>23.039000000000001</v>
      </c>
      <c r="C15" s="307">
        <v>100</v>
      </c>
      <c r="D15" s="307">
        <v>0</v>
      </c>
      <c r="E15" s="308">
        <v>100</v>
      </c>
      <c r="F15" s="307">
        <v>78.263572222902411</v>
      </c>
      <c r="G15" s="307">
        <v>25.755390343533826</v>
      </c>
      <c r="H15" s="307">
        <v>-4.0189625664362314</v>
      </c>
      <c r="I15" s="309"/>
    </row>
    <row r="16" spans="1:9" x14ac:dyDescent="0.2">
      <c r="A16" s="299">
        <v>1935</v>
      </c>
      <c r="B16" s="300">
        <v>3.0280000000000058</v>
      </c>
      <c r="C16" s="307">
        <v>100</v>
      </c>
      <c r="D16" s="307">
        <v>0</v>
      </c>
      <c r="E16" s="308">
        <v>100</v>
      </c>
      <c r="F16" s="307">
        <v>68.51048845204356</v>
      </c>
      <c r="G16" s="307">
        <v>32.050213956647141</v>
      </c>
      <c r="H16" s="307">
        <v>-0.56070240869069943</v>
      </c>
      <c r="I16" s="309"/>
    </row>
    <row r="17" spans="1:9" x14ac:dyDescent="0.2">
      <c r="A17" s="299">
        <v>1936</v>
      </c>
      <c r="B17" s="300">
        <v>25.495999999999981</v>
      </c>
      <c r="C17" s="307">
        <v>100</v>
      </c>
      <c r="D17" s="307">
        <v>0</v>
      </c>
      <c r="E17" s="308">
        <v>100</v>
      </c>
      <c r="F17" s="307">
        <v>134.28239165446442</v>
      </c>
      <c r="G17" s="307">
        <v>-44.968122501660716</v>
      </c>
      <c r="H17" s="307">
        <v>10.685730847196282</v>
      </c>
      <c r="I17" s="309"/>
    </row>
    <row r="18" spans="1:9" x14ac:dyDescent="0.2">
      <c r="A18" s="299">
        <v>1937</v>
      </c>
      <c r="B18" s="300">
        <v>15.39</v>
      </c>
      <c r="C18" s="307">
        <v>100</v>
      </c>
      <c r="D18" s="307">
        <v>0</v>
      </c>
      <c r="E18" s="308">
        <v>100</v>
      </c>
      <c r="F18" s="307">
        <v>155.21353456736844</v>
      </c>
      <c r="G18" s="307">
        <v>-64.941510670050434</v>
      </c>
      <c r="H18" s="307">
        <v>9.7279761026819873</v>
      </c>
      <c r="I18" s="309"/>
    </row>
    <row r="19" spans="1:9" x14ac:dyDescent="0.2">
      <c r="A19" s="299">
        <v>1938</v>
      </c>
      <c r="B19" s="300">
        <v>-3.3509999999999991</v>
      </c>
      <c r="C19" s="307">
        <v>100</v>
      </c>
      <c r="D19" s="307">
        <v>0</v>
      </c>
      <c r="E19" s="308">
        <v>100</v>
      </c>
      <c r="F19" s="307">
        <v>228.32942493119529</v>
      </c>
      <c r="G19" s="307">
        <v>-122.33375148116701</v>
      </c>
      <c r="H19" s="307">
        <v>-5.995673450028276</v>
      </c>
      <c r="I19" s="309"/>
    </row>
    <row r="20" spans="1:9" x14ac:dyDescent="0.2">
      <c r="A20" s="299">
        <v>1939</v>
      </c>
      <c r="B20" s="300">
        <v>17.98</v>
      </c>
      <c r="C20" s="307">
        <v>100</v>
      </c>
      <c r="D20" s="307">
        <v>0</v>
      </c>
      <c r="E20" s="308">
        <v>100</v>
      </c>
      <c r="F20" s="307">
        <v>71.911430073003913</v>
      </c>
      <c r="G20" s="307">
        <v>30.342008029938434</v>
      </c>
      <c r="H20" s="307">
        <v>-2.2534381029423431</v>
      </c>
      <c r="I20" s="309"/>
    </row>
    <row r="21" spans="1:9" x14ac:dyDescent="0.2">
      <c r="A21" s="299">
        <v>1940</v>
      </c>
      <c r="B21" s="300">
        <v>35.582000000000022</v>
      </c>
      <c r="C21" s="307">
        <v>100</v>
      </c>
      <c r="D21" s="307">
        <v>0</v>
      </c>
      <c r="E21" s="308">
        <v>100</v>
      </c>
      <c r="F21" s="307">
        <v>91.141626831081638</v>
      </c>
      <c r="G21" s="307">
        <v>10.479146355505717</v>
      </c>
      <c r="H21" s="307">
        <v>-1.6207731865873443</v>
      </c>
      <c r="I21" s="309"/>
    </row>
    <row r="22" spans="1:9" x14ac:dyDescent="0.2">
      <c r="A22" s="299">
        <v>1941</v>
      </c>
      <c r="B22" s="300">
        <v>56.657000000000011</v>
      </c>
      <c r="C22" s="307">
        <v>100</v>
      </c>
      <c r="D22" s="307">
        <v>0</v>
      </c>
      <c r="E22" s="308">
        <v>100</v>
      </c>
      <c r="F22" s="307">
        <v>135.72920189072025</v>
      </c>
      <c r="G22" s="307">
        <v>-50.233358183009571</v>
      </c>
      <c r="H22" s="307">
        <v>14.504156292289327</v>
      </c>
      <c r="I22" s="309"/>
    </row>
    <row r="23" spans="1:9" x14ac:dyDescent="0.2">
      <c r="A23" s="299">
        <v>1942</v>
      </c>
      <c r="B23" s="300">
        <v>122.19499999999999</v>
      </c>
      <c r="C23" s="307">
        <v>100</v>
      </c>
      <c r="D23" s="307">
        <v>0</v>
      </c>
      <c r="E23" s="308">
        <v>100</v>
      </c>
      <c r="F23" s="307">
        <v>92.293747506365847</v>
      </c>
      <c r="G23" s="307">
        <v>10.858007109908577</v>
      </c>
      <c r="H23" s="307">
        <v>-3.151754616274411</v>
      </c>
      <c r="I23" s="309"/>
    </row>
    <row r="24" spans="1:9" x14ac:dyDescent="0.2">
      <c r="A24" s="299">
        <v>1943</v>
      </c>
      <c r="B24" s="300">
        <v>155.53099999999995</v>
      </c>
      <c r="C24" s="307">
        <v>100</v>
      </c>
      <c r="D24" s="307">
        <v>0</v>
      </c>
      <c r="E24" s="308">
        <v>100</v>
      </c>
      <c r="F24" s="307">
        <v>87.961675763737858</v>
      </c>
      <c r="G24" s="307">
        <v>16.082340762097378</v>
      </c>
      <c r="H24" s="307">
        <v>-4.0440165258352234</v>
      </c>
      <c r="I24" s="309"/>
    </row>
    <row r="25" spans="1:9" x14ac:dyDescent="0.2">
      <c r="A25" s="299">
        <v>1944</v>
      </c>
      <c r="B25" s="300">
        <v>129.56400000000008</v>
      </c>
      <c r="C25" s="307">
        <v>100</v>
      </c>
      <c r="D25" s="307">
        <v>0</v>
      </c>
      <c r="E25" s="308">
        <v>100</v>
      </c>
      <c r="F25" s="307">
        <v>180.3807565363893</v>
      </c>
      <c r="G25" s="307">
        <v>-123.08365952343017</v>
      </c>
      <c r="H25" s="307">
        <v>42.702902987040872</v>
      </c>
      <c r="I25" s="309"/>
    </row>
    <row r="26" spans="1:9" x14ac:dyDescent="0.2">
      <c r="A26" s="299">
        <v>1945</v>
      </c>
      <c r="B26" s="300">
        <v>67.88900000000001</v>
      </c>
      <c r="C26" s="307">
        <v>100</v>
      </c>
      <c r="D26" s="307">
        <v>0</v>
      </c>
      <c r="E26" s="308">
        <v>100</v>
      </c>
      <c r="F26" s="307">
        <v>10.356260921579866</v>
      </c>
      <c r="G26" s="307">
        <v>90.501845319205103</v>
      </c>
      <c r="H26" s="307">
        <v>-0.85810624078496678</v>
      </c>
      <c r="I26" s="309"/>
    </row>
    <row r="27" spans="1:9" x14ac:dyDescent="0.2">
      <c r="A27" s="299">
        <v>1946</v>
      </c>
      <c r="B27" s="300">
        <v>64.48599999999999</v>
      </c>
      <c r="C27" s="307">
        <v>100</v>
      </c>
      <c r="D27" s="307">
        <v>0</v>
      </c>
      <c r="E27" s="308">
        <v>100</v>
      </c>
      <c r="F27" s="307">
        <v>130.54541817836329</v>
      </c>
      <c r="G27" s="307">
        <v>-34.107853229508812</v>
      </c>
      <c r="H27" s="307">
        <v>3.5624350511455161</v>
      </c>
      <c r="I27" s="309"/>
    </row>
    <row r="28" spans="1:9" x14ac:dyDescent="0.2">
      <c r="A28" s="299">
        <v>1947</v>
      </c>
      <c r="B28" s="300">
        <v>-113.88900000000001</v>
      </c>
      <c r="C28" s="307">
        <v>100</v>
      </c>
      <c r="D28" s="307">
        <v>0</v>
      </c>
      <c r="E28" s="308">
        <v>100</v>
      </c>
      <c r="F28" s="307">
        <v>99.788140778301283</v>
      </c>
      <c r="G28" s="307">
        <v>0.18197763804397618</v>
      </c>
      <c r="H28" s="307">
        <v>2.9881583654744467E-2</v>
      </c>
      <c r="I28" s="309"/>
    </row>
    <row r="29" spans="1:9" x14ac:dyDescent="0.2">
      <c r="A29" s="299">
        <v>1948</v>
      </c>
      <c r="B29" s="300">
        <v>43.241999999999962</v>
      </c>
      <c r="C29" s="307">
        <v>100</v>
      </c>
      <c r="D29" s="307">
        <v>0</v>
      </c>
      <c r="E29" s="308">
        <v>100</v>
      </c>
      <c r="F29" s="307">
        <v>56.447666602256817</v>
      </c>
      <c r="G29" s="307">
        <v>45.047633879378409</v>
      </c>
      <c r="H29" s="307">
        <v>-1.4953004816352258</v>
      </c>
      <c r="I29" s="309"/>
    </row>
    <row r="30" spans="1:9" x14ac:dyDescent="0.2">
      <c r="A30" s="299">
        <v>1949</v>
      </c>
      <c r="B30" s="300">
        <v>77.952999999999975</v>
      </c>
      <c r="C30" s="307">
        <v>100</v>
      </c>
      <c r="D30" s="307">
        <v>0</v>
      </c>
      <c r="E30" s="308">
        <v>100</v>
      </c>
      <c r="F30" s="307">
        <v>53.514627946925998</v>
      </c>
      <c r="G30" s="307">
        <v>48.998622525100814</v>
      </c>
      <c r="H30" s="307">
        <v>-2.5132504720268156</v>
      </c>
      <c r="I30" s="309"/>
    </row>
    <row r="31" spans="1:9" x14ac:dyDescent="0.2">
      <c r="A31" s="299">
        <v>1950</v>
      </c>
      <c r="B31" s="300">
        <v>222.53100000000006</v>
      </c>
      <c r="C31" s="307">
        <v>100</v>
      </c>
      <c r="D31" s="307">
        <v>0</v>
      </c>
      <c r="E31" s="308">
        <v>100</v>
      </c>
      <c r="F31" s="307">
        <v>104.50552505961745</v>
      </c>
      <c r="G31" s="307">
        <v>-5.8099192925082495</v>
      </c>
      <c r="H31" s="307">
        <v>1.3043942328908027</v>
      </c>
      <c r="I31" s="309"/>
    </row>
    <row r="32" spans="1:9" x14ac:dyDescent="0.2">
      <c r="A32" s="299">
        <v>1951</v>
      </c>
      <c r="B32" s="300">
        <v>-58.423000000000002</v>
      </c>
      <c r="C32" s="307">
        <v>100</v>
      </c>
      <c r="D32" s="307">
        <v>0</v>
      </c>
      <c r="E32" s="308">
        <v>100</v>
      </c>
      <c r="F32" s="307">
        <v>141.16055653821306</v>
      </c>
      <c r="G32" s="307">
        <v>-37.957825763321559</v>
      </c>
      <c r="H32" s="307">
        <v>-3.2027307748914926</v>
      </c>
      <c r="I32" s="309"/>
    </row>
    <row r="33" spans="1:9" x14ac:dyDescent="0.2">
      <c r="A33" s="299">
        <v>1952</v>
      </c>
      <c r="B33" s="300">
        <v>217.69399999999996</v>
      </c>
      <c r="C33" s="307">
        <v>100</v>
      </c>
      <c r="D33" s="307">
        <v>0</v>
      </c>
      <c r="E33" s="308">
        <v>100</v>
      </c>
      <c r="F33" s="307">
        <v>107.0197720043649</v>
      </c>
      <c r="G33" s="307">
        <v>-8.719577031499913</v>
      </c>
      <c r="H33" s="307">
        <v>1.6998050271350058</v>
      </c>
      <c r="I33" s="309"/>
    </row>
    <row r="34" spans="1:9" x14ac:dyDescent="0.2">
      <c r="A34" s="299">
        <v>1953</v>
      </c>
      <c r="B34" s="300">
        <v>96.059999999999945</v>
      </c>
      <c r="C34" s="307">
        <v>100</v>
      </c>
      <c r="D34" s="307">
        <v>0</v>
      </c>
      <c r="E34" s="308">
        <v>100</v>
      </c>
      <c r="F34" s="307">
        <v>34.797900888584309</v>
      </c>
      <c r="G34" s="307">
        <v>66.93497032218832</v>
      </c>
      <c r="H34" s="307">
        <v>-1.7328712107726403</v>
      </c>
      <c r="I34" s="309"/>
    </row>
    <row r="35" spans="1:9" x14ac:dyDescent="0.2">
      <c r="A35" s="299">
        <v>1954</v>
      </c>
      <c r="B35" s="300">
        <v>210.779</v>
      </c>
      <c r="C35" s="307">
        <v>100</v>
      </c>
      <c r="D35" s="307">
        <v>0</v>
      </c>
      <c r="E35" s="308">
        <v>100</v>
      </c>
      <c r="F35" s="307">
        <v>67.363049263222436</v>
      </c>
      <c r="G35" s="307">
        <v>36.044427395469185</v>
      </c>
      <c r="H35" s="307">
        <v>-3.4074766586916105</v>
      </c>
      <c r="I35" s="309"/>
    </row>
    <row r="36" spans="1:9" x14ac:dyDescent="0.2">
      <c r="A36" s="299">
        <v>1955</v>
      </c>
      <c r="B36" s="300">
        <v>-60.70699999999988</v>
      </c>
      <c r="C36" s="307">
        <v>100</v>
      </c>
      <c r="D36" s="307">
        <v>0</v>
      </c>
      <c r="E36" s="308">
        <v>100</v>
      </c>
      <c r="F36" s="307">
        <v>84.426262387878594</v>
      </c>
      <c r="G36" s="307">
        <v>15.038930372371558</v>
      </c>
      <c r="H36" s="307">
        <v>0.53480723974984379</v>
      </c>
      <c r="I36" s="309"/>
    </row>
    <row r="37" spans="1:9" x14ac:dyDescent="0.2">
      <c r="A37" s="299">
        <v>1956</v>
      </c>
      <c r="B37" s="300">
        <v>196.79600000000005</v>
      </c>
      <c r="C37" s="307">
        <v>100</v>
      </c>
      <c r="D37" s="307">
        <v>0</v>
      </c>
      <c r="E37" s="308">
        <v>100</v>
      </c>
      <c r="F37" s="307">
        <v>87.81322795680812</v>
      </c>
      <c r="G37" s="307">
        <v>13.624118430561927</v>
      </c>
      <c r="H37" s="307">
        <v>-1.4373463873700423</v>
      </c>
      <c r="I37" s="309"/>
    </row>
    <row r="38" spans="1:9" x14ac:dyDescent="0.2">
      <c r="A38" s="299">
        <v>1957</v>
      </c>
      <c r="B38" s="300">
        <v>89.089999999999918</v>
      </c>
      <c r="C38" s="307">
        <v>98.176001795936699</v>
      </c>
      <c r="D38" s="307">
        <v>1.8239982040633085</v>
      </c>
      <c r="E38" s="308">
        <v>100</v>
      </c>
      <c r="F38" s="307">
        <v>98.800814177631452</v>
      </c>
      <c r="G38" s="307">
        <v>1.2635834144221616</v>
      </c>
      <c r="H38" s="307">
        <v>-6.4397592053605984E-2</v>
      </c>
      <c r="I38" s="309"/>
    </row>
    <row r="39" spans="1:9" x14ac:dyDescent="0.2">
      <c r="A39" s="299">
        <v>1958</v>
      </c>
      <c r="B39" s="300">
        <v>-19.157000000000153</v>
      </c>
      <c r="C39" s="307">
        <v>141.6244714725681</v>
      </c>
      <c r="D39" s="307">
        <v>-41.624471472568445</v>
      </c>
      <c r="E39" s="308">
        <v>99.999999999999659</v>
      </c>
      <c r="F39" s="307">
        <v>302.12784314718431</v>
      </c>
      <c r="G39" s="307">
        <v>-195.50275882462589</v>
      </c>
      <c r="H39" s="307">
        <v>-6.6250843225583793</v>
      </c>
      <c r="I39" s="309"/>
    </row>
    <row r="40" spans="1:9" x14ac:dyDescent="0.2">
      <c r="A40" s="299">
        <v>1959</v>
      </c>
      <c r="B40" s="300">
        <v>216.24600000000009</v>
      </c>
      <c r="C40" s="307">
        <v>91.875919092145068</v>
      </c>
      <c r="D40" s="307">
        <v>8.1240809078549407</v>
      </c>
      <c r="E40" s="308">
        <v>100</v>
      </c>
      <c r="F40" s="307">
        <v>94.954733738337779</v>
      </c>
      <c r="G40" s="307">
        <v>5.6479697344335449</v>
      </c>
      <c r="H40" s="307">
        <v>-0.60270347277132352</v>
      </c>
      <c r="I40" s="309"/>
    </row>
    <row r="41" spans="1:9" x14ac:dyDescent="0.2">
      <c r="A41" s="299">
        <v>1960</v>
      </c>
      <c r="B41" s="300">
        <v>205.12100000000009</v>
      </c>
      <c r="C41" s="307">
        <v>91.348033599680264</v>
      </c>
      <c r="D41" s="307">
        <v>8.6519664003198073</v>
      </c>
      <c r="E41" s="308">
        <v>100</v>
      </c>
      <c r="F41" s="307">
        <v>62.7402468664202</v>
      </c>
      <c r="G41" s="307">
        <v>39.656526837294059</v>
      </c>
      <c r="H41" s="307">
        <v>-2.3967737037142638</v>
      </c>
      <c r="I41" s="309"/>
    </row>
    <row r="42" spans="1:9" x14ac:dyDescent="0.2">
      <c r="A42" s="299">
        <v>1961</v>
      </c>
      <c r="B42" s="300">
        <v>87.684999999999945</v>
      </c>
      <c r="C42" s="307">
        <v>108.30244625648599</v>
      </c>
      <c r="D42" s="307">
        <v>-8.3024462564862933</v>
      </c>
      <c r="E42" s="308">
        <v>99.999999999999702</v>
      </c>
      <c r="F42" s="307">
        <v>43.755552908057197</v>
      </c>
      <c r="G42" s="307">
        <v>57.234937059463761</v>
      </c>
      <c r="H42" s="307">
        <v>-0.99048996752094753</v>
      </c>
      <c r="I42" s="309"/>
    </row>
    <row r="43" spans="1:9" x14ac:dyDescent="0.2">
      <c r="A43" s="299">
        <v>1962</v>
      </c>
      <c r="B43" s="300">
        <v>257.06399999999985</v>
      </c>
      <c r="C43" s="307">
        <v>95.932141412255362</v>
      </c>
      <c r="D43" s="307">
        <v>4.0678585877446887</v>
      </c>
      <c r="E43" s="308">
        <v>100</v>
      </c>
      <c r="F43" s="307">
        <v>118.57101403328747</v>
      </c>
      <c r="G43" s="307">
        <v>-21.180408151811335</v>
      </c>
      <c r="H43" s="307">
        <v>2.6093941185238485</v>
      </c>
      <c r="I43" s="309"/>
    </row>
    <row r="44" spans="1:9" x14ac:dyDescent="0.2">
      <c r="A44" s="299">
        <v>1963</v>
      </c>
      <c r="B44" s="300">
        <v>328.06500000000051</v>
      </c>
      <c r="C44" s="307">
        <v>97.618154938807763</v>
      </c>
      <c r="D44" s="307">
        <v>2.3818450611921378</v>
      </c>
      <c r="E44" s="308">
        <v>99.999999999999901</v>
      </c>
      <c r="F44" s="307">
        <v>83.773369736795658</v>
      </c>
      <c r="G44" s="307">
        <v>17.991181822851161</v>
      </c>
      <c r="H44" s="307">
        <v>-1.7645515596468129</v>
      </c>
      <c r="I44" s="309"/>
    </row>
    <row r="45" spans="1:9" x14ac:dyDescent="0.2">
      <c r="A45" s="299">
        <v>1964</v>
      </c>
      <c r="B45" s="300">
        <v>348.49</v>
      </c>
      <c r="C45" s="307">
        <v>98.814600131998091</v>
      </c>
      <c r="D45" s="307">
        <v>1.1853998680019522</v>
      </c>
      <c r="E45" s="308">
        <v>100</v>
      </c>
      <c r="F45" s="307">
        <v>80.109385276362445</v>
      </c>
      <c r="G45" s="307">
        <v>21.824444648210132</v>
      </c>
      <c r="H45" s="307">
        <v>-1.9338299245725807</v>
      </c>
      <c r="I45" s="309"/>
    </row>
    <row r="46" spans="1:9" x14ac:dyDescent="0.2">
      <c r="A46" s="299">
        <v>1965</v>
      </c>
      <c r="B46" s="300">
        <v>143.83699999999999</v>
      </c>
      <c r="C46" s="307">
        <v>84.330874531587824</v>
      </c>
      <c r="D46" s="307">
        <v>15.66912546841216</v>
      </c>
      <c r="E46" s="308">
        <v>100</v>
      </c>
      <c r="F46" s="307">
        <v>120.04180637560199</v>
      </c>
      <c r="G46" s="307">
        <v>-21.150300330368925</v>
      </c>
      <c r="H46" s="307">
        <v>1.108493954766927</v>
      </c>
      <c r="I46" s="309"/>
    </row>
    <row r="47" spans="1:9" x14ac:dyDescent="0.2">
      <c r="A47" s="299">
        <v>1966</v>
      </c>
      <c r="B47" s="300">
        <v>478.79500000000002</v>
      </c>
      <c r="C47" s="307">
        <v>93.934356039641202</v>
      </c>
      <c r="D47" s="307">
        <v>6.065643960358817</v>
      </c>
      <c r="E47" s="308">
        <v>100</v>
      </c>
      <c r="F47" s="307">
        <v>90.590747842371854</v>
      </c>
      <c r="G47" s="307">
        <v>10.631343298364925</v>
      </c>
      <c r="H47" s="307">
        <v>-1.222091140736782</v>
      </c>
      <c r="I47" s="309"/>
    </row>
    <row r="48" spans="1:9" x14ac:dyDescent="0.2">
      <c r="A48" s="299">
        <v>1967</v>
      </c>
      <c r="B48" s="300">
        <v>560.97899999999981</v>
      </c>
      <c r="C48" s="307">
        <v>98.638451706748398</v>
      </c>
      <c r="D48" s="307">
        <v>1.3615482932516205</v>
      </c>
      <c r="E48" s="308">
        <v>100</v>
      </c>
      <c r="F48" s="307">
        <v>26.981614546467476</v>
      </c>
      <c r="G48" s="307">
        <v>75.660614383612952</v>
      </c>
      <c r="H48" s="307">
        <v>-2.6422289300804134</v>
      </c>
      <c r="I48" s="309"/>
    </row>
    <row r="49" spans="1:9" x14ac:dyDescent="0.2">
      <c r="A49" s="299">
        <v>1968</v>
      </c>
      <c r="B49" s="300">
        <v>783.15899999999965</v>
      </c>
      <c r="C49" s="307">
        <v>91.526624861618174</v>
      </c>
      <c r="D49" s="307">
        <v>8.473375138381865</v>
      </c>
      <c r="E49" s="308">
        <v>100</v>
      </c>
      <c r="F49" s="307">
        <v>85.313506079279051</v>
      </c>
      <c r="G49" s="307">
        <v>16.891944034691164</v>
      </c>
      <c r="H49" s="307">
        <v>-2.2054501139701999</v>
      </c>
      <c r="I49" s="309"/>
    </row>
    <row r="50" spans="1:9" x14ac:dyDescent="0.2">
      <c r="A50" s="299">
        <v>1969</v>
      </c>
      <c r="B50" s="300">
        <v>845.63900000000012</v>
      </c>
      <c r="C50" s="307">
        <v>95.793949900607672</v>
      </c>
      <c r="D50" s="307">
        <v>4.2060500993922911</v>
      </c>
      <c r="E50" s="308">
        <v>100</v>
      </c>
      <c r="F50" s="307">
        <v>108.27369894635881</v>
      </c>
      <c r="G50" s="307">
        <v>-9.7745453073081379</v>
      </c>
      <c r="H50" s="307">
        <v>1.5008463609493172</v>
      </c>
      <c r="I50" s="309"/>
    </row>
    <row r="51" spans="1:9" x14ac:dyDescent="0.2">
      <c r="A51" s="299">
        <v>1970</v>
      </c>
      <c r="B51" s="300">
        <v>1297.9159999999993</v>
      </c>
      <c r="C51" s="307">
        <v>117.04131854449749</v>
      </c>
      <c r="D51" s="307">
        <v>-17.041318544497496</v>
      </c>
      <c r="E51" s="308">
        <v>100</v>
      </c>
      <c r="F51" s="307">
        <v>141.5531584840422</v>
      </c>
      <c r="G51" s="307">
        <v>-55.628945833502065</v>
      </c>
      <c r="H51" s="307">
        <v>14.075787349459873</v>
      </c>
      <c r="I51" s="309"/>
    </row>
    <row r="52" spans="1:9" x14ac:dyDescent="0.2">
      <c r="A52" s="299">
        <v>1971</v>
      </c>
      <c r="B52" s="300">
        <v>1118.188000000001</v>
      </c>
      <c r="C52" s="307">
        <v>95.734080494514416</v>
      </c>
      <c r="D52" s="307">
        <v>4.2659195054856571</v>
      </c>
      <c r="E52" s="308">
        <v>100</v>
      </c>
      <c r="F52" s="307">
        <v>57.624779944455028</v>
      </c>
      <c r="G52" s="307">
        <v>45.905320495622384</v>
      </c>
      <c r="H52" s="307">
        <v>-3.5301004400774145</v>
      </c>
      <c r="I52" s="309"/>
    </row>
    <row r="53" spans="1:9" x14ac:dyDescent="0.2">
      <c r="A53" s="299">
        <v>1972</v>
      </c>
      <c r="B53" s="300">
        <v>1818.02</v>
      </c>
      <c r="C53" s="307">
        <v>96.530181186125546</v>
      </c>
      <c r="D53" s="307">
        <v>3.4698188138744377</v>
      </c>
      <c r="E53" s="308">
        <v>100</v>
      </c>
      <c r="F53" s="307">
        <v>114.44836373855796</v>
      </c>
      <c r="G53" s="307">
        <v>-18.152264165102423</v>
      </c>
      <c r="H53" s="307">
        <v>3.7039004265444806</v>
      </c>
      <c r="I53" s="309"/>
    </row>
    <row r="54" spans="1:9" x14ac:dyDescent="0.2">
      <c r="A54" s="299">
        <v>1973</v>
      </c>
      <c r="B54" s="300">
        <v>2529.7780000000021</v>
      </c>
      <c r="C54" s="307">
        <v>98.012869113416258</v>
      </c>
      <c r="D54" s="307">
        <v>1.9871308865837223</v>
      </c>
      <c r="E54" s="308">
        <v>100</v>
      </c>
      <c r="F54" s="307">
        <v>136.96995777180709</v>
      </c>
      <c r="G54" s="307">
        <v>-50.801032795859847</v>
      </c>
      <c r="H54" s="307">
        <v>13.831075024052748</v>
      </c>
      <c r="I54" s="309"/>
    </row>
    <row r="55" spans="1:9" x14ac:dyDescent="0.2">
      <c r="A55" s="299">
        <v>1974</v>
      </c>
      <c r="B55" s="300">
        <v>4970.6000000000004</v>
      </c>
      <c r="C55" s="307">
        <v>97.854504486379909</v>
      </c>
      <c r="D55" s="307">
        <v>2.1454955136200868</v>
      </c>
      <c r="E55" s="308">
        <v>100</v>
      </c>
      <c r="F55" s="307">
        <v>69.111468715021559</v>
      </c>
      <c r="G55" s="307">
        <v>38.328425681992904</v>
      </c>
      <c r="H55" s="307">
        <v>-7.4398943970144753</v>
      </c>
      <c r="I55" s="309"/>
    </row>
    <row r="56" spans="1:9" x14ac:dyDescent="0.2">
      <c r="A56" s="299">
        <v>1975</v>
      </c>
      <c r="B56" s="300">
        <v>2473.0430000000015</v>
      </c>
      <c r="C56" s="307">
        <v>96.498726467756541</v>
      </c>
      <c r="D56" s="307">
        <v>3.5012735322434736</v>
      </c>
      <c r="E56" s="308">
        <v>100</v>
      </c>
      <c r="F56" s="307">
        <v>52.423705974351677</v>
      </c>
      <c r="G56" s="307">
        <v>50.844301216614227</v>
      </c>
      <c r="H56" s="307">
        <v>-3.2680071909659061</v>
      </c>
      <c r="I56" s="309"/>
    </row>
    <row r="57" spans="1:9" x14ac:dyDescent="0.2">
      <c r="A57" s="299">
        <v>1976</v>
      </c>
      <c r="B57" s="300">
        <v>7198.7614489795887</v>
      </c>
      <c r="C57" s="307">
        <v>97.201776299891904</v>
      </c>
      <c r="D57" s="307">
        <v>2.7982237001080943</v>
      </c>
      <c r="E57" s="308">
        <v>100</v>
      </c>
      <c r="F57" s="307">
        <v>122.29524884823554</v>
      </c>
      <c r="G57" s="307">
        <v>-32.867572254593291</v>
      </c>
      <c r="H57" s="307">
        <v>10.572323406357745</v>
      </c>
      <c r="I57" s="309"/>
    </row>
    <row r="58" spans="1:9" x14ac:dyDescent="0.2">
      <c r="A58" s="299">
        <v>1977</v>
      </c>
      <c r="B58" s="300">
        <v>5643.0878623621466</v>
      </c>
      <c r="C58" s="307">
        <v>95.849384803586929</v>
      </c>
      <c r="D58" s="307">
        <v>4.150615196413038</v>
      </c>
      <c r="E58" s="308">
        <v>100</v>
      </c>
      <c r="F58" s="307">
        <v>50.47437311827948</v>
      </c>
      <c r="G58" s="307">
        <v>54.202191469866136</v>
      </c>
      <c r="H58" s="307">
        <v>-4.6765645881456086</v>
      </c>
      <c r="I58" s="309"/>
    </row>
    <row r="59" spans="1:9" x14ac:dyDescent="0.2">
      <c r="A59" s="299">
        <v>1978</v>
      </c>
      <c r="B59" s="300">
        <v>4001.1329410301769</v>
      </c>
      <c r="C59" s="307">
        <v>98.602972161785146</v>
      </c>
      <c r="D59" s="307">
        <v>1.3970278382149941</v>
      </c>
      <c r="E59" s="308">
        <v>100</v>
      </c>
      <c r="F59" s="307">
        <v>180.63318775267138</v>
      </c>
      <c r="G59" s="307">
        <v>-100.19816005374432</v>
      </c>
      <c r="H59" s="307">
        <v>19.564972301072942</v>
      </c>
      <c r="I59" s="309"/>
    </row>
    <row r="60" spans="1:9" x14ac:dyDescent="0.2">
      <c r="A60" s="299">
        <v>1979</v>
      </c>
      <c r="B60" s="300">
        <v>6389.6135467385466</v>
      </c>
      <c r="C60" s="307">
        <v>96.340599552254687</v>
      </c>
      <c r="D60" s="307">
        <v>3.6594004477451576</v>
      </c>
      <c r="E60" s="308">
        <v>99.999999999999844</v>
      </c>
      <c r="F60" s="307">
        <v>102.91717359419646</v>
      </c>
      <c r="G60" s="307">
        <v>-3.4380758789774006</v>
      </c>
      <c r="H60" s="307">
        <v>0.52090228478094269</v>
      </c>
      <c r="I60" s="309"/>
    </row>
    <row r="61" spans="1:9" x14ac:dyDescent="0.2">
      <c r="A61" s="299">
        <v>1980</v>
      </c>
      <c r="B61" s="300">
        <v>11019.744371254608</v>
      </c>
      <c r="C61" s="307">
        <v>100.90934621865443</v>
      </c>
      <c r="D61" s="307">
        <v>-0.90934621865439413</v>
      </c>
      <c r="E61" s="308">
        <v>100</v>
      </c>
      <c r="F61" s="307">
        <v>74.862870822728979</v>
      </c>
      <c r="G61" s="307">
        <v>29.628339154604618</v>
      </c>
      <c r="H61" s="307">
        <v>-4.4912099773335949</v>
      </c>
      <c r="I61" s="309"/>
    </row>
    <row r="62" spans="1:9" x14ac:dyDescent="0.2">
      <c r="A62" s="299">
        <v>1981</v>
      </c>
      <c r="B62" s="300">
        <v>6486.6344590842782</v>
      </c>
      <c r="C62" s="307">
        <v>94.151783001229489</v>
      </c>
      <c r="D62" s="307">
        <v>5.8482169987706021</v>
      </c>
      <c r="E62" s="308">
        <v>100</v>
      </c>
      <c r="F62" s="307">
        <v>70.965474609353208</v>
      </c>
      <c r="G62" s="307">
        <v>31.408217047416763</v>
      </c>
      <c r="H62" s="307">
        <v>-2.3736916567699704</v>
      </c>
      <c r="I62" s="309"/>
    </row>
    <row r="63" spans="1:9" x14ac:dyDescent="0.2">
      <c r="A63" s="299">
        <v>1982</v>
      </c>
      <c r="B63" s="300">
        <v>11820.143967329845</v>
      </c>
      <c r="C63" s="307">
        <v>105.28154339232785</v>
      </c>
      <c r="D63" s="307">
        <v>-5.2815433923279285</v>
      </c>
      <c r="E63" s="308">
        <v>99.999999999999915</v>
      </c>
      <c r="F63" s="307">
        <v>69.96617984244125</v>
      </c>
      <c r="G63" s="307">
        <v>33.887129196976645</v>
      </c>
      <c r="H63" s="307">
        <v>-3.8533090394178968</v>
      </c>
      <c r="I63" s="309"/>
    </row>
    <row r="64" spans="1:9" x14ac:dyDescent="0.2">
      <c r="A64" s="299">
        <v>1983</v>
      </c>
      <c r="B64" s="300">
        <v>25349.01786938103</v>
      </c>
      <c r="C64" s="307">
        <v>93.669270037797276</v>
      </c>
      <c r="D64" s="307">
        <v>6.3307299622027466</v>
      </c>
      <c r="E64" s="308">
        <v>100</v>
      </c>
      <c r="F64" s="307">
        <v>49.086614544029686</v>
      </c>
      <c r="G64" s="307">
        <v>58.311159532901158</v>
      </c>
      <c r="H64" s="307">
        <v>-7.3977740769308351</v>
      </c>
      <c r="I64" s="309"/>
    </row>
    <row r="65" spans="1:9" x14ac:dyDescent="0.2">
      <c r="A65" s="299">
        <v>1984</v>
      </c>
      <c r="B65" s="300">
        <v>48399.761769792924</v>
      </c>
      <c r="C65" s="307">
        <v>97.473775231356598</v>
      </c>
      <c r="D65" s="307">
        <v>2.5262247686434094</v>
      </c>
      <c r="E65" s="308">
        <v>100</v>
      </c>
      <c r="F65" s="307">
        <v>93.564955803961965</v>
      </c>
      <c r="G65" s="307">
        <v>9.3148043678304546</v>
      </c>
      <c r="H65" s="307">
        <v>-2.8797601717924284</v>
      </c>
      <c r="I65" s="309"/>
    </row>
    <row r="66" spans="1:9" x14ac:dyDescent="0.2">
      <c r="A66" s="299">
        <v>1985</v>
      </c>
      <c r="B66" s="300">
        <v>84074.387826395425</v>
      </c>
      <c r="C66" s="307">
        <v>98.933216346163093</v>
      </c>
      <c r="D66" s="307">
        <v>1.0667836538369118</v>
      </c>
      <c r="E66" s="308">
        <v>100</v>
      </c>
      <c r="F66" s="307">
        <v>58.884802882700924</v>
      </c>
      <c r="G66" s="307">
        <v>52.35815961989266</v>
      </c>
      <c r="H66" s="307">
        <v>-11.242962502593592</v>
      </c>
      <c r="I66" s="309"/>
    </row>
    <row r="67" spans="1:9" x14ac:dyDescent="0.2">
      <c r="A67" s="299">
        <v>1986</v>
      </c>
      <c r="B67" s="300">
        <v>71012.685368441918</v>
      </c>
      <c r="C67" s="307">
        <v>92.744173323810557</v>
      </c>
      <c r="D67" s="307">
        <v>7.255826676189467</v>
      </c>
      <c r="E67" s="308">
        <v>100</v>
      </c>
      <c r="F67" s="307">
        <v>117.29213678687846</v>
      </c>
      <c r="G67" s="307">
        <v>-23.890754141512573</v>
      </c>
      <c r="H67" s="307">
        <v>6.5986173546341034</v>
      </c>
      <c r="I67" s="309"/>
    </row>
    <row r="68" spans="1:9" x14ac:dyDescent="0.2">
      <c r="A68" s="299">
        <v>1987</v>
      </c>
      <c r="B68" s="300">
        <v>120777.80891610676</v>
      </c>
      <c r="C68" s="307">
        <v>96.823972093440389</v>
      </c>
      <c r="D68" s="307">
        <v>3.1760279065595998</v>
      </c>
      <c r="E68" s="308">
        <v>100</v>
      </c>
      <c r="F68" s="307">
        <v>94.189125305977299</v>
      </c>
      <c r="G68" s="307">
        <v>7.9530562796615731</v>
      </c>
      <c r="H68" s="307">
        <v>-2.1421815856388773</v>
      </c>
      <c r="I68" s="309"/>
    </row>
    <row r="69" spans="1:9" x14ac:dyDescent="0.2">
      <c r="A69" s="299">
        <v>1988</v>
      </c>
      <c r="B69" s="300">
        <v>201893.08367310272</v>
      </c>
      <c r="C69" s="307">
        <v>94.996815398858331</v>
      </c>
      <c r="D69" s="307">
        <v>5.0031846011416716</v>
      </c>
      <c r="E69" s="308">
        <v>100</v>
      </c>
      <c r="F69" s="307">
        <v>118.22529797493399</v>
      </c>
      <c r="G69" s="307">
        <v>-29.508394801612102</v>
      </c>
      <c r="H69" s="307">
        <v>11.283096826678102</v>
      </c>
      <c r="I69" s="309"/>
    </row>
    <row r="70" spans="1:9" x14ac:dyDescent="0.2">
      <c r="A70" s="299">
        <v>1989</v>
      </c>
      <c r="B70" s="300">
        <v>285855.69651658542</v>
      </c>
      <c r="C70" s="307">
        <v>93.061990102605947</v>
      </c>
      <c r="D70" s="307">
        <v>6.9380098973940401</v>
      </c>
      <c r="E70" s="308">
        <v>100</v>
      </c>
      <c r="F70" s="307">
        <v>95.965593168333257</v>
      </c>
      <c r="G70" s="307">
        <v>5.775182145993937</v>
      </c>
      <c r="H70" s="307">
        <v>-1.7407753143271962</v>
      </c>
      <c r="I70" s="309"/>
    </row>
    <row r="71" spans="1:9" x14ac:dyDescent="0.2">
      <c r="A71" s="299">
        <v>1990</v>
      </c>
      <c r="B71" s="300">
        <v>581463.31165866065</v>
      </c>
      <c r="C71" s="307">
        <v>97.361258853135055</v>
      </c>
      <c r="D71" s="307">
        <v>2.6387411468649766</v>
      </c>
      <c r="E71" s="308">
        <v>100</v>
      </c>
      <c r="F71" s="307">
        <v>98.279104843784921</v>
      </c>
      <c r="G71" s="307">
        <v>2.7897127302758666</v>
      </c>
      <c r="H71" s="307">
        <v>-1.0688175740607926</v>
      </c>
      <c r="I71" s="309"/>
    </row>
    <row r="72" spans="1:9" x14ac:dyDescent="0.2">
      <c r="A72" s="299">
        <v>1991</v>
      </c>
      <c r="B72" s="300">
        <v>866729.96991603868</v>
      </c>
      <c r="C72" s="307">
        <v>95.285963179512919</v>
      </c>
      <c r="D72" s="307">
        <v>4.7140368204870589</v>
      </c>
      <c r="E72" s="308">
        <v>100</v>
      </c>
      <c r="F72" s="307">
        <v>85.709211767326423</v>
      </c>
      <c r="G72" s="307">
        <v>20.862561604530118</v>
      </c>
      <c r="H72" s="307">
        <v>-6.5717733718565334</v>
      </c>
      <c r="I72" s="309"/>
    </row>
    <row r="73" spans="1:9" x14ac:dyDescent="0.2">
      <c r="A73" s="299">
        <v>1992</v>
      </c>
      <c r="B73" s="300">
        <v>1341779.8645903696</v>
      </c>
      <c r="C73" s="307">
        <v>89.640412093022007</v>
      </c>
      <c r="D73" s="307">
        <v>10.359587906978007</v>
      </c>
      <c r="E73" s="308">
        <v>100</v>
      </c>
      <c r="F73" s="307">
        <v>101.12073910933719</v>
      </c>
      <c r="G73" s="307">
        <v>-1.7696840563670875</v>
      </c>
      <c r="H73" s="307">
        <v>0.6489449470298968</v>
      </c>
      <c r="I73" s="309"/>
    </row>
    <row r="74" spans="1:9" x14ac:dyDescent="0.2">
      <c r="A74" s="299">
        <v>1993</v>
      </c>
      <c r="B74" s="300">
        <v>1954637.7740522902</v>
      </c>
      <c r="C74" s="307">
        <v>90.262299410202715</v>
      </c>
      <c r="D74" s="307">
        <v>9.737700589797269</v>
      </c>
      <c r="E74" s="308">
        <v>100</v>
      </c>
      <c r="F74" s="307">
        <v>79.531666483408685</v>
      </c>
      <c r="G74" s="307">
        <v>28.228828439457843</v>
      </c>
      <c r="H74" s="307">
        <v>-7.7604949228665356</v>
      </c>
      <c r="I74" s="309"/>
    </row>
    <row r="75" spans="1:9" x14ac:dyDescent="0.2">
      <c r="A75" s="299">
        <v>1994</v>
      </c>
      <c r="B75" s="300">
        <v>3209923.3390698666</v>
      </c>
      <c r="C75" s="307">
        <v>84.946452359516954</v>
      </c>
      <c r="D75" s="307">
        <v>15.053547640483073</v>
      </c>
      <c r="E75" s="308">
        <v>100</v>
      </c>
      <c r="F75" s="307">
        <v>35.899612894491334</v>
      </c>
      <c r="G75" s="307">
        <v>73.678115006759114</v>
      </c>
      <c r="H75" s="307">
        <v>-9.5777279012504444</v>
      </c>
      <c r="I75" s="309"/>
    </row>
    <row r="76" spans="1:9" x14ac:dyDescent="0.2">
      <c r="A76" s="299">
        <v>1995</v>
      </c>
      <c r="B76" s="300">
        <v>3709799.2604699135</v>
      </c>
      <c r="C76" s="307">
        <v>64.816003081940906</v>
      </c>
      <c r="D76" s="307">
        <v>35.183996918059094</v>
      </c>
      <c r="E76" s="308">
        <v>100</v>
      </c>
      <c r="F76" s="307">
        <v>77.817493772313753</v>
      </c>
      <c r="G76" s="307">
        <v>28.792851992640255</v>
      </c>
      <c r="H76" s="307">
        <v>-6.6103457649539958</v>
      </c>
      <c r="I76" s="309"/>
    </row>
    <row r="77" spans="1:9" x14ac:dyDescent="0.2">
      <c r="A77" s="299">
        <v>1996</v>
      </c>
      <c r="B77" s="300">
        <v>5508583.7579115592</v>
      </c>
      <c r="C77" s="307">
        <v>71.922014280164973</v>
      </c>
      <c r="D77" s="307">
        <v>28.077985719835002</v>
      </c>
      <c r="E77" s="308">
        <v>100</v>
      </c>
      <c r="F77" s="307">
        <v>69.734838634098239</v>
      </c>
      <c r="G77" s="307">
        <v>38.428611436796515</v>
      </c>
      <c r="H77" s="307">
        <v>-8.1634500708947595</v>
      </c>
      <c r="I77" s="309"/>
    </row>
    <row r="78" spans="1:9" x14ac:dyDescent="0.2">
      <c r="A78" s="299">
        <v>1997</v>
      </c>
      <c r="B78" s="300">
        <v>6341444.5687947161</v>
      </c>
      <c r="C78" s="307">
        <v>52.292753867440588</v>
      </c>
      <c r="D78" s="307">
        <v>47.707246132559419</v>
      </c>
      <c r="E78" s="308">
        <v>100</v>
      </c>
      <c r="F78" s="307">
        <v>92.429516800117881</v>
      </c>
      <c r="G78" s="307">
        <v>9.9608925186221864</v>
      </c>
      <c r="H78" s="307">
        <v>-2.3904093187400677</v>
      </c>
      <c r="I78" s="309"/>
    </row>
    <row r="79" spans="1:9" x14ac:dyDescent="0.2">
      <c r="A79" s="299">
        <v>1998</v>
      </c>
      <c r="B79" s="300">
        <v>10437606</v>
      </c>
      <c r="C79" s="307">
        <v>53.002230588125286</v>
      </c>
      <c r="D79" s="307">
        <v>46.997769411874721</v>
      </c>
      <c r="E79" s="308">
        <v>100</v>
      </c>
      <c r="F79" s="307">
        <v>97.456777236469406</v>
      </c>
      <c r="G79" s="307">
        <v>3.59102161480038</v>
      </c>
      <c r="H79" s="307">
        <v>-1.0477988512697805</v>
      </c>
      <c r="I79" s="309"/>
    </row>
    <row r="80" spans="1:9" x14ac:dyDescent="0.2">
      <c r="A80" s="299">
        <v>1999</v>
      </c>
      <c r="B80" s="300">
        <v>28178775</v>
      </c>
      <c r="C80" s="307">
        <v>41.0939368372117</v>
      </c>
      <c r="D80" s="307">
        <v>58.9060631627883</v>
      </c>
      <c r="E80" s="308">
        <v>100</v>
      </c>
      <c r="F80" s="307">
        <v>128.80270519362557</v>
      </c>
      <c r="G80" s="307">
        <v>-67.889009570861987</v>
      </c>
      <c r="H80" s="307">
        <v>39.086304377236416</v>
      </c>
      <c r="I80" s="309"/>
    </row>
    <row r="81" spans="1:8" x14ac:dyDescent="0.2">
      <c r="A81" s="294"/>
      <c r="B81" s="294"/>
      <c r="C81" s="294"/>
      <c r="D81" s="294"/>
      <c r="E81" s="294"/>
      <c r="F81" s="294"/>
      <c r="G81" s="294"/>
      <c r="H81" s="294"/>
    </row>
    <row r="84" spans="1:8" x14ac:dyDescent="0.2">
      <c r="A84" s="410"/>
    </row>
    <row r="85" spans="1:8" x14ac:dyDescent="0.2">
      <c r="A85" s="84" t="s">
        <v>598</v>
      </c>
    </row>
  </sheetData>
  <mergeCells count="12">
    <mergeCell ref="H6:H7"/>
    <mergeCell ref="B6:B7"/>
    <mergeCell ref="C6:C7"/>
    <mergeCell ref="D6:D7"/>
    <mergeCell ref="F6:F7"/>
    <mergeCell ref="G6:G7"/>
    <mergeCell ref="A1:H1"/>
    <mergeCell ref="A2:H2"/>
    <mergeCell ref="C4:E4"/>
    <mergeCell ref="F4:H4"/>
    <mergeCell ref="B4:B5"/>
    <mergeCell ref="A4:A5"/>
  </mergeCells>
  <hyperlinks>
    <hyperlink ref="A85" location="'indice cap.1'!A1" display="regresar al índice" xr:uid="{00000000-0004-0000-1D00-000000000000}"/>
  </hyperlinks>
  <pageMargins left="0.70866141732283472" right="0" top="0" bottom="0" header="0.31496062992125984" footer="0.31496062992125984"/>
  <pageSetup paperSize="9" scale="80" orientation="landscape" verticalDpi="599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83"/>
  <sheetViews>
    <sheetView showGridLines="0" workbookViewId="0">
      <selection activeCell="A4" sqref="A4"/>
    </sheetView>
  </sheetViews>
  <sheetFormatPr defaultColWidth="11.42578125" defaultRowHeight="12.75" x14ac:dyDescent="0.2"/>
  <cols>
    <col min="1" max="1" width="11.42578125" style="108"/>
    <col min="2" max="4" width="19" style="108" customWidth="1"/>
    <col min="5" max="16384" width="11.42578125" style="108"/>
  </cols>
  <sheetData>
    <row r="1" spans="1:5" ht="15" x14ac:dyDescent="0.25">
      <c r="A1" s="558" t="s">
        <v>690</v>
      </c>
      <c r="B1" s="538"/>
      <c r="C1" s="538"/>
      <c r="D1" s="538"/>
    </row>
    <row r="2" spans="1:5" x14ac:dyDescent="0.2">
      <c r="A2" s="558" t="s">
        <v>481</v>
      </c>
      <c r="B2" s="558"/>
      <c r="C2" s="558"/>
      <c r="D2" s="558"/>
    </row>
    <row r="3" spans="1:5" x14ac:dyDescent="0.2">
      <c r="A3" s="209"/>
      <c r="B3" s="209"/>
      <c r="C3" s="209"/>
      <c r="D3" s="209"/>
    </row>
    <row r="4" spans="1:5" ht="38.25" x14ac:dyDescent="0.2">
      <c r="A4" s="234" t="s">
        <v>87</v>
      </c>
      <c r="B4" s="245" t="s">
        <v>835</v>
      </c>
      <c r="C4" s="245" t="s">
        <v>834</v>
      </c>
      <c r="D4" s="312" t="s">
        <v>482</v>
      </c>
    </row>
    <row r="5" spans="1:5" x14ac:dyDescent="0.2">
      <c r="A5" s="209"/>
    </row>
    <row r="6" spans="1:5" x14ac:dyDescent="0.2">
      <c r="A6" s="217">
        <v>1927</v>
      </c>
      <c r="B6" s="313">
        <v>0.92655609442405085</v>
      </c>
      <c r="C6" s="314">
        <v>0.2666059323169262</v>
      </c>
      <c r="D6" s="315">
        <v>1.6146642712777903</v>
      </c>
      <c r="E6" s="310"/>
    </row>
    <row r="7" spans="1:5" x14ac:dyDescent="0.2">
      <c r="A7" s="217">
        <v>1928</v>
      </c>
      <c r="B7" s="313">
        <v>0.99171979796307019</v>
      </c>
      <c r="C7" s="314">
        <v>0.24274792304932244</v>
      </c>
      <c r="D7" s="315">
        <v>1.6134239592183517</v>
      </c>
      <c r="E7" s="310"/>
    </row>
    <row r="8" spans="1:5" x14ac:dyDescent="0.2">
      <c r="A8" s="217">
        <v>1929</v>
      </c>
      <c r="B8" s="313">
        <v>0.93300643763913127</v>
      </c>
      <c r="C8" s="314">
        <v>0.24787918897779926</v>
      </c>
      <c r="D8" s="315">
        <v>1.6369124952235383</v>
      </c>
      <c r="E8" s="310"/>
    </row>
    <row r="9" spans="1:5" x14ac:dyDescent="0.2">
      <c r="A9" s="217">
        <v>1930</v>
      </c>
      <c r="B9" s="313">
        <v>0.87390109890109902</v>
      </c>
      <c r="C9" s="314">
        <v>0.27002060439560438</v>
      </c>
      <c r="D9" s="315">
        <v>1.6381375521599473</v>
      </c>
      <c r="E9" s="310"/>
    </row>
    <row r="10" spans="1:5" x14ac:dyDescent="0.2">
      <c r="A10" s="217">
        <v>1931</v>
      </c>
      <c r="B10" s="313">
        <v>1.0641430562006502</v>
      </c>
      <c r="C10" s="314">
        <v>0.1934045517882024</v>
      </c>
      <c r="D10" s="315">
        <v>1.6414035087719299</v>
      </c>
      <c r="E10" s="310"/>
    </row>
    <row r="11" spans="1:5" x14ac:dyDescent="0.2">
      <c r="A11" s="217">
        <v>1932</v>
      </c>
      <c r="B11" s="313">
        <v>0.74132542671688439</v>
      </c>
      <c r="C11" s="314">
        <v>0.35732029810080945</v>
      </c>
      <c r="D11" s="315">
        <v>1.5849744711889131</v>
      </c>
      <c r="E11" s="310"/>
    </row>
    <row r="12" spans="1:5" x14ac:dyDescent="0.2">
      <c r="A12" s="217">
        <v>1933</v>
      </c>
      <c r="B12" s="313">
        <v>0.63606621157995247</v>
      </c>
      <c r="C12" s="314">
        <v>0.41672266827008098</v>
      </c>
      <c r="D12" s="315">
        <v>1.5540306730946905</v>
      </c>
      <c r="E12" s="310"/>
    </row>
    <row r="13" spans="1:5" x14ac:dyDescent="0.2">
      <c r="A13" s="217">
        <v>1934</v>
      </c>
      <c r="B13" s="313">
        <v>0.74168362348330696</v>
      </c>
      <c r="C13" s="314">
        <v>0.32151631622578936</v>
      </c>
      <c r="D13" s="315">
        <v>1.6381524851852902</v>
      </c>
      <c r="E13" s="310"/>
    </row>
    <row r="14" spans="1:5" x14ac:dyDescent="0.2">
      <c r="A14" s="217">
        <v>1935</v>
      </c>
      <c r="B14" s="313">
        <v>0.78611236632022896</v>
      </c>
      <c r="C14" s="314">
        <v>0.29528543455339656</v>
      </c>
      <c r="D14" s="315">
        <v>1.6516700559935371</v>
      </c>
      <c r="E14" s="310"/>
    </row>
    <row r="15" spans="1:5" x14ac:dyDescent="0.2">
      <c r="A15" s="217">
        <v>1936</v>
      </c>
      <c r="B15" s="313">
        <v>0.76509647779479328</v>
      </c>
      <c r="C15" s="314">
        <v>0.38861868300153135</v>
      </c>
      <c r="D15" s="315">
        <v>1.5299239689079556</v>
      </c>
      <c r="E15" s="310"/>
    </row>
    <row r="16" spans="1:5" x14ac:dyDescent="0.2">
      <c r="A16" s="217">
        <v>1937</v>
      </c>
      <c r="B16" s="313">
        <v>0.85693325259676745</v>
      </c>
      <c r="C16" s="314">
        <v>0.43287996646327254</v>
      </c>
      <c r="D16" s="315">
        <v>1.4396915965476149</v>
      </c>
      <c r="E16" s="310"/>
    </row>
    <row r="17" spans="1:5" x14ac:dyDescent="0.2">
      <c r="A17" s="217">
        <v>1938</v>
      </c>
      <c r="B17" s="313">
        <v>0.88131160974669198</v>
      </c>
      <c r="C17" s="314">
        <v>0.39112096599262497</v>
      </c>
      <c r="D17" s="315">
        <v>1.4785157544820009</v>
      </c>
      <c r="E17" s="310"/>
    </row>
    <row r="18" spans="1:5" x14ac:dyDescent="0.2">
      <c r="A18" s="217">
        <v>1939</v>
      </c>
      <c r="B18" s="313">
        <v>0.808929573367137</v>
      </c>
      <c r="C18" s="314">
        <v>0.37620789260406073</v>
      </c>
      <c r="D18" s="315">
        <v>1.5263457829212692</v>
      </c>
      <c r="E18" s="310"/>
    </row>
    <row r="19" spans="1:5" x14ac:dyDescent="0.2">
      <c r="A19" s="217">
        <v>1940</v>
      </c>
      <c r="B19" s="313">
        <v>0.61878990480749185</v>
      </c>
      <c r="C19" s="314">
        <v>0.422915685532746</v>
      </c>
      <c r="D19" s="315">
        <v>1.5539802414603237</v>
      </c>
      <c r="E19" s="310"/>
    </row>
    <row r="20" spans="1:5" x14ac:dyDescent="0.2">
      <c r="A20" s="217">
        <v>1941</v>
      </c>
      <c r="B20" s="313">
        <v>0.8221462046317517</v>
      </c>
      <c r="C20" s="314">
        <v>0.47572264221940952</v>
      </c>
      <c r="D20" s="315">
        <v>1.4039524941619268</v>
      </c>
      <c r="E20" s="310"/>
    </row>
    <row r="21" spans="1:5" x14ac:dyDescent="0.2">
      <c r="A21" s="217">
        <v>1942</v>
      </c>
      <c r="B21" s="313">
        <v>0.77261570187604922</v>
      </c>
      <c r="C21" s="314">
        <v>0.44685743484925894</v>
      </c>
      <c r="D21" s="315">
        <v>1.4535914309979088</v>
      </c>
      <c r="E21" s="310"/>
    </row>
    <row r="22" spans="1:5" x14ac:dyDescent="0.2">
      <c r="A22" s="217">
        <v>1943</v>
      </c>
      <c r="B22" s="313">
        <v>0.74430757984777463</v>
      </c>
      <c r="C22" s="314">
        <v>0.40052131090777354</v>
      </c>
      <c r="D22" s="315">
        <v>1.5236404269083312</v>
      </c>
      <c r="E22" s="310"/>
    </row>
    <row r="23" spans="1:5" x14ac:dyDescent="0.2">
      <c r="A23" s="217">
        <v>1944</v>
      </c>
      <c r="B23" s="313">
        <v>0.7771844660194176</v>
      </c>
      <c r="C23" s="314">
        <v>0.66535457999155756</v>
      </c>
      <c r="D23" s="315">
        <v>1.2319836131533708</v>
      </c>
      <c r="E23" s="310"/>
    </row>
    <row r="24" spans="1:5" x14ac:dyDescent="0.2">
      <c r="A24" s="217">
        <v>1945</v>
      </c>
      <c r="B24" s="313">
        <v>0.76436870495466036</v>
      </c>
      <c r="C24" s="314">
        <v>0.54910284078606431</v>
      </c>
      <c r="D24" s="315">
        <v>1.3432865833112928</v>
      </c>
      <c r="E24" s="310"/>
    </row>
    <row r="25" spans="1:5" x14ac:dyDescent="0.2">
      <c r="A25" s="217">
        <v>1946</v>
      </c>
      <c r="B25" s="313">
        <v>0.76644538586798117</v>
      </c>
      <c r="C25" s="314">
        <v>0.58445745294039009</v>
      </c>
      <c r="D25" s="315">
        <v>1.3076035782308069</v>
      </c>
      <c r="E25" s="310"/>
    </row>
    <row r="26" spans="1:5" x14ac:dyDescent="0.2">
      <c r="A26" s="217">
        <v>1947</v>
      </c>
      <c r="B26" s="313">
        <v>0.90848977520901797</v>
      </c>
      <c r="C26" s="314">
        <v>0.55147967174781065</v>
      </c>
      <c r="D26" s="315">
        <v>1.3072121332313418</v>
      </c>
      <c r="E26" s="310"/>
    </row>
    <row r="27" spans="1:5" x14ac:dyDescent="0.2">
      <c r="A27" s="217">
        <v>1948</v>
      </c>
      <c r="B27" s="313">
        <v>0.88169665704517997</v>
      </c>
      <c r="C27" s="314">
        <v>0.51964472148866891</v>
      </c>
      <c r="D27" s="315">
        <v>1.3427824838897584</v>
      </c>
      <c r="E27" s="310"/>
    </row>
    <row r="28" spans="1:5" x14ac:dyDescent="0.2">
      <c r="A28" s="217">
        <v>1949</v>
      </c>
      <c r="B28" s="313">
        <v>0.78077527730702367</v>
      </c>
      <c r="C28" s="314">
        <v>0.48312510674076137</v>
      </c>
      <c r="D28" s="315">
        <v>1.4089522400522483</v>
      </c>
      <c r="E28" s="310"/>
    </row>
    <row r="29" spans="1:5" x14ac:dyDescent="0.2">
      <c r="A29" s="217">
        <v>1950</v>
      </c>
      <c r="B29" s="313">
        <v>0.79466228672016848</v>
      </c>
      <c r="C29" s="314">
        <v>0.49499286179605528</v>
      </c>
      <c r="D29" s="315">
        <v>1.3915830823340383</v>
      </c>
      <c r="E29" s="310"/>
    </row>
    <row r="30" spans="1:5" x14ac:dyDescent="0.2">
      <c r="A30" s="217">
        <v>1951</v>
      </c>
      <c r="B30" s="313">
        <v>0.82223303541132986</v>
      </c>
      <c r="C30" s="314">
        <v>0.45752467457893803</v>
      </c>
      <c r="D30" s="315">
        <v>1.4238890855560364</v>
      </c>
      <c r="E30" s="310"/>
    </row>
    <row r="31" spans="1:5" x14ac:dyDescent="0.2">
      <c r="A31" s="217">
        <v>1952</v>
      </c>
      <c r="B31" s="313">
        <v>0.75334095247037569</v>
      </c>
      <c r="C31" s="314">
        <v>0.49759175607415901</v>
      </c>
      <c r="D31" s="315">
        <v>1.4016269144568094</v>
      </c>
      <c r="E31" s="310"/>
    </row>
    <row r="32" spans="1:5" x14ac:dyDescent="0.2">
      <c r="A32" s="217">
        <v>1953</v>
      </c>
      <c r="B32" s="313">
        <v>0.74365861662432997</v>
      </c>
      <c r="C32" s="314">
        <v>0.43841602824064524</v>
      </c>
      <c r="D32" s="315">
        <v>1.4750833411400197</v>
      </c>
      <c r="E32" s="310"/>
    </row>
    <row r="33" spans="1:5" x14ac:dyDescent="0.2">
      <c r="A33" s="217">
        <v>1954</v>
      </c>
      <c r="B33" s="313">
        <v>0.74072266926586838</v>
      </c>
      <c r="C33" s="314">
        <v>0.37966850905567623</v>
      </c>
      <c r="D33" s="315">
        <v>1.5536740229190675</v>
      </c>
      <c r="E33" s="310"/>
    </row>
    <row r="34" spans="1:5" x14ac:dyDescent="0.2">
      <c r="A34" s="217">
        <v>1955</v>
      </c>
      <c r="B34" s="313">
        <v>0.7333229904424472</v>
      </c>
      <c r="C34" s="314">
        <v>0.38937255934834974</v>
      </c>
      <c r="D34" s="315">
        <v>1.5438940599394329</v>
      </c>
      <c r="E34" s="310"/>
    </row>
    <row r="35" spans="1:5" x14ac:dyDescent="0.2">
      <c r="A35" s="217">
        <v>1956</v>
      </c>
      <c r="B35" s="313">
        <v>0.72826604177503274</v>
      </c>
      <c r="C35" s="314">
        <v>0.3728311410426981</v>
      </c>
      <c r="D35" s="315">
        <v>1.5695853815122509</v>
      </c>
      <c r="E35" s="310"/>
    </row>
    <row r="36" spans="1:5" x14ac:dyDescent="0.2">
      <c r="A36" s="217">
        <v>1957</v>
      </c>
      <c r="B36" s="313">
        <v>0.6870063031058401</v>
      </c>
      <c r="C36" s="314">
        <v>0.38710329650579567</v>
      </c>
      <c r="D36" s="315">
        <v>1.5706090921408844</v>
      </c>
      <c r="E36" s="310"/>
    </row>
    <row r="37" spans="1:5" x14ac:dyDescent="0.2">
      <c r="A37" s="217">
        <v>1958</v>
      </c>
      <c r="B37" s="313">
        <v>0.675023635143988</v>
      </c>
      <c r="C37" s="314">
        <v>0.36807078382375435</v>
      </c>
      <c r="D37" s="315">
        <v>1.6058216827596583</v>
      </c>
      <c r="E37" s="310"/>
    </row>
    <row r="38" spans="1:5" x14ac:dyDescent="0.2">
      <c r="A38" s="217">
        <v>1959</v>
      </c>
      <c r="B38" s="313">
        <v>0.61181655144800251</v>
      </c>
      <c r="C38" s="314">
        <v>0.38554569083871321</v>
      </c>
      <c r="D38" s="315">
        <v>1.6160793772907309</v>
      </c>
      <c r="E38" s="310"/>
    </row>
    <row r="39" spans="1:5" x14ac:dyDescent="0.2">
      <c r="A39" s="217">
        <v>1960</v>
      </c>
      <c r="B39" s="313">
        <v>0.63478857041075942</v>
      </c>
      <c r="C39" s="314">
        <v>0.33814454201643895</v>
      </c>
      <c r="D39" s="315">
        <v>1.6802682008965808</v>
      </c>
      <c r="E39" s="310"/>
    </row>
    <row r="40" spans="1:5" x14ac:dyDescent="0.2">
      <c r="A40" s="217">
        <v>1961</v>
      </c>
      <c r="B40" s="313">
        <v>0.63382585946423964</v>
      </c>
      <c r="C40" s="314">
        <v>0.31652308485942737</v>
      </c>
      <c r="D40" s="315">
        <v>1.7191852205686211</v>
      </c>
      <c r="E40" s="310"/>
    </row>
    <row r="41" spans="1:5" x14ac:dyDescent="0.2">
      <c r="A41" s="217">
        <v>1962</v>
      </c>
      <c r="B41" s="313">
        <v>0.60136648752769439</v>
      </c>
      <c r="C41" s="314">
        <v>0.35060062149551152</v>
      </c>
      <c r="D41" s="315">
        <v>1.6821657726923189</v>
      </c>
      <c r="E41" s="310"/>
    </row>
    <row r="42" spans="1:5" x14ac:dyDescent="0.2">
      <c r="A42" s="217">
        <v>1963</v>
      </c>
      <c r="B42" s="313">
        <v>0.56750514222870374</v>
      </c>
      <c r="C42" s="314">
        <v>0.34470469314725638</v>
      </c>
      <c r="D42" s="315">
        <v>1.7183602735248613</v>
      </c>
      <c r="E42" s="310"/>
    </row>
    <row r="43" spans="1:5" x14ac:dyDescent="0.2">
      <c r="A43" s="217">
        <v>1964</v>
      </c>
      <c r="B43" s="313">
        <v>0.54697960708795224</v>
      </c>
      <c r="C43" s="314">
        <v>0.33155311275095878</v>
      </c>
      <c r="D43" s="315">
        <v>1.7608673782481414</v>
      </c>
      <c r="E43" s="310"/>
    </row>
    <row r="44" spans="1:5" x14ac:dyDescent="0.2">
      <c r="A44" s="217">
        <v>1965</v>
      </c>
      <c r="B44" s="313">
        <v>0.58423914611556826</v>
      </c>
      <c r="C44" s="314">
        <v>0.32376130783272383</v>
      </c>
      <c r="D44" s="315">
        <v>1.7447558965711552</v>
      </c>
      <c r="E44" s="310"/>
    </row>
    <row r="45" spans="1:5" x14ac:dyDescent="0.2">
      <c r="A45" s="217">
        <v>1966</v>
      </c>
      <c r="B45" s="313">
        <v>0.53818380159710144</v>
      </c>
      <c r="C45" s="314">
        <v>0.33152716046715369</v>
      </c>
      <c r="D45" s="315">
        <v>1.7686149406996423</v>
      </c>
      <c r="E45" s="310"/>
    </row>
    <row r="46" spans="1:5" x14ac:dyDescent="0.2">
      <c r="A46" s="217">
        <v>1967</v>
      </c>
      <c r="B46" s="313">
        <v>0.46252701587799705</v>
      </c>
      <c r="C46" s="314">
        <v>0.28342739329888123</v>
      </c>
      <c r="D46" s="315">
        <v>1.9606117986376932</v>
      </c>
      <c r="E46" s="310"/>
    </row>
    <row r="47" spans="1:5" x14ac:dyDescent="0.2">
      <c r="A47" s="217">
        <v>1968</v>
      </c>
      <c r="B47" s="313">
        <v>0.44016382277916744</v>
      </c>
      <c r="C47" s="314">
        <v>0.27539545758483819</v>
      </c>
      <c r="D47" s="315">
        <v>2.0126408283693209</v>
      </c>
      <c r="E47" s="310"/>
    </row>
    <row r="48" spans="1:5" x14ac:dyDescent="0.2">
      <c r="A48" s="217">
        <v>1969</v>
      </c>
      <c r="B48" s="313">
        <v>0.39958991383308518</v>
      </c>
      <c r="C48" s="314">
        <v>0.30544917954601358</v>
      </c>
      <c r="D48" s="315">
        <v>1.9851238420342845</v>
      </c>
      <c r="E48" s="310"/>
    </row>
    <row r="49" spans="1:5" x14ac:dyDescent="0.2">
      <c r="A49" s="217">
        <v>1970</v>
      </c>
      <c r="B49" s="313">
        <v>0.45537687352389555</v>
      </c>
      <c r="C49" s="314">
        <v>0.35066698923905726</v>
      </c>
      <c r="D49" s="315">
        <v>1.8055802429103085</v>
      </c>
      <c r="E49" s="310"/>
    </row>
    <row r="50" spans="1:5" x14ac:dyDescent="0.2">
      <c r="A50" s="217">
        <v>1971</v>
      </c>
      <c r="B50" s="313">
        <v>0.38783724089909816</v>
      </c>
      <c r="C50" s="314">
        <v>0.33371372976604302</v>
      </c>
      <c r="D50" s="315">
        <v>1.9234084594464063</v>
      </c>
      <c r="E50" s="310"/>
    </row>
    <row r="51" spans="1:5" x14ac:dyDescent="0.2">
      <c r="A51" s="217">
        <v>1972</v>
      </c>
      <c r="B51" s="313">
        <v>0.38180177299102125</v>
      </c>
      <c r="C51" s="314">
        <v>0.35986134787428065</v>
      </c>
      <c r="D51" s="315">
        <v>1.8631124214169723</v>
      </c>
      <c r="E51" s="310"/>
    </row>
    <row r="52" spans="1:5" x14ac:dyDescent="0.2">
      <c r="A52" s="217">
        <v>1973</v>
      </c>
      <c r="B52" s="313">
        <v>0.38504017959994424</v>
      </c>
      <c r="C52" s="314">
        <v>0.4334289526663081</v>
      </c>
      <c r="D52" s="315">
        <v>1.6922326389572178</v>
      </c>
      <c r="E52" s="310"/>
    </row>
    <row r="53" spans="1:5" x14ac:dyDescent="0.2">
      <c r="A53" s="217">
        <v>1974</v>
      </c>
      <c r="B53" s="313">
        <v>0.35536491704401324</v>
      </c>
      <c r="C53" s="314">
        <v>0.35934710156060096</v>
      </c>
      <c r="D53" s="315">
        <v>1.896379075435437</v>
      </c>
      <c r="E53" s="310"/>
    </row>
    <row r="54" spans="1:5" x14ac:dyDescent="0.2">
      <c r="A54" s="217">
        <v>1975</v>
      </c>
      <c r="B54" s="313">
        <v>0.35106195572290883</v>
      </c>
      <c r="C54" s="314">
        <v>0.3169685043694887</v>
      </c>
      <c r="D54" s="315">
        <v>2.0224556160748106</v>
      </c>
      <c r="E54" s="310"/>
    </row>
    <row r="55" spans="1:5" x14ac:dyDescent="0.2">
      <c r="A55" s="217">
        <v>1976</v>
      </c>
      <c r="B55" s="313">
        <v>0.36972372835898476</v>
      </c>
      <c r="C55" s="314">
        <v>0.36608238933284221</v>
      </c>
      <c r="D55" s="315">
        <v>1.8615280512422399</v>
      </c>
      <c r="E55" s="310"/>
    </row>
    <row r="56" spans="1:5" x14ac:dyDescent="0.2">
      <c r="A56" s="217">
        <v>1977</v>
      </c>
      <c r="B56" s="313">
        <v>0.37040440522238005</v>
      </c>
      <c r="C56" s="314">
        <v>0.29755939113203228</v>
      </c>
      <c r="D56" s="315">
        <v>2.0516147921514936</v>
      </c>
      <c r="E56" s="310"/>
    </row>
    <row r="57" spans="1:5" x14ac:dyDescent="0.2">
      <c r="A57" s="217">
        <v>1978</v>
      </c>
      <c r="B57" s="313">
        <v>0.37124678403325451</v>
      </c>
      <c r="C57" s="314">
        <v>0.36952142503211599</v>
      </c>
      <c r="D57" s="315">
        <v>1.8511145149754211</v>
      </c>
      <c r="E57" s="310"/>
    </row>
    <row r="58" spans="1:5" x14ac:dyDescent="0.2">
      <c r="A58" s="217">
        <v>1979</v>
      </c>
      <c r="B58" s="313">
        <v>0.38634120101706237</v>
      </c>
      <c r="C58" s="314">
        <v>0.36637181633607258</v>
      </c>
      <c r="D58" s="315">
        <v>1.8417925146187037</v>
      </c>
      <c r="E58" s="310"/>
    </row>
    <row r="59" spans="1:5" x14ac:dyDescent="0.2">
      <c r="A59" s="217">
        <v>1980</v>
      </c>
      <c r="B59" s="313">
        <v>0.37646161333002881</v>
      </c>
      <c r="C59" s="314">
        <v>0.32605196756511229</v>
      </c>
      <c r="D59" s="315">
        <v>1.9593380836512013</v>
      </c>
      <c r="E59" s="310"/>
    </row>
    <row r="60" spans="1:5" x14ac:dyDescent="0.2">
      <c r="A60" s="217">
        <v>1981</v>
      </c>
      <c r="B60" s="313">
        <v>0.38422009138174068</v>
      </c>
      <c r="C60" s="314">
        <v>0.29862273125615785</v>
      </c>
      <c r="D60" s="315">
        <v>2.0271430635154704</v>
      </c>
      <c r="E60" s="310"/>
    </row>
    <row r="61" spans="1:5" x14ac:dyDescent="0.2">
      <c r="A61" s="217">
        <v>1982</v>
      </c>
      <c r="B61" s="313">
        <v>0.37992956607457351</v>
      </c>
      <c r="C61" s="314">
        <v>0.26330648040428994</v>
      </c>
      <c r="D61" s="315">
        <v>2.1452926552055689</v>
      </c>
      <c r="E61" s="310"/>
    </row>
    <row r="62" spans="1:5" x14ac:dyDescent="0.2">
      <c r="A62" s="217">
        <v>1983</v>
      </c>
      <c r="B62" s="313">
        <v>0.34060118871129841</v>
      </c>
      <c r="C62" s="314">
        <v>0.19012410961387946</v>
      </c>
      <c r="D62" s="315">
        <v>2.5259794340723247</v>
      </c>
      <c r="E62" s="310"/>
    </row>
    <row r="63" spans="1:5" x14ac:dyDescent="0.2">
      <c r="A63" s="217">
        <v>1984</v>
      </c>
      <c r="B63" s="313">
        <v>0.3095215987686169</v>
      </c>
      <c r="C63" s="314">
        <v>0.19294365272440325</v>
      </c>
      <c r="D63" s="315">
        <v>2.6061933534259687</v>
      </c>
      <c r="E63" s="310"/>
    </row>
    <row r="64" spans="1:5" x14ac:dyDescent="0.2">
      <c r="A64" s="217">
        <v>1985</v>
      </c>
      <c r="B64" s="313">
        <v>0.22078740787430939</v>
      </c>
      <c r="C64" s="314">
        <v>0.15819470459872095</v>
      </c>
      <c r="D64" s="315">
        <v>3.2212269859073754</v>
      </c>
      <c r="E64" s="310"/>
    </row>
    <row r="65" spans="1:5" x14ac:dyDescent="0.2">
      <c r="A65" s="217">
        <v>1986</v>
      </c>
      <c r="B65" s="313">
        <v>0.21491456615167068</v>
      </c>
      <c r="C65" s="314">
        <v>0.18346257316351613</v>
      </c>
      <c r="D65" s="315">
        <v>3.0496593460159827</v>
      </c>
      <c r="E65" s="310"/>
    </row>
    <row r="66" spans="1:5" x14ac:dyDescent="0.2">
      <c r="A66" s="217">
        <v>1987</v>
      </c>
      <c r="B66" s="313">
        <v>0.21067545369192126</v>
      </c>
      <c r="C66" s="314">
        <v>0.17728281810184329</v>
      </c>
      <c r="D66" s="315">
        <v>3.1206331755583925</v>
      </c>
      <c r="E66" s="310"/>
    </row>
    <row r="67" spans="1:5" x14ac:dyDescent="0.2">
      <c r="A67" s="217">
        <v>1988</v>
      </c>
      <c r="B67" s="313">
        <v>0.24407769448629854</v>
      </c>
      <c r="C67" s="314">
        <v>0.19263144964699658</v>
      </c>
      <c r="D67" s="315">
        <v>2.848755770743773</v>
      </c>
      <c r="E67" s="310"/>
    </row>
    <row r="68" spans="1:5" x14ac:dyDescent="0.2">
      <c r="A68" s="217">
        <v>1989</v>
      </c>
      <c r="B68" s="313">
        <v>0.23689931654938312</v>
      </c>
      <c r="C68" s="314">
        <v>0.1894139876703427</v>
      </c>
      <c r="D68" s="315">
        <v>2.9013856811559271</v>
      </c>
      <c r="E68" s="310"/>
    </row>
    <row r="69" spans="1:5" x14ac:dyDescent="0.2">
      <c r="A69" s="217">
        <v>1990</v>
      </c>
      <c r="B69" s="313">
        <v>0.22100168158125019</v>
      </c>
      <c r="C69" s="314">
        <v>0.19525558981094845</v>
      </c>
      <c r="D69" s="315">
        <v>2.9332861321497954</v>
      </c>
      <c r="E69" s="310"/>
    </row>
    <row r="70" spans="1:5" x14ac:dyDescent="0.2">
      <c r="A70" s="217">
        <v>1991</v>
      </c>
      <c r="B70" s="313">
        <v>0.19192465828111435</v>
      </c>
      <c r="C70" s="314">
        <v>0.18326327549646446</v>
      </c>
      <c r="D70" s="315">
        <v>3.17687364377693</v>
      </c>
      <c r="E70" s="310"/>
    </row>
    <row r="71" spans="1:5" x14ac:dyDescent="0.2">
      <c r="A71" s="217">
        <v>1992</v>
      </c>
      <c r="B71" s="313">
        <v>0.19014823615480117</v>
      </c>
      <c r="C71" s="314">
        <v>0.18688471429074102</v>
      </c>
      <c r="D71" s="315">
        <v>3.1566159794479387</v>
      </c>
      <c r="E71" s="310"/>
    </row>
    <row r="72" spans="1:5" x14ac:dyDescent="0.2">
      <c r="A72" s="217">
        <v>1993</v>
      </c>
      <c r="B72" s="313">
        <v>0.17613083733883372</v>
      </c>
      <c r="C72" s="314">
        <v>0.16010487523864625</v>
      </c>
      <c r="D72" s="315">
        <v>3.4979355057884094</v>
      </c>
      <c r="E72" s="310"/>
    </row>
    <row r="73" spans="1:5" x14ac:dyDescent="0.2">
      <c r="A73" s="217">
        <v>1994</v>
      </c>
      <c r="B73" s="313">
        <v>0.14337789115720689</v>
      </c>
      <c r="C73" s="314">
        <v>9.6287439176920495E-2</v>
      </c>
      <c r="D73" s="315">
        <v>4.7707271200351595</v>
      </c>
      <c r="E73" s="310"/>
    </row>
    <row r="74" spans="1:5" x14ac:dyDescent="0.2">
      <c r="A74" s="217">
        <v>1995</v>
      </c>
      <c r="B74" s="313">
        <v>0.12170407246329289</v>
      </c>
      <c r="C74" s="314">
        <v>9.344529451799885E-2</v>
      </c>
      <c r="D74" s="315">
        <v>5.213606194624921</v>
      </c>
      <c r="E74" s="310"/>
    </row>
    <row r="75" spans="1:5" x14ac:dyDescent="0.2">
      <c r="A75" s="217">
        <v>1996</v>
      </c>
      <c r="B75" s="313">
        <v>0.11458409112074752</v>
      </c>
      <c r="C75" s="314">
        <v>7.4173211941306397E-2</v>
      </c>
      <c r="D75" s="315">
        <v>5.9048528085524108</v>
      </c>
      <c r="E75" s="310"/>
    </row>
    <row r="76" spans="1:5" x14ac:dyDescent="0.2">
      <c r="A76" s="217">
        <v>1997</v>
      </c>
      <c r="B76" s="313">
        <v>0.10682517875343005</v>
      </c>
      <c r="C76" s="314">
        <v>7.5770481968904971E-2</v>
      </c>
      <c r="D76" s="315">
        <v>6.0616181916640892</v>
      </c>
      <c r="E76" s="310"/>
    </row>
    <row r="77" spans="1:5" x14ac:dyDescent="0.2">
      <c r="A77" s="217">
        <v>1998</v>
      </c>
      <c r="B77" s="313">
        <v>0.11042866288495572</v>
      </c>
      <c r="C77" s="314">
        <v>7.0791919143401091E-2</v>
      </c>
      <c r="D77" s="315">
        <v>6.1274974975590766</v>
      </c>
      <c r="E77" s="310"/>
    </row>
    <row r="78" spans="1:5" x14ac:dyDescent="0.2">
      <c r="A78" s="217">
        <v>1999</v>
      </c>
      <c r="B78" s="313">
        <v>0.1673931234641132</v>
      </c>
      <c r="C78" s="314">
        <v>8.0938067207768929E-2</v>
      </c>
      <c r="D78" s="315">
        <v>4.7009524671694569</v>
      </c>
      <c r="E78" s="310"/>
    </row>
    <row r="79" spans="1:5" x14ac:dyDescent="0.2">
      <c r="A79" s="190"/>
      <c r="B79" s="190"/>
      <c r="C79" s="190"/>
      <c r="D79" s="190"/>
    </row>
    <row r="82" spans="1:1" ht="15" x14ac:dyDescent="0.25">
      <c r="A82" s="408"/>
    </row>
    <row r="83" spans="1:1" x14ac:dyDescent="0.2">
      <c r="A83" s="124" t="s">
        <v>598</v>
      </c>
    </row>
  </sheetData>
  <mergeCells count="2">
    <mergeCell ref="A1:D1"/>
    <mergeCell ref="A2:D2"/>
  </mergeCells>
  <hyperlinks>
    <hyperlink ref="A83" location="'indice cap.1'!A1" display="regresar al índice" xr:uid="{00000000-0004-0000-1E00-000000000000}"/>
  </hyperlinks>
  <pageMargins left="0.70866141732283472" right="0.70866141732283472" top="0" bottom="0" header="0.31496062992125984" footer="0.31496062992125984"/>
  <pageSetup paperSize="9" scale="80" orientation="portrait" verticalDpi="599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83"/>
  <sheetViews>
    <sheetView showGridLines="0" workbookViewId="0">
      <selection activeCell="A4" sqref="A4:A5"/>
    </sheetView>
  </sheetViews>
  <sheetFormatPr defaultColWidth="11.42578125" defaultRowHeight="12.75" x14ac:dyDescent="0.2"/>
  <cols>
    <col min="1" max="1" width="11.42578125" style="108"/>
    <col min="2" max="2" width="13.85546875" style="108" customWidth="1"/>
    <col min="3" max="4" width="14.5703125" style="108" customWidth="1"/>
    <col min="5" max="5" width="15.85546875" style="108" customWidth="1"/>
    <col min="6" max="16384" width="11.42578125" style="108"/>
  </cols>
  <sheetData>
    <row r="1" spans="1:6" x14ac:dyDescent="0.2">
      <c r="A1" s="558" t="s">
        <v>691</v>
      </c>
      <c r="B1" s="494"/>
      <c r="C1" s="494"/>
      <c r="D1" s="494"/>
      <c r="E1" s="494"/>
    </row>
    <row r="2" spans="1:6" x14ac:dyDescent="0.2">
      <c r="A2" s="558" t="s">
        <v>850</v>
      </c>
      <c r="B2" s="494"/>
      <c r="C2" s="494"/>
      <c r="D2" s="494"/>
      <c r="E2" s="494"/>
    </row>
    <row r="3" spans="1:6" x14ac:dyDescent="0.2">
      <c r="A3" s="209"/>
      <c r="B3" s="209"/>
      <c r="C3" s="209"/>
      <c r="D3" s="209"/>
      <c r="E3" s="209"/>
    </row>
    <row r="4" spans="1:6" x14ac:dyDescent="0.2">
      <c r="A4" s="619" t="s">
        <v>87</v>
      </c>
      <c r="B4" s="617" t="s">
        <v>836</v>
      </c>
      <c r="C4" s="614" t="s">
        <v>483</v>
      </c>
      <c r="D4" s="615"/>
      <c r="E4" s="616"/>
    </row>
    <row r="5" spans="1:6" x14ac:dyDescent="0.2">
      <c r="A5" s="620"/>
      <c r="B5" s="618"/>
      <c r="C5" s="320" t="s">
        <v>101</v>
      </c>
      <c r="D5" s="320" t="s">
        <v>484</v>
      </c>
      <c r="E5" s="321" t="s">
        <v>474</v>
      </c>
    </row>
    <row r="6" spans="1:6" x14ac:dyDescent="0.2">
      <c r="A6" s="418"/>
      <c r="B6" s="319"/>
      <c r="C6" s="311"/>
      <c r="D6" s="311"/>
      <c r="E6" s="311"/>
    </row>
    <row r="7" spans="1:6" x14ac:dyDescent="0.2">
      <c r="A7" s="217">
        <v>1928</v>
      </c>
      <c r="B7" s="314">
        <v>-1.2403120594386419E-3</v>
      </c>
      <c r="C7" s="314">
        <v>-3.2380738954805671E-2</v>
      </c>
      <c r="D7" s="314">
        <v>3.1181928143116638E-2</v>
      </c>
      <c r="E7" s="314">
        <v>-4.1501247749608366E-5</v>
      </c>
      <c r="F7" s="318"/>
    </row>
    <row r="8" spans="1:6" x14ac:dyDescent="0.2">
      <c r="A8" s="217">
        <v>1929</v>
      </c>
      <c r="B8" s="314">
        <v>2.3488536005186633E-2</v>
      </c>
      <c r="C8" s="314">
        <v>3.1667142002575456E-2</v>
      </c>
      <c r="D8" s="314">
        <v>-7.1128254297596113E-3</v>
      </c>
      <c r="E8" s="314">
        <v>-1.0657805676292115E-3</v>
      </c>
      <c r="F8" s="318"/>
    </row>
    <row r="9" spans="1:6" x14ac:dyDescent="0.2">
      <c r="A9" s="217">
        <v>1930</v>
      </c>
      <c r="B9" s="314">
        <v>1.2250569364089525E-3</v>
      </c>
      <c r="C9" s="314">
        <v>3.2971956099070117E-2</v>
      </c>
      <c r="D9" s="314">
        <v>-3.1707313489507359E-2</v>
      </c>
      <c r="E9" s="314">
        <v>-3.9585673153805234E-5</v>
      </c>
      <c r="F9" s="318"/>
    </row>
    <row r="10" spans="1:6" x14ac:dyDescent="0.2">
      <c r="A10" s="217">
        <v>1931</v>
      </c>
      <c r="B10" s="314">
        <v>3.26595661198259E-3</v>
      </c>
      <c r="C10" s="314">
        <v>-9.703160194683734E-2</v>
      </c>
      <c r="D10" s="314">
        <v>0.10000246255421223</v>
      </c>
      <c r="E10" s="314">
        <v>2.950960046076978E-4</v>
      </c>
      <c r="F10" s="318"/>
    </row>
    <row r="11" spans="1:6" x14ac:dyDescent="0.2">
      <c r="A11" s="217">
        <v>1932</v>
      </c>
      <c r="B11" s="314">
        <v>-5.6429037583016761E-2</v>
      </c>
      <c r="C11" s="314">
        <v>0.17188440989843196</v>
      </c>
      <c r="D11" s="314">
        <v>-0.23647502326054315</v>
      </c>
      <c r="E11" s="314">
        <v>8.1615757790944321E-3</v>
      </c>
      <c r="F11" s="318"/>
    </row>
    <row r="12" spans="1:6" x14ac:dyDescent="0.2">
      <c r="A12" s="217">
        <v>1933</v>
      </c>
      <c r="B12" s="314">
        <v>-3.0943798094222652E-2</v>
      </c>
      <c r="C12" s="314">
        <v>5.5392714463359721E-2</v>
      </c>
      <c r="D12" s="314">
        <v>-8.7684346847131125E-2</v>
      </c>
      <c r="E12" s="314">
        <v>1.3478342895487522E-3</v>
      </c>
      <c r="F12" s="318"/>
    </row>
    <row r="13" spans="1:6" x14ac:dyDescent="0.2">
      <c r="A13" s="217">
        <v>1934</v>
      </c>
      <c r="B13" s="314">
        <v>8.4121812090599768E-2</v>
      </c>
      <c r="C13" s="314">
        <v>-6.3393545623606357E-2</v>
      </c>
      <c r="D13" s="314">
        <v>0.14669162062730656</v>
      </c>
      <c r="E13" s="314">
        <v>8.2373708689956193E-4</v>
      </c>
      <c r="F13" s="318"/>
    </row>
    <row r="14" spans="1:6" x14ac:dyDescent="0.2">
      <c r="A14" s="217">
        <v>1935</v>
      </c>
      <c r="B14" s="314">
        <v>1.3517570808246893E-2</v>
      </c>
      <c r="C14" s="314">
        <v>-2.6773571491332183E-2</v>
      </c>
      <c r="D14" s="314">
        <v>4.0063667380865954E-2</v>
      </c>
      <c r="E14" s="314">
        <v>2.2747491871311781E-4</v>
      </c>
      <c r="F14" s="318"/>
    </row>
    <row r="15" spans="1:6" x14ac:dyDescent="0.2">
      <c r="A15" s="217">
        <v>1936</v>
      </c>
      <c r="B15" s="314">
        <v>-0.12174608708558154</v>
      </c>
      <c r="C15" s="314">
        <v>9.6530091966886399E-3</v>
      </c>
      <c r="D15" s="314">
        <v>-0.12376778840132717</v>
      </c>
      <c r="E15" s="314">
        <v>-7.6313078809430029E-3</v>
      </c>
      <c r="F15" s="318"/>
    </row>
    <row r="16" spans="1:6" x14ac:dyDescent="0.2">
      <c r="A16" s="217">
        <v>1937</v>
      </c>
      <c r="B16" s="314">
        <v>-9.0232372360340651E-2</v>
      </c>
      <c r="C16" s="314">
        <v>-3.1306748556888635E-2</v>
      </c>
      <c r="D16" s="314">
        <v>-4.9404516026529004E-2</v>
      </c>
      <c r="E16" s="314">
        <v>-9.5211077769230129E-3</v>
      </c>
      <c r="F16" s="318"/>
    </row>
    <row r="17" spans="1:6" x14ac:dyDescent="0.2">
      <c r="A17" s="217">
        <v>1938</v>
      </c>
      <c r="B17" s="314">
        <v>3.8824157934385983E-2</v>
      </c>
      <c r="C17" s="314">
        <v>-9.1678161869204727E-3</v>
      </c>
      <c r="D17" s="314">
        <v>4.8522288146702286E-2</v>
      </c>
      <c r="E17" s="314">
        <v>-5.3031402539582828E-4</v>
      </c>
      <c r="F17" s="318"/>
    </row>
    <row r="18" spans="1:6" x14ac:dyDescent="0.2">
      <c r="A18" s="217">
        <v>1939</v>
      </c>
      <c r="B18" s="314">
        <v>4.7830028439268313E-2</v>
      </c>
      <c r="C18" s="314">
        <v>3.2146464609835015E-2</v>
      </c>
      <c r="D18" s="314">
        <v>1.9206638327290564E-2</v>
      </c>
      <c r="E18" s="314">
        <v>-3.5230744978572669E-3</v>
      </c>
      <c r="F18" s="318"/>
    </row>
    <row r="19" spans="1:6" x14ac:dyDescent="0.2">
      <c r="A19" s="217">
        <v>1940</v>
      </c>
      <c r="B19" s="314">
        <v>2.7634458539054441E-2</v>
      </c>
      <c r="C19" s="314">
        <v>0.10111649632738791</v>
      </c>
      <c r="D19" s="314">
        <v>-6.9677064236249656E-2</v>
      </c>
      <c r="E19" s="314">
        <v>-3.8049735520838124E-3</v>
      </c>
      <c r="F19" s="318"/>
    </row>
    <row r="20" spans="1:6" x14ac:dyDescent="0.2">
      <c r="A20" s="217">
        <v>1941</v>
      </c>
      <c r="B20" s="314">
        <v>-0.15002774729839685</v>
      </c>
      <c r="C20" s="314">
        <v>-6.3293209261359867E-2</v>
      </c>
      <c r="D20" s="314">
        <v>-5.7123228382601164E-2</v>
      </c>
      <c r="E20" s="314">
        <v>-2.961130965443582E-2</v>
      </c>
      <c r="F20" s="318"/>
    </row>
    <row r="21" spans="1:6" x14ac:dyDescent="0.2">
      <c r="A21" s="217">
        <v>1942</v>
      </c>
      <c r="B21" s="314">
        <v>4.9638936835981973E-2</v>
      </c>
      <c r="C21" s="314">
        <v>1.8423211587370664E-2</v>
      </c>
      <c r="D21" s="314">
        <v>3.4406840809876597E-2</v>
      </c>
      <c r="E21" s="314">
        <v>-3.191115561265289E-3</v>
      </c>
      <c r="F21" s="318"/>
    </row>
    <row r="22" spans="1:6" x14ac:dyDescent="0.2">
      <c r="A22" s="217">
        <v>1943</v>
      </c>
      <c r="B22" s="314">
        <v>7.0048995910422462E-2</v>
      </c>
      <c r="C22" s="314">
        <v>1.2948028498892953E-2</v>
      </c>
      <c r="D22" s="314">
        <v>6.1668247747389417E-2</v>
      </c>
      <c r="E22" s="314">
        <v>-4.5672803358599093E-3</v>
      </c>
      <c r="F22" s="318"/>
    </row>
    <row r="23" spans="1:6" x14ac:dyDescent="0.2">
      <c r="A23" s="217">
        <v>1944</v>
      </c>
      <c r="B23" s="314">
        <v>-0.29165681375496044</v>
      </c>
      <c r="C23" s="314">
        <v>-5.2871351138954218E-3</v>
      </c>
      <c r="D23" s="314">
        <v>-0.22617775832916817</v>
      </c>
      <c r="E23" s="314">
        <v>-6.0191920311896824E-2</v>
      </c>
      <c r="F23" s="318"/>
    </row>
    <row r="24" spans="1:6" x14ac:dyDescent="0.2">
      <c r="A24" s="217">
        <v>1945</v>
      </c>
      <c r="B24" s="314">
        <v>0.11130297015792201</v>
      </c>
      <c r="C24" s="314">
        <v>3.3495044812511311E-3</v>
      </c>
      <c r="D24" s="314">
        <v>0.11889058584308905</v>
      </c>
      <c r="E24" s="314">
        <v>-1.0937120166418166E-2</v>
      </c>
      <c r="F24" s="318"/>
    </row>
    <row r="25" spans="1:6" x14ac:dyDescent="0.2">
      <c r="A25" s="217">
        <v>1946</v>
      </c>
      <c r="B25" s="314">
        <v>-3.5683005080485941E-2</v>
      </c>
      <c r="C25" s="314">
        <v>-4.7286485854495586E-4</v>
      </c>
      <c r="D25" s="314">
        <v>-3.4221422912056355E-2</v>
      </c>
      <c r="E25" s="314">
        <v>-9.8871730988463191E-4</v>
      </c>
      <c r="F25" s="318"/>
    </row>
    <row r="26" spans="1:6" x14ac:dyDescent="0.2">
      <c r="A26" s="217">
        <v>1947</v>
      </c>
      <c r="B26" s="314">
        <v>-3.9144499946508482E-4</v>
      </c>
      <c r="C26" s="314">
        <v>-2.9889502108391423E-2</v>
      </c>
      <c r="D26" s="314">
        <v>2.952729989784706E-2</v>
      </c>
      <c r="E26" s="314">
        <v>-2.9242788920722657E-5</v>
      </c>
      <c r="F26" s="318"/>
    </row>
    <row r="27" spans="1:6" x14ac:dyDescent="0.2">
      <c r="A27" s="217">
        <v>1948</v>
      </c>
      <c r="B27" s="314">
        <v>3.5570350658416627E-2</v>
      </c>
      <c r="C27" s="314">
        <v>6.5538716946766818E-3</v>
      </c>
      <c r="D27" s="314">
        <v>3.0504639510610655E-2</v>
      </c>
      <c r="E27" s="314">
        <v>-1.4881605468707072E-3</v>
      </c>
      <c r="F27" s="318"/>
    </row>
    <row r="28" spans="1:6" x14ac:dyDescent="0.2">
      <c r="A28" s="217">
        <v>1949</v>
      </c>
      <c r="B28" s="314">
        <v>6.6169756162489879E-2</v>
      </c>
      <c r="C28" s="314">
        <v>3.2654491472582856E-2</v>
      </c>
      <c r="D28" s="314">
        <v>4.0710797824208979E-2</v>
      </c>
      <c r="E28" s="314">
        <v>-7.1955331343019555E-3</v>
      </c>
      <c r="F28" s="318"/>
    </row>
    <row r="29" spans="1:6" x14ac:dyDescent="0.2">
      <c r="A29" s="217">
        <v>1950</v>
      </c>
      <c r="B29" s="314">
        <v>-1.7369157718210015E-2</v>
      </c>
      <c r="C29" s="314">
        <v>-4.2165674728298404E-3</v>
      </c>
      <c r="D29" s="314">
        <v>-1.2805723436402437E-2</v>
      </c>
      <c r="E29" s="314">
        <v>-3.4686680897773846E-4</v>
      </c>
      <c r="F29" s="318"/>
    </row>
    <row r="30" spans="1:6" x14ac:dyDescent="0.2">
      <c r="A30" s="217">
        <v>1951</v>
      </c>
      <c r="B30" s="314">
        <v>3.230600322199817E-2</v>
      </c>
      <c r="C30" s="314">
        <v>-9.1321500621243078E-3</v>
      </c>
      <c r="D30" s="314">
        <v>4.1688002672341136E-2</v>
      </c>
      <c r="E30" s="314">
        <v>-2.4984938821865504E-4</v>
      </c>
      <c r="F30" s="318"/>
    </row>
    <row r="31" spans="1:6" x14ac:dyDescent="0.2">
      <c r="A31" s="217">
        <v>1952</v>
      </c>
      <c r="B31" s="314">
        <v>-2.2262171099227013E-2</v>
      </c>
      <c r="C31" s="314">
        <v>2.2118627575316113E-2</v>
      </c>
      <c r="D31" s="314">
        <v>-4.4893781594996775E-2</v>
      </c>
      <c r="E31" s="314">
        <v>5.1298292045364596E-4</v>
      </c>
      <c r="F31" s="318"/>
    </row>
    <row r="32" spans="1:6" x14ac:dyDescent="0.2">
      <c r="A32" s="217">
        <v>1953</v>
      </c>
      <c r="B32" s="314">
        <v>7.3456426683210285E-2</v>
      </c>
      <c r="C32" s="314">
        <v>3.891392547637814E-3</v>
      </c>
      <c r="D32" s="314">
        <v>7.3844008672584893E-2</v>
      </c>
      <c r="E32" s="314">
        <v>-4.2789745370124255E-3</v>
      </c>
      <c r="F32" s="318"/>
    </row>
    <row r="33" spans="1:6" x14ac:dyDescent="0.2">
      <c r="A33" s="217">
        <v>1954</v>
      </c>
      <c r="B33" s="314">
        <v>7.8590681779047822E-2</v>
      </c>
      <c r="C33" s="314">
        <v>1.4508841344799603E-3</v>
      </c>
      <c r="D33" s="314">
        <v>8.1466630793509118E-2</v>
      </c>
      <c r="E33" s="314">
        <v>-4.3268331489412504E-3</v>
      </c>
      <c r="F33" s="318"/>
    </row>
    <row r="34" spans="1:6" x14ac:dyDescent="0.2">
      <c r="A34" s="217">
        <v>1955</v>
      </c>
      <c r="B34" s="314">
        <v>-9.7799629796346821E-3</v>
      </c>
      <c r="C34" s="314">
        <v>3.5848020937362278E-3</v>
      </c>
      <c r="D34" s="314">
        <v>-1.3344691360898248E-2</v>
      </c>
      <c r="E34" s="314">
        <v>-2.0073712472663124E-5</v>
      </c>
      <c r="F34" s="318"/>
    </row>
    <row r="35" spans="1:6" x14ac:dyDescent="0.2">
      <c r="A35" s="217">
        <v>1956</v>
      </c>
      <c r="B35" s="314">
        <v>2.569132157281806E-2</v>
      </c>
      <c r="C35" s="314">
        <v>2.6159035559842436E-3</v>
      </c>
      <c r="D35" s="314">
        <v>2.3579361356269816E-2</v>
      </c>
      <c r="E35" s="314">
        <v>-5.0394333943599989E-4</v>
      </c>
      <c r="F35" s="318"/>
    </row>
    <row r="36" spans="1:6" x14ac:dyDescent="0.2">
      <c r="A36" s="217">
        <v>1957</v>
      </c>
      <c r="B36" s="314">
        <v>1.0237106286334896E-3</v>
      </c>
      <c r="C36" s="314">
        <v>2.1918789323278207E-2</v>
      </c>
      <c r="D36" s="314">
        <v>-2.0869357412776263E-2</v>
      </c>
      <c r="E36" s="314">
        <v>-2.5721281868455043E-5</v>
      </c>
      <c r="F36" s="318"/>
    </row>
    <row r="37" spans="1:6" x14ac:dyDescent="0.2">
      <c r="A37" s="217">
        <v>1958</v>
      </c>
      <c r="B37" s="314">
        <v>3.5212590618773909E-2</v>
      </c>
      <c r="C37" s="314">
        <v>6.9594467543824335E-3</v>
      </c>
      <c r="D37" s="314">
        <v>2.9300148660046928E-2</v>
      </c>
      <c r="E37" s="314">
        <v>-1.0470047956554519E-3</v>
      </c>
      <c r="F37" s="318"/>
    </row>
    <row r="38" spans="1:6" x14ac:dyDescent="0.2">
      <c r="A38" s="217">
        <v>1959</v>
      </c>
      <c r="B38" s="314">
        <v>1.0257694531072614E-2</v>
      </c>
      <c r="C38" s="314">
        <v>3.9043568237057298E-2</v>
      </c>
      <c r="D38" s="314">
        <v>-2.8315526344970275E-2</v>
      </c>
      <c r="E38" s="314">
        <v>-4.7034736101440877E-4</v>
      </c>
      <c r="F38" s="318"/>
    </row>
    <row r="39" spans="1:6" x14ac:dyDescent="0.2">
      <c r="A39" s="217">
        <v>1960</v>
      </c>
      <c r="B39" s="314">
        <v>6.4188823605849876E-2</v>
      </c>
      <c r="C39" s="314">
        <v>-1.6061879086190639E-2</v>
      </c>
      <c r="D39" s="314">
        <v>8.1862403524675553E-2</v>
      </c>
      <c r="E39" s="314">
        <v>-1.6117008326350379E-3</v>
      </c>
      <c r="F39" s="318"/>
    </row>
    <row r="40" spans="1:6" x14ac:dyDescent="0.2">
      <c r="A40" s="217">
        <v>1961</v>
      </c>
      <c r="B40" s="314">
        <v>3.8917019672040309E-2</v>
      </c>
      <c r="C40" s="314">
        <v>7.2854027833891394E-4</v>
      </c>
      <c r="D40" s="314">
        <v>3.9113306552832093E-2</v>
      </c>
      <c r="E40" s="314">
        <v>-9.248271591306978E-4</v>
      </c>
      <c r="F40" s="318"/>
    </row>
    <row r="41" spans="1:6" x14ac:dyDescent="0.2">
      <c r="A41" s="217">
        <v>1962</v>
      </c>
      <c r="B41" s="314">
        <v>-3.7019447876302181E-2</v>
      </c>
      <c r="C41" s="314">
        <v>2.325991342381661E-2</v>
      </c>
      <c r="D41" s="314">
        <v>-6.0216435214561513E-2</v>
      </c>
      <c r="E41" s="314">
        <v>-6.2926085557281353E-5</v>
      </c>
      <c r="F41" s="318"/>
    </row>
    <row r="42" spans="1:6" x14ac:dyDescent="0.2">
      <c r="A42" s="217">
        <v>1963</v>
      </c>
      <c r="B42" s="314">
        <v>3.6194500832542387E-2</v>
      </c>
      <c r="C42" s="314">
        <v>2.6665624867854544E-2</v>
      </c>
      <c r="D42" s="314">
        <v>1.1106358050848182E-2</v>
      </c>
      <c r="E42" s="314">
        <v>-1.5774820861603391E-3</v>
      </c>
      <c r="F42" s="318"/>
    </row>
    <row r="43" spans="1:6" x14ac:dyDescent="0.2">
      <c r="A43" s="217">
        <v>1964</v>
      </c>
      <c r="B43" s="314">
        <v>4.250710472328012E-2</v>
      </c>
      <c r="C43" s="314">
        <v>1.7776469512196753E-2</v>
      </c>
      <c r="D43" s="314">
        <v>2.6360075577486208E-2</v>
      </c>
      <c r="E43" s="314">
        <v>-1.6294403664028415E-3</v>
      </c>
      <c r="F43" s="318"/>
    </row>
    <row r="44" spans="1:6" x14ac:dyDescent="0.2">
      <c r="A44" s="217">
        <v>1965</v>
      </c>
      <c r="B44" s="314">
        <v>-1.6111481676986283E-2</v>
      </c>
      <c r="C44" s="314">
        <v>-3.0560845287771584E-2</v>
      </c>
      <c r="D44" s="314">
        <v>1.4972236541190906E-2</v>
      </c>
      <c r="E44" s="314">
        <v>-5.228729304056056E-4</v>
      </c>
      <c r="F44" s="318"/>
    </row>
    <row r="45" spans="1:6" x14ac:dyDescent="0.2">
      <c r="A45" s="217">
        <v>1966</v>
      </c>
      <c r="B45" s="314">
        <v>2.3859044128487161E-2</v>
      </c>
      <c r="C45" s="314">
        <v>4.0701827894573175E-2</v>
      </c>
      <c r="D45" s="314">
        <v>-1.5792376543035436E-2</v>
      </c>
      <c r="E45" s="314">
        <v>-1.0504072230505777E-3</v>
      </c>
      <c r="F45" s="318"/>
    </row>
    <row r="46" spans="1:6" x14ac:dyDescent="0.2">
      <c r="A46" s="217">
        <v>1967</v>
      </c>
      <c r="B46" s="314">
        <v>0.19199685793805088</v>
      </c>
      <c r="C46" s="314">
        <v>9.7427939448699638E-2</v>
      </c>
      <c r="D46" s="314">
        <v>0.12642189638090826</v>
      </c>
      <c r="E46" s="314">
        <v>-3.1852977891557013E-2</v>
      </c>
      <c r="F46" s="318"/>
    </row>
    <row r="47" spans="1:6" x14ac:dyDescent="0.2">
      <c r="A47" s="217">
        <v>1968</v>
      </c>
      <c r="B47" s="314">
        <v>5.2029029731627707E-2</v>
      </c>
      <c r="C47" s="314">
        <v>3.1647807534634899E-2</v>
      </c>
      <c r="D47" s="314">
        <v>2.2591282361256439E-2</v>
      </c>
      <c r="E47" s="314">
        <v>-2.2100601642636303E-3</v>
      </c>
      <c r="F47" s="318"/>
    </row>
    <row r="48" spans="1:6" x14ac:dyDescent="0.2">
      <c r="A48" s="217">
        <v>1969</v>
      </c>
      <c r="B48" s="314">
        <v>-2.7516986335036409E-2</v>
      </c>
      <c r="C48" s="314">
        <v>5.6692352867618624E-2</v>
      </c>
      <c r="D48" s="314">
        <v>-8.4619931812659546E-2</v>
      </c>
      <c r="E48" s="314">
        <v>4.1059261000452041E-4</v>
      </c>
      <c r="F48" s="318"/>
    </row>
    <row r="49" spans="1:6" x14ac:dyDescent="0.2">
      <c r="A49" s="217">
        <v>1970</v>
      </c>
      <c r="B49" s="314">
        <v>-0.17954359912397599</v>
      </c>
      <c r="C49" s="314">
        <v>-5.5754872178919064E-2</v>
      </c>
      <c r="D49" s="314">
        <v>-0.10129024930427201</v>
      </c>
      <c r="E49" s="314">
        <v>-2.2498477640784928E-2</v>
      </c>
      <c r="F49" s="318"/>
    </row>
    <row r="50" spans="1:6" x14ac:dyDescent="0.2">
      <c r="A50" s="217">
        <v>1971</v>
      </c>
      <c r="B50" s="314">
        <v>0.11782821653609776</v>
      </c>
      <c r="C50" s="314">
        <v>8.6434182267330989E-2</v>
      </c>
      <c r="D50" s="314">
        <v>4.5191599777804625E-2</v>
      </c>
      <c r="E50" s="314">
        <v>-1.3797565509037851E-2</v>
      </c>
      <c r="F50" s="318"/>
    </row>
    <row r="51" spans="1:6" x14ac:dyDescent="0.2">
      <c r="A51" s="217">
        <v>1972</v>
      </c>
      <c r="B51" s="314">
        <v>-6.0296038029433952E-2</v>
      </c>
      <c r="C51" s="314">
        <v>7.0237917647125126E-3</v>
      </c>
      <c r="D51" s="314">
        <v>-6.5684743810758367E-2</v>
      </c>
      <c r="E51" s="314">
        <v>-1.6350859833881015E-3</v>
      </c>
      <c r="F51" s="318"/>
    </row>
    <row r="52" spans="1:6" x14ac:dyDescent="0.2">
      <c r="A52" s="217">
        <v>1973</v>
      </c>
      <c r="B52" s="314">
        <v>-0.17087978245975455</v>
      </c>
      <c r="C52" s="314">
        <v>-2.7389313347763646E-3</v>
      </c>
      <c r="D52" s="314">
        <v>-0.1521053111120578</v>
      </c>
      <c r="E52" s="314">
        <v>-1.6035540012920374E-2</v>
      </c>
      <c r="F52" s="318"/>
    </row>
    <row r="53" spans="1:6" x14ac:dyDescent="0.2">
      <c r="A53" s="217">
        <v>1974</v>
      </c>
      <c r="B53" s="314">
        <v>0.20414643647821928</v>
      </c>
      <c r="C53" s="314">
        <v>3.721818539601867E-2</v>
      </c>
      <c r="D53" s="314">
        <v>0.19656486619697602</v>
      </c>
      <c r="E53" s="314">
        <v>-2.9636615114775416E-2</v>
      </c>
      <c r="F53" s="318"/>
    </row>
    <row r="54" spans="1:6" x14ac:dyDescent="0.2">
      <c r="A54" s="217">
        <v>1975</v>
      </c>
      <c r="B54" s="314">
        <v>0.12607654063937357</v>
      </c>
      <c r="C54" s="314">
        <v>6.5859077262844781E-3</v>
      </c>
      <c r="D54" s="314">
        <v>0.12830078418682062</v>
      </c>
      <c r="E54" s="314">
        <v>-8.8101512737315257E-3</v>
      </c>
      <c r="F54" s="318"/>
    </row>
    <row r="55" spans="1:6" x14ac:dyDescent="0.2">
      <c r="A55" s="217">
        <v>1976</v>
      </c>
      <c r="B55" s="314">
        <v>-0.16092756483257076</v>
      </c>
      <c r="C55" s="314">
        <v>-2.1850376376753577E-2</v>
      </c>
      <c r="D55" s="314">
        <v>-0.12425402883515947</v>
      </c>
      <c r="E55" s="314">
        <v>-1.4823159620657708E-2</v>
      </c>
      <c r="F55" s="318"/>
    </row>
    <row r="56" spans="1:6" x14ac:dyDescent="0.2">
      <c r="A56" s="217">
        <v>1977</v>
      </c>
      <c r="B56" s="314">
        <v>0.1900867409092537</v>
      </c>
      <c r="C56" s="314">
        <v>-1.0716297232402259E-3</v>
      </c>
      <c r="D56" s="314">
        <v>0.2104646950607493</v>
      </c>
      <c r="E56" s="314">
        <v>-1.9306324428255361E-2</v>
      </c>
      <c r="F56" s="318"/>
    </row>
    <row r="57" spans="1:6" x14ac:dyDescent="0.2">
      <c r="A57" s="217">
        <v>1978</v>
      </c>
      <c r="B57" s="314">
        <v>-0.20050027717607244</v>
      </c>
      <c r="C57" s="314">
        <v>-9.6786123414715109E-4</v>
      </c>
      <c r="D57" s="314">
        <v>-0.17982678501777188</v>
      </c>
      <c r="E57" s="314">
        <v>-1.9705630924153394E-2</v>
      </c>
      <c r="F57" s="318"/>
    </row>
    <row r="58" spans="1:6" x14ac:dyDescent="0.2">
      <c r="A58" s="217">
        <v>1979</v>
      </c>
      <c r="B58" s="314">
        <v>-9.3220003567173748E-3</v>
      </c>
      <c r="C58" s="314">
        <v>-1.6880759248968466E-2</v>
      </c>
      <c r="D58" s="314">
        <v>7.7066897829790523E-3</v>
      </c>
      <c r="E58" s="314">
        <v>-1.4793089072796112E-4</v>
      </c>
      <c r="F58" s="318"/>
    </row>
    <row r="59" spans="1:6" x14ac:dyDescent="0.2">
      <c r="A59" s="217">
        <v>1980</v>
      </c>
      <c r="B59" s="314">
        <v>0.11754556903249758</v>
      </c>
      <c r="C59" s="314">
        <v>1.3491361557546136E-2</v>
      </c>
      <c r="D59" s="314">
        <v>0.11245364840255145</v>
      </c>
      <c r="E59" s="314">
        <v>-8.3994409276000187E-3</v>
      </c>
      <c r="F59" s="318"/>
    </row>
    <row r="60" spans="1:6" x14ac:dyDescent="0.2">
      <c r="A60" s="217">
        <v>1981</v>
      </c>
      <c r="B60" s="314">
        <v>6.7804979864269033E-2</v>
      </c>
      <c r="C60" s="314">
        <v>-1.167042641448213E-2</v>
      </c>
      <c r="D60" s="314">
        <v>8.1428674766504977E-2</v>
      </c>
      <c r="E60" s="314">
        <v>-1.9532684877538176E-3</v>
      </c>
      <c r="F60" s="318"/>
    </row>
    <row r="61" spans="1:6" x14ac:dyDescent="0.2">
      <c r="A61" s="217">
        <v>1982</v>
      </c>
      <c r="B61" s="314">
        <v>0.11814959169009853</v>
      </c>
      <c r="C61" s="314">
        <v>7.6393528443739764E-3</v>
      </c>
      <c r="D61" s="314">
        <v>0.1177852111626011</v>
      </c>
      <c r="E61" s="314">
        <v>-7.2749723168765434E-3</v>
      </c>
      <c r="F61" s="318"/>
    </row>
    <row r="62" spans="1:6" x14ac:dyDescent="0.2">
      <c r="A62" s="217">
        <v>1983</v>
      </c>
      <c r="B62" s="314">
        <v>0.38068677886675584</v>
      </c>
      <c r="C62" s="314">
        <v>0.11307977068585551</v>
      </c>
      <c r="D62" s="314">
        <v>0.34831044258977312</v>
      </c>
      <c r="E62" s="314">
        <v>-8.0703434408872787E-2</v>
      </c>
      <c r="F62" s="318"/>
    </row>
    <row r="63" spans="1:6" x14ac:dyDescent="0.2">
      <c r="A63" s="217">
        <v>1984</v>
      </c>
      <c r="B63" s="314">
        <v>8.021391935364397E-2</v>
      </c>
      <c r="C63" s="314">
        <v>9.9349817016815278E-2</v>
      </c>
      <c r="D63" s="314">
        <v>-1.462444316798127E-2</v>
      </c>
      <c r="E63" s="314">
        <v>-4.5114544951900381E-3</v>
      </c>
      <c r="F63" s="318"/>
    </row>
    <row r="64" spans="1:6" x14ac:dyDescent="0.2">
      <c r="A64" s="217">
        <v>1985</v>
      </c>
      <c r="B64" s="314">
        <v>0.61503363248140674</v>
      </c>
      <c r="C64" s="314">
        <v>0.52007409558444151</v>
      </c>
      <c r="D64" s="314">
        <v>0.2953549672936317</v>
      </c>
      <c r="E64" s="314">
        <v>-0.20039543039666646</v>
      </c>
      <c r="F64" s="318"/>
    </row>
    <row r="65" spans="1:6" x14ac:dyDescent="0.2">
      <c r="A65" s="217">
        <v>1986</v>
      </c>
      <c r="B65" s="314">
        <v>-0.17156763989139279</v>
      </c>
      <c r="C65" s="314">
        <v>3.0215902813026111E-2</v>
      </c>
      <c r="D65" s="314">
        <v>-0.19343075673216342</v>
      </c>
      <c r="E65" s="314">
        <v>-8.352785972255472E-3</v>
      </c>
      <c r="F65" s="318"/>
    </row>
    <row r="66" spans="1:6" x14ac:dyDescent="0.2">
      <c r="A66" s="217">
        <v>1987</v>
      </c>
      <c r="B66" s="314">
        <v>7.0973829542409828E-2</v>
      </c>
      <c r="C66" s="314">
        <v>2.3171570683370727E-2</v>
      </c>
      <c r="D66" s="314">
        <v>4.9708306445216836E-2</v>
      </c>
      <c r="E66" s="314">
        <v>-1.9060475861777323E-3</v>
      </c>
      <c r="F66" s="318"/>
    </row>
    <row r="67" spans="1:6" x14ac:dyDescent="0.2">
      <c r="A67" s="217">
        <v>1988</v>
      </c>
      <c r="B67" s="314">
        <v>-0.27187740481461953</v>
      </c>
      <c r="C67" s="314">
        <v>-0.14140437921659263</v>
      </c>
      <c r="D67" s="314">
        <v>-0.1001227093012952</v>
      </c>
      <c r="E67" s="314">
        <v>-3.0350316296731697E-2</v>
      </c>
      <c r="F67" s="318"/>
    </row>
    <row r="68" spans="1:6" x14ac:dyDescent="0.2">
      <c r="A68" s="217">
        <v>1989</v>
      </c>
      <c r="B68" s="314">
        <v>5.2629910412154146E-2</v>
      </c>
      <c r="C68" s="314">
        <v>3.2016042868185629E-2</v>
      </c>
      <c r="D68" s="314">
        <v>2.1897271364338652E-2</v>
      </c>
      <c r="E68" s="314">
        <v>-1.2834038203701353E-3</v>
      </c>
      <c r="F68" s="318"/>
    </row>
    <row r="69" spans="1:6" x14ac:dyDescent="0.2">
      <c r="A69" s="217">
        <v>1990</v>
      </c>
      <c r="B69" s="314">
        <v>3.190045099386829E-2</v>
      </c>
      <c r="C69" s="314">
        <v>7.3835772562187277E-2</v>
      </c>
      <c r="D69" s="314">
        <v>-4.1164663601589511E-2</v>
      </c>
      <c r="E69" s="314">
        <v>-7.7065796672947523E-4</v>
      </c>
      <c r="F69" s="318"/>
    </row>
    <row r="70" spans="1:6" x14ac:dyDescent="0.2">
      <c r="A70" s="217">
        <v>1991</v>
      </c>
      <c r="B70" s="314">
        <v>0.24358751162713466</v>
      </c>
      <c r="C70" s="314">
        <v>0.16870746621365901</v>
      </c>
      <c r="D70" s="314">
        <v>0.10154395662457137</v>
      </c>
      <c r="E70" s="314">
        <v>-2.6663911211095723E-2</v>
      </c>
      <c r="F70" s="318"/>
    </row>
    <row r="71" spans="1:6" x14ac:dyDescent="0.2">
      <c r="A71" s="217">
        <v>1992</v>
      </c>
      <c r="B71" s="314">
        <v>-2.0257664328991343E-2</v>
      </c>
      <c r="C71" s="314">
        <v>1.016107568138197E-2</v>
      </c>
      <c r="D71" s="314">
        <v>-3.0319608811636808E-2</v>
      </c>
      <c r="E71" s="314">
        <v>-9.9131198736505249E-5</v>
      </c>
      <c r="F71" s="318"/>
    </row>
    <row r="72" spans="1:6" x14ac:dyDescent="0.2">
      <c r="A72" s="217">
        <v>1993</v>
      </c>
      <c r="B72" s="314">
        <v>0.34131952634047069</v>
      </c>
      <c r="C72" s="314">
        <v>0.10413693992464577</v>
      </c>
      <c r="D72" s="314">
        <v>0.27859667000136301</v>
      </c>
      <c r="E72" s="314">
        <v>-4.1414083585538108E-2</v>
      </c>
      <c r="F72" s="318"/>
    </row>
    <row r="73" spans="1:6" x14ac:dyDescent="0.2">
      <c r="A73" s="217">
        <v>1994</v>
      </c>
      <c r="B73" s="314">
        <v>1.2727916142467501</v>
      </c>
      <c r="C73" s="314">
        <v>0.51531200718907677</v>
      </c>
      <c r="D73" s="314">
        <v>1.2703363165891814</v>
      </c>
      <c r="E73" s="314">
        <v>-0.51285670953150808</v>
      </c>
      <c r="F73" s="318"/>
    </row>
    <row r="74" spans="1:6" x14ac:dyDescent="0.2">
      <c r="A74" s="217">
        <v>1995</v>
      </c>
      <c r="B74" s="314">
        <v>0.4428790745897615</v>
      </c>
      <c r="C74" s="314">
        <v>0.42447225381701736</v>
      </c>
      <c r="D74" s="314">
        <v>6.8872259340937311E-2</v>
      </c>
      <c r="E74" s="314">
        <v>-5.0465438568193174E-2</v>
      </c>
      <c r="F74" s="318"/>
    </row>
    <row r="75" spans="1:6" x14ac:dyDescent="0.2">
      <c r="A75" s="217">
        <v>1996</v>
      </c>
      <c r="B75" s="314">
        <v>0.69124661392748976</v>
      </c>
      <c r="C75" s="314">
        <v>0.18501249974600267</v>
      </c>
      <c r="D75" s="314">
        <v>0.60288428094474888</v>
      </c>
      <c r="E75" s="314">
        <v>-9.6650166763261769E-2</v>
      </c>
      <c r="F75" s="318"/>
    </row>
    <row r="76" spans="1:6" x14ac:dyDescent="0.2">
      <c r="A76" s="217">
        <v>1997</v>
      </c>
      <c r="B76" s="314">
        <v>0.15676538311167842</v>
      </c>
      <c r="C76" s="314">
        <v>0.21507987555992233</v>
      </c>
      <c r="D76" s="314">
        <v>-5.3024486003609698E-2</v>
      </c>
      <c r="E76" s="314">
        <v>-5.2900064446342113E-3</v>
      </c>
      <c r="F76" s="318"/>
    </row>
    <row r="77" spans="1:6" x14ac:dyDescent="0.2">
      <c r="A77" s="217">
        <v>1998</v>
      </c>
      <c r="B77" s="314">
        <v>6.5879305894987361E-2</v>
      </c>
      <c r="C77" s="314">
        <v>-0.10195782211978832</v>
      </c>
      <c r="D77" s="314">
        <v>0.16833701179671837</v>
      </c>
      <c r="E77" s="314">
        <v>-4.9988378194268379E-4</v>
      </c>
      <c r="F77" s="318"/>
    </row>
    <row r="78" spans="1:6" x14ac:dyDescent="0.2">
      <c r="A78" s="217">
        <v>1999</v>
      </c>
      <c r="B78" s="314">
        <v>-1.4265450303896197</v>
      </c>
      <c r="C78" s="314">
        <v>-0.84895804007144815</v>
      </c>
      <c r="D78" s="314">
        <v>-0.19206834085726124</v>
      </c>
      <c r="E78" s="314">
        <v>-0.3855186494609103</v>
      </c>
      <c r="F78" s="318"/>
    </row>
    <row r="79" spans="1:6" x14ac:dyDescent="0.2">
      <c r="A79" s="190"/>
      <c r="B79" s="190"/>
      <c r="C79" s="190"/>
      <c r="D79" s="190"/>
      <c r="E79" s="190"/>
    </row>
    <row r="82" spans="1:1" x14ac:dyDescent="0.2">
      <c r="A82" s="410"/>
    </row>
    <row r="83" spans="1:1" x14ac:dyDescent="0.2">
      <c r="A83" s="124" t="s">
        <v>598</v>
      </c>
    </row>
  </sheetData>
  <mergeCells count="5">
    <mergeCell ref="C4:E4"/>
    <mergeCell ref="B4:B5"/>
    <mergeCell ref="A4:A5"/>
    <mergeCell ref="A1:E1"/>
    <mergeCell ref="A2:E2"/>
  </mergeCells>
  <hyperlinks>
    <hyperlink ref="A83" location="'indice cap.1'!A1" display="regresar al índice" xr:uid="{00000000-0004-0000-1F00-000000000000}"/>
  </hyperlinks>
  <pageMargins left="0.70866141732283472" right="0.70866141732283472" top="0" bottom="0" header="0.31496062992125984" footer="0.31496062992125984"/>
  <pageSetup paperSize="9" scale="80" orientation="portrait" verticalDpi="599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99"/>
  <sheetViews>
    <sheetView showGridLines="0" workbookViewId="0">
      <selection activeCell="A5" sqref="A5:A6"/>
    </sheetView>
  </sheetViews>
  <sheetFormatPr defaultColWidth="11.42578125" defaultRowHeight="12.75" x14ac:dyDescent="0.2"/>
  <cols>
    <col min="1" max="1" width="11.42578125" style="108"/>
    <col min="2" max="3" width="13.140625" style="108" customWidth="1"/>
    <col min="4" max="4" width="13.5703125" style="108" customWidth="1"/>
    <col min="5" max="5" width="13" style="108" customWidth="1"/>
    <col min="6" max="16384" width="11.42578125" style="108"/>
  </cols>
  <sheetData>
    <row r="1" spans="1:6" ht="15" x14ac:dyDescent="0.25">
      <c r="A1" s="558" t="s">
        <v>692</v>
      </c>
      <c r="B1" s="538"/>
      <c r="C1" s="538"/>
      <c r="D1" s="538"/>
      <c r="E1" s="538"/>
    </row>
    <row r="2" spans="1:6" ht="15" x14ac:dyDescent="0.25">
      <c r="A2" s="558" t="s">
        <v>485</v>
      </c>
      <c r="B2" s="538"/>
      <c r="C2" s="538"/>
      <c r="D2" s="538"/>
      <c r="E2" s="538"/>
    </row>
    <row r="3" spans="1:6" x14ac:dyDescent="0.2">
      <c r="A3" s="558" t="s">
        <v>476</v>
      </c>
      <c r="B3" s="558"/>
      <c r="C3" s="558"/>
      <c r="D3" s="558"/>
      <c r="E3" s="558"/>
    </row>
    <row r="4" spans="1:6" x14ac:dyDescent="0.2">
      <c r="A4" s="110"/>
    </row>
    <row r="5" spans="1:6" ht="15" x14ac:dyDescent="0.2">
      <c r="A5" s="623" t="s">
        <v>87</v>
      </c>
      <c r="B5" s="621" t="s">
        <v>837</v>
      </c>
      <c r="C5" s="621" t="s">
        <v>473</v>
      </c>
      <c r="D5" s="625"/>
      <c r="E5" s="626"/>
      <c r="F5" s="322"/>
    </row>
    <row r="6" spans="1:6" x14ac:dyDescent="0.2">
      <c r="A6" s="624"/>
      <c r="B6" s="622"/>
      <c r="C6" s="326" t="s">
        <v>101</v>
      </c>
      <c r="D6" s="326" t="s">
        <v>484</v>
      </c>
      <c r="E6" s="327" t="s">
        <v>474</v>
      </c>
      <c r="F6" s="322"/>
    </row>
    <row r="7" spans="1:6" x14ac:dyDescent="0.2">
      <c r="A7" s="209"/>
      <c r="B7" s="317"/>
      <c r="C7" s="317"/>
      <c r="D7" s="317"/>
      <c r="E7" s="317"/>
    </row>
    <row r="8" spans="1:6" x14ac:dyDescent="0.2">
      <c r="A8" s="217">
        <v>1928</v>
      </c>
      <c r="B8" s="328">
        <v>99.999999999999915</v>
      </c>
      <c r="C8" s="329">
        <v>2610.6929065465192</v>
      </c>
      <c r="D8" s="329">
        <v>-2514.0389392996308</v>
      </c>
      <c r="E8" s="329">
        <v>3.3460327531114706</v>
      </c>
      <c r="F8" s="323"/>
    </row>
    <row r="9" spans="1:6" x14ac:dyDescent="0.2">
      <c r="A9" s="217">
        <v>1929</v>
      </c>
      <c r="B9" s="328">
        <v>100</v>
      </c>
      <c r="C9" s="329">
        <v>134.81956472545951</v>
      </c>
      <c r="D9" s="329">
        <v>-30.282114765215635</v>
      </c>
      <c r="E9" s="329">
        <v>-4.5374499602438858</v>
      </c>
      <c r="F9" s="323"/>
    </row>
    <row r="10" spans="1:6" x14ac:dyDescent="0.2">
      <c r="A10" s="217">
        <v>1930</v>
      </c>
      <c r="B10" s="328">
        <v>99.999999999999687</v>
      </c>
      <c r="C10" s="329">
        <v>2691.4631572734761</v>
      </c>
      <c r="D10" s="329">
        <v>-2588.2318239388933</v>
      </c>
      <c r="E10" s="329">
        <v>-3.231333334583121</v>
      </c>
      <c r="F10" s="323"/>
    </row>
    <row r="11" spans="1:6" x14ac:dyDescent="0.2">
      <c r="A11" s="217">
        <v>1931</v>
      </c>
      <c r="B11" s="328">
        <v>99.999999999999929</v>
      </c>
      <c r="C11" s="329">
        <v>-2971.0009493339403</v>
      </c>
      <c r="D11" s="329">
        <v>3061.9654341796663</v>
      </c>
      <c r="E11" s="329">
        <v>9.0355151542739147</v>
      </c>
      <c r="F11" s="323"/>
    </row>
    <row r="12" spans="1:6" x14ac:dyDescent="0.2">
      <c r="A12" s="217">
        <v>1932</v>
      </c>
      <c r="B12" s="328">
        <v>99.999999999999943</v>
      </c>
      <c r="C12" s="329">
        <v>-304.60276705155678</v>
      </c>
      <c r="D12" s="329">
        <v>419.06619958323398</v>
      </c>
      <c r="E12" s="329">
        <v>-14.463432531677256</v>
      </c>
      <c r="F12" s="323"/>
    </row>
    <row r="13" spans="1:6" x14ac:dyDescent="0.2">
      <c r="A13" s="217">
        <v>1933</v>
      </c>
      <c r="B13" s="328">
        <v>100</v>
      </c>
      <c r="C13" s="329">
        <v>-179.01071579736617</v>
      </c>
      <c r="D13" s="329">
        <v>283.36646516415254</v>
      </c>
      <c r="E13" s="329">
        <v>-4.355749366786358</v>
      </c>
      <c r="F13" s="323"/>
    </row>
    <row r="14" spans="1:6" x14ac:dyDescent="0.2">
      <c r="A14" s="217">
        <v>1934</v>
      </c>
      <c r="B14" s="328">
        <v>100</v>
      </c>
      <c r="C14" s="329">
        <v>-75.359224971676881</v>
      </c>
      <c r="D14" s="329">
        <v>174.38000559155654</v>
      </c>
      <c r="E14" s="329">
        <v>0.97921938012033249</v>
      </c>
      <c r="F14" s="323"/>
    </row>
    <row r="15" spans="1:6" x14ac:dyDescent="0.2">
      <c r="A15" s="217">
        <v>1935</v>
      </c>
      <c r="B15" s="328">
        <v>100</v>
      </c>
      <c r="C15" s="329">
        <v>-198.06496204923135</v>
      </c>
      <c r="D15" s="329">
        <v>296.38215289705482</v>
      </c>
      <c r="E15" s="329">
        <v>1.6828091521765016</v>
      </c>
      <c r="F15" s="323"/>
    </row>
    <row r="16" spans="1:6" x14ac:dyDescent="0.2">
      <c r="A16" s="217">
        <v>1936</v>
      </c>
      <c r="B16" s="328">
        <v>100</v>
      </c>
      <c r="C16" s="329">
        <v>-7.9288044714759875</v>
      </c>
      <c r="D16" s="329">
        <v>101.66058833112596</v>
      </c>
      <c r="E16" s="329">
        <v>6.2682161403500105</v>
      </c>
      <c r="F16" s="323"/>
    </row>
    <row r="17" spans="1:6" x14ac:dyDescent="0.2">
      <c r="A17" s="217">
        <v>1937</v>
      </c>
      <c r="B17" s="328">
        <v>100</v>
      </c>
      <c r="C17" s="329">
        <v>34.695694835403351</v>
      </c>
      <c r="D17" s="329">
        <v>54.75254028480304</v>
      </c>
      <c r="E17" s="329">
        <v>10.5517648797936</v>
      </c>
      <c r="F17" s="323"/>
    </row>
    <row r="18" spans="1:6" x14ac:dyDescent="0.2">
      <c r="A18" s="217">
        <v>1938</v>
      </c>
      <c r="B18" s="328">
        <v>100</v>
      </c>
      <c r="C18" s="329">
        <v>-23.613689709418459</v>
      </c>
      <c r="D18" s="329">
        <v>124.97962796438867</v>
      </c>
      <c r="E18" s="329">
        <v>-1.365938254970205</v>
      </c>
      <c r="F18" s="323"/>
    </row>
    <row r="19" spans="1:6" x14ac:dyDescent="0.2">
      <c r="A19" s="217">
        <v>1939</v>
      </c>
      <c r="B19" s="328">
        <v>100</v>
      </c>
      <c r="C19" s="329">
        <v>67.209796144387951</v>
      </c>
      <c r="D19" s="329">
        <v>40.156025313006026</v>
      </c>
      <c r="E19" s="329">
        <v>-7.3658214573939773</v>
      </c>
      <c r="F19" s="323"/>
    </row>
    <row r="20" spans="1:6" x14ac:dyDescent="0.2">
      <c r="A20" s="217">
        <v>1940</v>
      </c>
      <c r="B20" s="328">
        <v>100</v>
      </c>
      <c r="C20" s="329">
        <v>365.90728269376029</v>
      </c>
      <c r="D20" s="329">
        <v>-252.13833713361322</v>
      </c>
      <c r="E20" s="329">
        <v>-13.768945560147044</v>
      </c>
      <c r="F20" s="323"/>
    </row>
    <row r="21" spans="1:6" x14ac:dyDescent="0.2">
      <c r="A21" s="217">
        <v>1941</v>
      </c>
      <c r="B21" s="328">
        <v>100</v>
      </c>
      <c r="C21" s="329">
        <v>42.187668881992337</v>
      </c>
      <c r="D21" s="329">
        <v>38.075109045652894</v>
      </c>
      <c r="E21" s="329">
        <v>19.737222072354772</v>
      </c>
      <c r="F21" s="323"/>
    </row>
    <row r="22" spans="1:6" x14ac:dyDescent="0.2">
      <c r="A22" s="217">
        <v>1942</v>
      </c>
      <c r="B22" s="328">
        <v>100</v>
      </c>
      <c r="C22" s="329">
        <v>37.114436290698634</v>
      </c>
      <c r="D22" s="329">
        <v>69.3142178358179</v>
      </c>
      <c r="E22" s="329">
        <v>-6.4286541265165296</v>
      </c>
      <c r="F22" s="323"/>
    </row>
    <row r="23" spans="1:6" x14ac:dyDescent="0.2">
      <c r="A23" s="217">
        <v>1943</v>
      </c>
      <c r="B23" s="328">
        <v>100</v>
      </c>
      <c r="C23" s="329">
        <v>18.484245677769152</v>
      </c>
      <c r="D23" s="329">
        <v>88.035876811496038</v>
      </c>
      <c r="E23" s="329">
        <v>-6.5201224892651917</v>
      </c>
      <c r="F23" s="323"/>
    </row>
    <row r="24" spans="1:6" x14ac:dyDescent="0.2">
      <c r="A24" s="217">
        <v>1944</v>
      </c>
      <c r="B24" s="328">
        <v>100</v>
      </c>
      <c r="C24" s="329">
        <v>1.8127932777656559</v>
      </c>
      <c r="D24" s="329">
        <v>77.549279722706771</v>
      </c>
      <c r="E24" s="329">
        <v>20.637926999527568</v>
      </c>
      <c r="F24" s="323"/>
    </row>
    <row r="25" spans="1:6" x14ac:dyDescent="0.2">
      <c r="A25" s="217">
        <v>1945</v>
      </c>
      <c r="B25" s="328">
        <v>100</v>
      </c>
      <c r="C25" s="329">
        <v>3.0093576806608962</v>
      </c>
      <c r="D25" s="329">
        <v>106.81708284549943</v>
      </c>
      <c r="E25" s="329">
        <v>-9.8264405261603116</v>
      </c>
      <c r="F25" s="323"/>
    </row>
    <row r="26" spans="1:6" x14ac:dyDescent="0.2">
      <c r="A26" s="217">
        <v>1946</v>
      </c>
      <c r="B26" s="328">
        <v>100</v>
      </c>
      <c r="C26" s="329">
        <v>1.3251822750868949</v>
      </c>
      <c r="D26" s="329">
        <v>95.903982399652534</v>
      </c>
      <c r="E26" s="329">
        <v>2.7708353252605797</v>
      </c>
      <c r="F26" s="323"/>
    </row>
    <row r="27" spans="1:6" x14ac:dyDescent="0.2">
      <c r="A27" s="217">
        <v>1947</v>
      </c>
      <c r="B27" s="328">
        <v>100.00000000000088</v>
      </c>
      <c r="C27" s="329">
        <v>7635.6837229331977</v>
      </c>
      <c r="D27" s="329">
        <v>-7543.154194892395</v>
      </c>
      <c r="E27" s="329">
        <v>7.4704719591981865</v>
      </c>
      <c r="F27" s="323"/>
    </row>
    <row r="28" spans="1:6" x14ac:dyDescent="0.2">
      <c r="A28" s="217">
        <v>1948</v>
      </c>
      <c r="B28" s="328">
        <v>100</v>
      </c>
      <c r="C28" s="329">
        <v>18.425097232281317</v>
      </c>
      <c r="D28" s="329">
        <v>85.758613412467639</v>
      </c>
      <c r="E28" s="329">
        <v>-4.1837106447489569</v>
      </c>
      <c r="F28" s="323"/>
    </row>
    <row r="29" spans="1:6" x14ac:dyDescent="0.2">
      <c r="A29" s="217">
        <v>1949</v>
      </c>
      <c r="B29" s="328">
        <v>100</v>
      </c>
      <c r="C29" s="329">
        <v>49.349572019571589</v>
      </c>
      <c r="D29" s="329">
        <v>61.52478138839961</v>
      </c>
      <c r="E29" s="329">
        <v>-10.874353407971206</v>
      </c>
      <c r="F29" s="323"/>
    </row>
    <row r="30" spans="1:6" x14ac:dyDescent="0.2">
      <c r="A30" s="217">
        <v>1950</v>
      </c>
      <c r="B30" s="328">
        <v>100</v>
      </c>
      <c r="C30" s="329">
        <v>24.276177010063908</v>
      </c>
      <c r="D30" s="329">
        <v>73.726795761528351</v>
      </c>
      <c r="E30" s="329">
        <v>1.9970272284077397</v>
      </c>
      <c r="F30" s="323"/>
    </row>
    <row r="31" spans="1:6" x14ac:dyDescent="0.2">
      <c r="A31" s="217">
        <v>1951</v>
      </c>
      <c r="B31" s="328">
        <v>100</v>
      </c>
      <c r="C31" s="329">
        <v>-28.267656631402616</v>
      </c>
      <c r="D31" s="329">
        <v>129.04104040933936</v>
      </c>
      <c r="E31" s="329">
        <v>-0.77338377793674196</v>
      </c>
      <c r="F31" s="323"/>
    </row>
    <row r="32" spans="1:6" x14ac:dyDescent="0.2">
      <c r="A32" s="217">
        <v>1952</v>
      </c>
      <c r="B32" s="328">
        <v>100</v>
      </c>
      <c r="C32" s="329">
        <v>-99.355213275151385</v>
      </c>
      <c r="D32" s="329">
        <v>201.65949401294276</v>
      </c>
      <c r="E32" s="329">
        <v>-2.3042807377913728</v>
      </c>
      <c r="F32" s="323"/>
    </row>
    <row r="33" spans="1:6" x14ac:dyDescent="0.2">
      <c r="A33" s="217">
        <v>1953</v>
      </c>
      <c r="B33" s="328">
        <v>100</v>
      </c>
      <c r="C33" s="329">
        <v>5.2975521997822117</v>
      </c>
      <c r="D33" s="329">
        <v>100.52763523475774</v>
      </c>
      <c r="E33" s="329">
        <v>-5.8251874345399619</v>
      </c>
      <c r="F33" s="323"/>
    </row>
    <row r="34" spans="1:6" x14ac:dyDescent="0.2">
      <c r="A34" s="217">
        <v>1954</v>
      </c>
      <c r="B34" s="328">
        <v>100</v>
      </c>
      <c r="C34" s="329">
        <v>1.8461274309326123</v>
      </c>
      <c r="D34" s="329">
        <v>103.6594020427852</v>
      </c>
      <c r="E34" s="329">
        <v>-5.50552947371781</v>
      </c>
      <c r="F34" s="323"/>
    </row>
    <row r="35" spans="1:6" x14ac:dyDescent="0.2">
      <c r="A35" s="217">
        <v>1955</v>
      </c>
      <c r="B35" s="328">
        <v>100</v>
      </c>
      <c r="C35" s="329">
        <v>-36.65455688534859</v>
      </c>
      <c r="D35" s="329">
        <v>136.44930342463036</v>
      </c>
      <c r="E35" s="329">
        <v>0.20525346071824246</v>
      </c>
      <c r="F35" s="323"/>
    </row>
    <row r="36" spans="1:6" x14ac:dyDescent="0.2">
      <c r="A36" s="217">
        <v>1956</v>
      </c>
      <c r="B36" s="328">
        <v>100</v>
      </c>
      <c r="C36" s="329">
        <v>10.182051353683272</v>
      </c>
      <c r="D36" s="329">
        <v>91.77948004518872</v>
      </c>
      <c r="E36" s="329">
        <v>-1.9615313988719918</v>
      </c>
      <c r="F36" s="323"/>
    </row>
    <row r="37" spans="1:6" x14ac:dyDescent="0.2">
      <c r="A37" s="217">
        <v>1957</v>
      </c>
      <c r="B37" s="328">
        <v>100</v>
      </c>
      <c r="C37" s="329">
        <v>2141.1118249828787</v>
      </c>
      <c r="D37" s="329">
        <v>-2038.5992710297376</v>
      </c>
      <c r="E37" s="329">
        <v>-2.5125539531409724</v>
      </c>
      <c r="F37" s="323"/>
    </row>
    <row r="38" spans="1:6" x14ac:dyDescent="0.2">
      <c r="A38" s="217">
        <v>1958</v>
      </c>
      <c r="B38" s="328">
        <v>100</v>
      </c>
      <c r="C38" s="329">
        <v>19.764086175107895</v>
      </c>
      <c r="D38" s="329">
        <v>83.209295723971223</v>
      </c>
      <c r="E38" s="329">
        <v>-2.9733818990791092</v>
      </c>
      <c r="F38" s="323"/>
    </row>
    <row r="39" spans="1:6" x14ac:dyDescent="0.2">
      <c r="A39" s="217">
        <v>1959</v>
      </c>
      <c r="B39" s="328">
        <v>100</v>
      </c>
      <c r="C39" s="329">
        <v>380.62712940794347</v>
      </c>
      <c r="D39" s="329">
        <v>-276.04181679613163</v>
      </c>
      <c r="E39" s="329">
        <v>-4.5853126118118679</v>
      </c>
      <c r="F39" s="323"/>
    </row>
    <row r="40" spans="1:6" x14ac:dyDescent="0.2">
      <c r="A40" s="217">
        <v>1960</v>
      </c>
      <c r="B40" s="328">
        <v>100</v>
      </c>
      <c r="C40" s="329">
        <v>-25.022859407454277</v>
      </c>
      <c r="D40" s="329">
        <v>127.53373395242437</v>
      </c>
      <c r="E40" s="329">
        <v>-2.5108745449700915</v>
      </c>
      <c r="F40" s="323"/>
    </row>
    <row r="41" spans="1:6" x14ac:dyDescent="0.2">
      <c r="A41" s="217">
        <v>1961</v>
      </c>
      <c r="B41" s="328">
        <v>100</v>
      </c>
      <c r="C41" s="329">
        <v>1.8720351262209556</v>
      </c>
      <c r="D41" s="329">
        <v>100.50437284880991</v>
      </c>
      <c r="E41" s="329">
        <v>-2.3764079750308684</v>
      </c>
      <c r="F41" s="323"/>
    </row>
    <row r="42" spans="1:6" x14ac:dyDescent="0.2">
      <c r="A42" s="217">
        <v>1962</v>
      </c>
      <c r="B42" s="328">
        <v>100</v>
      </c>
      <c r="C42" s="329">
        <v>-62.831605434899885</v>
      </c>
      <c r="D42" s="329">
        <v>162.66162427859646</v>
      </c>
      <c r="E42" s="329">
        <v>0.16998115630342284</v>
      </c>
      <c r="F42" s="323"/>
    </row>
    <row r="43" spans="1:6" x14ac:dyDescent="0.2">
      <c r="A43" s="217">
        <v>1963</v>
      </c>
      <c r="B43" s="328">
        <v>100</v>
      </c>
      <c r="C43" s="329">
        <v>73.673138887108365</v>
      </c>
      <c r="D43" s="329">
        <v>30.685208513395168</v>
      </c>
      <c r="E43" s="329">
        <v>-4.3583474005035292</v>
      </c>
      <c r="F43" s="323"/>
    </row>
    <row r="44" spans="1:6" x14ac:dyDescent="0.2">
      <c r="A44" s="217">
        <v>1964</v>
      </c>
      <c r="B44" s="328">
        <v>100</v>
      </c>
      <c r="C44" s="329">
        <v>41.819996040476049</v>
      </c>
      <c r="D44" s="329">
        <v>62.013340473526604</v>
      </c>
      <c r="E44" s="329">
        <v>-3.833336514002649</v>
      </c>
      <c r="F44" s="323"/>
    </row>
    <row r="45" spans="1:6" x14ac:dyDescent="0.2">
      <c r="A45" s="217">
        <v>1965</v>
      </c>
      <c r="B45" s="328">
        <v>100</v>
      </c>
      <c r="C45" s="329">
        <v>189.68364238917169</v>
      </c>
      <c r="D45" s="329">
        <v>-92.928985932915893</v>
      </c>
      <c r="E45" s="329">
        <v>3.2453435437442093</v>
      </c>
      <c r="F45" s="323"/>
    </row>
    <row r="46" spans="1:6" x14ac:dyDescent="0.2">
      <c r="A46" s="217">
        <v>1966</v>
      </c>
      <c r="B46" s="328">
        <v>100</v>
      </c>
      <c r="C46" s="329">
        <v>170.59286899920733</v>
      </c>
      <c r="D46" s="329">
        <v>-66.190315328599837</v>
      </c>
      <c r="E46" s="329">
        <v>-4.4025536706075128</v>
      </c>
      <c r="F46" s="323"/>
    </row>
    <row r="47" spans="1:6" x14ac:dyDescent="0.2">
      <c r="A47" s="217">
        <v>1967</v>
      </c>
      <c r="B47" s="328">
        <v>100</v>
      </c>
      <c r="C47" s="329">
        <v>50.744548892636274</v>
      </c>
      <c r="D47" s="329">
        <v>65.845815258965928</v>
      </c>
      <c r="E47" s="329">
        <v>-16.590364151602209</v>
      </c>
      <c r="F47" s="323"/>
    </row>
    <row r="48" spans="1:6" x14ac:dyDescent="0.2">
      <c r="A48" s="217">
        <v>1968</v>
      </c>
      <c r="B48" s="328">
        <v>100</v>
      </c>
      <c r="C48" s="329">
        <v>60.827210689644374</v>
      </c>
      <c r="D48" s="329">
        <v>43.420533647821458</v>
      </c>
      <c r="E48" s="329">
        <v>-4.2477443374658321</v>
      </c>
      <c r="F48" s="323"/>
    </row>
    <row r="49" spans="1:6" x14ac:dyDescent="0.2">
      <c r="A49" s="217">
        <v>1969</v>
      </c>
      <c r="B49" s="328">
        <v>100</v>
      </c>
      <c r="C49" s="329">
        <v>-206.02675081258533</v>
      </c>
      <c r="D49" s="329">
        <v>307.51889317514383</v>
      </c>
      <c r="E49" s="329">
        <v>-1.4921423625585311</v>
      </c>
      <c r="F49" s="323"/>
    </row>
    <row r="50" spans="1:6" x14ac:dyDescent="0.2">
      <c r="A50" s="217">
        <v>1970</v>
      </c>
      <c r="B50" s="328">
        <v>100</v>
      </c>
      <c r="C50" s="329">
        <v>31.053667438414205</v>
      </c>
      <c r="D50" s="329">
        <v>56.415405393723027</v>
      </c>
      <c r="E50" s="329">
        <v>12.530927167862767</v>
      </c>
      <c r="F50" s="323"/>
    </row>
    <row r="51" spans="1:6" x14ac:dyDescent="0.2">
      <c r="A51" s="217">
        <v>1971</v>
      </c>
      <c r="B51" s="328">
        <v>100</v>
      </c>
      <c r="C51" s="329">
        <v>73.356098232082701</v>
      </c>
      <c r="D51" s="329">
        <v>38.353801072733503</v>
      </c>
      <c r="E51" s="329">
        <v>-11.709899304816211</v>
      </c>
      <c r="F51" s="323"/>
    </row>
    <row r="52" spans="1:6" x14ac:dyDescent="0.2">
      <c r="A52" s="217">
        <v>1972</v>
      </c>
      <c r="B52" s="328">
        <v>100</v>
      </c>
      <c r="C52" s="329">
        <v>-11.648844591221396</v>
      </c>
      <c r="D52" s="329">
        <v>108.93708103788491</v>
      </c>
      <c r="E52" s="329">
        <v>2.7117635533364934</v>
      </c>
      <c r="F52" s="323"/>
    </row>
    <row r="53" spans="1:6" x14ac:dyDescent="0.2">
      <c r="A53" s="217">
        <v>1973</v>
      </c>
      <c r="B53" s="328">
        <v>100</v>
      </c>
      <c r="C53" s="329">
        <v>1.6028410706933309</v>
      </c>
      <c r="D53" s="329">
        <v>89.013052874105512</v>
      </c>
      <c r="E53" s="329">
        <v>9.3841060552011477</v>
      </c>
      <c r="F53" s="323"/>
    </row>
    <row r="54" spans="1:6" x14ac:dyDescent="0.2">
      <c r="A54" s="217">
        <v>1974</v>
      </c>
      <c r="B54" s="328">
        <v>100</v>
      </c>
      <c r="C54" s="329">
        <v>18.231121756558085</v>
      </c>
      <c r="D54" s="329">
        <v>96.286209834452748</v>
      </c>
      <c r="E54" s="329">
        <v>-14.517331591010846</v>
      </c>
      <c r="F54" s="323"/>
    </row>
    <row r="55" spans="1:6" x14ac:dyDescent="0.2">
      <c r="A55" s="217">
        <v>1975</v>
      </c>
      <c r="B55" s="328">
        <v>100</v>
      </c>
      <c r="C55" s="329">
        <v>5.2237376540356202</v>
      </c>
      <c r="D55" s="329">
        <v>101.7642009656731</v>
      </c>
      <c r="E55" s="329">
        <v>-6.9879386197087046</v>
      </c>
      <c r="F55" s="323"/>
    </row>
    <row r="56" spans="1:6" x14ac:dyDescent="0.2">
      <c r="A56" s="217">
        <v>1976</v>
      </c>
      <c r="B56" s="328">
        <v>100</v>
      </c>
      <c r="C56" s="329">
        <v>13.577771091911281</v>
      </c>
      <c r="D56" s="329">
        <v>77.211153331272683</v>
      </c>
      <c r="E56" s="329">
        <v>9.2110755768160306</v>
      </c>
      <c r="F56" s="323"/>
    </row>
    <row r="57" spans="1:6" x14ac:dyDescent="0.2">
      <c r="A57" s="217">
        <v>1977</v>
      </c>
      <c r="B57" s="328">
        <v>100</v>
      </c>
      <c r="C57" s="329">
        <v>-0.56375827062646922</v>
      </c>
      <c r="D57" s="329">
        <v>110.72034485625903</v>
      </c>
      <c r="E57" s="329">
        <v>-10.156586585632549</v>
      </c>
      <c r="F57" s="323"/>
    </row>
    <row r="58" spans="1:6" x14ac:dyDescent="0.2">
      <c r="A58" s="217">
        <v>1978</v>
      </c>
      <c r="B58" s="328">
        <v>100</v>
      </c>
      <c r="C58" s="329">
        <v>0.48272314022648893</v>
      </c>
      <c r="D58" s="329">
        <v>89.689045596607428</v>
      </c>
      <c r="E58" s="329">
        <v>9.8282312631660798</v>
      </c>
      <c r="F58" s="323"/>
    </row>
    <row r="59" spans="1:6" x14ac:dyDescent="0.2">
      <c r="A59" s="217">
        <v>1979</v>
      </c>
      <c r="B59" s="328">
        <v>100</v>
      </c>
      <c r="C59" s="329">
        <v>181.08515986919372</v>
      </c>
      <c r="D59" s="329">
        <v>-82.672060588644584</v>
      </c>
      <c r="E59" s="329">
        <v>1.5869007194508746</v>
      </c>
      <c r="F59" s="323"/>
    </row>
    <row r="60" spans="1:6" x14ac:dyDescent="0.2">
      <c r="A60" s="217">
        <v>1980</v>
      </c>
      <c r="B60" s="328">
        <v>100</v>
      </c>
      <c r="C60" s="329">
        <v>11.477558591609869</v>
      </c>
      <c r="D60" s="329">
        <v>95.668130520055271</v>
      </c>
      <c r="E60" s="329">
        <v>-7.1456891116651473</v>
      </c>
      <c r="F60" s="323"/>
    </row>
    <row r="61" spans="1:6" x14ac:dyDescent="0.2">
      <c r="A61" s="217">
        <v>1981</v>
      </c>
      <c r="B61" s="328">
        <v>100</v>
      </c>
      <c r="C61" s="329">
        <v>-17.211754118714893</v>
      </c>
      <c r="D61" s="329">
        <v>120.09246950520101</v>
      </c>
      <c r="E61" s="329">
        <v>-2.8807153864861261</v>
      </c>
      <c r="F61" s="323"/>
    </row>
    <row r="62" spans="1:6" x14ac:dyDescent="0.2">
      <c r="A62" s="217">
        <v>1982</v>
      </c>
      <c r="B62" s="328">
        <v>100</v>
      </c>
      <c r="C62" s="329">
        <v>6.4658309310214808</v>
      </c>
      <c r="D62" s="329">
        <v>99.691593917266189</v>
      </c>
      <c r="E62" s="329">
        <v>-6.157424848287663</v>
      </c>
      <c r="F62" s="323"/>
    </row>
    <row r="63" spans="1:6" x14ac:dyDescent="0.2">
      <c r="A63" s="217">
        <v>1983</v>
      </c>
      <c r="B63" s="328">
        <v>100</v>
      </c>
      <c r="C63" s="329">
        <v>29.704149700831756</v>
      </c>
      <c r="D63" s="329">
        <v>91.495282191474587</v>
      </c>
      <c r="E63" s="329">
        <v>-21.19943189230635</v>
      </c>
      <c r="F63" s="323"/>
    </row>
    <row r="64" spans="1:6" x14ac:dyDescent="0.2">
      <c r="A64" s="217">
        <v>1984</v>
      </c>
      <c r="B64" s="328">
        <v>100</v>
      </c>
      <c r="C64" s="329">
        <v>123.85608111081783</v>
      </c>
      <c r="D64" s="329">
        <v>-18.231802268014857</v>
      </c>
      <c r="E64" s="329">
        <v>-5.6242788428029744</v>
      </c>
      <c r="F64" s="323"/>
    </row>
    <row r="65" spans="1:6" x14ac:dyDescent="0.2">
      <c r="A65" s="217">
        <v>1985</v>
      </c>
      <c r="B65" s="328">
        <v>100</v>
      </c>
      <c r="C65" s="329">
        <v>84.560269246765785</v>
      </c>
      <c r="D65" s="329">
        <v>48.0225717253862</v>
      </c>
      <c r="E65" s="329">
        <v>-32.582840972151992</v>
      </c>
      <c r="F65" s="323"/>
    </row>
    <row r="66" spans="1:6" x14ac:dyDescent="0.2">
      <c r="A66" s="217">
        <v>1986</v>
      </c>
      <c r="B66" s="328">
        <v>100</v>
      </c>
      <c r="C66" s="329">
        <v>-17.611656156227156</v>
      </c>
      <c r="D66" s="329">
        <v>112.74314716610347</v>
      </c>
      <c r="E66" s="329">
        <v>4.8685089901236758</v>
      </c>
      <c r="F66" s="323"/>
    </row>
    <row r="67" spans="1:6" x14ac:dyDescent="0.2">
      <c r="A67" s="217">
        <v>1987</v>
      </c>
      <c r="B67" s="328">
        <v>100</v>
      </c>
      <c r="C67" s="329">
        <v>32.648049052397191</v>
      </c>
      <c r="D67" s="329">
        <v>70.037514906130355</v>
      </c>
      <c r="E67" s="329">
        <v>-2.6855639585275433</v>
      </c>
      <c r="F67" s="323"/>
    </row>
    <row r="68" spans="1:6" x14ac:dyDescent="0.2">
      <c r="A68" s="217">
        <v>1988</v>
      </c>
      <c r="B68" s="328">
        <v>100</v>
      </c>
      <c r="C68" s="329">
        <v>52.010346101769535</v>
      </c>
      <c r="D68" s="329">
        <v>36.826417910515289</v>
      </c>
      <c r="E68" s="329">
        <v>11.163235987715183</v>
      </c>
      <c r="F68" s="323"/>
    </row>
    <row r="69" spans="1:6" x14ac:dyDescent="0.2">
      <c r="A69" s="217">
        <v>1989</v>
      </c>
      <c r="B69" s="328">
        <v>100</v>
      </c>
      <c r="C69" s="329">
        <v>60.832409968898538</v>
      </c>
      <c r="D69" s="329">
        <v>41.606134596956835</v>
      </c>
      <c r="E69" s="329">
        <v>-2.4385445658553717</v>
      </c>
      <c r="F69" s="323"/>
    </row>
    <row r="70" spans="1:6" x14ac:dyDescent="0.2">
      <c r="A70" s="217">
        <v>1990</v>
      </c>
      <c r="B70" s="328">
        <v>100</v>
      </c>
      <c r="C70" s="329">
        <v>231.45682979961487</v>
      </c>
      <c r="D70" s="329">
        <v>-129.04100825879212</v>
      </c>
      <c r="E70" s="329">
        <v>-2.4158215408227499</v>
      </c>
      <c r="F70" s="323"/>
    </row>
    <row r="71" spans="1:6" x14ac:dyDescent="0.2">
      <c r="A71" s="217">
        <v>1991</v>
      </c>
      <c r="B71" s="328">
        <v>100</v>
      </c>
      <c r="C71" s="329">
        <v>69.259489161293146</v>
      </c>
      <c r="D71" s="329">
        <v>41.686848371770054</v>
      </c>
      <c r="E71" s="329">
        <v>-10.946337533063199</v>
      </c>
      <c r="F71" s="323"/>
    </row>
    <row r="72" spans="1:6" x14ac:dyDescent="0.2">
      <c r="A72" s="217">
        <v>1992</v>
      </c>
      <c r="B72" s="328">
        <v>100</v>
      </c>
      <c r="C72" s="329">
        <v>-50.159167001499547</v>
      </c>
      <c r="D72" s="329">
        <v>149.66981543003217</v>
      </c>
      <c r="E72" s="329">
        <v>0.48935157146737623</v>
      </c>
      <c r="F72" s="323"/>
    </row>
    <row r="73" spans="1:6" x14ac:dyDescent="0.2">
      <c r="A73" s="217">
        <v>1993</v>
      </c>
      <c r="B73" s="328">
        <v>100</v>
      </c>
      <c r="C73" s="329">
        <v>30.510103257546366</v>
      </c>
      <c r="D73" s="329">
        <v>81.623419846029904</v>
      </c>
      <c r="E73" s="329">
        <v>-12.133523103576271</v>
      </c>
      <c r="F73" s="323"/>
    </row>
    <row r="74" spans="1:6" x14ac:dyDescent="0.2">
      <c r="A74" s="217">
        <v>1994</v>
      </c>
      <c r="B74" s="328">
        <v>100</v>
      </c>
      <c r="C74" s="329">
        <v>40.486753795439107</v>
      </c>
      <c r="D74" s="329">
        <v>99.807093507681401</v>
      </c>
      <c r="E74" s="329">
        <v>-40.293847303120508</v>
      </c>
      <c r="F74" s="323"/>
    </row>
    <row r="75" spans="1:6" x14ac:dyDescent="0.2">
      <c r="A75" s="217">
        <v>1995</v>
      </c>
      <c r="B75" s="328">
        <v>100</v>
      </c>
      <c r="C75" s="329">
        <v>95.843826943100808</v>
      </c>
      <c r="D75" s="329">
        <v>15.551030358508951</v>
      </c>
      <c r="E75" s="329">
        <v>-11.394857301609761</v>
      </c>
      <c r="F75" s="323"/>
    </row>
    <row r="76" spans="1:6" x14ac:dyDescent="0.2">
      <c r="A76" s="217">
        <v>1996</v>
      </c>
      <c r="B76" s="328">
        <v>100</v>
      </c>
      <c r="C76" s="329">
        <v>26.76504969692482</v>
      </c>
      <c r="D76" s="329">
        <v>87.216959735876571</v>
      </c>
      <c r="E76" s="329">
        <v>-13.982009432801382</v>
      </c>
      <c r="F76" s="323"/>
    </row>
    <row r="77" spans="1:6" x14ac:dyDescent="0.2">
      <c r="A77" s="217">
        <v>1997</v>
      </c>
      <c r="B77" s="328">
        <v>100</v>
      </c>
      <c r="C77" s="329">
        <v>137.19857744786751</v>
      </c>
      <c r="D77" s="329">
        <v>-33.824103862161628</v>
      </c>
      <c r="E77" s="329">
        <v>-3.3744735857058776</v>
      </c>
      <c r="F77" s="323"/>
    </row>
    <row r="78" spans="1:6" x14ac:dyDescent="0.2">
      <c r="A78" s="217">
        <v>1998</v>
      </c>
      <c r="B78" s="328">
        <v>100</v>
      </c>
      <c r="C78" s="329">
        <v>-154.7645664061954</v>
      </c>
      <c r="D78" s="329">
        <v>255.52335366898095</v>
      </c>
      <c r="E78" s="329">
        <v>-0.75878726278553443</v>
      </c>
      <c r="F78" s="323"/>
    </row>
    <row r="79" spans="1:6" x14ac:dyDescent="0.2">
      <c r="A79" s="217">
        <v>1999</v>
      </c>
      <c r="B79" s="328">
        <v>100</v>
      </c>
      <c r="C79" s="329">
        <v>59.511478571383037</v>
      </c>
      <c r="D79" s="329">
        <v>13.463882090339855</v>
      </c>
      <c r="E79" s="329">
        <v>27.024639338277112</v>
      </c>
      <c r="F79" s="323"/>
    </row>
    <row r="80" spans="1:6" x14ac:dyDescent="0.2">
      <c r="A80" s="190"/>
      <c r="B80" s="190"/>
      <c r="C80" s="324"/>
      <c r="D80" s="324"/>
      <c r="E80" s="324"/>
    </row>
    <row r="81" spans="1:5" x14ac:dyDescent="0.2">
      <c r="C81" s="325"/>
      <c r="D81" s="325"/>
      <c r="E81" s="325"/>
    </row>
    <row r="82" spans="1:5" x14ac:dyDescent="0.2">
      <c r="C82" s="325"/>
      <c r="D82" s="325"/>
      <c r="E82" s="325"/>
    </row>
    <row r="83" spans="1:5" ht="15" x14ac:dyDescent="0.25">
      <c r="A83" s="408"/>
      <c r="C83" s="325"/>
      <c r="D83" s="325"/>
      <c r="E83" s="325"/>
    </row>
    <row r="84" spans="1:5" x14ac:dyDescent="0.2">
      <c r="A84" s="124" t="s">
        <v>598</v>
      </c>
      <c r="C84" s="325"/>
      <c r="D84" s="325"/>
      <c r="E84" s="325"/>
    </row>
    <row r="85" spans="1:5" x14ac:dyDescent="0.2">
      <c r="C85" s="325"/>
      <c r="D85" s="325"/>
      <c r="E85" s="325"/>
    </row>
    <row r="86" spans="1:5" x14ac:dyDescent="0.2">
      <c r="C86" s="325"/>
      <c r="D86" s="325"/>
      <c r="E86" s="325"/>
    </row>
    <row r="87" spans="1:5" x14ac:dyDescent="0.2">
      <c r="C87" s="325"/>
      <c r="D87" s="325"/>
      <c r="E87" s="325"/>
    </row>
    <row r="88" spans="1:5" x14ac:dyDescent="0.2">
      <c r="C88" s="325"/>
      <c r="D88" s="325"/>
      <c r="E88" s="325"/>
    </row>
    <row r="89" spans="1:5" x14ac:dyDescent="0.2">
      <c r="C89" s="325"/>
      <c r="D89" s="325"/>
      <c r="E89" s="325"/>
    </row>
    <row r="90" spans="1:5" x14ac:dyDescent="0.2">
      <c r="C90" s="325"/>
      <c r="D90" s="325"/>
      <c r="E90" s="325"/>
    </row>
    <row r="91" spans="1:5" x14ac:dyDescent="0.2">
      <c r="C91" s="325"/>
      <c r="D91" s="325"/>
      <c r="E91" s="325"/>
    </row>
    <row r="92" spans="1:5" x14ac:dyDescent="0.2">
      <c r="C92" s="325"/>
      <c r="D92" s="325"/>
      <c r="E92" s="325"/>
    </row>
    <row r="93" spans="1:5" x14ac:dyDescent="0.2">
      <c r="C93" s="325"/>
      <c r="D93" s="325"/>
      <c r="E93" s="325"/>
    </row>
    <row r="94" spans="1:5" x14ac:dyDescent="0.2">
      <c r="C94" s="325"/>
      <c r="D94" s="325"/>
      <c r="E94" s="325"/>
    </row>
    <row r="95" spans="1:5" x14ac:dyDescent="0.2">
      <c r="C95" s="325"/>
      <c r="D95" s="325"/>
      <c r="E95" s="325"/>
    </row>
    <row r="96" spans="1:5" x14ac:dyDescent="0.2">
      <c r="C96" s="325"/>
      <c r="D96" s="325"/>
      <c r="E96" s="325"/>
    </row>
    <row r="97" spans="3:5" x14ac:dyDescent="0.2">
      <c r="C97" s="325"/>
      <c r="D97" s="325"/>
      <c r="E97" s="325"/>
    </row>
    <row r="98" spans="3:5" x14ac:dyDescent="0.2">
      <c r="C98" s="325"/>
      <c r="D98" s="325"/>
      <c r="E98" s="325"/>
    </row>
    <row r="99" spans="3:5" x14ac:dyDescent="0.2">
      <c r="C99" s="325"/>
      <c r="D99" s="325"/>
      <c r="E99" s="325"/>
    </row>
  </sheetData>
  <mergeCells count="6">
    <mergeCell ref="B5:B6"/>
    <mergeCell ref="A5:A6"/>
    <mergeCell ref="C5:E5"/>
    <mergeCell ref="A1:E1"/>
    <mergeCell ref="A2:E2"/>
    <mergeCell ref="A3:E3"/>
  </mergeCells>
  <hyperlinks>
    <hyperlink ref="A84" location="'indice cap.1'!A1" display="regresar al índice" xr:uid="{00000000-0004-0000-2000-000000000000}"/>
  </hyperlinks>
  <pageMargins left="0.70866141732283472" right="0.70866141732283472" top="0" bottom="0" header="0.31496062992125984" footer="0.31496062992125984"/>
  <pageSetup paperSize="9" scale="80" orientation="portrait" verticalDpi="599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108"/>
  <sheetViews>
    <sheetView showGridLines="0" workbookViewId="0">
      <selection activeCell="A3" sqref="A3:B4"/>
    </sheetView>
  </sheetViews>
  <sheetFormatPr defaultColWidth="11.42578125" defaultRowHeight="12.75" x14ac:dyDescent="0.2"/>
  <cols>
    <col min="1" max="1" width="6.28515625" style="108" customWidth="1"/>
    <col min="2" max="2" width="15.7109375" style="108" customWidth="1"/>
    <col min="3" max="7" width="15.7109375" style="123" customWidth="1"/>
    <col min="8" max="16384" width="11.42578125" style="108"/>
  </cols>
  <sheetData>
    <row r="1" spans="1:18" x14ac:dyDescent="0.2">
      <c r="A1" s="493" t="s">
        <v>597</v>
      </c>
      <c r="B1" s="493"/>
      <c r="C1" s="493"/>
      <c r="D1" s="493"/>
      <c r="E1" s="493"/>
      <c r="F1" s="493"/>
      <c r="G1" s="493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x14ac:dyDescent="0.2">
      <c r="A2" s="109"/>
      <c r="B2" s="110"/>
      <c r="C2" s="115"/>
      <c r="D2" s="115"/>
      <c r="E2" s="115"/>
      <c r="F2" s="115"/>
      <c r="G2" s="115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x14ac:dyDescent="0.2">
      <c r="A3" s="581" t="s">
        <v>45</v>
      </c>
      <c r="B3" s="629"/>
      <c r="C3" s="549" t="s">
        <v>44</v>
      </c>
      <c r="D3" s="627"/>
      <c r="E3" s="627"/>
      <c r="F3" s="627"/>
      <c r="G3" s="628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18" ht="25.5" x14ac:dyDescent="0.2">
      <c r="A4" s="630"/>
      <c r="B4" s="629"/>
      <c r="C4" s="330" t="s">
        <v>716</v>
      </c>
      <c r="D4" s="198" t="s">
        <v>715</v>
      </c>
      <c r="E4" s="198" t="s">
        <v>714</v>
      </c>
      <c r="F4" s="330" t="s">
        <v>839</v>
      </c>
      <c r="G4" s="331" t="s">
        <v>838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spans="1:18" x14ac:dyDescent="0.2">
      <c r="A5" s="110"/>
      <c r="B5" s="110"/>
      <c r="C5" s="115"/>
      <c r="D5" s="115"/>
      <c r="E5" s="115"/>
      <c r="F5" s="115"/>
      <c r="G5" s="115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</row>
    <row r="6" spans="1:18" x14ac:dyDescent="0.2">
      <c r="A6" s="116">
        <v>1993</v>
      </c>
      <c r="B6" s="116" t="s">
        <v>60</v>
      </c>
      <c r="C6" s="118">
        <v>36.89</v>
      </c>
      <c r="D6" s="118">
        <v>36.89</v>
      </c>
      <c r="E6" s="118">
        <v>46.89</v>
      </c>
      <c r="F6" s="133">
        <v>49</v>
      </c>
      <c r="G6" s="133">
        <v>49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</row>
    <row r="7" spans="1:18" x14ac:dyDescent="0.2">
      <c r="A7" s="110"/>
      <c r="B7" s="116" t="s">
        <v>61</v>
      </c>
      <c r="C7" s="118">
        <v>23.87</v>
      </c>
      <c r="D7" s="118">
        <v>23.87</v>
      </c>
      <c r="E7" s="118">
        <v>33.869999999999997</v>
      </c>
      <c r="F7" s="133">
        <v>46.89</v>
      </c>
      <c r="G7" s="133">
        <v>70.334999999999994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</row>
    <row r="8" spans="1:18" x14ac:dyDescent="0.2">
      <c r="A8" s="109"/>
      <c r="B8" s="116" t="s">
        <v>50</v>
      </c>
      <c r="C8" s="117">
        <v>21.13</v>
      </c>
      <c r="D8" s="117">
        <v>21.13</v>
      </c>
      <c r="E8" s="117">
        <v>31.13</v>
      </c>
      <c r="F8" s="133">
        <v>33.869999999999997</v>
      </c>
      <c r="G8" s="133">
        <v>50.805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</row>
    <row r="9" spans="1:18" x14ac:dyDescent="0.2">
      <c r="A9" s="109"/>
      <c r="B9" s="116" t="s">
        <v>51</v>
      </c>
      <c r="C9" s="117">
        <v>26.33</v>
      </c>
      <c r="D9" s="117">
        <v>26.33</v>
      </c>
      <c r="E9" s="117">
        <v>36.33</v>
      </c>
      <c r="F9" s="133">
        <v>31.13</v>
      </c>
      <c r="G9" s="133">
        <v>46.695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spans="1:18" x14ac:dyDescent="0.2">
      <c r="A10" s="109"/>
      <c r="B10" s="116" t="s">
        <v>52</v>
      </c>
      <c r="C10" s="117">
        <v>39.94</v>
      </c>
      <c r="D10" s="117">
        <v>39.94</v>
      </c>
      <c r="E10" s="117">
        <v>53.76</v>
      </c>
      <c r="F10" s="133">
        <v>36.33</v>
      </c>
      <c r="G10" s="133">
        <v>54.494999999999997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spans="1:18" x14ac:dyDescent="0.2">
      <c r="A11" s="109"/>
      <c r="B11" s="116" t="s">
        <v>53</v>
      </c>
      <c r="C11" s="117">
        <v>42.16</v>
      </c>
      <c r="D11" s="117">
        <v>45.72</v>
      </c>
      <c r="E11" s="117">
        <v>58.83</v>
      </c>
      <c r="F11" s="133">
        <v>53.76</v>
      </c>
      <c r="G11" s="133">
        <v>80.64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</row>
    <row r="12" spans="1:18" x14ac:dyDescent="0.2">
      <c r="A12" s="109"/>
      <c r="B12" s="116" t="s">
        <v>54</v>
      </c>
      <c r="C12" s="117">
        <v>40.9</v>
      </c>
      <c r="D12" s="117">
        <v>40.72</v>
      </c>
      <c r="E12" s="117">
        <v>54.06</v>
      </c>
      <c r="F12" s="133">
        <v>58.83</v>
      </c>
      <c r="G12" s="133">
        <v>88.25</v>
      </c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</row>
    <row r="13" spans="1:18" x14ac:dyDescent="0.2">
      <c r="A13" s="109"/>
      <c r="B13" s="116" t="s">
        <v>55</v>
      </c>
      <c r="C13" s="117">
        <v>38.65</v>
      </c>
      <c r="D13" s="117">
        <v>39.74</v>
      </c>
      <c r="E13" s="117">
        <v>52.47</v>
      </c>
      <c r="F13" s="133">
        <v>54.06</v>
      </c>
      <c r="G13" s="133">
        <v>81.09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18" x14ac:dyDescent="0.2">
      <c r="A14" s="109"/>
      <c r="B14" s="116" t="s">
        <v>56</v>
      </c>
      <c r="C14" s="117">
        <v>27.77</v>
      </c>
      <c r="D14" s="117">
        <v>33.700000000000003</v>
      </c>
      <c r="E14" s="117">
        <v>41.64</v>
      </c>
      <c r="F14" s="133">
        <v>52.47</v>
      </c>
      <c r="G14" s="133">
        <v>78.704999999999998</v>
      </c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</row>
    <row r="15" spans="1:18" x14ac:dyDescent="0.2">
      <c r="A15" s="109"/>
      <c r="B15" s="116" t="s">
        <v>57</v>
      </c>
      <c r="C15" s="117">
        <v>21.57</v>
      </c>
      <c r="D15" s="117">
        <v>27.1</v>
      </c>
      <c r="E15" s="117">
        <v>35.25</v>
      </c>
      <c r="F15" s="133">
        <v>41.64</v>
      </c>
      <c r="G15" s="133">
        <v>62.46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</row>
    <row r="16" spans="1:18" x14ac:dyDescent="0.2">
      <c r="A16" s="109"/>
      <c r="B16" s="116" t="s">
        <v>58</v>
      </c>
      <c r="C16" s="117">
        <v>17.170000000000002</v>
      </c>
      <c r="D16" s="117">
        <v>23.12</v>
      </c>
      <c r="E16" s="117">
        <v>33.57</v>
      </c>
      <c r="F16" s="133">
        <v>35.25</v>
      </c>
      <c r="G16" s="133">
        <v>52.875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</row>
    <row r="17" spans="1:18" x14ac:dyDescent="0.2">
      <c r="A17" s="109"/>
      <c r="B17" s="116" t="s">
        <v>59</v>
      </c>
      <c r="C17" s="117">
        <v>26.28</v>
      </c>
      <c r="D17" s="117">
        <v>29.58</v>
      </c>
      <c r="E17" s="117">
        <v>36.03</v>
      </c>
      <c r="F17" s="133">
        <v>33.57</v>
      </c>
      <c r="G17" s="133">
        <v>50.354999999999997</v>
      </c>
      <c r="H17" s="119"/>
      <c r="I17" s="107"/>
      <c r="J17" s="107"/>
      <c r="K17" s="107"/>
      <c r="L17" s="107"/>
      <c r="M17" s="107"/>
      <c r="N17" s="107"/>
      <c r="O17" s="107"/>
      <c r="P17" s="107"/>
      <c r="Q17" s="107"/>
      <c r="R17" s="107"/>
    </row>
    <row r="18" spans="1:18" x14ac:dyDescent="0.2">
      <c r="A18" s="109"/>
      <c r="B18" s="116"/>
      <c r="C18" s="117"/>
      <c r="D18" s="117"/>
      <c r="E18" s="117"/>
      <c r="F18" s="118"/>
      <c r="G18" s="118"/>
      <c r="H18" s="119"/>
      <c r="I18" s="107"/>
      <c r="J18" s="107"/>
      <c r="K18" s="107"/>
      <c r="L18" s="107"/>
      <c r="M18" s="107"/>
      <c r="N18" s="107"/>
      <c r="O18" s="107"/>
      <c r="P18" s="107"/>
      <c r="Q18" s="107"/>
      <c r="R18" s="107"/>
    </row>
    <row r="19" spans="1:18" x14ac:dyDescent="0.2">
      <c r="A19" s="116">
        <v>1994</v>
      </c>
      <c r="B19" s="116" t="s">
        <v>60</v>
      </c>
      <c r="C19" s="117">
        <v>43.22</v>
      </c>
      <c r="D19" s="117">
        <v>35.130000000000003</v>
      </c>
      <c r="E19" s="117">
        <v>46.11</v>
      </c>
      <c r="F19" s="117">
        <v>36.03</v>
      </c>
      <c r="G19" s="117">
        <v>54.045000000000002</v>
      </c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</row>
    <row r="20" spans="1:18" x14ac:dyDescent="0.2">
      <c r="A20" s="109"/>
      <c r="B20" s="116" t="s">
        <v>61</v>
      </c>
      <c r="C20" s="117">
        <v>34.450000000000003</v>
      </c>
      <c r="D20" s="117">
        <v>40.54</v>
      </c>
      <c r="E20" s="117">
        <v>49.27</v>
      </c>
      <c r="F20" s="117">
        <v>46.11</v>
      </c>
      <c r="G20" s="117">
        <v>69.165000000000006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</row>
    <row r="21" spans="1:18" x14ac:dyDescent="0.2">
      <c r="A21" s="109"/>
      <c r="B21" s="116" t="s">
        <v>50</v>
      </c>
      <c r="C21" s="117">
        <v>19.64</v>
      </c>
      <c r="D21" s="117">
        <v>28.01</v>
      </c>
      <c r="E21" s="117">
        <v>35.979999999999997</v>
      </c>
      <c r="F21" s="117">
        <v>49.27</v>
      </c>
      <c r="G21" s="117">
        <v>73.905000000000001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</row>
    <row r="22" spans="1:18" x14ac:dyDescent="0.2">
      <c r="A22" s="109"/>
      <c r="B22" s="116" t="s">
        <v>51</v>
      </c>
      <c r="C22" s="117">
        <v>24.36</v>
      </c>
      <c r="D22" s="117">
        <v>27.26</v>
      </c>
      <c r="E22" s="117">
        <v>35.75</v>
      </c>
      <c r="F22" s="117">
        <v>35.979999999999997</v>
      </c>
      <c r="G22" s="117">
        <v>53.97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</row>
    <row r="23" spans="1:18" x14ac:dyDescent="0.2">
      <c r="A23" s="109"/>
      <c r="B23" s="116" t="s">
        <v>52</v>
      </c>
      <c r="C23" s="117">
        <v>27.1</v>
      </c>
      <c r="D23" s="117">
        <v>32.31</v>
      </c>
      <c r="E23" s="117">
        <v>40.15</v>
      </c>
      <c r="F23" s="117">
        <v>35.75</v>
      </c>
      <c r="G23" s="117">
        <v>53.625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</row>
    <row r="24" spans="1:18" x14ac:dyDescent="0.2">
      <c r="A24" s="109"/>
      <c r="B24" s="116" t="s">
        <v>53</v>
      </c>
      <c r="C24" s="117">
        <v>27.91</v>
      </c>
      <c r="D24" s="117">
        <v>34.17</v>
      </c>
      <c r="E24" s="117">
        <v>43.2</v>
      </c>
      <c r="F24" s="117">
        <v>40.15</v>
      </c>
      <c r="G24" s="117">
        <v>60.225000000000001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</row>
    <row r="25" spans="1:18" x14ac:dyDescent="0.2">
      <c r="A25" s="109"/>
      <c r="B25" s="116" t="s">
        <v>54</v>
      </c>
      <c r="C25" s="117">
        <v>28.82</v>
      </c>
      <c r="D25" s="117">
        <v>37.700000000000003</v>
      </c>
      <c r="E25" s="118">
        <v>45.61</v>
      </c>
      <c r="F25" s="117">
        <v>43.2</v>
      </c>
      <c r="G25" s="117">
        <v>64.8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18" x14ac:dyDescent="0.2">
      <c r="A26" s="109"/>
      <c r="B26" s="116" t="s">
        <v>55</v>
      </c>
      <c r="C26" s="117">
        <v>25.65</v>
      </c>
      <c r="D26" s="117">
        <v>35.159999999999997</v>
      </c>
      <c r="E26" s="118">
        <v>44.73</v>
      </c>
      <c r="F26" s="117">
        <v>45.61</v>
      </c>
      <c r="G26" s="117">
        <v>68.415000000000006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18" x14ac:dyDescent="0.2">
      <c r="A27" s="109"/>
      <c r="B27" s="116" t="s">
        <v>56</v>
      </c>
      <c r="C27" s="117">
        <v>28.59</v>
      </c>
      <c r="D27" s="117">
        <v>35.340000000000003</v>
      </c>
      <c r="E27" s="117">
        <v>42.36</v>
      </c>
      <c r="F27" s="117">
        <v>44.73</v>
      </c>
      <c r="G27" s="117">
        <v>67.094999999999999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18" x14ac:dyDescent="0.2">
      <c r="A28" s="109"/>
      <c r="B28" s="116" t="s">
        <v>57</v>
      </c>
      <c r="C28" s="117">
        <v>28.68</v>
      </c>
      <c r="D28" s="117">
        <v>35.4</v>
      </c>
      <c r="E28" s="117">
        <v>44.39</v>
      </c>
      <c r="F28" s="117">
        <v>42.36</v>
      </c>
      <c r="G28" s="117">
        <v>63.54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  <row r="29" spans="1:18" x14ac:dyDescent="0.2">
      <c r="A29" s="109"/>
      <c r="B29" s="116" t="s">
        <v>58</v>
      </c>
      <c r="C29" s="117">
        <v>29.96</v>
      </c>
      <c r="D29" s="117">
        <v>36.53</v>
      </c>
      <c r="E29" s="117">
        <v>44.88</v>
      </c>
      <c r="F29" s="117">
        <v>44.39</v>
      </c>
      <c r="G29" s="117">
        <v>66.584999999999994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</row>
    <row r="30" spans="1:18" x14ac:dyDescent="0.2">
      <c r="A30" s="109"/>
      <c r="B30" s="116" t="s">
        <v>59</v>
      </c>
      <c r="C30" s="117">
        <v>34.49</v>
      </c>
      <c r="D30" s="117">
        <v>41.58</v>
      </c>
      <c r="E30" s="117">
        <v>48.89</v>
      </c>
      <c r="F30" s="117">
        <v>44.88</v>
      </c>
      <c r="G30" s="117">
        <v>67.319999999999993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</row>
    <row r="31" spans="1:18" x14ac:dyDescent="0.2">
      <c r="A31" s="109"/>
      <c r="B31" s="116"/>
      <c r="C31" s="117"/>
      <c r="D31" s="117"/>
      <c r="E31" s="117"/>
      <c r="F31" s="117"/>
      <c r="G31" s="11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</row>
    <row r="32" spans="1:18" x14ac:dyDescent="0.2">
      <c r="A32" s="116">
        <v>1995</v>
      </c>
      <c r="B32" s="116" t="s">
        <v>60</v>
      </c>
      <c r="C32" s="117">
        <v>31.34</v>
      </c>
      <c r="D32" s="117">
        <v>37.68</v>
      </c>
      <c r="E32" s="117">
        <v>48.59</v>
      </c>
      <c r="F32" s="117">
        <v>59.92</v>
      </c>
      <c r="G32" s="117">
        <v>89.88</v>
      </c>
      <c r="H32" s="332"/>
      <c r="M32" s="107"/>
      <c r="N32" s="107"/>
      <c r="O32" s="107"/>
      <c r="P32" s="107"/>
      <c r="Q32" s="107"/>
      <c r="R32" s="107"/>
    </row>
    <row r="33" spans="1:18" x14ac:dyDescent="0.2">
      <c r="A33" s="109"/>
      <c r="B33" s="116" t="s">
        <v>61</v>
      </c>
      <c r="C33" s="117">
        <v>50.55</v>
      </c>
      <c r="D33" s="117">
        <v>65.599999999999994</v>
      </c>
      <c r="E33" s="117">
        <v>71.099999999999994</v>
      </c>
      <c r="F33" s="117">
        <v>48.59</v>
      </c>
      <c r="G33" s="117">
        <v>72.885000000000005</v>
      </c>
      <c r="H33" s="332"/>
      <c r="M33" s="107"/>
      <c r="N33" s="107"/>
      <c r="O33" s="107"/>
      <c r="P33" s="107"/>
      <c r="Q33" s="107"/>
      <c r="R33" s="107"/>
    </row>
    <row r="34" spans="1:18" x14ac:dyDescent="0.2">
      <c r="A34" s="109"/>
      <c r="B34" s="116" t="s">
        <v>50</v>
      </c>
      <c r="C34" s="117">
        <v>45.87</v>
      </c>
      <c r="D34" s="117">
        <v>57.76</v>
      </c>
      <c r="E34" s="117">
        <v>70.59</v>
      </c>
      <c r="F34" s="117">
        <v>71.099999999999994</v>
      </c>
      <c r="G34" s="117">
        <v>106.65</v>
      </c>
      <c r="H34" s="332"/>
      <c r="M34" s="107"/>
      <c r="N34" s="107"/>
      <c r="O34" s="107"/>
      <c r="P34" s="107"/>
      <c r="Q34" s="107"/>
      <c r="R34" s="107"/>
    </row>
    <row r="35" spans="1:18" x14ac:dyDescent="0.2">
      <c r="A35" s="109"/>
      <c r="B35" s="116" t="s">
        <v>51</v>
      </c>
      <c r="C35" s="117">
        <v>37.270000000000003</v>
      </c>
      <c r="D35" s="117">
        <v>44.62</v>
      </c>
      <c r="E35" s="117">
        <v>59.11</v>
      </c>
      <c r="F35" s="117">
        <v>70.59</v>
      </c>
      <c r="G35" s="117">
        <v>105.88500000000001</v>
      </c>
      <c r="H35" s="332"/>
      <c r="M35" s="107"/>
      <c r="N35" s="107"/>
      <c r="O35" s="107"/>
      <c r="P35" s="107"/>
      <c r="Q35" s="107"/>
      <c r="R35" s="107"/>
    </row>
    <row r="36" spans="1:18" x14ac:dyDescent="0.2">
      <c r="A36" s="109"/>
      <c r="B36" s="116" t="s">
        <v>52</v>
      </c>
      <c r="C36" s="117">
        <v>33.369999999999997</v>
      </c>
      <c r="D36" s="117">
        <v>39.840000000000003</v>
      </c>
      <c r="E36" s="117">
        <v>52.21</v>
      </c>
      <c r="F36" s="117">
        <v>59.11</v>
      </c>
      <c r="G36" s="117">
        <v>88.665000000000006</v>
      </c>
      <c r="H36" s="332"/>
      <c r="M36" s="107"/>
      <c r="N36" s="107"/>
      <c r="O36" s="107"/>
      <c r="P36" s="107"/>
      <c r="Q36" s="107"/>
      <c r="R36" s="107"/>
    </row>
    <row r="37" spans="1:18" x14ac:dyDescent="0.2">
      <c r="A37" s="109"/>
      <c r="B37" s="116" t="s">
        <v>53</v>
      </c>
      <c r="C37" s="117">
        <v>32.4</v>
      </c>
      <c r="D37" s="117">
        <v>37.869999999999997</v>
      </c>
      <c r="E37" s="117">
        <v>50.71</v>
      </c>
      <c r="F37" s="117">
        <v>52.21</v>
      </c>
      <c r="G37" s="117">
        <v>78.314999999999998</v>
      </c>
      <c r="H37" s="332"/>
      <c r="M37" s="107"/>
      <c r="N37" s="107"/>
      <c r="O37" s="107"/>
      <c r="P37" s="107"/>
      <c r="Q37" s="107"/>
      <c r="R37" s="107"/>
    </row>
    <row r="38" spans="1:18" x14ac:dyDescent="0.2">
      <c r="A38" s="109"/>
      <c r="B38" s="116" t="s">
        <v>54</v>
      </c>
      <c r="C38" s="117">
        <v>37.979999999999997</v>
      </c>
      <c r="D38" s="117">
        <v>38.46</v>
      </c>
      <c r="E38" s="117">
        <v>47.9</v>
      </c>
      <c r="F38" s="117">
        <v>50.71</v>
      </c>
      <c r="G38" s="117">
        <v>76.064999999999998</v>
      </c>
      <c r="H38" s="332"/>
      <c r="M38" s="107"/>
      <c r="N38" s="107"/>
      <c r="O38" s="107"/>
      <c r="P38" s="107"/>
      <c r="Q38" s="107"/>
      <c r="R38" s="107"/>
    </row>
    <row r="39" spans="1:18" x14ac:dyDescent="0.2">
      <c r="A39" s="109"/>
      <c r="B39" s="116" t="s">
        <v>55</v>
      </c>
      <c r="C39" s="117">
        <v>36.94</v>
      </c>
      <c r="D39" s="117">
        <v>40.659999999999997</v>
      </c>
      <c r="E39" s="117">
        <v>49.61</v>
      </c>
      <c r="F39" s="117">
        <v>47.9</v>
      </c>
      <c r="G39" s="117">
        <v>71.849999999999994</v>
      </c>
      <c r="H39" s="332"/>
      <c r="M39" s="107"/>
      <c r="N39" s="107"/>
      <c r="O39" s="107"/>
      <c r="P39" s="107"/>
      <c r="Q39" s="107"/>
      <c r="R39" s="107"/>
    </row>
    <row r="40" spans="1:18" x14ac:dyDescent="0.2">
      <c r="A40" s="109"/>
      <c r="B40" s="116" t="s">
        <v>56</v>
      </c>
      <c r="C40" s="117">
        <v>36.51</v>
      </c>
      <c r="D40" s="117">
        <v>42.27</v>
      </c>
      <c r="E40" s="117">
        <v>52.73</v>
      </c>
      <c r="F40" s="117">
        <v>49.61</v>
      </c>
      <c r="G40" s="117">
        <v>74.415000000000006</v>
      </c>
      <c r="H40" s="332"/>
      <c r="M40" s="107"/>
      <c r="N40" s="107"/>
      <c r="O40" s="107"/>
      <c r="P40" s="107"/>
      <c r="Q40" s="107"/>
      <c r="R40" s="107"/>
    </row>
    <row r="41" spans="1:18" x14ac:dyDescent="0.2">
      <c r="A41" s="109"/>
      <c r="B41" s="116" t="s">
        <v>57</v>
      </c>
      <c r="C41" s="117">
        <v>37.270000000000003</v>
      </c>
      <c r="D41" s="117">
        <v>43.34</v>
      </c>
      <c r="E41" s="117">
        <v>55.7</v>
      </c>
      <c r="F41" s="117">
        <v>52.73</v>
      </c>
      <c r="G41" s="117">
        <v>79.094999999999999</v>
      </c>
      <c r="H41" s="332"/>
      <c r="M41" s="107"/>
      <c r="N41" s="107"/>
      <c r="O41" s="107"/>
      <c r="P41" s="107"/>
      <c r="Q41" s="107"/>
      <c r="R41" s="107"/>
    </row>
    <row r="42" spans="1:18" x14ac:dyDescent="0.2">
      <c r="A42" s="109"/>
      <c r="B42" s="116" t="s">
        <v>58</v>
      </c>
      <c r="C42" s="117">
        <v>38.22</v>
      </c>
      <c r="D42" s="117">
        <v>46.95</v>
      </c>
      <c r="E42" s="117">
        <v>59.41</v>
      </c>
      <c r="F42" s="117">
        <v>55.7</v>
      </c>
      <c r="G42" s="117">
        <v>83.55</v>
      </c>
      <c r="H42" s="332"/>
      <c r="M42" s="107"/>
      <c r="N42" s="107"/>
      <c r="O42" s="107"/>
      <c r="P42" s="107"/>
      <c r="Q42" s="107"/>
      <c r="R42" s="107"/>
    </row>
    <row r="43" spans="1:18" x14ac:dyDescent="0.2">
      <c r="A43" s="109"/>
      <c r="B43" s="116" t="s">
        <v>59</v>
      </c>
      <c r="C43" s="117">
        <v>36.28</v>
      </c>
      <c r="D43" s="117">
        <v>47.72</v>
      </c>
      <c r="E43" s="117">
        <v>59.92</v>
      </c>
      <c r="F43" s="117">
        <v>59.41</v>
      </c>
      <c r="G43" s="117">
        <v>89.114999999999995</v>
      </c>
      <c r="H43" s="332"/>
      <c r="M43" s="107"/>
      <c r="N43" s="107"/>
      <c r="O43" s="107"/>
      <c r="P43" s="107"/>
      <c r="Q43" s="107"/>
      <c r="R43" s="107"/>
    </row>
    <row r="44" spans="1:18" x14ac:dyDescent="0.2">
      <c r="A44" s="109"/>
      <c r="B44" s="116"/>
      <c r="C44" s="117"/>
      <c r="D44" s="117"/>
      <c r="E44" s="117"/>
      <c r="F44" s="117"/>
      <c r="G44" s="11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</row>
    <row r="45" spans="1:18" x14ac:dyDescent="0.2">
      <c r="A45" s="116">
        <v>1996</v>
      </c>
      <c r="B45" s="116" t="s">
        <v>60</v>
      </c>
      <c r="C45" s="117">
        <v>37.79</v>
      </c>
      <c r="D45" s="117">
        <v>51.75</v>
      </c>
      <c r="E45" s="117">
        <v>62.47</v>
      </c>
      <c r="F45" s="117">
        <v>45.96</v>
      </c>
      <c r="G45" s="117">
        <v>68.94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</row>
    <row r="46" spans="1:18" x14ac:dyDescent="0.2">
      <c r="A46" s="109"/>
      <c r="B46" s="116" t="s">
        <v>61</v>
      </c>
      <c r="C46" s="117">
        <v>40.04</v>
      </c>
      <c r="D46" s="117">
        <v>51.57</v>
      </c>
      <c r="E46" s="117">
        <v>62.83</v>
      </c>
      <c r="F46" s="117">
        <v>62.47</v>
      </c>
      <c r="G46" s="117">
        <v>93.704999999999998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</row>
    <row r="47" spans="1:18" x14ac:dyDescent="0.2">
      <c r="A47" s="109"/>
      <c r="B47" s="116" t="s">
        <v>50</v>
      </c>
      <c r="C47" s="117">
        <v>37.51</v>
      </c>
      <c r="D47" s="117">
        <v>44.14</v>
      </c>
      <c r="E47" s="117">
        <v>58.47</v>
      </c>
      <c r="F47" s="117">
        <v>62.83</v>
      </c>
      <c r="G47" s="117">
        <v>94.245000000000005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</row>
    <row r="48" spans="1:18" x14ac:dyDescent="0.2">
      <c r="A48" s="109"/>
      <c r="B48" s="116" t="s">
        <v>51</v>
      </c>
      <c r="C48" s="117">
        <v>40.08</v>
      </c>
      <c r="D48" s="117">
        <v>43.25</v>
      </c>
      <c r="E48" s="117">
        <v>58.12</v>
      </c>
      <c r="F48" s="117">
        <v>58.47</v>
      </c>
      <c r="G48" s="117">
        <v>87.704999999999998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</row>
    <row r="49" spans="1:18" x14ac:dyDescent="0.2">
      <c r="A49" s="109"/>
      <c r="B49" s="116" t="s">
        <v>52</v>
      </c>
      <c r="C49" s="117">
        <v>41.62</v>
      </c>
      <c r="D49" s="117">
        <v>45.96</v>
      </c>
      <c r="E49" s="117">
        <v>58.96</v>
      </c>
      <c r="F49" s="117">
        <v>58.12</v>
      </c>
      <c r="G49" s="117">
        <v>87.18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</row>
    <row r="50" spans="1:18" x14ac:dyDescent="0.2">
      <c r="A50" s="109"/>
      <c r="B50" s="116" t="s">
        <v>53</v>
      </c>
      <c r="C50" s="117">
        <v>44.49</v>
      </c>
      <c r="D50" s="117">
        <v>49.28</v>
      </c>
      <c r="E50" s="117">
        <v>60.37</v>
      </c>
      <c r="F50" s="117">
        <v>58.96</v>
      </c>
      <c r="G50" s="117">
        <v>88.44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</row>
    <row r="51" spans="1:18" x14ac:dyDescent="0.2">
      <c r="A51" s="109"/>
      <c r="B51" s="116" t="s">
        <v>54</v>
      </c>
      <c r="C51" s="117">
        <v>44.98</v>
      </c>
      <c r="D51" s="117">
        <v>49.27</v>
      </c>
      <c r="E51" s="117">
        <v>61.57</v>
      </c>
      <c r="F51" s="117">
        <v>60.37</v>
      </c>
      <c r="G51" s="117">
        <v>90.555000000000007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</row>
    <row r="52" spans="1:18" x14ac:dyDescent="0.2">
      <c r="A52" s="109"/>
      <c r="B52" s="116" t="s">
        <v>55</v>
      </c>
      <c r="C52" s="117">
        <v>40.799999999999997</v>
      </c>
      <c r="D52" s="117">
        <v>47.01</v>
      </c>
      <c r="E52" s="117">
        <v>59.5</v>
      </c>
      <c r="F52" s="117">
        <v>61.57</v>
      </c>
      <c r="G52" s="117">
        <v>92.355000000000004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</row>
    <row r="53" spans="1:18" x14ac:dyDescent="0.2">
      <c r="A53" s="109"/>
      <c r="B53" s="116" t="s">
        <v>56</v>
      </c>
      <c r="C53" s="117">
        <v>25.39</v>
      </c>
      <c r="D53" s="117">
        <v>35.21</v>
      </c>
      <c r="E53" s="117">
        <v>52.19</v>
      </c>
      <c r="F53" s="117">
        <v>59.5</v>
      </c>
      <c r="G53" s="117">
        <v>89.25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</row>
    <row r="54" spans="1:18" x14ac:dyDescent="0.2">
      <c r="A54" s="109"/>
      <c r="B54" s="116" t="s">
        <v>57</v>
      </c>
      <c r="C54" s="117">
        <v>24.63</v>
      </c>
      <c r="D54" s="117">
        <v>32.29</v>
      </c>
      <c r="E54" s="117">
        <v>48.58</v>
      </c>
      <c r="F54" s="117">
        <v>52.19</v>
      </c>
      <c r="G54" s="117">
        <v>78.284999999999997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</row>
    <row r="55" spans="1:18" x14ac:dyDescent="0.2">
      <c r="A55" s="109"/>
      <c r="B55" s="116" t="s">
        <v>58</v>
      </c>
      <c r="C55" s="117">
        <v>25.7</v>
      </c>
      <c r="D55" s="117">
        <v>32.69</v>
      </c>
      <c r="E55" s="117">
        <v>46.38</v>
      </c>
      <c r="F55" s="117">
        <v>48.58</v>
      </c>
      <c r="G55" s="117">
        <v>72.87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</row>
    <row r="56" spans="1:18" x14ac:dyDescent="0.2">
      <c r="A56" s="109"/>
      <c r="B56" s="116" t="s">
        <v>59</v>
      </c>
      <c r="C56" s="117">
        <v>24.71</v>
      </c>
      <c r="D56" s="117">
        <v>33.68</v>
      </c>
      <c r="E56" s="117">
        <v>45.96</v>
      </c>
      <c r="F56" s="117">
        <v>46.38</v>
      </c>
      <c r="G56" s="117">
        <v>69.569999999999993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</row>
    <row r="57" spans="1:18" x14ac:dyDescent="0.2">
      <c r="A57" s="109"/>
      <c r="B57" s="116"/>
      <c r="C57" s="117"/>
      <c r="D57" s="117"/>
      <c r="E57" s="117"/>
      <c r="F57" s="117"/>
      <c r="G57" s="11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</row>
    <row r="58" spans="1:18" x14ac:dyDescent="0.2">
      <c r="A58" s="116">
        <v>1997</v>
      </c>
      <c r="B58" s="116" t="s">
        <v>60</v>
      </c>
      <c r="C58" s="117">
        <v>24.94</v>
      </c>
      <c r="D58" s="117">
        <v>33.22</v>
      </c>
      <c r="E58" s="117">
        <v>46.4</v>
      </c>
      <c r="F58" s="117">
        <v>39.020000000000003</v>
      </c>
      <c r="G58" s="117">
        <v>58.53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</row>
    <row r="59" spans="1:18" x14ac:dyDescent="0.2">
      <c r="A59" s="109"/>
      <c r="B59" s="116" t="s">
        <v>61</v>
      </c>
      <c r="C59" s="117">
        <v>26.51</v>
      </c>
      <c r="D59" s="117">
        <v>31.28</v>
      </c>
      <c r="E59" s="117">
        <v>46.55</v>
      </c>
      <c r="F59" s="117">
        <v>46.4</v>
      </c>
      <c r="G59" s="117">
        <v>69.599999999999994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</row>
    <row r="60" spans="1:18" x14ac:dyDescent="0.2">
      <c r="A60" s="109"/>
      <c r="B60" s="116" t="s">
        <v>50</v>
      </c>
      <c r="C60" s="117">
        <v>24.36</v>
      </c>
      <c r="D60" s="117">
        <v>31.97</v>
      </c>
      <c r="E60" s="117">
        <v>46.8</v>
      </c>
      <c r="F60" s="117">
        <v>46.55</v>
      </c>
      <c r="G60" s="117">
        <v>69.825000000000003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</row>
    <row r="61" spans="1:18" x14ac:dyDescent="0.2">
      <c r="A61" s="109"/>
      <c r="B61" s="116" t="s">
        <v>51</v>
      </c>
      <c r="C61" s="117">
        <v>24.71</v>
      </c>
      <c r="D61" s="117">
        <v>30</v>
      </c>
      <c r="E61" s="117">
        <v>45.8</v>
      </c>
      <c r="F61" s="117">
        <v>46.8</v>
      </c>
      <c r="G61" s="117">
        <v>70.2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</row>
    <row r="62" spans="1:18" x14ac:dyDescent="0.2">
      <c r="A62" s="109"/>
      <c r="B62" s="116" t="s">
        <v>52</v>
      </c>
      <c r="C62" s="117">
        <v>24.18</v>
      </c>
      <c r="D62" s="117">
        <v>29.88</v>
      </c>
      <c r="E62" s="117">
        <v>45</v>
      </c>
      <c r="F62" s="117">
        <v>45.8</v>
      </c>
      <c r="G62" s="117">
        <v>68.7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</row>
    <row r="63" spans="1:18" x14ac:dyDescent="0.2">
      <c r="A63" s="109"/>
      <c r="B63" s="116" t="s">
        <v>53</v>
      </c>
      <c r="C63" s="117">
        <v>24.27</v>
      </c>
      <c r="D63" s="117">
        <v>27.97</v>
      </c>
      <c r="E63" s="117">
        <v>44.74</v>
      </c>
      <c r="F63" s="117">
        <v>45</v>
      </c>
      <c r="G63" s="117">
        <v>67.5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</row>
    <row r="64" spans="1:18" x14ac:dyDescent="0.2">
      <c r="A64" s="109"/>
      <c r="B64" s="116" t="s">
        <v>54</v>
      </c>
      <c r="C64" s="117">
        <v>24.18</v>
      </c>
      <c r="D64" s="117">
        <v>26.27</v>
      </c>
      <c r="E64" s="117">
        <v>40.96</v>
      </c>
      <c r="F64" s="117">
        <v>44.74</v>
      </c>
      <c r="G64" s="117">
        <v>67.11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</row>
    <row r="65" spans="1:18" x14ac:dyDescent="0.2">
      <c r="A65" s="109"/>
      <c r="B65" s="116" t="s">
        <v>55</v>
      </c>
      <c r="C65" s="117">
        <v>24.71</v>
      </c>
      <c r="D65" s="117">
        <v>27.25</v>
      </c>
      <c r="E65" s="117">
        <v>39.65</v>
      </c>
      <c r="F65" s="117">
        <v>40.96</v>
      </c>
      <c r="G65" s="117">
        <v>61.44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</row>
    <row r="66" spans="1:18" x14ac:dyDescent="0.2">
      <c r="A66" s="109"/>
      <c r="B66" s="116" t="s">
        <v>56</v>
      </c>
      <c r="C66" s="117">
        <v>26.6</v>
      </c>
      <c r="D66" s="117">
        <v>29.51</v>
      </c>
      <c r="E66" s="117">
        <v>37.409999999999997</v>
      </c>
      <c r="F66" s="117">
        <v>39.65</v>
      </c>
      <c r="G66" s="117">
        <v>59.475000000000001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</row>
    <row r="67" spans="1:18" x14ac:dyDescent="0.2">
      <c r="A67" s="109"/>
      <c r="B67" s="116" t="s">
        <v>57</v>
      </c>
      <c r="C67" s="117">
        <v>26.73</v>
      </c>
      <c r="D67" s="117">
        <v>29.67</v>
      </c>
      <c r="E67" s="117">
        <v>41.1</v>
      </c>
      <c r="F67" s="117">
        <v>37.409999999999997</v>
      </c>
      <c r="G67" s="117">
        <v>56.115000000000002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</row>
    <row r="68" spans="1:18" x14ac:dyDescent="0.2">
      <c r="A68" s="109"/>
      <c r="B68" s="116" t="s">
        <v>58</v>
      </c>
      <c r="C68" s="117">
        <v>28.09</v>
      </c>
      <c r="D68" s="117">
        <v>29.43</v>
      </c>
      <c r="E68" s="117">
        <v>37.46</v>
      </c>
      <c r="F68" s="117">
        <v>41.1</v>
      </c>
      <c r="G68" s="117">
        <v>61.65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</row>
    <row r="69" spans="1:18" x14ac:dyDescent="0.2">
      <c r="A69" s="109"/>
      <c r="B69" s="116" t="s">
        <v>59</v>
      </c>
      <c r="C69" s="117">
        <v>27.86</v>
      </c>
      <c r="D69" s="117">
        <v>31.53</v>
      </c>
      <c r="E69" s="117">
        <v>39.020000000000003</v>
      </c>
      <c r="F69" s="117">
        <v>37.46</v>
      </c>
      <c r="G69" s="117">
        <v>56.19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</row>
    <row r="70" spans="1:18" x14ac:dyDescent="0.2">
      <c r="A70" s="109"/>
      <c r="B70" s="116"/>
      <c r="C70" s="117"/>
      <c r="D70" s="117"/>
      <c r="E70" s="117"/>
      <c r="F70" s="117"/>
      <c r="G70" s="11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</row>
    <row r="71" spans="1:18" x14ac:dyDescent="0.2">
      <c r="A71" s="109">
        <v>1998</v>
      </c>
      <c r="B71" s="116" t="s">
        <v>60</v>
      </c>
      <c r="C71" s="117">
        <v>28.55</v>
      </c>
      <c r="D71" s="117">
        <v>33.200000000000003</v>
      </c>
      <c r="E71" s="117">
        <v>38.74</v>
      </c>
      <c r="F71" s="117">
        <v>39.020000000000003</v>
      </c>
      <c r="G71" s="117">
        <v>58.53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</row>
    <row r="72" spans="1:18" x14ac:dyDescent="0.2">
      <c r="A72" s="109"/>
      <c r="B72" s="116" t="s">
        <v>61</v>
      </c>
      <c r="C72" s="117">
        <v>32.72</v>
      </c>
      <c r="D72" s="117">
        <v>34.06</v>
      </c>
      <c r="E72" s="117">
        <v>40.770000000000003</v>
      </c>
      <c r="F72" s="117">
        <v>38.74</v>
      </c>
      <c r="G72" s="117">
        <v>58.11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</row>
    <row r="73" spans="1:18" x14ac:dyDescent="0.2">
      <c r="A73" s="109"/>
      <c r="B73" s="116" t="s">
        <v>50</v>
      </c>
      <c r="C73" s="117">
        <v>34.26</v>
      </c>
      <c r="D73" s="117">
        <v>34.78</v>
      </c>
      <c r="E73" s="117">
        <v>42.03</v>
      </c>
      <c r="F73" s="117">
        <v>40.770000000000003</v>
      </c>
      <c r="G73" s="117">
        <v>61.155000000000001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</row>
    <row r="74" spans="1:18" x14ac:dyDescent="0.2">
      <c r="A74" s="109"/>
      <c r="B74" s="116" t="s">
        <v>51</v>
      </c>
      <c r="C74" s="117">
        <v>36.94</v>
      </c>
      <c r="D74" s="117">
        <v>36.840000000000003</v>
      </c>
      <c r="E74" s="117">
        <v>43.72</v>
      </c>
      <c r="F74" s="117">
        <v>42.03</v>
      </c>
      <c r="G74" s="117">
        <v>63.045000000000002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</row>
    <row r="75" spans="1:18" x14ac:dyDescent="0.2">
      <c r="A75" s="109"/>
      <c r="B75" s="116" t="s">
        <v>52</v>
      </c>
      <c r="C75" s="117">
        <v>38.32</v>
      </c>
      <c r="D75" s="117">
        <v>39.840000000000003</v>
      </c>
      <c r="E75" s="117">
        <v>44.13</v>
      </c>
      <c r="F75" s="117">
        <v>43.72</v>
      </c>
      <c r="G75" s="117">
        <v>65.58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</row>
    <row r="76" spans="1:18" x14ac:dyDescent="0.2">
      <c r="A76" s="109"/>
      <c r="B76" s="116" t="s">
        <v>53</v>
      </c>
      <c r="C76" s="117">
        <v>41.67</v>
      </c>
      <c r="D76" s="117">
        <v>40.83</v>
      </c>
      <c r="E76" s="117">
        <v>48.57</v>
      </c>
      <c r="F76" s="117">
        <v>44.13</v>
      </c>
      <c r="G76" s="117">
        <v>66.194999999999993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</row>
    <row r="77" spans="1:18" x14ac:dyDescent="0.2">
      <c r="A77" s="109"/>
      <c r="B77" s="116" t="s">
        <v>54</v>
      </c>
      <c r="C77" s="117">
        <v>42.88</v>
      </c>
      <c r="D77" s="117">
        <v>43.08</v>
      </c>
      <c r="E77" s="117">
        <v>51.95</v>
      </c>
      <c r="F77" s="117">
        <v>48.57</v>
      </c>
      <c r="G77" s="117">
        <v>72.855000000000004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</row>
    <row r="78" spans="1:18" x14ac:dyDescent="0.2">
      <c r="A78" s="109"/>
      <c r="B78" s="116" t="s">
        <v>55</v>
      </c>
      <c r="C78" s="117">
        <v>44.35</v>
      </c>
      <c r="D78" s="117">
        <v>43.44</v>
      </c>
      <c r="E78" s="117">
        <v>52.97</v>
      </c>
      <c r="F78" s="117">
        <v>51.95</v>
      </c>
      <c r="G78" s="117">
        <v>77.924999999999997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</row>
    <row r="79" spans="1:18" x14ac:dyDescent="0.2">
      <c r="A79" s="109"/>
      <c r="B79" s="116" t="s">
        <v>56</v>
      </c>
      <c r="C79" s="117">
        <v>45.03</v>
      </c>
      <c r="D79" s="117">
        <v>43.94</v>
      </c>
      <c r="E79" s="117">
        <v>54.29</v>
      </c>
      <c r="F79" s="117">
        <v>52.97</v>
      </c>
      <c r="G79" s="117">
        <v>79.454999999999998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</row>
    <row r="80" spans="1:18" x14ac:dyDescent="0.2">
      <c r="A80" s="109"/>
      <c r="B80" s="116" t="s">
        <v>57</v>
      </c>
      <c r="C80" s="117">
        <v>48.05</v>
      </c>
      <c r="D80" s="117">
        <v>46.3</v>
      </c>
      <c r="E80" s="117">
        <v>58.45</v>
      </c>
      <c r="F80" s="117">
        <v>54.29</v>
      </c>
      <c r="G80" s="117">
        <v>81.435000000000002</v>
      </c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</row>
    <row r="81" spans="1:18" x14ac:dyDescent="0.2">
      <c r="A81" s="109"/>
      <c r="B81" s="116" t="s">
        <v>58</v>
      </c>
      <c r="C81" s="117">
        <v>54</v>
      </c>
      <c r="D81" s="117">
        <v>49.96</v>
      </c>
      <c r="E81" s="117">
        <v>61.84</v>
      </c>
      <c r="F81" s="117">
        <v>58.45</v>
      </c>
      <c r="G81" s="117">
        <v>87.674999999999997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</row>
    <row r="82" spans="1:18" x14ac:dyDescent="0.2">
      <c r="A82" s="109"/>
      <c r="B82" s="116" t="s">
        <v>59</v>
      </c>
      <c r="C82" s="117">
        <v>53.18</v>
      </c>
      <c r="D82" s="117">
        <v>49.06</v>
      </c>
      <c r="E82" s="117">
        <v>61.14</v>
      </c>
      <c r="F82" s="117">
        <v>61.84</v>
      </c>
      <c r="G82" s="117">
        <v>92.76</v>
      </c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</row>
    <row r="83" spans="1:18" x14ac:dyDescent="0.2">
      <c r="A83" s="109"/>
      <c r="B83" s="116"/>
      <c r="C83" s="117"/>
      <c r="D83" s="117"/>
      <c r="E83" s="117"/>
      <c r="F83" s="117"/>
      <c r="G83" s="11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</row>
    <row r="84" spans="1:18" x14ac:dyDescent="0.2">
      <c r="A84" s="116">
        <v>1999</v>
      </c>
      <c r="B84" s="116" t="s">
        <v>60</v>
      </c>
      <c r="C84" s="117">
        <v>75.91</v>
      </c>
      <c r="D84" s="117">
        <v>50.77</v>
      </c>
      <c r="E84" s="117">
        <v>63.54</v>
      </c>
      <c r="F84" s="117">
        <v>61.14</v>
      </c>
      <c r="G84" s="117">
        <v>91.71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</row>
    <row r="85" spans="1:18" x14ac:dyDescent="0.2">
      <c r="A85" s="109"/>
      <c r="B85" s="116" t="s">
        <v>61</v>
      </c>
      <c r="C85" s="117">
        <v>58.9</v>
      </c>
      <c r="D85" s="117">
        <v>54.86</v>
      </c>
      <c r="E85" s="117">
        <v>66.010000000000005</v>
      </c>
      <c r="F85" s="117">
        <v>63.54</v>
      </c>
      <c r="G85" s="117">
        <v>95.31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</row>
    <row r="86" spans="1:18" x14ac:dyDescent="0.2">
      <c r="A86" s="109"/>
      <c r="B86" s="116" t="s">
        <v>50</v>
      </c>
      <c r="C86" s="117">
        <v>50.72</v>
      </c>
      <c r="D86" s="117">
        <v>50.72</v>
      </c>
      <c r="E86" s="117">
        <v>62.13</v>
      </c>
      <c r="F86" s="117">
        <v>66.010000000000005</v>
      </c>
      <c r="G86" s="117">
        <v>99.015000000000001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</row>
    <row r="87" spans="1:18" x14ac:dyDescent="0.2">
      <c r="A87" s="109"/>
      <c r="B87" s="116" t="s">
        <v>51</v>
      </c>
      <c r="C87" s="117">
        <v>61.79</v>
      </c>
      <c r="D87" s="117">
        <v>49.91</v>
      </c>
      <c r="E87" s="117">
        <v>66.69</v>
      </c>
      <c r="F87" s="117">
        <v>62.13</v>
      </c>
      <c r="G87" s="117">
        <v>93.194999999999993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</row>
    <row r="88" spans="1:18" x14ac:dyDescent="0.2">
      <c r="A88" s="109"/>
      <c r="B88" s="116" t="s">
        <v>52</v>
      </c>
      <c r="C88" s="117">
        <v>58.54</v>
      </c>
      <c r="D88" s="117">
        <v>49.27</v>
      </c>
      <c r="E88" s="117">
        <v>68.59</v>
      </c>
      <c r="F88" s="117">
        <v>66.69</v>
      </c>
      <c r="G88" s="117">
        <v>100.035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</row>
    <row r="89" spans="1:18" x14ac:dyDescent="0.2">
      <c r="A89" s="109"/>
      <c r="B89" s="116" t="s">
        <v>53</v>
      </c>
      <c r="C89" s="117">
        <v>59.79</v>
      </c>
      <c r="D89" s="117">
        <v>47.36</v>
      </c>
      <c r="E89" s="117">
        <v>64.739999999999995</v>
      </c>
      <c r="F89" s="117">
        <v>68.59</v>
      </c>
      <c r="G89" s="117">
        <v>102.88500000000001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</row>
    <row r="90" spans="1:18" x14ac:dyDescent="0.2">
      <c r="A90" s="109"/>
      <c r="B90" s="116" t="s">
        <v>54</v>
      </c>
      <c r="C90" s="117">
        <v>57.97</v>
      </c>
      <c r="D90" s="117">
        <v>50.14</v>
      </c>
      <c r="E90" s="117">
        <v>63.49</v>
      </c>
      <c r="F90" s="117">
        <v>64.739999999999995</v>
      </c>
      <c r="G90" s="117">
        <v>97.11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</row>
    <row r="91" spans="1:18" x14ac:dyDescent="0.2">
      <c r="A91" s="109"/>
      <c r="B91" s="116" t="s">
        <v>55</v>
      </c>
      <c r="C91" s="117">
        <v>58.12</v>
      </c>
      <c r="D91" s="117">
        <v>47.75</v>
      </c>
      <c r="E91" s="117">
        <v>63.03</v>
      </c>
      <c r="F91" s="117">
        <v>63.49</v>
      </c>
      <c r="G91" s="117">
        <v>95.234999999999999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</row>
    <row r="92" spans="1:18" x14ac:dyDescent="0.2">
      <c r="A92" s="109"/>
      <c r="B92" s="116" t="s">
        <v>56</v>
      </c>
      <c r="C92" s="117">
        <v>57.03</v>
      </c>
      <c r="D92" s="117">
        <v>44.96</v>
      </c>
      <c r="E92" s="117">
        <v>66.8</v>
      </c>
      <c r="F92" s="117">
        <v>63.03</v>
      </c>
      <c r="G92" s="117">
        <v>94.545000000000002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</row>
    <row r="93" spans="1:18" x14ac:dyDescent="0.2">
      <c r="A93" s="109"/>
      <c r="B93" s="116" t="s">
        <v>57</v>
      </c>
      <c r="C93" s="117">
        <v>58.75</v>
      </c>
      <c r="D93" s="117">
        <v>43.71</v>
      </c>
      <c r="E93" s="117">
        <v>60.93</v>
      </c>
      <c r="F93" s="117">
        <v>66.8</v>
      </c>
      <c r="G93" s="117">
        <v>100.2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</row>
    <row r="94" spans="1:18" x14ac:dyDescent="0.2">
      <c r="A94" s="109"/>
      <c r="B94" s="116" t="s">
        <v>58</v>
      </c>
      <c r="C94" s="117">
        <v>59.9</v>
      </c>
      <c r="D94" s="117">
        <v>43.89</v>
      </c>
      <c r="E94" s="117">
        <v>64.38</v>
      </c>
      <c r="F94" s="117">
        <v>60.93</v>
      </c>
      <c r="G94" s="117">
        <v>91.394999999999996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</row>
    <row r="95" spans="1:18" x14ac:dyDescent="0.2">
      <c r="A95" s="109"/>
      <c r="B95" s="116" t="s">
        <v>59</v>
      </c>
      <c r="C95" s="117">
        <v>91.16</v>
      </c>
      <c r="D95" s="117">
        <v>46.9</v>
      </c>
      <c r="E95" s="117">
        <v>72.63</v>
      </c>
      <c r="F95" s="117">
        <v>64.38</v>
      </c>
      <c r="G95" s="117">
        <v>96.57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</row>
    <row r="96" spans="1:18" x14ac:dyDescent="0.2">
      <c r="A96" s="121"/>
      <c r="B96" s="121"/>
      <c r="C96" s="122"/>
      <c r="D96" s="122"/>
      <c r="E96" s="122"/>
      <c r="F96" s="122"/>
      <c r="G96" s="122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</row>
    <row r="97" spans="1:18" x14ac:dyDescent="0.2">
      <c r="A97" s="109"/>
      <c r="B97" s="109"/>
      <c r="C97" s="120"/>
      <c r="D97" s="120"/>
      <c r="E97" s="120"/>
      <c r="F97" s="120"/>
      <c r="G97" s="120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</row>
    <row r="98" spans="1:18" x14ac:dyDescent="0.2">
      <c r="A98" s="109"/>
      <c r="B98" s="109"/>
      <c r="C98" s="120"/>
      <c r="D98" s="120"/>
      <c r="E98" s="120"/>
      <c r="F98" s="120"/>
      <c r="G98" s="120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</row>
    <row r="99" spans="1:18" x14ac:dyDescent="0.2">
      <c r="A99" s="410"/>
    </row>
    <row r="100" spans="1:18" x14ac:dyDescent="0.2">
      <c r="A100" s="124" t="s">
        <v>598</v>
      </c>
    </row>
    <row r="107" spans="1:18" x14ac:dyDescent="0.2">
      <c r="A107" s="125"/>
      <c r="C107" s="120"/>
      <c r="D107" s="120"/>
      <c r="E107" s="120"/>
      <c r="F107" s="120"/>
      <c r="G107" s="120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</row>
    <row r="108" spans="1:18" x14ac:dyDescent="0.2">
      <c r="A108" s="107"/>
      <c r="B108" s="107"/>
      <c r="C108" s="120"/>
      <c r="D108" s="120"/>
      <c r="E108" s="120"/>
      <c r="F108" s="120"/>
      <c r="G108" s="120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</row>
  </sheetData>
  <mergeCells count="3">
    <mergeCell ref="C3:G3"/>
    <mergeCell ref="A3:B4"/>
    <mergeCell ref="A1:G1"/>
  </mergeCells>
  <hyperlinks>
    <hyperlink ref="A100" location="'indice cap.1'!A1" display="regresar al índice" xr:uid="{00000000-0004-0000-2100-000000000000}"/>
  </hyperlinks>
  <pageMargins left="0.70866141732283472" right="0.70866141732283472" top="0" bottom="0" header="0.31496062992125984" footer="0.31496062992125984"/>
  <pageSetup paperSize="9" scale="67" orientation="portrait" verticalDpi="599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17"/>
  <sheetViews>
    <sheetView showGridLines="0" workbookViewId="0">
      <selection activeCell="A4" sqref="A4:B5"/>
    </sheetView>
  </sheetViews>
  <sheetFormatPr defaultColWidth="11.42578125" defaultRowHeight="12.75" x14ac:dyDescent="0.2"/>
  <cols>
    <col min="1" max="1" width="11.42578125" style="108"/>
    <col min="2" max="2" width="4.5703125" style="108" customWidth="1"/>
    <col min="3" max="6" width="15.7109375" style="108" customWidth="1"/>
    <col min="7" max="9" width="11.42578125" style="108"/>
    <col min="10" max="10" width="14.140625" style="108" customWidth="1"/>
    <col min="11" max="16384" width="11.42578125" style="108"/>
  </cols>
  <sheetData>
    <row r="1" spans="1:7" x14ac:dyDescent="0.2">
      <c r="A1" s="493" t="s">
        <v>696</v>
      </c>
      <c r="B1" s="494"/>
      <c r="C1" s="494"/>
      <c r="D1" s="494"/>
      <c r="E1" s="494"/>
      <c r="F1" s="494"/>
      <c r="G1" s="167"/>
    </row>
    <row r="2" spans="1:7" x14ac:dyDescent="0.2">
      <c r="A2" s="493" t="s">
        <v>476</v>
      </c>
      <c r="B2" s="494"/>
      <c r="C2" s="494"/>
      <c r="D2" s="494"/>
      <c r="E2" s="494"/>
      <c r="F2" s="494"/>
      <c r="G2" s="167"/>
    </row>
    <row r="3" spans="1:7" x14ac:dyDescent="0.2">
      <c r="C3" s="174"/>
      <c r="D3" s="174"/>
      <c r="E3" s="174"/>
      <c r="F3" s="174"/>
      <c r="G3" s="167"/>
    </row>
    <row r="4" spans="1:7" x14ac:dyDescent="0.2">
      <c r="A4" s="505" t="s">
        <v>87</v>
      </c>
      <c r="B4" s="633"/>
      <c r="C4" s="631" t="s">
        <v>487</v>
      </c>
      <c r="D4" s="631" t="s">
        <v>488</v>
      </c>
      <c r="E4" s="549" t="s">
        <v>486</v>
      </c>
      <c r="F4" s="561"/>
      <c r="G4" s="338"/>
    </row>
    <row r="5" spans="1:7" ht="36" customHeight="1" x14ac:dyDescent="0.2">
      <c r="A5" s="634"/>
      <c r="B5" s="633"/>
      <c r="C5" s="632"/>
      <c r="D5" s="632"/>
      <c r="E5" s="198" t="s">
        <v>46</v>
      </c>
      <c r="F5" s="131" t="s">
        <v>840</v>
      </c>
      <c r="G5" s="338"/>
    </row>
    <row r="6" spans="1:7" x14ac:dyDescent="0.2">
      <c r="C6" s="339"/>
      <c r="D6" s="339"/>
      <c r="E6" s="339"/>
      <c r="F6" s="340"/>
      <c r="G6" s="338"/>
    </row>
    <row r="7" spans="1:7" s="174" customFormat="1" x14ac:dyDescent="0.2">
      <c r="A7" s="179">
        <v>1948</v>
      </c>
      <c r="B7" s="179"/>
      <c r="C7" s="179" t="s">
        <v>489</v>
      </c>
      <c r="D7" s="179" t="s">
        <v>490</v>
      </c>
      <c r="E7" s="189"/>
      <c r="F7" s="189">
        <v>10</v>
      </c>
    </row>
    <row r="8" spans="1:7" s="174" customFormat="1" x14ac:dyDescent="0.2">
      <c r="A8" s="179">
        <v>1949</v>
      </c>
      <c r="B8" s="179"/>
      <c r="C8" s="179" t="s">
        <v>489</v>
      </c>
      <c r="D8" s="179" t="s">
        <v>490</v>
      </c>
      <c r="E8" s="189"/>
      <c r="F8" s="189">
        <v>10</v>
      </c>
    </row>
    <row r="9" spans="1:7" s="174" customFormat="1" x14ac:dyDescent="0.2">
      <c r="A9" s="179">
        <v>1950</v>
      </c>
      <c r="B9" s="179"/>
      <c r="C9" s="179" t="s">
        <v>489</v>
      </c>
      <c r="D9" s="179" t="s">
        <v>490</v>
      </c>
      <c r="E9" s="189"/>
      <c r="F9" s="189">
        <v>10</v>
      </c>
    </row>
    <row r="10" spans="1:7" s="174" customFormat="1" x14ac:dyDescent="0.2">
      <c r="A10" s="179">
        <v>1951</v>
      </c>
      <c r="B10" s="179"/>
      <c r="C10" s="179" t="s">
        <v>489</v>
      </c>
      <c r="D10" s="179" t="s">
        <v>490</v>
      </c>
      <c r="E10" s="189"/>
      <c r="F10" s="189">
        <v>10</v>
      </c>
    </row>
    <row r="11" spans="1:7" s="174" customFormat="1" x14ac:dyDescent="0.2">
      <c r="A11" s="179">
        <v>1952</v>
      </c>
      <c r="B11" s="179"/>
      <c r="C11" s="179" t="s">
        <v>491</v>
      </c>
      <c r="D11" s="179" t="s">
        <v>492</v>
      </c>
      <c r="E11" s="189"/>
      <c r="F11" s="189">
        <v>10</v>
      </c>
    </row>
    <row r="12" spans="1:7" s="174" customFormat="1" x14ac:dyDescent="0.2">
      <c r="A12" s="179">
        <v>1953</v>
      </c>
      <c r="B12" s="179"/>
      <c r="C12" s="179" t="s">
        <v>491</v>
      </c>
      <c r="D12" s="179" t="s">
        <v>492</v>
      </c>
      <c r="E12" s="189"/>
      <c r="F12" s="189">
        <v>10</v>
      </c>
    </row>
    <row r="13" spans="1:7" s="174" customFormat="1" x14ac:dyDescent="0.2">
      <c r="A13" s="179">
        <v>1954</v>
      </c>
      <c r="B13" s="179"/>
      <c r="C13" s="179" t="s">
        <v>491</v>
      </c>
      <c r="D13" s="179" t="s">
        <v>492</v>
      </c>
      <c r="E13" s="189"/>
      <c r="F13" s="189">
        <v>10</v>
      </c>
    </row>
    <row r="14" spans="1:7" s="174" customFormat="1" x14ac:dyDescent="0.2">
      <c r="A14" s="179">
        <v>1955</v>
      </c>
      <c r="B14" s="179"/>
      <c r="C14" s="179" t="s">
        <v>491</v>
      </c>
      <c r="D14" s="179" t="s">
        <v>492</v>
      </c>
      <c r="E14" s="189"/>
      <c r="F14" s="189">
        <v>10</v>
      </c>
    </row>
    <row r="15" spans="1:7" s="174" customFormat="1" x14ac:dyDescent="0.2">
      <c r="A15" s="179">
        <v>1956</v>
      </c>
      <c r="B15" s="179"/>
      <c r="C15" s="179" t="s">
        <v>493</v>
      </c>
      <c r="D15" s="179" t="s">
        <v>494</v>
      </c>
      <c r="E15" s="189"/>
      <c r="F15" s="189">
        <v>10</v>
      </c>
    </row>
    <row r="16" spans="1:7" s="174" customFormat="1" x14ac:dyDescent="0.2">
      <c r="A16" s="179">
        <v>1957</v>
      </c>
      <c r="B16" s="179"/>
      <c r="C16" s="179" t="s">
        <v>493</v>
      </c>
      <c r="D16" s="179" t="s">
        <v>494</v>
      </c>
      <c r="E16" s="189"/>
      <c r="F16" s="189">
        <v>10</v>
      </c>
    </row>
    <row r="17" spans="1:10" s="174" customFormat="1" x14ac:dyDescent="0.2">
      <c r="A17" s="179">
        <v>1958</v>
      </c>
      <c r="B17" s="179"/>
      <c r="C17" s="179" t="s">
        <v>493</v>
      </c>
      <c r="D17" s="179" t="s">
        <v>494</v>
      </c>
      <c r="E17" s="189"/>
      <c r="F17" s="189">
        <v>10</v>
      </c>
    </row>
    <row r="18" spans="1:10" s="174" customFormat="1" x14ac:dyDescent="0.2">
      <c r="A18" s="179">
        <v>1959</v>
      </c>
      <c r="B18" s="179"/>
      <c r="C18" s="179" t="s">
        <v>493</v>
      </c>
      <c r="D18" s="179" t="s">
        <v>494</v>
      </c>
      <c r="E18" s="189"/>
      <c r="F18" s="189">
        <v>10</v>
      </c>
    </row>
    <row r="19" spans="1:10" s="174" customFormat="1" x14ac:dyDescent="0.2">
      <c r="A19" s="179">
        <v>1960</v>
      </c>
      <c r="B19" s="179"/>
      <c r="C19" s="179" t="s">
        <v>493</v>
      </c>
      <c r="D19" s="179" t="s">
        <v>494</v>
      </c>
      <c r="E19" s="189"/>
      <c r="F19" s="189">
        <v>10</v>
      </c>
    </row>
    <row r="20" spans="1:10" s="174" customFormat="1" x14ac:dyDescent="0.2">
      <c r="A20" s="179">
        <v>1961</v>
      </c>
      <c r="B20" s="179"/>
      <c r="C20" s="179" t="s">
        <v>493</v>
      </c>
      <c r="D20" s="179" t="s">
        <v>494</v>
      </c>
      <c r="E20" s="189"/>
      <c r="F20" s="189">
        <v>10</v>
      </c>
    </row>
    <row r="21" spans="1:10" s="174" customFormat="1" x14ac:dyDescent="0.2">
      <c r="A21" s="179">
        <v>1962</v>
      </c>
      <c r="B21" s="179"/>
      <c r="C21" s="179" t="s">
        <v>493</v>
      </c>
      <c r="D21" s="179" t="s">
        <v>494</v>
      </c>
      <c r="E21" s="189"/>
      <c r="F21" s="189">
        <v>10</v>
      </c>
    </row>
    <row r="22" spans="1:10" s="174" customFormat="1" x14ac:dyDescent="0.2">
      <c r="A22" s="179">
        <v>1963</v>
      </c>
      <c r="B22" s="179"/>
      <c r="C22" s="179" t="s">
        <v>493</v>
      </c>
      <c r="D22" s="179" t="s">
        <v>494</v>
      </c>
      <c r="E22" s="189"/>
      <c r="F22" s="189">
        <v>10</v>
      </c>
    </row>
    <row r="23" spans="1:10" s="174" customFormat="1" x14ac:dyDescent="0.2">
      <c r="A23" s="179">
        <v>1964</v>
      </c>
      <c r="B23" s="179"/>
      <c r="C23" s="179" t="s">
        <v>493</v>
      </c>
      <c r="D23" s="179" t="s">
        <v>494</v>
      </c>
      <c r="E23" s="189"/>
      <c r="F23" s="189">
        <v>10</v>
      </c>
    </row>
    <row r="24" spans="1:10" s="174" customFormat="1" x14ac:dyDescent="0.2">
      <c r="A24" s="179">
        <v>1965</v>
      </c>
      <c r="B24" s="179"/>
      <c r="C24" s="179" t="s">
        <v>493</v>
      </c>
      <c r="D24" s="179" t="s">
        <v>494</v>
      </c>
      <c r="E24" s="189"/>
      <c r="F24" s="189">
        <v>10</v>
      </c>
    </row>
    <row r="25" spans="1:10" s="174" customFormat="1" x14ac:dyDescent="0.2">
      <c r="A25" s="179">
        <v>1966</v>
      </c>
      <c r="B25" s="179"/>
      <c r="C25" s="179" t="s">
        <v>493</v>
      </c>
      <c r="D25" s="179" t="s">
        <v>494</v>
      </c>
      <c r="E25" s="189"/>
      <c r="F25" s="189">
        <v>10</v>
      </c>
    </row>
    <row r="26" spans="1:10" s="174" customFormat="1" x14ac:dyDescent="0.2">
      <c r="A26" s="179">
        <v>1967</v>
      </c>
      <c r="B26" s="179"/>
      <c r="C26" s="179" t="s">
        <v>493</v>
      </c>
      <c r="D26" s="179" t="s">
        <v>494</v>
      </c>
      <c r="E26" s="189"/>
      <c r="F26" s="189">
        <v>10</v>
      </c>
    </row>
    <row r="27" spans="1:10" s="174" customFormat="1" x14ac:dyDescent="0.2">
      <c r="A27" s="179">
        <v>1968</v>
      </c>
      <c r="B27" s="179"/>
      <c r="C27" s="179" t="s">
        <v>493</v>
      </c>
      <c r="D27" s="179" t="s">
        <v>494</v>
      </c>
      <c r="E27" s="189"/>
      <c r="F27" s="189">
        <v>10</v>
      </c>
    </row>
    <row r="28" spans="1:10" s="174" customFormat="1" x14ac:dyDescent="0.2">
      <c r="A28" s="179">
        <v>1969</v>
      </c>
      <c r="B28" s="179"/>
      <c r="C28" s="179" t="s">
        <v>493</v>
      </c>
      <c r="D28" s="179" t="s">
        <v>494</v>
      </c>
      <c r="E28" s="189"/>
      <c r="F28" s="189">
        <v>10</v>
      </c>
    </row>
    <row r="29" spans="1:10" s="174" customFormat="1" x14ac:dyDescent="0.2">
      <c r="A29" s="179">
        <v>1970</v>
      </c>
      <c r="B29" s="179"/>
      <c r="C29" s="179" t="s">
        <v>495</v>
      </c>
      <c r="D29" s="179" t="s">
        <v>496</v>
      </c>
      <c r="E29" s="189"/>
      <c r="F29" s="189">
        <v>12</v>
      </c>
    </row>
    <row r="30" spans="1:10" s="174" customFormat="1" x14ac:dyDescent="0.2">
      <c r="A30" s="179">
        <v>1971</v>
      </c>
      <c r="B30" s="179"/>
      <c r="C30" s="179" t="s">
        <v>495</v>
      </c>
      <c r="D30" s="179" t="s">
        <v>496</v>
      </c>
      <c r="E30" s="189"/>
      <c r="F30" s="189">
        <v>12</v>
      </c>
    </row>
    <row r="31" spans="1:10" s="174" customFormat="1" x14ac:dyDescent="0.2">
      <c r="A31" s="179">
        <v>1972</v>
      </c>
      <c r="B31" s="179"/>
      <c r="C31" s="179" t="s">
        <v>495</v>
      </c>
      <c r="D31" s="179" t="s">
        <v>496</v>
      </c>
      <c r="E31" s="189"/>
      <c r="F31" s="189">
        <v>12</v>
      </c>
      <c r="I31" s="341"/>
      <c r="J31" s="341"/>
    </row>
    <row r="32" spans="1:10" s="174" customFormat="1" x14ac:dyDescent="0.2">
      <c r="A32" s="179">
        <v>1973</v>
      </c>
      <c r="B32" s="179"/>
      <c r="C32" s="179" t="s">
        <v>495</v>
      </c>
      <c r="D32" s="179" t="s">
        <v>496</v>
      </c>
      <c r="E32" s="189"/>
      <c r="F32" s="189">
        <v>12</v>
      </c>
      <c r="I32" s="341"/>
      <c r="J32" s="341"/>
    </row>
    <row r="33" spans="1:10" s="174" customFormat="1" x14ac:dyDescent="0.2">
      <c r="A33" s="179">
        <v>1974</v>
      </c>
      <c r="B33" s="179"/>
      <c r="C33" s="179" t="s">
        <v>495</v>
      </c>
      <c r="D33" s="179" t="s">
        <v>496</v>
      </c>
      <c r="E33" s="189"/>
      <c r="F33" s="189">
        <v>12</v>
      </c>
      <c r="I33" s="341"/>
      <c r="J33" s="341"/>
    </row>
    <row r="34" spans="1:10" s="174" customFormat="1" x14ac:dyDescent="0.2">
      <c r="A34" s="179">
        <v>1975</v>
      </c>
      <c r="B34" s="179"/>
      <c r="C34" s="179" t="s">
        <v>497</v>
      </c>
      <c r="D34" s="179" t="s">
        <v>498</v>
      </c>
      <c r="E34" s="189">
        <v>8</v>
      </c>
      <c r="F34" s="189">
        <v>12</v>
      </c>
      <c r="I34" s="341"/>
      <c r="J34" s="341"/>
    </row>
    <row r="35" spans="1:10" s="174" customFormat="1" x14ac:dyDescent="0.2">
      <c r="A35" s="179">
        <v>1976</v>
      </c>
      <c r="B35" s="179"/>
      <c r="C35" s="179" t="s">
        <v>497</v>
      </c>
      <c r="D35" s="179" t="s">
        <v>498</v>
      </c>
      <c r="E35" s="189">
        <v>8</v>
      </c>
      <c r="F35" s="189">
        <v>12</v>
      </c>
      <c r="I35" s="341"/>
      <c r="J35" s="341"/>
    </row>
    <row r="36" spans="1:10" s="174" customFormat="1" x14ac:dyDescent="0.2">
      <c r="A36" s="179">
        <v>1977</v>
      </c>
      <c r="B36" s="179"/>
      <c r="C36" s="179" t="s">
        <v>497</v>
      </c>
      <c r="D36" s="179" t="s">
        <v>498</v>
      </c>
      <c r="E36" s="189">
        <v>8</v>
      </c>
      <c r="F36" s="189">
        <v>12</v>
      </c>
      <c r="I36" s="341"/>
      <c r="J36" s="341"/>
    </row>
    <row r="37" spans="1:10" s="174" customFormat="1" x14ac:dyDescent="0.2">
      <c r="A37" s="179">
        <v>1978</v>
      </c>
      <c r="B37" s="179"/>
      <c r="C37" s="179" t="s">
        <v>497</v>
      </c>
      <c r="D37" s="179" t="s">
        <v>498</v>
      </c>
      <c r="E37" s="189">
        <v>8</v>
      </c>
      <c r="F37" s="189">
        <v>12</v>
      </c>
      <c r="I37" s="341"/>
      <c r="J37" s="341"/>
    </row>
    <row r="38" spans="1:10" s="174" customFormat="1" x14ac:dyDescent="0.2">
      <c r="A38" s="179">
        <v>1979</v>
      </c>
      <c r="B38" s="179"/>
      <c r="C38" s="179" t="s">
        <v>497</v>
      </c>
      <c r="D38" s="179" t="s">
        <v>498</v>
      </c>
      <c r="E38" s="189">
        <v>8</v>
      </c>
      <c r="F38" s="189">
        <v>12</v>
      </c>
      <c r="I38" s="341"/>
      <c r="J38" s="341"/>
    </row>
    <row r="39" spans="1:10" s="174" customFormat="1" x14ac:dyDescent="0.2">
      <c r="A39" s="179">
        <v>1980</v>
      </c>
      <c r="B39" s="179"/>
      <c r="C39" s="179" t="s">
        <v>497</v>
      </c>
      <c r="D39" s="179" t="s">
        <v>498</v>
      </c>
      <c r="E39" s="189">
        <v>8</v>
      </c>
      <c r="F39" s="189">
        <v>12</v>
      </c>
      <c r="I39" s="341"/>
      <c r="J39" s="341"/>
    </row>
    <row r="40" spans="1:10" s="174" customFormat="1" x14ac:dyDescent="0.2">
      <c r="A40" s="179">
        <v>1981</v>
      </c>
      <c r="B40" s="179"/>
      <c r="C40" s="179" t="s">
        <v>497</v>
      </c>
      <c r="D40" s="179" t="s">
        <v>498</v>
      </c>
      <c r="E40" s="189">
        <v>8</v>
      </c>
      <c r="F40" s="189">
        <v>12</v>
      </c>
      <c r="I40" s="341"/>
      <c r="J40" s="341"/>
    </row>
    <row r="41" spans="1:10" s="174" customFormat="1" x14ac:dyDescent="0.2">
      <c r="A41" s="179">
        <v>1982</v>
      </c>
      <c r="B41" s="179"/>
      <c r="C41" s="179" t="s">
        <v>499</v>
      </c>
      <c r="D41" s="179" t="s">
        <v>500</v>
      </c>
      <c r="E41" s="189">
        <v>15</v>
      </c>
      <c r="F41" s="189">
        <v>15</v>
      </c>
      <c r="I41" s="341"/>
      <c r="J41" s="341"/>
    </row>
    <row r="42" spans="1:10" s="174" customFormat="1" x14ac:dyDescent="0.2">
      <c r="A42" s="179">
        <v>1983</v>
      </c>
      <c r="B42" s="179"/>
      <c r="C42" s="179" t="s">
        <v>501</v>
      </c>
      <c r="D42" s="179" t="s">
        <v>502</v>
      </c>
      <c r="E42" s="189">
        <v>19</v>
      </c>
      <c r="F42" s="189">
        <v>19</v>
      </c>
      <c r="I42" s="341"/>
      <c r="J42" s="341"/>
    </row>
    <row r="43" spans="1:10" s="174" customFormat="1" x14ac:dyDescent="0.2">
      <c r="A43" s="179">
        <v>1984</v>
      </c>
      <c r="B43" s="179"/>
      <c r="C43" s="179" t="s">
        <v>503</v>
      </c>
      <c r="D43" s="179" t="s">
        <v>504</v>
      </c>
      <c r="E43" s="189">
        <v>23</v>
      </c>
      <c r="F43" s="189">
        <v>23</v>
      </c>
      <c r="I43" s="341"/>
      <c r="J43" s="341"/>
    </row>
    <row r="44" spans="1:10" s="174" customFormat="1" x14ac:dyDescent="0.2">
      <c r="A44" s="179">
        <v>1985</v>
      </c>
      <c r="B44" s="179"/>
      <c r="C44" s="179" t="s">
        <v>503</v>
      </c>
      <c r="D44" s="179" t="s">
        <v>504</v>
      </c>
      <c r="E44" s="189">
        <v>23</v>
      </c>
      <c r="F44" s="189">
        <v>23</v>
      </c>
      <c r="I44" s="341"/>
      <c r="J44" s="341"/>
    </row>
    <row r="45" spans="1:10" s="174" customFormat="1" x14ac:dyDescent="0.2">
      <c r="A45" s="179">
        <v>1986</v>
      </c>
      <c r="B45" s="179"/>
      <c r="C45" s="179" t="s">
        <v>505</v>
      </c>
      <c r="D45" s="179" t="s">
        <v>506</v>
      </c>
      <c r="E45" s="189">
        <v>23</v>
      </c>
      <c r="F45" s="189">
        <v>23</v>
      </c>
      <c r="I45" s="341"/>
      <c r="J45" s="341"/>
    </row>
    <row r="46" spans="1:10" s="174" customFormat="1" x14ac:dyDescent="0.2">
      <c r="A46" s="179">
        <v>1987</v>
      </c>
      <c r="B46" s="179"/>
      <c r="C46" s="179" t="s">
        <v>507</v>
      </c>
      <c r="D46" s="179" t="s">
        <v>508</v>
      </c>
      <c r="E46" s="189">
        <v>23</v>
      </c>
      <c r="F46" s="189">
        <v>28</v>
      </c>
      <c r="I46" s="341"/>
      <c r="J46" s="341"/>
    </row>
    <row r="47" spans="1:10" s="174" customFormat="1" x14ac:dyDescent="0.2">
      <c r="A47" s="179">
        <v>1988</v>
      </c>
      <c r="B47" s="179"/>
      <c r="C47" s="179" t="s">
        <v>507</v>
      </c>
      <c r="D47" s="179" t="s">
        <v>508</v>
      </c>
      <c r="E47" s="189">
        <v>23</v>
      </c>
      <c r="F47" s="189">
        <v>28</v>
      </c>
      <c r="I47" s="341"/>
      <c r="J47" s="341"/>
    </row>
    <row r="48" spans="1:10" s="174" customFormat="1" x14ac:dyDescent="0.2">
      <c r="A48" s="179">
        <v>1989</v>
      </c>
      <c r="B48" s="179"/>
      <c r="C48" s="179" t="s">
        <v>509</v>
      </c>
      <c r="D48" s="179" t="s">
        <v>510</v>
      </c>
      <c r="E48" s="189">
        <v>32</v>
      </c>
      <c r="F48" s="189">
        <v>36</v>
      </c>
      <c r="I48" s="341"/>
      <c r="J48" s="341"/>
    </row>
    <row r="49" spans="1:10" s="174" customFormat="1" x14ac:dyDescent="0.2">
      <c r="A49" s="179">
        <v>1990</v>
      </c>
      <c r="B49" s="179"/>
      <c r="C49" s="179" t="s">
        <v>511</v>
      </c>
      <c r="D49" s="179" t="s">
        <v>512</v>
      </c>
      <c r="E49" s="189">
        <v>35</v>
      </c>
      <c r="F49" s="189">
        <v>39</v>
      </c>
      <c r="I49" s="341"/>
      <c r="J49" s="341"/>
    </row>
    <row r="50" spans="1:10" s="174" customFormat="1" x14ac:dyDescent="0.2">
      <c r="A50" s="179">
        <v>1991</v>
      </c>
      <c r="B50" s="179"/>
      <c r="C50" s="179" t="s">
        <v>513</v>
      </c>
      <c r="D50" s="179" t="s">
        <v>514</v>
      </c>
      <c r="E50" s="189">
        <v>49</v>
      </c>
      <c r="F50" s="189">
        <v>49</v>
      </c>
      <c r="I50" s="341"/>
      <c r="J50" s="341"/>
    </row>
    <row r="51" spans="1:10" s="174" customFormat="1" x14ac:dyDescent="0.2">
      <c r="A51" s="179">
        <v>1992</v>
      </c>
      <c r="B51" s="179"/>
      <c r="C51" s="179" t="s">
        <v>513</v>
      </c>
      <c r="D51" s="179" t="s">
        <v>514</v>
      </c>
      <c r="E51" s="189">
        <v>49</v>
      </c>
      <c r="F51" s="189">
        <v>49</v>
      </c>
      <c r="I51" s="341"/>
      <c r="J51" s="341"/>
    </row>
    <row r="52" spans="1:10" s="174" customFormat="1" x14ac:dyDescent="0.2">
      <c r="A52" s="179">
        <v>1993</v>
      </c>
      <c r="B52" s="179"/>
      <c r="C52" s="179" t="s">
        <v>515</v>
      </c>
      <c r="D52" s="179" t="s">
        <v>516</v>
      </c>
      <c r="E52" s="179">
        <v>33.57</v>
      </c>
      <c r="F52" s="179">
        <v>50.36</v>
      </c>
      <c r="I52" s="341"/>
      <c r="J52" s="341"/>
    </row>
    <row r="53" spans="1:10" s="174" customFormat="1" x14ac:dyDescent="0.2">
      <c r="A53" s="179">
        <v>1994</v>
      </c>
      <c r="B53" s="179"/>
      <c r="C53" s="179" t="s">
        <v>515</v>
      </c>
      <c r="D53" s="179" t="s">
        <v>516</v>
      </c>
      <c r="E53" s="179">
        <v>44.88</v>
      </c>
      <c r="F53" s="179">
        <v>67.319999999999993</v>
      </c>
      <c r="I53" s="341"/>
      <c r="J53" s="341"/>
    </row>
    <row r="54" spans="1:10" s="174" customFormat="1" x14ac:dyDescent="0.2">
      <c r="A54" s="179">
        <v>1995</v>
      </c>
      <c r="B54" s="179"/>
      <c r="C54" s="179" t="s">
        <v>515</v>
      </c>
      <c r="D54" s="179" t="s">
        <v>516</v>
      </c>
      <c r="E54" s="179">
        <v>59.41</v>
      </c>
      <c r="F54" s="189">
        <v>89.12</v>
      </c>
      <c r="I54" s="341"/>
      <c r="J54" s="341"/>
    </row>
    <row r="55" spans="1:10" s="174" customFormat="1" x14ac:dyDescent="0.2">
      <c r="A55" s="179">
        <v>1996</v>
      </c>
      <c r="B55" s="179"/>
      <c r="C55" s="179" t="s">
        <v>515</v>
      </c>
      <c r="D55" s="179" t="s">
        <v>516</v>
      </c>
      <c r="E55" s="179">
        <v>46.38</v>
      </c>
      <c r="F55" s="189">
        <v>69.569999999999993</v>
      </c>
      <c r="I55" s="341"/>
      <c r="J55" s="341"/>
    </row>
    <row r="56" spans="1:10" s="174" customFormat="1" x14ac:dyDescent="0.2">
      <c r="A56" s="179">
        <v>1997</v>
      </c>
      <c r="B56" s="342" t="s">
        <v>120</v>
      </c>
      <c r="C56" s="179" t="s">
        <v>515</v>
      </c>
      <c r="D56" s="179" t="s">
        <v>516</v>
      </c>
      <c r="E56" s="179">
        <v>37.46</v>
      </c>
      <c r="F56" s="189">
        <v>56.19</v>
      </c>
      <c r="I56" s="341"/>
      <c r="J56" s="341"/>
    </row>
    <row r="57" spans="1:10" s="174" customFormat="1" x14ac:dyDescent="0.2">
      <c r="A57" s="179">
        <v>1998</v>
      </c>
      <c r="B57" s="342" t="s">
        <v>120</v>
      </c>
      <c r="C57" s="179" t="s">
        <v>515</v>
      </c>
      <c r="D57" s="179" t="s">
        <v>516</v>
      </c>
      <c r="E57" s="179">
        <v>61.84</v>
      </c>
      <c r="F57" s="189">
        <v>92.76</v>
      </c>
      <c r="I57" s="341"/>
      <c r="J57" s="341"/>
    </row>
    <row r="58" spans="1:10" s="174" customFormat="1" x14ac:dyDescent="0.2">
      <c r="A58" s="179">
        <v>1999</v>
      </c>
      <c r="B58" s="342" t="s">
        <v>120</v>
      </c>
      <c r="C58" s="179" t="s">
        <v>515</v>
      </c>
      <c r="D58" s="179" t="s">
        <v>516</v>
      </c>
      <c r="E58" s="179">
        <v>64.38</v>
      </c>
      <c r="F58" s="189">
        <v>96.57</v>
      </c>
      <c r="I58" s="341"/>
      <c r="J58" s="341"/>
    </row>
    <row r="59" spans="1:10" s="174" customFormat="1" x14ac:dyDescent="0.2">
      <c r="A59" s="343"/>
      <c r="B59" s="182"/>
      <c r="C59" s="182"/>
      <c r="D59" s="182"/>
      <c r="E59" s="182"/>
      <c r="F59" s="182"/>
      <c r="I59" s="341"/>
      <c r="J59" s="341"/>
    </row>
    <row r="60" spans="1:10" s="174" customFormat="1" x14ac:dyDescent="0.2">
      <c r="A60" s="341"/>
      <c r="I60" s="341"/>
      <c r="J60" s="341"/>
    </row>
    <row r="61" spans="1:10" s="174" customFormat="1" x14ac:dyDescent="0.2">
      <c r="A61" s="341"/>
      <c r="I61" s="341"/>
      <c r="J61" s="341"/>
    </row>
    <row r="62" spans="1:10" x14ac:dyDescent="0.2">
      <c r="A62" s="410"/>
    </row>
    <row r="63" spans="1:10" x14ac:dyDescent="0.2">
      <c r="A63" s="124" t="s">
        <v>598</v>
      </c>
    </row>
    <row r="67" spans="3:10" x14ac:dyDescent="0.2">
      <c r="C67" s="174"/>
      <c r="D67" s="174"/>
      <c r="E67" s="174"/>
      <c r="F67" s="174"/>
      <c r="I67" s="183"/>
      <c r="J67" s="183"/>
    </row>
    <row r="68" spans="3:10" x14ac:dyDescent="0.2">
      <c r="C68" s="174"/>
      <c r="D68" s="174"/>
      <c r="E68" s="174"/>
      <c r="F68" s="174"/>
      <c r="I68" s="183"/>
      <c r="J68" s="183"/>
    </row>
    <row r="69" spans="3:10" x14ac:dyDescent="0.2">
      <c r="C69" s="174"/>
      <c r="D69" s="174"/>
      <c r="E69" s="174"/>
      <c r="F69" s="174"/>
      <c r="I69" s="183"/>
      <c r="J69" s="183"/>
    </row>
    <row r="70" spans="3:10" x14ac:dyDescent="0.2">
      <c r="C70" s="174"/>
      <c r="D70" s="174"/>
      <c r="E70" s="174"/>
      <c r="F70" s="174"/>
      <c r="I70" s="183"/>
      <c r="J70" s="183"/>
    </row>
    <row r="71" spans="3:10" x14ac:dyDescent="0.2">
      <c r="I71" s="183"/>
      <c r="J71" s="183"/>
    </row>
    <row r="72" spans="3:10" x14ac:dyDescent="0.2">
      <c r="I72" s="183"/>
      <c r="J72" s="183"/>
    </row>
    <row r="73" spans="3:10" x14ac:dyDescent="0.2">
      <c r="C73" s="174"/>
      <c r="D73" s="174"/>
      <c r="E73" s="174"/>
      <c r="F73" s="174"/>
      <c r="I73" s="183"/>
      <c r="J73" s="183"/>
    </row>
    <row r="74" spans="3:10" x14ac:dyDescent="0.2">
      <c r="C74" s="174"/>
      <c r="D74" s="174"/>
      <c r="E74" s="174"/>
      <c r="F74" s="174"/>
      <c r="I74" s="183"/>
      <c r="J74" s="183"/>
    </row>
    <row r="75" spans="3:10" x14ac:dyDescent="0.2">
      <c r="C75" s="174"/>
      <c r="D75" s="174"/>
      <c r="E75" s="174"/>
      <c r="F75" s="174"/>
      <c r="I75" s="183"/>
      <c r="J75" s="183"/>
    </row>
    <row r="76" spans="3:10" x14ac:dyDescent="0.2">
      <c r="C76" s="174"/>
      <c r="D76" s="174"/>
      <c r="E76" s="174"/>
      <c r="F76" s="174"/>
      <c r="I76" s="183"/>
      <c r="J76" s="183"/>
    </row>
    <row r="77" spans="3:10" x14ac:dyDescent="0.2">
      <c r="C77" s="174"/>
      <c r="D77" s="174"/>
      <c r="E77" s="174"/>
      <c r="F77" s="174"/>
      <c r="I77" s="183"/>
      <c r="J77" s="183"/>
    </row>
    <row r="78" spans="3:10" x14ac:dyDescent="0.2">
      <c r="C78" s="174"/>
      <c r="D78" s="174"/>
      <c r="E78" s="174"/>
      <c r="F78" s="174"/>
      <c r="I78" s="183"/>
      <c r="J78" s="183"/>
    </row>
    <row r="79" spans="3:10" x14ac:dyDescent="0.2">
      <c r="C79" s="174"/>
      <c r="D79" s="174"/>
      <c r="E79" s="174"/>
      <c r="F79" s="174"/>
      <c r="I79" s="183"/>
      <c r="J79" s="183"/>
    </row>
    <row r="80" spans="3:10" x14ac:dyDescent="0.2">
      <c r="I80" s="183"/>
      <c r="J80" s="183"/>
    </row>
    <row r="81" spans="9:10" x14ac:dyDescent="0.2">
      <c r="I81" s="183"/>
      <c r="J81" s="183"/>
    </row>
    <row r="82" spans="9:10" x14ac:dyDescent="0.2">
      <c r="I82" s="183"/>
      <c r="J82" s="183"/>
    </row>
    <row r="83" spans="9:10" x14ac:dyDescent="0.2">
      <c r="I83" s="183"/>
      <c r="J83" s="183"/>
    </row>
    <row r="84" spans="9:10" x14ac:dyDescent="0.2">
      <c r="I84" s="183"/>
      <c r="J84" s="183"/>
    </row>
    <row r="85" spans="9:10" x14ac:dyDescent="0.2">
      <c r="I85" s="183"/>
      <c r="J85" s="183"/>
    </row>
    <row r="86" spans="9:10" x14ac:dyDescent="0.2">
      <c r="I86" s="183"/>
      <c r="J86" s="183"/>
    </row>
    <row r="87" spans="9:10" x14ac:dyDescent="0.2">
      <c r="I87" s="183"/>
      <c r="J87" s="183"/>
    </row>
    <row r="88" spans="9:10" x14ac:dyDescent="0.2">
      <c r="I88" s="183"/>
      <c r="J88" s="183"/>
    </row>
    <row r="89" spans="9:10" x14ac:dyDescent="0.2">
      <c r="I89" s="183"/>
      <c r="J89" s="183"/>
    </row>
    <row r="90" spans="9:10" x14ac:dyDescent="0.2">
      <c r="I90" s="183"/>
      <c r="J90" s="183"/>
    </row>
    <row r="91" spans="9:10" x14ac:dyDescent="0.2">
      <c r="I91" s="183"/>
      <c r="J91" s="183"/>
    </row>
    <row r="92" spans="9:10" x14ac:dyDescent="0.2">
      <c r="I92" s="183"/>
      <c r="J92" s="183"/>
    </row>
    <row r="93" spans="9:10" x14ac:dyDescent="0.2">
      <c r="I93" s="183"/>
      <c r="J93" s="183"/>
    </row>
    <row r="94" spans="9:10" x14ac:dyDescent="0.2">
      <c r="I94" s="183"/>
      <c r="J94" s="183"/>
    </row>
    <row r="95" spans="9:10" x14ac:dyDescent="0.2">
      <c r="I95" s="183"/>
      <c r="J95" s="183"/>
    </row>
    <row r="96" spans="9:10" x14ac:dyDescent="0.2">
      <c r="I96" s="183"/>
      <c r="J96" s="183"/>
    </row>
    <row r="97" spans="9:10" x14ac:dyDescent="0.2">
      <c r="I97" s="183"/>
      <c r="J97" s="183"/>
    </row>
    <row r="98" spans="9:10" x14ac:dyDescent="0.2">
      <c r="I98" s="183"/>
      <c r="J98" s="183"/>
    </row>
    <row r="99" spans="9:10" x14ac:dyDescent="0.2">
      <c r="I99" s="183"/>
      <c r="J99" s="183"/>
    </row>
    <row r="100" spans="9:10" x14ac:dyDescent="0.2">
      <c r="I100" s="183"/>
      <c r="J100" s="183"/>
    </row>
    <row r="101" spans="9:10" x14ac:dyDescent="0.2">
      <c r="I101" s="183"/>
      <c r="J101" s="183"/>
    </row>
    <row r="102" spans="9:10" x14ac:dyDescent="0.2">
      <c r="I102" s="183"/>
      <c r="J102" s="183"/>
    </row>
    <row r="103" spans="9:10" x14ac:dyDescent="0.2">
      <c r="I103" s="183"/>
      <c r="J103" s="183"/>
    </row>
    <row r="104" spans="9:10" x14ac:dyDescent="0.2">
      <c r="I104" s="183"/>
      <c r="J104" s="183"/>
    </row>
    <row r="105" spans="9:10" x14ac:dyDescent="0.2">
      <c r="I105" s="183"/>
      <c r="J105" s="183"/>
    </row>
    <row r="106" spans="9:10" x14ac:dyDescent="0.2">
      <c r="I106" s="183"/>
      <c r="J106" s="183"/>
    </row>
    <row r="107" spans="9:10" x14ac:dyDescent="0.2">
      <c r="I107" s="183"/>
      <c r="J107" s="183"/>
    </row>
    <row r="108" spans="9:10" x14ac:dyDescent="0.2">
      <c r="I108" s="183"/>
      <c r="J108" s="183"/>
    </row>
    <row r="109" spans="9:10" x14ac:dyDescent="0.2">
      <c r="I109" s="183"/>
      <c r="J109" s="183"/>
    </row>
    <row r="110" spans="9:10" x14ac:dyDescent="0.2">
      <c r="I110" s="183"/>
      <c r="J110" s="183"/>
    </row>
    <row r="111" spans="9:10" x14ac:dyDescent="0.2">
      <c r="I111" s="183"/>
      <c r="J111" s="183"/>
    </row>
    <row r="112" spans="9:10" x14ac:dyDescent="0.2">
      <c r="I112" s="183"/>
      <c r="J112" s="183"/>
    </row>
    <row r="113" spans="9:10" x14ac:dyDescent="0.2">
      <c r="I113" s="183"/>
      <c r="J113" s="183"/>
    </row>
    <row r="114" spans="9:10" x14ac:dyDescent="0.2">
      <c r="I114" s="183"/>
      <c r="J114" s="183"/>
    </row>
    <row r="115" spans="9:10" x14ac:dyDescent="0.2">
      <c r="I115" s="183"/>
      <c r="J115" s="183"/>
    </row>
    <row r="116" spans="9:10" x14ac:dyDescent="0.2">
      <c r="I116" s="183"/>
      <c r="J116" s="183"/>
    </row>
    <row r="117" spans="9:10" x14ac:dyDescent="0.2">
      <c r="I117" s="183"/>
      <c r="J117" s="183"/>
    </row>
  </sheetData>
  <mergeCells count="6">
    <mergeCell ref="E4:F4"/>
    <mergeCell ref="D4:D5"/>
    <mergeCell ref="C4:C5"/>
    <mergeCell ref="A4:B5"/>
    <mergeCell ref="A1:F1"/>
    <mergeCell ref="A2:F2"/>
  </mergeCells>
  <hyperlinks>
    <hyperlink ref="A63" location="'indice cap.1'!A1" display="regresar al índice" xr:uid="{00000000-0004-0000-2200-000000000000}"/>
  </hyperlinks>
  <pageMargins left="0.70866141732283472" right="0.70866141732283472" top="0" bottom="0" header="0.31496062992125984" footer="0.31496062992125984"/>
  <pageSetup paperSize="9" scale="85" orientation="portrait" verticalDpi="599" r:id="rId1"/>
  <ignoredErrors>
    <ignoredError sqref="D7:D58" twoDigitTextYear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66"/>
  <sheetViews>
    <sheetView showGridLines="0" workbookViewId="0">
      <selection activeCell="A4" sqref="A4:A5"/>
    </sheetView>
  </sheetViews>
  <sheetFormatPr defaultColWidth="11.42578125" defaultRowHeight="12.75" x14ac:dyDescent="0.2"/>
  <cols>
    <col min="1" max="1" width="15.85546875" style="303" customWidth="1"/>
    <col min="2" max="2" width="12.7109375" style="303" customWidth="1"/>
    <col min="3" max="3" width="5.140625" style="303" customWidth="1"/>
    <col min="4" max="4" width="7.7109375" style="303" customWidth="1"/>
    <col min="5" max="5" width="13" style="303" customWidth="1"/>
    <col min="6" max="6" width="1.7109375" style="303" customWidth="1"/>
    <col min="7" max="7" width="15.5703125" style="334" customWidth="1"/>
    <col min="8" max="8" width="7.7109375" style="303" customWidth="1"/>
    <col min="9" max="9" width="14.42578125" style="303" customWidth="1"/>
    <col min="10" max="10" width="4.5703125" style="303" customWidth="1"/>
    <col min="11" max="11" width="13.140625" style="334" customWidth="1"/>
    <col min="12" max="12" width="7.7109375" style="303" customWidth="1"/>
    <col min="13" max="13" width="1.7109375" style="303" customWidth="1"/>
    <col min="14" max="14" width="15.7109375" style="303" customWidth="1"/>
    <col min="15" max="15" width="7.7109375" style="303" customWidth="1"/>
    <col min="16" max="16" width="1.7109375" style="303" customWidth="1"/>
    <col min="17" max="17" width="15.7109375" style="303" customWidth="1"/>
    <col min="18" max="18" width="7.7109375" style="303" customWidth="1"/>
    <col min="19" max="19" width="11.42578125" style="336"/>
    <col min="20" max="16384" width="11.42578125" style="303"/>
  </cols>
  <sheetData>
    <row r="1" spans="1:19" x14ac:dyDescent="0.2">
      <c r="A1" s="493" t="s">
        <v>695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</row>
    <row r="2" spans="1:19" x14ac:dyDescent="0.2">
      <c r="A2" s="493" t="s">
        <v>476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</row>
    <row r="3" spans="1:19" x14ac:dyDescent="0.2">
      <c r="A3" s="333"/>
      <c r="B3" s="333"/>
      <c r="C3" s="333"/>
      <c r="D3" s="333"/>
      <c r="E3" s="333"/>
      <c r="F3" s="333"/>
      <c r="H3" s="333"/>
      <c r="I3" s="333"/>
      <c r="J3" s="333"/>
      <c r="L3" s="333"/>
      <c r="M3" s="333"/>
      <c r="N3" s="333"/>
      <c r="O3" s="333"/>
      <c r="P3" s="333"/>
      <c r="Q3" s="333"/>
      <c r="R3" s="333"/>
    </row>
    <row r="4" spans="1:19" s="365" customFormat="1" ht="45.75" customHeight="1" x14ac:dyDescent="0.2">
      <c r="A4" s="635" t="s">
        <v>522</v>
      </c>
      <c r="B4" s="637" t="s">
        <v>45</v>
      </c>
      <c r="C4" s="638"/>
      <c r="D4" s="643" t="s">
        <v>517</v>
      </c>
      <c r="E4" s="644"/>
      <c r="F4" s="344"/>
      <c r="G4" s="640" t="s">
        <v>518</v>
      </c>
      <c r="H4" s="641"/>
      <c r="I4" s="641"/>
      <c r="J4" s="641"/>
      <c r="K4" s="641"/>
      <c r="L4" s="642"/>
      <c r="M4" s="345"/>
      <c r="N4" s="645" t="s">
        <v>519</v>
      </c>
      <c r="O4" s="645"/>
      <c r="P4" s="346"/>
      <c r="Q4" s="645" t="s">
        <v>520</v>
      </c>
      <c r="R4" s="643"/>
      <c r="S4" s="388"/>
    </row>
    <row r="5" spans="1:19" ht="25.5" x14ac:dyDescent="0.2">
      <c r="A5" s="636"/>
      <c r="B5" s="639"/>
      <c r="C5" s="638"/>
      <c r="D5" s="403" t="s">
        <v>811</v>
      </c>
      <c r="E5" s="404" t="s">
        <v>841</v>
      </c>
      <c r="F5" s="347"/>
      <c r="G5" s="635" t="s">
        <v>843</v>
      </c>
      <c r="H5" s="635"/>
      <c r="I5" s="635" t="s">
        <v>842</v>
      </c>
      <c r="J5" s="635"/>
      <c r="K5" s="635" t="s">
        <v>847</v>
      </c>
      <c r="L5" s="636"/>
      <c r="M5" s="345"/>
      <c r="N5" s="646" t="s">
        <v>826</v>
      </c>
      <c r="O5" s="563"/>
      <c r="P5" s="348"/>
      <c r="Q5" s="646" t="s">
        <v>844</v>
      </c>
      <c r="R5" s="647"/>
    </row>
    <row r="6" spans="1:19" x14ac:dyDescent="0.2">
      <c r="C6" s="334"/>
      <c r="D6" s="304"/>
      <c r="E6" s="304"/>
      <c r="G6" s="389"/>
      <c r="H6" s="349"/>
      <c r="I6" s="349"/>
      <c r="J6" s="349"/>
      <c r="K6" s="389"/>
      <c r="L6" s="349"/>
      <c r="M6" s="304"/>
      <c r="N6" s="349"/>
      <c r="O6" s="349"/>
      <c r="P6" s="304"/>
      <c r="Q6" s="349"/>
      <c r="R6" s="349"/>
    </row>
    <row r="7" spans="1:19" s="334" customFormat="1" x14ac:dyDescent="0.2">
      <c r="A7" s="335" t="s">
        <v>523</v>
      </c>
      <c r="B7" s="350">
        <v>17666</v>
      </c>
      <c r="C7" s="335"/>
      <c r="D7" s="335"/>
      <c r="E7" s="335"/>
      <c r="G7" s="335" t="s">
        <v>524</v>
      </c>
      <c r="H7" s="335">
        <v>2</v>
      </c>
      <c r="I7" s="335"/>
      <c r="J7" s="335"/>
      <c r="K7" s="335"/>
      <c r="L7" s="335"/>
      <c r="N7" s="335"/>
      <c r="O7" s="335"/>
      <c r="Q7" s="335"/>
      <c r="R7" s="335"/>
      <c r="S7" s="337"/>
    </row>
    <row r="8" spans="1:19" s="334" customFormat="1" x14ac:dyDescent="0.2">
      <c r="A8" s="335"/>
      <c r="B8" s="335"/>
      <c r="C8" s="335"/>
      <c r="D8" s="335"/>
      <c r="E8" s="335"/>
      <c r="G8" s="335" t="s">
        <v>525</v>
      </c>
      <c r="H8" s="335">
        <v>4</v>
      </c>
      <c r="I8" s="335"/>
      <c r="J8" s="335"/>
      <c r="K8" s="335"/>
      <c r="L8" s="335"/>
      <c r="N8" s="335"/>
      <c r="O8" s="335"/>
      <c r="Q8" s="335"/>
      <c r="R8" s="335"/>
      <c r="S8" s="337"/>
    </row>
    <row r="9" spans="1:19" s="334" customFormat="1" x14ac:dyDescent="0.2">
      <c r="A9" s="335"/>
      <c r="B9" s="335"/>
      <c r="C9" s="335"/>
      <c r="D9" s="335"/>
      <c r="E9" s="335"/>
      <c r="G9" s="335" t="s">
        <v>526</v>
      </c>
      <c r="H9" s="335">
        <v>6</v>
      </c>
      <c r="I9" s="335"/>
      <c r="J9" s="335"/>
      <c r="K9" s="335"/>
      <c r="L9" s="335"/>
      <c r="N9" s="335"/>
      <c r="O9" s="335"/>
      <c r="Q9" s="335"/>
      <c r="R9" s="335"/>
      <c r="S9" s="337"/>
    </row>
    <row r="10" spans="1:19" s="334" customFormat="1" x14ac:dyDescent="0.2">
      <c r="A10" s="335"/>
      <c r="B10" s="335"/>
      <c r="C10" s="335"/>
      <c r="D10" s="335"/>
      <c r="E10" s="335"/>
      <c r="G10" s="335"/>
      <c r="H10" s="335"/>
      <c r="I10" s="335"/>
      <c r="J10" s="335"/>
      <c r="K10" s="335"/>
      <c r="L10" s="335"/>
      <c r="N10" s="335"/>
      <c r="O10" s="335"/>
      <c r="Q10" s="335"/>
      <c r="R10" s="335"/>
      <c r="S10" s="337"/>
    </row>
    <row r="11" spans="1:19" s="334" customFormat="1" x14ac:dyDescent="0.2">
      <c r="A11" s="335" t="s">
        <v>527</v>
      </c>
      <c r="B11" s="335" t="s">
        <v>528</v>
      </c>
      <c r="C11" s="335"/>
      <c r="D11" s="351">
        <v>4</v>
      </c>
      <c r="E11" s="351">
        <v>4</v>
      </c>
      <c r="G11" s="335" t="s">
        <v>524</v>
      </c>
      <c r="H11" s="335">
        <v>4</v>
      </c>
      <c r="I11" s="335"/>
      <c r="J11" s="335"/>
      <c r="K11" s="335"/>
      <c r="L11" s="335"/>
      <c r="N11" s="335"/>
      <c r="O11" s="335"/>
      <c r="Q11" s="335"/>
      <c r="R11" s="335"/>
      <c r="S11" s="337"/>
    </row>
    <row r="12" spans="1:19" s="334" customFormat="1" x14ac:dyDescent="0.2">
      <c r="A12" s="335"/>
      <c r="B12" s="335"/>
      <c r="C12" s="335"/>
      <c r="D12" s="352"/>
      <c r="E12" s="352"/>
      <c r="G12" s="335" t="s">
        <v>525</v>
      </c>
      <c r="H12" s="335">
        <v>5</v>
      </c>
      <c r="I12" s="335"/>
      <c r="J12" s="335"/>
      <c r="K12" s="335"/>
      <c r="L12" s="335"/>
      <c r="N12" s="335"/>
      <c r="O12" s="335"/>
      <c r="Q12" s="335"/>
      <c r="R12" s="335"/>
      <c r="S12" s="337"/>
    </row>
    <row r="13" spans="1:19" s="334" customFormat="1" x14ac:dyDescent="0.2">
      <c r="A13" s="335"/>
      <c r="B13" s="335"/>
      <c r="C13" s="335"/>
      <c r="D13" s="352"/>
      <c r="E13" s="352"/>
      <c r="G13" s="335" t="s">
        <v>526</v>
      </c>
      <c r="H13" s="335">
        <v>6</v>
      </c>
      <c r="I13" s="335"/>
      <c r="J13" s="335"/>
      <c r="K13" s="335"/>
      <c r="L13" s="335"/>
      <c r="N13" s="335"/>
      <c r="O13" s="335"/>
      <c r="Q13" s="335"/>
      <c r="R13" s="335"/>
      <c r="S13" s="337"/>
    </row>
    <row r="14" spans="1:19" s="334" customFormat="1" x14ac:dyDescent="0.2">
      <c r="A14" s="335"/>
      <c r="B14" s="335"/>
      <c r="C14" s="335"/>
      <c r="D14" s="352"/>
      <c r="E14" s="352"/>
      <c r="G14" s="335"/>
      <c r="H14" s="352"/>
      <c r="I14" s="335"/>
      <c r="J14" s="335"/>
      <c r="K14" s="335"/>
      <c r="L14" s="335"/>
      <c r="N14" s="335"/>
      <c r="O14" s="335"/>
      <c r="Q14" s="335"/>
      <c r="R14" s="335"/>
      <c r="S14" s="337"/>
    </row>
    <row r="15" spans="1:19" s="334" customFormat="1" x14ac:dyDescent="0.2">
      <c r="A15" s="335" t="s">
        <v>529</v>
      </c>
      <c r="B15" s="335" t="s">
        <v>530</v>
      </c>
      <c r="C15" s="335"/>
      <c r="D15" s="351">
        <v>4</v>
      </c>
      <c r="E15" s="351">
        <v>5</v>
      </c>
      <c r="G15" s="335" t="s">
        <v>531</v>
      </c>
      <c r="H15" s="335">
        <v>5</v>
      </c>
      <c r="I15" s="335" t="s">
        <v>532</v>
      </c>
      <c r="J15" s="335">
        <v>2</v>
      </c>
      <c r="K15" s="335" t="s">
        <v>531</v>
      </c>
      <c r="L15" s="335">
        <v>5</v>
      </c>
      <c r="N15" s="335"/>
      <c r="O15" s="335"/>
      <c r="Q15" s="335"/>
      <c r="R15" s="335"/>
      <c r="S15" s="337"/>
    </row>
    <row r="16" spans="1:19" s="334" customFormat="1" x14ac:dyDescent="0.2">
      <c r="A16" s="335"/>
      <c r="B16" s="335"/>
      <c r="C16" s="335"/>
      <c r="D16" s="352"/>
      <c r="E16" s="352"/>
      <c r="G16" s="335" t="s">
        <v>533</v>
      </c>
      <c r="H16" s="335">
        <v>6</v>
      </c>
      <c r="I16" s="335" t="s">
        <v>534</v>
      </c>
      <c r="J16" s="335">
        <v>4</v>
      </c>
      <c r="K16" s="335" t="s">
        <v>535</v>
      </c>
      <c r="L16" s="335">
        <v>6</v>
      </c>
      <c r="N16" s="335"/>
      <c r="O16" s="335"/>
      <c r="Q16" s="335"/>
      <c r="R16" s="335"/>
      <c r="S16" s="337"/>
    </row>
    <row r="17" spans="1:19" s="334" customFormat="1" x14ac:dyDescent="0.2">
      <c r="A17" s="335"/>
      <c r="B17" s="335"/>
      <c r="C17" s="335"/>
      <c r="D17" s="352"/>
      <c r="E17" s="352"/>
      <c r="G17" s="335"/>
      <c r="H17" s="335"/>
      <c r="I17" s="335" t="s">
        <v>533</v>
      </c>
      <c r="J17" s="335">
        <v>6</v>
      </c>
      <c r="K17" s="335"/>
      <c r="L17" s="335"/>
      <c r="N17" s="335"/>
      <c r="O17" s="335"/>
      <c r="Q17" s="335"/>
      <c r="R17" s="335"/>
      <c r="S17" s="337"/>
    </row>
    <row r="18" spans="1:19" s="334" customFormat="1" x14ac:dyDescent="0.2">
      <c r="A18" s="335"/>
      <c r="B18" s="335"/>
      <c r="C18" s="335"/>
      <c r="D18" s="352"/>
      <c r="E18" s="352"/>
      <c r="G18" s="335"/>
      <c r="H18" s="335"/>
      <c r="I18" s="335"/>
      <c r="J18" s="335"/>
      <c r="K18" s="335"/>
      <c r="L18" s="335"/>
      <c r="N18" s="335"/>
      <c r="O18" s="335"/>
      <c r="Q18" s="335"/>
      <c r="R18" s="335"/>
      <c r="S18" s="337"/>
    </row>
    <row r="19" spans="1:19" s="334" customFormat="1" x14ac:dyDescent="0.2">
      <c r="A19" s="335" t="s">
        <v>536</v>
      </c>
      <c r="B19" s="335" t="s">
        <v>537</v>
      </c>
      <c r="C19" s="353"/>
      <c r="D19" s="351">
        <v>6</v>
      </c>
      <c r="E19" s="351">
        <v>7</v>
      </c>
      <c r="G19" s="335" t="s">
        <v>531</v>
      </c>
      <c r="H19" s="335">
        <v>7</v>
      </c>
      <c r="I19" s="335" t="s">
        <v>532</v>
      </c>
      <c r="J19" s="335">
        <v>5</v>
      </c>
      <c r="K19" s="335" t="s">
        <v>538</v>
      </c>
      <c r="L19" s="335">
        <v>8</v>
      </c>
      <c r="N19" s="335"/>
      <c r="O19" s="335"/>
      <c r="Q19" s="335"/>
      <c r="R19" s="335"/>
      <c r="S19" s="337"/>
    </row>
    <row r="20" spans="1:19" s="334" customFormat="1" x14ac:dyDescent="0.2">
      <c r="A20" s="335"/>
      <c r="B20" s="335"/>
      <c r="C20" s="335"/>
      <c r="D20" s="352"/>
      <c r="E20" s="352"/>
      <c r="G20" s="335" t="s">
        <v>526</v>
      </c>
      <c r="H20" s="335">
        <v>8</v>
      </c>
      <c r="I20" s="335" t="s">
        <v>534</v>
      </c>
      <c r="J20" s="335">
        <v>7</v>
      </c>
      <c r="K20" s="335" t="s">
        <v>539</v>
      </c>
      <c r="L20" s="335">
        <v>9</v>
      </c>
      <c r="N20" s="335"/>
      <c r="O20" s="335"/>
      <c r="Q20" s="335"/>
      <c r="R20" s="335"/>
      <c r="S20" s="337"/>
    </row>
    <row r="21" spans="1:19" s="334" customFormat="1" x14ac:dyDescent="0.2">
      <c r="A21" s="335"/>
      <c r="B21" s="335"/>
      <c r="C21" s="335"/>
      <c r="D21" s="352"/>
      <c r="E21" s="352"/>
      <c r="G21" s="335" t="s">
        <v>540</v>
      </c>
      <c r="H21" s="335">
        <v>9</v>
      </c>
      <c r="I21" s="335" t="s">
        <v>539</v>
      </c>
      <c r="J21" s="335">
        <v>8</v>
      </c>
      <c r="K21" s="335" t="s">
        <v>540</v>
      </c>
      <c r="L21" s="335">
        <v>10</v>
      </c>
      <c r="N21" s="335"/>
      <c r="O21" s="335"/>
      <c r="Q21" s="335"/>
      <c r="R21" s="335"/>
      <c r="S21" s="337"/>
    </row>
    <row r="22" spans="1:19" s="334" customFormat="1" x14ac:dyDescent="0.2">
      <c r="A22" s="335"/>
      <c r="B22" s="335"/>
      <c r="C22" s="335"/>
      <c r="D22" s="352"/>
      <c r="E22" s="352"/>
      <c r="G22" s="335"/>
      <c r="H22" s="335"/>
      <c r="I22" s="335" t="s">
        <v>540</v>
      </c>
      <c r="J22" s="335">
        <v>9</v>
      </c>
      <c r="K22" s="335"/>
      <c r="L22" s="335"/>
      <c r="N22" s="335"/>
      <c r="O22" s="335"/>
      <c r="Q22" s="335"/>
      <c r="R22" s="335"/>
      <c r="S22" s="337"/>
    </row>
    <row r="23" spans="1:19" s="334" customFormat="1" x14ac:dyDescent="0.2">
      <c r="A23" s="335"/>
      <c r="B23" s="335"/>
      <c r="C23" s="335"/>
      <c r="D23" s="352"/>
      <c r="E23" s="352"/>
      <c r="G23" s="335"/>
      <c r="H23" s="335"/>
      <c r="I23" s="335"/>
      <c r="J23" s="335"/>
      <c r="K23" s="335"/>
      <c r="L23" s="335"/>
      <c r="N23" s="335"/>
      <c r="O23" s="335"/>
      <c r="Q23" s="335"/>
      <c r="R23" s="335"/>
      <c r="S23" s="337"/>
    </row>
    <row r="24" spans="1:19" s="334" customFormat="1" x14ac:dyDescent="0.2">
      <c r="A24" s="335" t="s">
        <v>541</v>
      </c>
      <c r="B24" s="335" t="s">
        <v>542</v>
      </c>
      <c r="C24" s="353"/>
      <c r="D24" s="351">
        <v>6</v>
      </c>
      <c r="E24" s="351">
        <v>7</v>
      </c>
      <c r="G24" s="335" t="s">
        <v>531</v>
      </c>
      <c r="H24" s="335">
        <v>7</v>
      </c>
      <c r="I24" s="335" t="s">
        <v>543</v>
      </c>
      <c r="J24" s="335">
        <v>7</v>
      </c>
      <c r="K24" s="335" t="s">
        <v>538</v>
      </c>
      <c r="L24" s="335">
        <v>8</v>
      </c>
      <c r="N24" s="335"/>
      <c r="O24" s="335"/>
      <c r="Q24" s="335"/>
      <c r="R24" s="335"/>
      <c r="S24" s="337"/>
    </row>
    <row r="25" spans="1:19" s="334" customFormat="1" x14ac:dyDescent="0.2">
      <c r="A25" s="335"/>
      <c r="B25" s="335"/>
      <c r="C25" s="335"/>
      <c r="D25" s="352"/>
      <c r="E25" s="352"/>
      <c r="G25" s="335" t="s">
        <v>526</v>
      </c>
      <c r="H25" s="335">
        <v>8</v>
      </c>
      <c r="I25" s="335" t="s">
        <v>539</v>
      </c>
      <c r="J25" s="335">
        <v>8</v>
      </c>
      <c r="K25" s="335" t="s">
        <v>539</v>
      </c>
      <c r="L25" s="335">
        <v>9</v>
      </c>
      <c r="N25" s="335"/>
      <c r="O25" s="335"/>
      <c r="Q25" s="335"/>
      <c r="R25" s="335"/>
      <c r="S25" s="337"/>
    </row>
    <row r="26" spans="1:19" s="334" customFormat="1" x14ac:dyDescent="0.2">
      <c r="A26" s="335"/>
      <c r="B26" s="335"/>
      <c r="C26" s="335"/>
      <c r="D26" s="352"/>
      <c r="E26" s="352"/>
      <c r="G26" s="335" t="s">
        <v>540</v>
      </c>
      <c r="H26" s="335">
        <v>9</v>
      </c>
      <c r="I26" s="335" t="s">
        <v>540</v>
      </c>
      <c r="J26" s="335">
        <v>9</v>
      </c>
      <c r="K26" s="335" t="s">
        <v>540</v>
      </c>
      <c r="L26" s="335">
        <v>10</v>
      </c>
      <c r="N26" s="335"/>
      <c r="O26" s="335"/>
      <c r="Q26" s="335"/>
      <c r="R26" s="335"/>
      <c r="S26" s="337"/>
    </row>
    <row r="27" spans="1:19" s="334" customFormat="1" x14ac:dyDescent="0.2">
      <c r="A27" s="335"/>
      <c r="B27" s="335"/>
      <c r="C27" s="335"/>
      <c r="D27" s="352"/>
      <c r="E27" s="352"/>
      <c r="G27" s="335"/>
      <c r="H27" s="352"/>
      <c r="I27" s="335"/>
      <c r="J27" s="352"/>
      <c r="K27" s="335"/>
      <c r="L27" s="352"/>
      <c r="N27" s="335"/>
      <c r="O27" s="335"/>
      <c r="Q27" s="335"/>
      <c r="R27" s="335"/>
      <c r="S27" s="337"/>
    </row>
    <row r="28" spans="1:19" s="334" customFormat="1" x14ac:dyDescent="0.2">
      <c r="A28" s="335" t="s">
        <v>544</v>
      </c>
      <c r="B28" s="335" t="s">
        <v>545</v>
      </c>
      <c r="C28" s="353" t="s">
        <v>47</v>
      </c>
      <c r="D28" s="352"/>
      <c r="E28" s="352"/>
      <c r="G28" s="335"/>
      <c r="H28" s="352"/>
      <c r="I28" s="335"/>
      <c r="J28" s="352"/>
      <c r="K28" s="335"/>
      <c r="L28" s="352"/>
      <c r="N28" s="335" t="s">
        <v>543</v>
      </c>
      <c r="O28" s="335">
        <v>8</v>
      </c>
      <c r="Q28" s="335"/>
      <c r="R28" s="335"/>
      <c r="S28" s="337"/>
    </row>
    <row r="29" spans="1:19" s="334" customFormat="1" x14ac:dyDescent="0.2">
      <c r="A29" s="335"/>
      <c r="B29" s="335"/>
      <c r="C29" s="335"/>
      <c r="D29" s="352"/>
      <c r="E29" s="352"/>
      <c r="G29" s="335"/>
      <c r="H29" s="352"/>
      <c r="I29" s="335"/>
      <c r="J29" s="352"/>
      <c r="K29" s="335"/>
      <c r="L29" s="352"/>
      <c r="N29" s="335" t="s">
        <v>539</v>
      </c>
      <c r="O29" s="335">
        <v>9</v>
      </c>
      <c r="Q29" s="335"/>
      <c r="R29" s="335"/>
      <c r="S29" s="337"/>
    </row>
    <row r="30" spans="1:19" s="334" customFormat="1" x14ac:dyDescent="0.2">
      <c r="A30" s="335"/>
      <c r="B30" s="335"/>
      <c r="C30" s="335"/>
      <c r="D30" s="352"/>
      <c r="E30" s="352"/>
      <c r="G30" s="335"/>
      <c r="H30" s="352"/>
      <c r="I30" s="335"/>
      <c r="J30" s="352"/>
      <c r="K30" s="335"/>
      <c r="L30" s="352"/>
      <c r="N30" s="335" t="s">
        <v>540</v>
      </c>
      <c r="O30" s="335">
        <v>10</v>
      </c>
      <c r="Q30" s="335"/>
      <c r="R30" s="335"/>
      <c r="S30" s="337"/>
    </row>
    <row r="31" spans="1:19" s="334" customFormat="1" x14ac:dyDescent="0.2">
      <c r="A31" s="335"/>
      <c r="B31" s="335"/>
      <c r="C31" s="335"/>
      <c r="D31" s="352"/>
      <c r="E31" s="352"/>
      <c r="G31" s="335"/>
      <c r="H31" s="352"/>
      <c r="I31" s="335"/>
      <c r="J31" s="352"/>
      <c r="K31" s="335"/>
      <c r="L31" s="352"/>
      <c r="N31" s="335"/>
      <c r="O31" s="335"/>
      <c r="Q31" s="335"/>
      <c r="R31" s="335"/>
      <c r="S31" s="337"/>
    </row>
    <row r="32" spans="1:19" s="334" customFormat="1" x14ac:dyDescent="0.2">
      <c r="A32" s="335"/>
      <c r="B32" s="335"/>
      <c r="C32" s="335"/>
      <c r="D32" s="352"/>
      <c r="E32" s="352"/>
      <c r="G32" s="335"/>
      <c r="H32" s="335"/>
      <c r="I32" s="335"/>
      <c r="J32" s="335"/>
      <c r="K32" s="335"/>
      <c r="L32" s="352"/>
      <c r="N32" s="335"/>
      <c r="O32" s="335"/>
      <c r="Q32" s="335"/>
      <c r="R32" s="335"/>
      <c r="S32" s="337"/>
    </row>
    <row r="33" spans="1:19" s="334" customFormat="1" x14ac:dyDescent="0.2">
      <c r="A33" s="335" t="s">
        <v>546</v>
      </c>
      <c r="B33" s="350">
        <v>29663</v>
      </c>
      <c r="C33" s="353" t="s">
        <v>48</v>
      </c>
      <c r="D33" s="351">
        <v>8</v>
      </c>
      <c r="E33" s="351">
        <v>9</v>
      </c>
      <c r="G33" s="335" t="s">
        <v>547</v>
      </c>
      <c r="H33" s="335">
        <v>9</v>
      </c>
      <c r="I33" s="335"/>
      <c r="J33" s="335"/>
      <c r="K33" s="335" t="s">
        <v>531</v>
      </c>
      <c r="L33" s="335">
        <v>10</v>
      </c>
      <c r="N33" s="335" t="s">
        <v>547</v>
      </c>
      <c r="O33" s="335">
        <v>9</v>
      </c>
      <c r="Q33" s="335" t="s">
        <v>548</v>
      </c>
      <c r="R33" s="335">
        <v>10</v>
      </c>
      <c r="S33" s="337"/>
    </row>
    <row r="34" spans="1:19" s="334" customFormat="1" x14ac:dyDescent="0.2">
      <c r="A34" s="335"/>
      <c r="B34" s="335"/>
      <c r="C34" s="353" t="s">
        <v>49</v>
      </c>
      <c r="D34" s="352"/>
      <c r="E34" s="352"/>
      <c r="G34" s="335" t="s">
        <v>526</v>
      </c>
      <c r="H34" s="335">
        <v>10</v>
      </c>
      <c r="I34" s="335"/>
      <c r="J34" s="335"/>
      <c r="K34" s="335" t="s">
        <v>526</v>
      </c>
      <c r="L34" s="335">
        <v>11</v>
      </c>
      <c r="N34" s="335" t="s">
        <v>526</v>
      </c>
      <c r="O34" s="335">
        <v>10</v>
      </c>
      <c r="Q34" s="335" t="s">
        <v>549</v>
      </c>
      <c r="R34" s="335">
        <v>11</v>
      </c>
      <c r="S34" s="337"/>
    </row>
    <row r="35" spans="1:19" s="334" customFormat="1" x14ac:dyDescent="0.2">
      <c r="A35" s="335"/>
      <c r="B35" s="335"/>
      <c r="C35" s="353"/>
      <c r="D35" s="352"/>
      <c r="E35" s="352"/>
      <c r="G35" s="335" t="s">
        <v>550</v>
      </c>
      <c r="H35" s="335">
        <v>11</v>
      </c>
      <c r="I35" s="335"/>
      <c r="J35" s="335"/>
      <c r="K35" s="335" t="s">
        <v>550</v>
      </c>
      <c r="L35" s="335">
        <v>12</v>
      </c>
      <c r="N35" s="335" t="s">
        <v>550</v>
      </c>
      <c r="O35" s="335">
        <v>11</v>
      </c>
      <c r="Q35" s="335" t="s">
        <v>551</v>
      </c>
      <c r="R35" s="335">
        <v>12</v>
      </c>
      <c r="S35" s="337"/>
    </row>
    <row r="36" spans="1:19" s="334" customFormat="1" x14ac:dyDescent="0.2">
      <c r="A36" s="335"/>
      <c r="B36" s="335"/>
      <c r="C36" s="353"/>
      <c r="D36" s="352"/>
      <c r="E36" s="352"/>
      <c r="G36" s="335" t="s">
        <v>552</v>
      </c>
      <c r="H36" s="335">
        <v>12</v>
      </c>
      <c r="I36" s="335"/>
      <c r="J36" s="335"/>
      <c r="K36" s="335" t="s">
        <v>553</v>
      </c>
      <c r="L36" s="335">
        <v>13</v>
      </c>
      <c r="N36" s="335" t="s">
        <v>552</v>
      </c>
      <c r="O36" s="335">
        <v>12</v>
      </c>
      <c r="Q36" s="335" t="s">
        <v>554</v>
      </c>
      <c r="R36" s="335">
        <v>13</v>
      </c>
      <c r="S36" s="337"/>
    </row>
    <row r="37" spans="1:19" s="334" customFormat="1" x14ac:dyDescent="0.2">
      <c r="A37" s="335"/>
      <c r="B37" s="335"/>
      <c r="C37" s="353"/>
      <c r="D37" s="352"/>
      <c r="E37" s="352"/>
      <c r="G37" s="335" t="s">
        <v>555</v>
      </c>
      <c r="H37" s="335">
        <v>13</v>
      </c>
      <c r="I37" s="335"/>
      <c r="J37" s="335"/>
      <c r="K37" s="335" t="s">
        <v>556</v>
      </c>
      <c r="L37" s="335">
        <v>14</v>
      </c>
      <c r="N37" s="335" t="s">
        <v>555</v>
      </c>
      <c r="O37" s="335">
        <v>13</v>
      </c>
      <c r="Q37" s="335"/>
      <c r="R37" s="335"/>
      <c r="S37" s="337"/>
    </row>
    <row r="38" spans="1:19" s="334" customFormat="1" x14ac:dyDescent="0.2">
      <c r="A38" s="335"/>
      <c r="B38" s="335"/>
      <c r="C38" s="353"/>
      <c r="D38" s="352"/>
      <c r="E38" s="352"/>
      <c r="G38" s="335"/>
      <c r="H38" s="335"/>
      <c r="I38" s="335"/>
      <c r="J38" s="335"/>
      <c r="K38" s="335"/>
      <c r="L38" s="335"/>
      <c r="N38" s="335"/>
      <c r="O38" s="335"/>
      <c r="Q38" s="335"/>
      <c r="R38" s="335"/>
      <c r="S38" s="337"/>
    </row>
    <row r="39" spans="1:19" s="334" customFormat="1" x14ac:dyDescent="0.2">
      <c r="A39" s="335" t="s">
        <v>557</v>
      </c>
      <c r="B39" s="335" t="s">
        <v>558</v>
      </c>
      <c r="C39" s="353" t="s">
        <v>121</v>
      </c>
      <c r="D39" s="351">
        <v>12</v>
      </c>
      <c r="E39" s="351">
        <v>13</v>
      </c>
      <c r="G39" s="335" t="s">
        <v>559</v>
      </c>
      <c r="H39" s="335">
        <v>12</v>
      </c>
      <c r="I39" s="335"/>
      <c r="J39" s="352"/>
      <c r="K39" s="335" t="s">
        <v>559</v>
      </c>
      <c r="L39" s="335">
        <v>13</v>
      </c>
      <c r="N39" s="335" t="s">
        <v>559</v>
      </c>
      <c r="O39" s="335">
        <v>12</v>
      </c>
      <c r="Q39" s="335" t="s">
        <v>548</v>
      </c>
      <c r="R39" s="335">
        <v>13</v>
      </c>
      <c r="S39" s="337"/>
    </row>
    <row r="40" spans="1:19" s="334" customFormat="1" x14ac:dyDescent="0.2">
      <c r="A40" s="335"/>
      <c r="B40" s="335"/>
      <c r="C40" s="353" t="s">
        <v>443</v>
      </c>
      <c r="D40" s="352"/>
      <c r="E40" s="352"/>
      <c r="G40" s="335" t="s">
        <v>560</v>
      </c>
      <c r="H40" s="335">
        <v>13</v>
      </c>
      <c r="I40" s="335"/>
      <c r="J40" s="335"/>
      <c r="K40" s="335" t="s">
        <v>560</v>
      </c>
      <c r="L40" s="335">
        <v>14</v>
      </c>
      <c r="N40" s="335" t="s">
        <v>560</v>
      </c>
      <c r="O40" s="335">
        <v>13</v>
      </c>
      <c r="Q40" s="335" t="s">
        <v>561</v>
      </c>
      <c r="R40" s="335">
        <v>14</v>
      </c>
      <c r="S40" s="337"/>
    </row>
    <row r="41" spans="1:19" s="334" customFormat="1" x14ac:dyDescent="0.2">
      <c r="A41" s="335"/>
      <c r="B41" s="335"/>
      <c r="C41" s="353"/>
      <c r="D41" s="352"/>
      <c r="E41" s="352"/>
      <c r="G41" s="335"/>
      <c r="H41" s="335"/>
      <c r="I41" s="335"/>
      <c r="J41" s="335"/>
      <c r="K41" s="335"/>
      <c r="L41" s="335"/>
      <c r="N41" s="335"/>
      <c r="O41" s="335"/>
      <c r="Q41" s="335"/>
      <c r="R41" s="335"/>
      <c r="S41" s="337"/>
    </row>
    <row r="42" spans="1:19" s="334" customFormat="1" x14ac:dyDescent="0.2">
      <c r="A42" s="335" t="s">
        <v>562</v>
      </c>
      <c r="B42" s="350">
        <v>30393</v>
      </c>
      <c r="C42" s="353" t="s">
        <v>563</v>
      </c>
      <c r="D42" s="352" t="s">
        <v>564</v>
      </c>
      <c r="E42" s="352" t="s">
        <v>564</v>
      </c>
      <c r="G42" s="335"/>
      <c r="H42" s="335" t="s">
        <v>564</v>
      </c>
      <c r="I42" s="335"/>
      <c r="J42" s="335"/>
      <c r="K42" s="335"/>
      <c r="L42" s="335" t="s">
        <v>564</v>
      </c>
      <c r="N42" s="335"/>
      <c r="O42" s="335" t="s">
        <v>564</v>
      </c>
      <c r="Q42" s="335"/>
      <c r="R42" s="335" t="s">
        <v>564</v>
      </c>
      <c r="S42" s="337"/>
    </row>
    <row r="43" spans="1:19" s="334" customFormat="1" x14ac:dyDescent="0.2">
      <c r="A43" s="335"/>
      <c r="B43" s="335"/>
      <c r="C43" s="353"/>
      <c r="D43" s="352" t="s">
        <v>565</v>
      </c>
      <c r="E43" s="352" t="s">
        <v>565</v>
      </c>
      <c r="G43" s="335"/>
      <c r="H43" s="335" t="s">
        <v>565</v>
      </c>
      <c r="I43" s="335"/>
      <c r="J43" s="335"/>
      <c r="K43" s="335"/>
      <c r="L43" s="335" t="s">
        <v>565</v>
      </c>
      <c r="N43" s="335"/>
      <c r="O43" s="335" t="s">
        <v>565</v>
      </c>
      <c r="Q43" s="335"/>
      <c r="R43" s="335" t="s">
        <v>565</v>
      </c>
      <c r="S43" s="337"/>
    </row>
    <row r="44" spans="1:19" s="334" customFormat="1" x14ac:dyDescent="0.2">
      <c r="A44" s="335"/>
      <c r="B44" s="335"/>
      <c r="C44" s="353"/>
      <c r="D44" s="352"/>
      <c r="E44" s="352"/>
      <c r="G44" s="335"/>
      <c r="H44" s="335"/>
      <c r="I44" s="335"/>
      <c r="J44" s="335"/>
      <c r="K44" s="335"/>
      <c r="L44" s="335"/>
      <c r="N44" s="335"/>
      <c r="O44" s="335"/>
      <c r="Q44" s="335"/>
      <c r="R44" s="335"/>
      <c r="S44" s="337"/>
    </row>
    <row r="45" spans="1:19" s="334" customFormat="1" x14ac:dyDescent="0.2">
      <c r="A45" s="335" t="s">
        <v>566</v>
      </c>
      <c r="B45" s="335" t="s">
        <v>567</v>
      </c>
      <c r="C45" s="353" t="s">
        <v>568</v>
      </c>
      <c r="D45" s="352" t="s">
        <v>564</v>
      </c>
      <c r="E45" s="352" t="s">
        <v>564</v>
      </c>
      <c r="G45" s="335"/>
      <c r="H45" s="352" t="s">
        <v>564</v>
      </c>
      <c r="I45" s="335"/>
      <c r="J45" s="335"/>
      <c r="K45" s="335"/>
      <c r="L45" s="335" t="s">
        <v>569</v>
      </c>
      <c r="N45" s="335"/>
      <c r="O45" s="335" t="s">
        <v>569</v>
      </c>
      <c r="Q45" s="335"/>
      <c r="R45" s="335" t="s">
        <v>569</v>
      </c>
      <c r="S45" s="337"/>
    </row>
    <row r="46" spans="1:19" s="334" customFormat="1" x14ac:dyDescent="0.2">
      <c r="A46" s="335"/>
      <c r="B46" s="335"/>
      <c r="C46" s="353"/>
      <c r="D46" s="352" t="s">
        <v>565</v>
      </c>
      <c r="E46" s="352" t="s">
        <v>570</v>
      </c>
      <c r="G46" s="335"/>
      <c r="H46" s="352" t="s">
        <v>565</v>
      </c>
      <c r="I46" s="335"/>
      <c r="J46" s="335"/>
      <c r="K46" s="335"/>
      <c r="L46" s="335" t="s">
        <v>570</v>
      </c>
      <c r="N46" s="335"/>
      <c r="O46" s="335" t="s">
        <v>565</v>
      </c>
      <c r="Q46" s="335"/>
      <c r="R46" s="335" t="s">
        <v>565</v>
      </c>
      <c r="S46" s="337"/>
    </row>
    <row r="47" spans="1:19" s="334" customFormat="1" x14ac:dyDescent="0.2">
      <c r="A47" s="335"/>
      <c r="B47" s="335"/>
      <c r="C47" s="353"/>
      <c r="D47" s="352"/>
      <c r="E47" s="352"/>
      <c r="G47" s="335"/>
      <c r="H47" s="335"/>
      <c r="I47" s="335"/>
      <c r="J47" s="335"/>
      <c r="K47" s="335"/>
      <c r="L47" s="335"/>
      <c r="N47" s="335"/>
      <c r="O47" s="335"/>
      <c r="Q47" s="335"/>
      <c r="R47" s="335"/>
      <c r="S47" s="337"/>
    </row>
    <row r="48" spans="1:19" s="334" customFormat="1" x14ac:dyDescent="0.2">
      <c r="A48" s="335" t="s">
        <v>571</v>
      </c>
      <c r="B48" s="350">
        <v>30607</v>
      </c>
      <c r="C48" s="353" t="s">
        <v>572</v>
      </c>
      <c r="D48" s="352" t="s">
        <v>573</v>
      </c>
      <c r="E48" s="352" t="s">
        <v>573</v>
      </c>
      <c r="G48" s="335"/>
      <c r="H48" s="352" t="s">
        <v>573</v>
      </c>
      <c r="I48" s="335"/>
      <c r="J48" s="335"/>
      <c r="K48" s="335"/>
      <c r="L48" s="352" t="s">
        <v>573</v>
      </c>
      <c r="N48" s="335"/>
      <c r="O48" s="352" t="s">
        <v>573</v>
      </c>
      <c r="Q48" s="335"/>
      <c r="R48" s="352" t="s">
        <v>573</v>
      </c>
      <c r="S48" s="337"/>
    </row>
    <row r="49" spans="1:19" s="334" customFormat="1" x14ac:dyDescent="0.2">
      <c r="A49" s="335"/>
      <c r="B49" s="335"/>
      <c r="C49" s="353"/>
      <c r="D49" s="352"/>
      <c r="E49" s="352"/>
      <c r="G49" s="335"/>
      <c r="H49" s="335"/>
      <c r="I49" s="335"/>
      <c r="J49" s="335"/>
      <c r="K49" s="335"/>
      <c r="L49" s="335"/>
      <c r="N49" s="335"/>
      <c r="O49" s="335"/>
      <c r="Q49" s="335"/>
      <c r="R49" s="335"/>
      <c r="S49" s="337"/>
    </row>
    <row r="50" spans="1:19" s="334" customFormat="1" x14ac:dyDescent="0.2">
      <c r="A50" s="335" t="s">
        <v>574</v>
      </c>
      <c r="B50" s="335" t="s">
        <v>575</v>
      </c>
      <c r="C50" s="353" t="s">
        <v>576</v>
      </c>
      <c r="D50" s="351">
        <v>16</v>
      </c>
      <c r="E50" s="351">
        <v>16</v>
      </c>
      <c r="G50" s="335" t="s">
        <v>577</v>
      </c>
      <c r="H50" s="335">
        <v>17</v>
      </c>
      <c r="I50" s="335"/>
      <c r="J50" s="335"/>
      <c r="K50" s="335" t="s">
        <v>577</v>
      </c>
      <c r="L50" s="335">
        <v>17</v>
      </c>
      <c r="N50" s="335" t="s">
        <v>577</v>
      </c>
      <c r="O50" s="335">
        <v>17</v>
      </c>
      <c r="Q50" s="335" t="s">
        <v>577</v>
      </c>
      <c r="R50" s="335">
        <v>17</v>
      </c>
      <c r="S50" s="337"/>
    </row>
    <row r="51" spans="1:19" s="334" customFormat="1" x14ac:dyDescent="0.2">
      <c r="A51" s="335"/>
      <c r="B51" s="335"/>
      <c r="C51" s="353"/>
      <c r="D51" s="351"/>
      <c r="E51" s="351"/>
      <c r="G51" s="335" t="s">
        <v>578</v>
      </c>
      <c r="H51" s="335">
        <v>18</v>
      </c>
      <c r="I51" s="335"/>
      <c r="J51" s="335"/>
      <c r="K51" s="335" t="s">
        <v>578</v>
      </c>
      <c r="L51" s="335">
        <v>18</v>
      </c>
      <c r="N51" s="335" t="s">
        <v>578</v>
      </c>
      <c r="O51" s="335">
        <v>18</v>
      </c>
      <c r="Q51" s="335" t="s">
        <v>578</v>
      </c>
      <c r="R51" s="335">
        <v>18</v>
      </c>
      <c r="S51" s="337"/>
    </row>
    <row r="52" spans="1:19" s="334" customFormat="1" x14ac:dyDescent="0.2">
      <c r="A52" s="335"/>
      <c r="B52" s="335"/>
      <c r="C52" s="353"/>
      <c r="D52" s="351"/>
      <c r="E52" s="351"/>
      <c r="G52" s="335" t="s">
        <v>579</v>
      </c>
      <c r="H52" s="335">
        <v>19</v>
      </c>
      <c r="I52" s="335"/>
      <c r="J52" s="335"/>
      <c r="K52" s="335" t="s">
        <v>580</v>
      </c>
      <c r="L52" s="335">
        <v>19</v>
      </c>
      <c r="N52" s="335" t="s">
        <v>579</v>
      </c>
      <c r="O52" s="335">
        <v>19</v>
      </c>
      <c r="Q52" s="335" t="s">
        <v>579</v>
      </c>
      <c r="R52" s="335">
        <v>19</v>
      </c>
      <c r="S52" s="337"/>
    </row>
    <row r="53" spans="1:19" s="334" customFormat="1" x14ac:dyDescent="0.2">
      <c r="A53" s="335"/>
      <c r="B53" s="335"/>
      <c r="C53" s="353"/>
      <c r="D53" s="351"/>
      <c r="E53" s="351"/>
      <c r="G53" s="335"/>
      <c r="H53" s="335"/>
      <c r="I53" s="335"/>
      <c r="J53" s="335"/>
      <c r="K53" s="335"/>
      <c r="L53" s="335"/>
      <c r="N53" s="335"/>
      <c r="O53" s="335"/>
      <c r="Q53" s="335"/>
      <c r="R53" s="335"/>
      <c r="S53" s="337"/>
    </row>
    <row r="54" spans="1:19" s="334" customFormat="1" x14ac:dyDescent="0.2">
      <c r="A54" s="335" t="s">
        <v>581</v>
      </c>
      <c r="B54" s="350">
        <v>30848</v>
      </c>
      <c r="C54" s="353" t="s">
        <v>576</v>
      </c>
      <c r="D54" s="351">
        <v>18</v>
      </c>
      <c r="E54" s="351">
        <v>18</v>
      </c>
      <c r="G54" s="335" t="s">
        <v>538</v>
      </c>
      <c r="H54" s="335">
        <v>19</v>
      </c>
      <c r="I54" s="335"/>
      <c r="J54" s="335"/>
      <c r="K54" s="335" t="s">
        <v>538</v>
      </c>
      <c r="L54" s="335">
        <v>19</v>
      </c>
      <c r="N54" s="335" t="s">
        <v>538</v>
      </c>
      <c r="O54" s="335">
        <v>19</v>
      </c>
      <c r="Q54" s="335" t="s">
        <v>538</v>
      </c>
      <c r="R54" s="335">
        <v>19</v>
      </c>
      <c r="S54" s="337"/>
    </row>
    <row r="55" spans="1:19" s="334" customFormat="1" x14ac:dyDescent="0.2">
      <c r="A55" s="335"/>
      <c r="B55" s="335"/>
      <c r="C55" s="353" t="s">
        <v>582</v>
      </c>
      <c r="D55" s="351"/>
      <c r="E55" s="351"/>
      <c r="G55" s="335" t="s">
        <v>539</v>
      </c>
      <c r="H55" s="335">
        <v>20</v>
      </c>
      <c r="I55" s="335"/>
      <c r="J55" s="335"/>
      <c r="K55" s="335" t="s">
        <v>539</v>
      </c>
      <c r="L55" s="335">
        <v>20</v>
      </c>
      <c r="N55" s="335" t="s">
        <v>539</v>
      </c>
      <c r="O55" s="335">
        <v>20</v>
      </c>
      <c r="Q55" s="335" t="s">
        <v>539</v>
      </c>
      <c r="R55" s="335">
        <v>20</v>
      </c>
      <c r="S55" s="337"/>
    </row>
    <row r="56" spans="1:19" s="334" customFormat="1" x14ac:dyDescent="0.2">
      <c r="A56" s="335"/>
      <c r="B56" s="335"/>
      <c r="C56" s="353"/>
      <c r="D56" s="351"/>
      <c r="E56" s="351"/>
      <c r="G56" s="335" t="s">
        <v>579</v>
      </c>
      <c r="H56" s="335">
        <v>21</v>
      </c>
      <c r="I56" s="335"/>
      <c r="J56" s="335"/>
      <c r="K56" s="335" t="s">
        <v>580</v>
      </c>
      <c r="L56" s="335">
        <v>21</v>
      </c>
      <c r="N56" s="335" t="s">
        <v>579</v>
      </c>
      <c r="O56" s="335">
        <v>21</v>
      </c>
      <c r="Q56" s="335" t="s">
        <v>579</v>
      </c>
      <c r="R56" s="335">
        <v>21</v>
      </c>
      <c r="S56" s="337"/>
    </row>
    <row r="57" spans="1:19" s="334" customFormat="1" x14ac:dyDescent="0.2">
      <c r="A57" s="335"/>
      <c r="B57" s="335"/>
      <c r="C57" s="353"/>
      <c r="D57" s="351"/>
      <c r="E57" s="351"/>
      <c r="G57" s="335"/>
      <c r="H57" s="335"/>
      <c r="I57" s="335"/>
      <c r="J57" s="353"/>
      <c r="K57" s="335"/>
      <c r="L57" s="335"/>
      <c r="N57" s="335"/>
      <c r="O57" s="335"/>
      <c r="Q57" s="335"/>
      <c r="R57" s="335"/>
      <c r="S57" s="337"/>
    </row>
    <row r="58" spans="1:19" s="334" customFormat="1" x14ac:dyDescent="0.2">
      <c r="A58" s="335" t="s">
        <v>583</v>
      </c>
      <c r="B58" s="335" t="s">
        <v>584</v>
      </c>
      <c r="C58" s="353" t="s">
        <v>576</v>
      </c>
      <c r="D58" s="351">
        <v>20</v>
      </c>
      <c r="E58" s="351">
        <v>20</v>
      </c>
      <c r="G58" s="335"/>
      <c r="H58" s="335">
        <v>22</v>
      </c>
      <c r="I58" s="335"/>
      <c r="J58" s="353"/>
      <c r="K58" s="335"/>
      <c r="L58" s="335">
        <v>22</v>
      </c>
      <c r="N58" s="335"/>
      <c r="O58" s="335">
        <v>22</v>
      </c>
      <c r="Q58" s="335"/>
      <c r="R58" s="335">
        <v>22</v>
      </c>
      <c r="S58" s="337"/>
    </row>
    <row r="59" spans="1:19" s="334" customFormat="1" x14ac:dyDescent="0.2">
      <c r="A59" s="335"/>
      <c r="B59" s="335"/>
      <c r="C59" s="353" t="s">
        <v>585</v>
      </c>
      <c r="D59" s="351"/>
      <c r="E59" s="351"/>
      <c r="G59" s="335"/>
      <c r="H59" s="335"/>
      <c r="I59" s="335"/>
      <c r="J59" s="353"/>
      <c r="K59" s="335"/>
      <c r="L59" s="335"/>
      <c r="N59" s="335"/>
      <c r="O59" s="335"/>
      <c r="Q59" s="335"/>
      <c r="R59" s="335"/>
      <c r="S59" s="337"/>
    </row>
    <row r="60" spans="1:19" s="334" customFormat="1" x14ac:dyDescent="0.2">
      <c r="A60" s="335"/>
      <c r="B60" s="335"/>
      <c r="C60" s="353"/>
      <c r="D60" s="352"/>
      <c r="E60" s="352"/>
      <c r="G60" s="335"/>
      <c r="H60" s="335"/>
      <c r="I60" s="335"/>
      <c r="J60" s="353"/>
      <c r="K60" s="335"/>
      <c r="L60" s="335"/>
      <c r="N60" s="335"/>
      <c r="O60" s="335"/>
      <c r="Q60" s="335"/>
      <c r="R60" s="335"/>
      <c r="S60" s="337"/>
    </row>
    <row r="61" spans="1:19" s="334" customFormat="1" x14ac:dyDescent="0.2">
      <c r="A61" s="335" t="s">
        <v>586</v>
      </c>
      <c r="B61" s="335" t="s">
        <v>587</v>
      </c>
      <c r="C61" s="353" t="s">
        <v>588</v>
      </c>
      <c r="D61" s="352"/>
      <c r="E61" s="354"/>
      <c r="G61" s="335"/>
      <c r="H61" s="335"/>
      <c r="I61" s="335"/>
      <c r="J61" s="353"/>
      <c r="K61" s="335"/>
      <c r="L61" s="335"/>
      <c r="N61" s="335"/>
      <c r="O61" s="335"/>
      <c r="Q61" s="335"/>
      <c r="R61" s="335"/>
      <c r="S61" s="337"/>
    </row>
    <row r="62" spans="1:19" s="334" customFormat="1" x14ac:dyDescent="0.2">
      <c r="C62" s="355"/>
      <c r="D62" s="356"/>
      <c r="E62" s="357"/>
      <c r="J62" s="355"/>
      <c r="S62" s="337"/>
    </row>
    <row r="63" spans="1:19" s="334" customFormat="1" x14ac:dyDescent="0.2">
      <c r="A63" s="419"/>
      <c r="B63" s="419"/>
      <c r="C63" s="422"/>
      <c r="D63" s="420"/>
      <c r="E63" s="421"/>
      <c r="F63" s="419"/>
      <c r="G63" s="419"/>
      <c r="H63" s="419"/>
      <c r="I63" s="419"/>
      <c r="J63" s="422"/>
      <c r="K63" s="419"/>
      <c r="L63" s="419"/>
      <c r="M63" s="419"/>
      <c r="N63" s="419"/>
      <c r="O63" s="419"/>
      <c r="P63" s="419"/>
      <c r="Q63" s="419"/>
      <c r="R63" s="419"/>
      <c r="S63" s="337"/>
    </row>
    <row r="64" spans="1:19" s="334" customFormat="1" x14ac:dyDescent="0.2">
      <c r="D64" s="356"/>
      <c r="E64" s="357"/>
      <c r="S64" s="337"/>
    </row>
    <row r="65" spans="1:5" x14ac:dyDescent="0.2">
      <c r="A65" s="410"/>
      <c r="B65" s="334"/>
      <c r="C65" s="334"/>
      <c r="D65" s="358"/>
      <c r="E65" s="358"/>
    </row>
    <row r="66" spans="1:5" x14ac:dyDescent="0.2">
      <c r="A66" s="316" t="s">
        <v>598</v>
      </c>
    </row>
  </sheetData>
  <mergeCells count="13">
    <mergeCell ref="A1:R1"/>
    <mergeCell ref="A4:A5"/>
    <mergeCell ref="B4:C5"/>
    <mergeCell ref="G4:L4"/>
    <mergeCell ref="D4:E4"/>
    <mergeCell ref="A2:R2"/>
    <mergeCell ref="Q4:R4"/>
    <mergeCell ref="Q5:R5"/>
    <mergeCell ref="N4:O4"/>
    <mergeCell ref="N5:O5"/>
    <mergeCell ref="G5:H5"/>
    <mergeCell ref="I5:J5"/>
    <mergeCell ref="K5:L5"/>
  </mergeCells>
  <hyperlinks>
    <hyperlink ref="A66" location="'indice cap.1'!A1" display="regresar al índice" xr:uid="{00000000-0004-0000-2300-000000000000}"/>
  </hyperlinks>
  <pageMargins left="0" right="0" top="0" bottom="0" header="0" footer="0"/>
  <pageSetup paperSize="9" scale="60" orientation="landscape" verticalDpi="599" r:id="rId1"/>
  <ignoredErrors>
    <ignoredError sqref="B11 B15 B19" twoDigitTextYear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44"/>
  <sheetViews>
    <sheetView showGridLines="0" workbookViewId="0">
      <selection activeCell="A4" sqref="A4:B6"/>
    </sheetView>
  </sheetViews>
  <sheetFormatPr defaultColWidth="11.42578125" defaultRowHeight="12.75" x14ac:dyDescent="0.2"/>
  <cols>
    <col min="1" max="1" width="11.42578125" style="108"/>
    <col min="2" max="35" width="12.7109375" style="108" customWidth="1"/>
    <col min="36" max="16384" width="11.42578125" style="108"/>
  </cols>
  <sheetData>
    <row r="1" spans="1:35" x14ac:dyDescent="0.2">
      <c r="A1" s="648" t="s">
        <v>694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</row>
    <row r="2" spans="1:35" x14ac:dyDescent="0.2">
      <c r="A2" s="648" t="s">
        <v>62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649"/>
      <c r="AH2" s="649"/>
      <c r="AI2" s="649"/>
    </row>
    <row r="3" spans="1:35" x14ac:dyDescent="0.2">
      <c r="A3" s="110"/>
      <c r="B3" s="110"/>
      <c r="C3" s="110"/>
      <c r="D3" s="110"/>
      <c r="E3" s="126"/>
      <c r="F3" s="110"/>
      <c r="G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C3" s="110"/>
      <c r="AD3" s="110"/>
      <c r="AE3" s="110"/>
      <c r="AF3" s="110"/>
      <c r="AG3" s="110"/>
      <c r="AH3" s="110"/>
      <c r="AI3" s="110"/>
    </row>
    <row r="4" spans="1:35" x14ac:dyDescent="0.2">
      <c r="A4" s="656" t="s">
        <v>79</v>
      </c>
      <c r="B4" s="657"/>
      <c r="C4" s="378" t="s">
        <v>589</v>
      </c>
      <c r="D4" s="378"/>
      <c r="E4" s="379"/>
      <c r="F4" s="378"/>
      <c r="G4" s="378"/>
      <c r="H4" s="378"/>
      <c r="I4" s="378"/>
      <c r="J4" s="378"/>
      <c r="K4" s="378" t="s">
        <v>590</v>
      </c>
      <c r="L4" s="378"/>
      <c r="M4" s="378"/>
      <c r="N4" s="378"/>
      <c r="O4" s="378"/>
      <c r="P4" s="378"/>
      <c r="Q4" s="378"/>
      <c r="R4" s="378" t="s">
        <v>65</v>
      </c>
      <c r="S4" s="378"/>
      <c r="T4" s="378"/>
      <c r="U4" s="378"/>
      <c r="V4" s="378"/>
      <c r="W4" s="378"/>
      <c r="X4" s="380" t="s">
        <v>591</v>
      </c>
      <c r="Y4" s="381"/>
      <c r="Z4" s="381"/>
      <c r="AA4" s="381"/>
      <c r="AB4" s="381"/>
      <c r="AC4" s="381"/>
      <c r="AD4" s="381"/>
      <c r="AE4" s="378" t="s">
        <v>592</v>
      </c>
      <c r="AF4" s="378"/>
      <c r="AG4" s="378"/>
      <c r="AH4" s="378"/>
      <c r="AI4" s="382"/>
    </row>
    <row r="5" spans="1:35" s="186" customFormat="1" ht="25.5" x14ac:dyDescent="0.25">
      <c r="A5" s="658"/>
      <c r="B5" s="659"/>
      <c r="C5" s="650" t="s">
        <v>742</v>
      </c>
      <c r="D5" s="405" t="s">
        <v>743</v>
      </c>
      <c r="E5" s="652" t="s">
        <v>593</v>
      </c>
      <c r="F5" s="653"/>
      <c r="G5" s="653"/>
      <c r="H5" s="653"/>
      <c r="I5" s="653"/>
      <c r="J5" s="405" t="s">
        <v>744</v>
      </c>
      <c r="K5" s="405" t="s">
        <v>743</v>
      </c>
      <c r="L5" s="654" t="s">
        <v>78</v>
      </c>
      <c r="M5" s="653"/>
      <c r="N5" s="653"/>
      <c r="O5" s="653"/>
      <c r="P5" s="653"/>
      <c r="Q5" s="405" t="s">
        <v>744</v>
      </c>
      <c r="R5" s="405" t="s">
        <v>845</v>
      </c>
      <c r="S5" s="654" t="s">
        <v>78</v>
      </c>
      <c r="T5" s="653"/>
      <c r="U5" s="653"/>
      <c r="V5" s="653"/>
      <c r="W5" s="653"/>
      <c r="X5" s="405" t="s">
        <v>743</v>
      </c>
      <c r="Y5" s="654" t="s">
        <v>78</v>
      </c>
      <c r="Z5" s="653"/>
      <c r="AA5" s="653"/>
      <c r="AB5" s="653"/>
      <c r="AC5" s="653"/>
      <c r="AD5" s="405" t="s">
        <v>744</v>
      </c>
      <c r="AE5" s="654" t="s">
        <v>78</v>
      </c>
      <c r="AF5" s="653"/>
      <c r="AG5" s="653"/>
      <c r="AH5" s="653"/>
      <c r="AI5" s="655"/>
    </row>
    <row r="6" spans="1:35" x14ac:dyDescent="0.2">
      <c r="A6" s="660"/>
      <c r="B6" s="661"/>
      <c r="C6" s="651"/>
      <c r="D6" s="384" t="s">
        <v>80</v>
      </c>
      <c r="E6" s="385" t="s">
        <v>81</v>
      </c>
      <c r="F6" s="384" t="s">
        <v>82</v>
      </c>
      <c r="G6" s="384" t="s">
        <v>83</v>
      </c>
      <c r="H6" s="387" t="s">
        <v>76</v>
      </c>
      <c r="I6" s="384" t="s">
        <v>84</v>
      </c>
      <c r="J6" s="384" t="s">
        <v>846</v>
      </c>
      <c r="K6" s="384" t="s">
        <v>74</v>
      </c>
      <c r="L6" s="387" t="s">
        <v>69</v>
      </c>
      <c r="M6" s="387" t="s">
        <v>70</v>
      </c>
      <c r="N6" s="387" t="s">
        <v>71</v>
      </c>
      <c r="O6" s="387" t="s">
        <v>72</v>
      </c>
      <c r="P6" s="387" t="s">
        <v>73</v>
      </c>
      <c r="Q6" s="384" t="s">
        <v>74</v>
      </c>
      <c r="R6" s="383"/>
      <c r="S6" s="384" t="s">
        <v>81</v>
      </c>
      <c r="T6" s="384" t="s">
        <v>82</v>
      </c>
      <c r="U6" s="384" t="s">
        <v>83</v>
      </c>
      <c r="V6" s="384" t="s">
        <v>76</v>
      </c>
      <c r="W6" s="384" t="s">
        <v>84</v>
      </c>
      <c r="X6" s="384" t="s">
        <v>74</v>
      </c>
      <c r="Y6" s="384" t="s">
        <v>69</v>
      </c>
      <c r="Z6" s="384" t="s">
        <v>70</v>
      </c>
      <c r="AA6" s="384" t="s">
        <v>71</v>
      </c>
      <c r="AB6" s="384" t="s">
        <v>72</v>
      </c>
      <c r="AC6" s="384" t="s">
        <v>73</v>
      </c>
      <c r="AD6" s="384" t="s">
        <v>74</v>
      </c>
      <c r="AE6" s="384" t="s">
        <v>69</v>
      </c>
      <c r="AF6" s="384" t="s">
        <v>70</v>
      </c>
      <c r="AG6" s="384" t="s">
        <v>71</v>
      </c>
      <c r="AH6" s="384" t="s">
        <v>72</v>
      </c>
      <c r="AI6" s="386" t="s">
        <v>73</v>
      </c>
    </row>
    <row r="7" spans="1:35" s="174" customFormat="1" x14ac:dyDescent="0.2">
      <c r="E7" s="377"/>
      <c r="Q7" s="376"/>
    </row>
    <row r="8" spans="1:35" s="174" customFormat="1" x14ac:dyDescent="0.2">
      <c r="A8" s="179">
        <v>1987</v>
      </c>
      <c r="B8" s="179" t="s">
        <v>59</v>
      </c>
      <c r="C8" s="179">
        <v>21.39</v>
      </c>
      <c r="D8" s="189" t="s">
        <v>10</v>
      </c>
      <c r="E8" s="189">
        <v>31.97839719518452</v>
      </c>
      <c r="F8" s="189" t="s">
        <v>10</v>
      </c>
      <c r="G8" s="189">
        <v>33.871097927447508</v>
      </c>
      <c r="H8" s="179">
        <v>33.590000000000003</v>
      </c>
      <c r="I8" s="179">
        <v>34.31</v>
      </c>
      <c r="J8" s="189" t="s">
        <v>10</v>
      </c>
      <c r="K8" s="189" t="s">
        <v>10</v>
      </c>
      <c r="L8" s="189" t="s">
        <v>10</v>
      </c>
      <c r="M8" s="179">
        <v>33.909999999999997</v>
      </c>
      <c r="N8" s="189">
        <v>35.56</v>
      </c>
      <c r="O8" s="189" t="s">
        <v>10</v>
      </c>
      <c r="P8" s="189">
        <v>34.880000000000003</v>
      </c>
      <c r="Q8" s="189" t="s">
        <v>10</v>
      </c>
      <c r="R8" s="189" t="s">
        <v>10</v>
      </c>
      <c r="S8" s="189" t="s">
        <v>10</v>
      </c>
      <c r="T8" s="189" t="s">
        <v>10</v>
      </c>
      <c r="U8" s="189" t="s">
        <v>10</v>
      </c>
      <c r="V8" s="189" t="s">
        <v>10</v>
      </c>
      <c r="W8" s="189" t="s">
        <v>10</v>
      </c>
      <c r="X8" s="189" t="s">
        <v>10</v>
      </c>
      <c r="Y8" s="189" t="s">
        <v>10</v>
      </c>
      <c r="Z8" s="189" t="s">
        <v>10</v>
      </c>
      <c r="AA8" s="189" t="s">
        <v>10</v>
      </c>
      <c r="AB8" s="189" t="s">
        <v>10</v>
      </c>
      <c r="AC8" s="189" t="s">
        <v>10</v>
      </c>
      <c r="AD8" s="189" t="s">
        <v>10</v>
      </c>
      <c r="AE8" s="189" t="s">
        <v>10</v>
      </c>
      <c r="AF8" s="189" t="s">
        <v>10</v>
      </c>
      <c r="AG8" s="189" t="s">
        <v>10</v>
      </c>
      <c r="AH8" s="189" t="s">
        <v>10</v>
      </c>
      <c r="AI8" s="189" t="s">
        <v>10</v>
      </c>
    </row>
    <row r="9" spans="1:35" s="174" customFormat="1" x14ac:dyDescent="0.2">
      <c r="A9" s="179">
        <v>1988</v>
      </c>
      <c r="B9" s="179" t="s">
        <v>59</v>
      </c>
      <c r="C9" s="179">
        <v>26.01</v>
      </c>
      <c r="D9" s="189" t="s">
        <v>10</v>
      </c>
      <c r="E9" s="189">
        <v>38.01174376818156</v>
      </c>
      <c r="F9" s="189" t="s">
        <v>10</v>
      </c>
      <c r="G9" s="189">
        <v>38.263800599062975</v>
      </c>
      <c r="H9" s="179">
        <v>39.090000000000003</v>
      </c>
      <c r="I9" s="179">
        <v>39.590000000000003</v>
      </c>
      <c r="J9" s="189" t="s">
        <v>10</v>
      </c>
      <c r="K9" s="189" t="s">
        <v>10</v>
      </c>
      <c r="L9" s="189" t="s">
        <v>10</v>
      </c>
      <c r="M9" s="189">
        <v>38.79</v>
      </c>
      <c r="N9" s="189">
        <v>40.049999999999997</v>
      </c>
      <c r="O9" s="189" t="s">
        <v>10</v>
      </c>
      <c r="P9" s="189">
        <v>40.19</v>
      </c>
      <c r="Q9" s="189" t="s">
        <v>10</v>
      </c>
      <c r="R9" s="189" t="s">
        <v>10</v>
      </c>
      <c r="S9" s="189" t="s">
        <v>10</v>
      </c>
      <c r="T9" s="189" t="s">
        <v>10</v>
      </c>
      <c r="U9" s="189" t="s">
        <v>10</v>
      </c>
      <c r="V9" s="189" t="s">
        <v>10</v>
      </c>
      <c r="W9" s="189" t="s">
        <v>10</v>
      </c>
      <c r="X9" s="189" t="s">
        <v>10</v>
      </c>
      <c r="Y9" s="189" t="s">
        <v>10</v>
      </c>
      <c r="Z9" s="189" t="s">
        <v>10</v>
      </c>
      <c r="AA9" s="189" t="s">
        <v>10</v>
      </c>
      <c r="AB9" s="189" t="s">
        <v>10</v>
      </c>
      <c r="AC9" s="189" t="s">
        <v>10</v>
      </c>
      <c r="AD9" s="189" t="s">
        <v>10</v>
      </c>
      <c r="AE9" s="189" t="s">
        <v>10</v>
      </c>
      <c r="AF9" s="189" t="s">
        <v>10</v>
      </c>
      <c r="AG9" s="189" t="s">
        <v>10</v>
      </c>
      <c r="AH9" s="189" t="s">
        <v>10</v>
      </c>
      <c r="AI9" s="189" t="s">
        <v>10</v>
      </c>
    </row>
    <row r="10" spans="1:35" s="174" customFormat="1" x14ac:dyDescent="0.2">
      <c r="A10" s="179">
        <v>1989</v>
      </c>
      <c r="B10" s="179" t="s">
        <v>59</v>
      </c>
      <c r="C10" s="189">
        <v>28.01</v>
      </c>
      <c r="D10" s="189" t="s">
        <v>10</v>
      </c>
      <c r="E10" s="189">
        <v>41.24</v>
      </c>
      <c r="F10" s="189" t="s">
        <v>10</v>
      </c>
      <c r="G10" s="189">
        <v>41.9</v>
      </c>
      <c r="H10" s="189">
        <v>42.11</v>
      </c>
      <c r="I10" s="189">
        <v>43.65</v>
      </c>
      <c r="J10" s="189" t="s">
        <v>10</v>
      </c>
      <c r="K10" s="189" t="s">
        <v>10</v>
      </c>
      <c r="L10" s="189" t="s">
        <v>10</v>
      </c>
      <c r="M10" s="189">
        <v>50.22</v>
      </c>
      <c r="N10" s="189">
        <v>42.07</v>
      </c>
      <c r="O10" s="189" t="s">
        <v>10</v>
      </c>
      <c r="P10" s="189">
        <v>44.48</v>
      </c>
      <c r="Q10" s="189" t="s">
        <v>10</v>
      </c>
      <c r="R10" s="189">
        <v>21.92</v>
      </c>
      <c r="S10" s="189">
        <v>34.24</v>
      </c>
      <c r="T10" s="189" t="s">
        <v>10</v>
      </c>
      <c r="U10" s="189">
        <v>34.200000000000003</v>
      </c>
      <c r="V10" s="189" t="s">
        <v>10</v>
      </c>
      <c r="W10" s="189" t="s">
        <v>10</v>
      </c>
      <c r="X10" s="189">
        <v>46.91</v>
      </c>
      <c r="Y10" s="189">
        <v>42.58</v>
      </c>
      <c r="Z10" s="189" t="s">
        <v>10</v>
      </c>
      <c r="AA10" s="189">
        <v>43.25</v>
      </c>
      <c r="AB10" s="189">
        <v>41.8</v>
      </c>
      <c r="AC10" s="189" t="s">
        <v>10</v>
      </c>
      <c r="AD10" s="189" t="s">
        <v>10</v>
      </c>
      <c r="AE10" s="189" t="s">
        <v>10</v>
      </c>
      <c r="AF10" s="189" t="s">
        <v>10</v>
      </c>
      <c r="AG10" s="189" t="s">
        <v>10</v>
      </c>
      <c r="AH10" s="189" t="s">
        <v>10</v>
      </c>
      <c r="AI10" s="189" t="s">
        <v>10</v>
      </c>
    </row>
    <row r="11" spans="1:35" s="174" customFormat="1" x14ac:dyDescent="0.2">
      <c r="A11" s="179">
        <v>1990</v>
      </c>
      <c r="B11" s="179" t="s">
        <v>59</v>
      </c>
      <c r="C11" s="189">
        <v>29.56</v>
      </c>
      <c r="D11" s="189" t="s">
        <v>10</v>
      </c>
      <c r="E11" s="189">
        <v>40.15</v>
      </c>
      <c r="F11" s="189" t="s">
        <v>10</v>
      </c>
      <c r="G11" s="189">
        <v>44.28</v>
      </c>
      <c r="H11" s="189">
        <v>44.01</v>
      </c>
      <c r="I11" s="189">
        <v>50.48</v>
      </c>
      <c r="J11" s="189" t="s">
        <v>10</v>
      </c>
      <c r="K11" s="189">
        <v>35.01</v>
      </c>
      <c r="L11" s="189">
        <v>48.94</v>
      </c>
      <c r="M11" s="189">
        <v>45.88</v>
      </c>
      <c r="N11" s="189">
        <v>48.79</v>
      </c>
      <c r="O11" s="189">
        <v>49.07</v>
      </c>
      <c r="P11" s="189">
        <v>48.26</v>
      </c>
      <c r="Q11" s="189" t="s">
        <v>10</v>
      </c>
      <c r="R11" s="189">
        <v>25.1</v>
      </c>
      <c r="S11" s="189">
        <v>30.79</v>
      </c>
      <c r="T11" s="189" t="s">
        <v>10</v>
      </c>
      <c r="U11" s="189">
        <v>39.33</v>
      </c>
      <c r="V11" s="189" t="s">
        <v>10</v>
      </c>
      <c r="W11" s="189" t="s">
        <v>10</v>
      </c>
      <c r="X11" s="189" t="s">
        <v>10</v>
      </c>
      <c r="Y11" s="189" t="s">
        <v>10</v>
      </c>
      <c r="Z11" s="189" t="s">
        <v>10</v>
      </c>
      <c r="AA11" s="189" t="s">
        <v>10</v>
      </c>
      <c r="AB11" s="189" t="s">
        <v>10</v>
      </c>
      <c r="AC11" s="189" t="s">
        <v>10</v>
      </c>
      <c r="AD11" s="189" t="s">
        <v>10</v>
      </c>
      <c r="AE11" s="189" t="s">
        <v>10</v>
      </c>
      <c r="AF11" s="189">
        <v>46.34</v>
      </c>
      <c r="AG11" s="189">
        <v>44.85</v>
      </c>
      <c r="AH11" s="189">
        <v>46.51</v>
      </c>
      <c r="AI11" s="189">
        <v>60.97</v>
      </c>
    </row>
    <row r="12" spans="1:35" s="174" customFormat="1" x14ac:dyDescent="0.2">
      <c r="A12" s="179">
        <v>1991</v>
      </c>
      <c r="B12" s="179" t="s">
        <v>59</v>
      </c>
      <c r="C12" s="189">
        <v>30.89</v>
      </c>
      <c r="D12" s="189" t="s">
        <v>10</v>
      </c>
      <c r="E12" s="189">
        <v>46.26</v>
      </c>
      <c r="F12" s="189" t="s">
        <v>10</v>
      </c>
      <c r="G12" s="189">
        <v>49.68</v>
      </c>
      <c r="H12" s="189">
        <v>51.53</v>
      </c>
      <c r="I12" s="189">
        <v>56.8</v>
      </c>
      <c r="J12" s="189" t="s">
        <v>10</v>
      </c>
      <c r="K12" s="189">
        <v>38.82</v>
      </c>
      <c r="L12" s="189">
        <v>48.15</v>
      </c>
      <c r="M12" s="189">
        <v>50.77</v>
      </c>
      <c r="N12" s="189">
        <v>49.37</v>
      </c>
      <c r="O12" s="189">
        <v>51.83</v>
      </c>
      <c r="P12" s="189">
        <v>52.69</v>
      </c>
      <c r="Q12" s="189" t="s">
        <v>10</v>
      </c>
      <c r="R12" s="189">
        <v>25.21</v>
      </c>
      <c r="S12" s="189">
        <v>33.18</v>
      </c>
      <c r="T12" s="189" t="s">
        <v>10</v>
      </c>
      <c r="U12" s="189">
        <v>42.95</v>
      </c>
      <c r="V12" s="189" t="s">
        <v>10</v>
      </c>
      <c r="W12" s="189" t="s">
        <v>10</v>
      </c>
      <c r="X12" s="189" t="s">
        <v>10</v>
      </c>
      <c r="Y12" s="189" t="s">
        <v>10</v>
      </c>
      <c r="Z12" s="189" t="s">
        <v>10</v>
      </c>
      <c r="AA12" s="189" t="s">
        <v>10</v>
      </c>
      <c r="AB12" s="189" t="s">
        <v>10</v>
      </c>
      <c r="AC12" s="189" t="s">
        <v>10</v>
      </c>
      <c r="AD12" s="189" t="s">
        <v>10</v>
      </c>
      <c r="AE12" s="189" t="s">
        <v>10</v>
      </c>
      <c r="AF12" s="189">
        <v>46.78</v>
      </c>
      <c r="AG12" s="189">
        <v>51.59</v>
      </c>
      <c r="AH12" s="189">
        <v>57.94</v>
      </c>
      <c r="AI12" s="189">
        <v>60.8</v>
      </c>
    </row>
    <row r="13" spans="1:35" s="174" customFormat="1" x14ac:dyDescent="0.2">
      <c r="A13" s="179">
        <v>1992</v>
      </c>
      <c r="B13" s="179" t="s">
        <v>59</v>
      </c>
      <c r="C13" s="189">
        <v>28.63</v>
      </c>
      <c r="D13" s="189" t="s">
        <v>10</v>
      </c>
      <c r="E13" s="189">
        <v>36.92</v>
      </c>
      <c r="F13" s="189" t="s">
        <v>10</v>
      </c>
      <c r="G13" s="189">
        <v>42.95</v>
      </c>
      <c r="H13" s="189">
        <v>42.84</v>
      </c>
      <c r="I13" s="189">
        <v>47.16</v>
      </c>
      <c r="J13" s="189" t="s">
        <v>10</v>
      </c>
      <c r="K13" s="189">
        <v>42.55</v>
      </c>
      <c r="L13" s="189">
        <v>45.51</v>
      </c>
      <c r="M13" s="189">
        <v>44.52</v>
      </c>
      <c r="N13" s="189">
        <v>51.76</v>
      </c>
      <c r="O13" s="189">
        <v>58.62</v>
      </c>
      <c r="P13" s="189">
        <v>51</v>
      </c>
      <c r="Q13" s="189" t="s">
        <v>10</v>
      </c>
      <c r="R13" s="189">
        <v>25.14</v>
      </c>
      <c r="S13" s="189">
        <v>30.7</v>
      </c>
      <c r="T13" s="189" t="s">
        <v>10</v>
      </c>
      <c r="U13" s="189">
        <v>39.22</v>
      </c>
      <c r="V13" s="189" t="s">
        <v>10</v>
      </c>
      <c r="W13" s="189" t="s">
        <v>10</v>
      </c>
      <c r="X13" s="189" t="s">
        <v>10</v>
      </c>
      <c r="Y13" s="189" t="s">
        <v>10</v>
      </c>
      <c r="Z13" s="189" t="s">
        <v>10</v>
      </c>
      <c r="AA13" s="189" t="s">
        <v>10</v>
      </c>
      <c r="AB13" s="189" t="s">
        <v>10</v>
      </c>
      <c r="AC13" s="189" t="s">
        <v>10</v>
      </c>
      <c r="AD13" s="189" t="s">
        <v>10</v>
      </c>
      <c r="AE13" s="189" t="s">
        <v>10</v>
      </c>
      <c r="AF13" s="189">
        <v>41.5</v>
      </c>
      <c r="AG13" s="189">
        <v>48.38</v>
      </c>
      <c r="AH13" s="189">
        <v>51.96</v>
      </c>
      <c r="AI13" s="189">
        <v>56.16</v>
      </c>
    </row>
    <row r="14" spans="1:35" s="174" customFormat="1" x14ac:dyDescent="0.2">
      <c r="A14" s="179">
        <v>1993</v>
      </c>
      <c r="B14" s="179" t="s">
        <v>59</v>
      </c>
      <c r="C14" s="189">
        <v>15.66</v>
      </c>
      <c r="D14" s="189">
        <v>40.19</v>
      </c>
      <c r="E14" s="189">
        <v>26.98</v>
      </c>
      <c r="F14" s="189">
        <v>29.09</v>
      </c>
      <c r="G14" s="189">
        <v>28.21</v>
      </c>
      <c r="H14" s="189">
        <v>28.02</v>
      </c>
      <c r="I14" s="189">
        <v>26.66</v>
      </c>
      <c r="J14" s="189">
        <v>32.47</v>
      </c>
      <c r="K14" s="189">
        <v>34.65</v>
      </c>
      <c r="L14" s="189">
        <v>29.71</v>
      </c>
      <c r="M14" s="189">
        <v>24.95</v>
      </c>
      <c r="N14" s="189">
        <v>30.45</v>
      </c>
      <c r="O14" s="189">
        <v>30.96</v>
      </c>
      <c r="P14" s="189">
        <v>29.19</v>
      </c>
      <c r="Q14" s="189">
        <v>36.93</v>
      </c>
      <c r="R14" s="189">
        <v>16.73</v>
      </c>
      <c r="S14" s="189">
        <v>21.68</v>
      </c>
      <c r="T14" s="189" t="s">
        <v>10</v>
      </c>
      <c r="U14" s="189">
        <v>23.97</v>
      </c>
      <c r="V14" s="189" t="s">
        <v>10</v>
      </c>
      <c r="W14" s="189" t="s">
        <v>10</v>
      </c>
      <c r="X14" s="189" t="s">
        <v>10</v>
      </c>
      <c r="Y14" s="189" t="s">
        <v>10</v>
      </c>
      <c r="Z14" s="189" t="s">
        <v>10</v>
      </c>
      <c r="AA14" s="189" t="s">
        <v>10</v>
      </c>
      <c r="AB14" s="189" t="s">
        <v>10</v>
      </c>
      <c r="AC14" s="189" t="s">
        <v>10</v>
      </c>
      <c r="AD14" s="189" t="s">
        <v>10</v>
      </c>
      <c r="AE14" s="189">
        <v>28.9</v>
      </c>
      <c r="AF14" s="189">
        <v>30.25</v>
      </c>
      <c r="AG14" s="189">
        <v>29.12</v>
      </c>
      <c r="AH14" s="189">
        <v>30.99</v>
      </c>
      <c r="AI14" s="189">
        <v>31.55</v>
      </c>
    </row>
    <row r="15" spans="1:35" s="174" customFormat="1" x14ac:dyDescent="0.2">
      <c r="A15" s="179">
        <v>1994</v>
      </c>
      <c r="B15" s="179" t="s">
        <v>59</v>
      </c>
      <c r="C15" s="189">
        <v>16.329999999999998</v>
      </c>
      <c r="D15" s="189">
        <v>44.17</v>
      </c>
      <c r="E15" s="189">
        <v>41</v>
      </c>
      <c r="F15" s="189">
        <v>41.09</v>
      </c>
      <c r="G15" s="189">
        <v>41.71</v>
      </c>
      <c r="H15" s="189">
        <v>39.869999999999997</v>
      </c>
      <c r="I15" s="189">
        <v>40.17</v>
      </c>
      <c r="J15" s="189">
        <v>41.51</v>
      </c>
      <c r="K15" s="189">
        <v>49.45</v>
      </c>
      <c r="L15" s="189">
        <v>40.229999999999997</v>
      </c>
      <c r="M15" s="189">
        <v>41.78</v>
      </c>
      <c r="N15" s="189">
        <v>40.96</v>
      </c>
      <c r="O15" s="189">
        <v>40.840000000000003</v>
      </c>
      <c r="P15" s="189">
        <v>34.5</v>
      </c>
      <c r="Q15" s="189">
        <v>50.83</v>
      </c>
      <c r="R15" s="189">
        <v>20.190000000000001</v>
      </c>
      <c r="S15" s="189">
        <v>34.18</v>
      </c>
      <c r="T15" s="189" t="s">
        <v>10</v>
      </c>
      <c r="U15" s="189">
        <v>36.01</v>
      </c>
      <c r="V15" s="189" t="s">
        <v>10</v>
      </c>
      <c r="W15" s="189" t="s">
        <v>10</v>
      </c>
      <c r="X15" s="189" t="s">
        <v>10</v>
      </c>
      <c r="Y15" s="189" t="s">
        <v>10</v>
      </c>
      <c r="Z15" s="189" t="s">
        <v>10</v>
      </c>
      <c r="AA15" s="189" t="s">
        <v>10</v>
      </c>
      <c r="AB15" s="189" t="s">
        <v>10</v>
      </c>
      <c r="AC15" s="189" t="s">
        <v>10</v>
      </c>
      <c r="AD15" s="189" t="s">
        <v>10</v>
      </c>
      <c r="AE15" s="189">
        <v>42.6</v>
      </c>
      <c r="AF15" s="189">
        <v>41.3</v>
      </c>
      <c r="AG15" s="189">
        <v>34.950000000000003</v>
      </c>
      <c r="AH15" s="189">
        <v>38.22</v>
      </c>
      <c r="AI15" s="189">
        <v>41.67</v>
      </c>
    </row>
    <row r="16" spans="1:35" s="174" customFormat="1" x14ac:dyDescent="0.2">
      <c r="A16" s="179">
        <v>1995</v>
      </c>
      <c r="B16" s="179" t="s">
        <v>59</v>
      </c>
      <c r="C16" s="189">
        <v>22.06</v>
      </c>
      <c r="D16" s="189">
        <v>70.56</v>
      </c>
      <c r="E16" s="189">
        <v>47.39</v>
      </c>
      <c r="F16" s="189">
        <v>47.84</v>
      </c>
      <c r="G16" s="189">
        <v>51.25</v>
      </c>
      <c r="H16" s="189">
        <v>46.09</v>
      </c>
      <c r="I16" s="189">
        <v>49.19</v>
      </c>
      <c r="J16" s="189">
        <v>61.44</v>
      </c>
      <c r="K16" s="189">
        <v>64.02</v>
      </c>
      <c r="L16" s="189">
        <v>53.75</v>
      </c>
      <c r="M16" s="189">
        <v>48.81</v>
      </c>
      <c r="N16" s="189">
        <v>47.9</v>
      </c>
      <c r="O16" s="189">
        <v>48.82</v>
      </c>
      <c r="P16" s="189">
        <v>54.56</v>
      </c>
      <c r="Q16" s="189">
        <v>72.709999999999994</v>
      </c>
      <c r="R16" s="189">
        <v>23.01</v>
      </c>
      <c r="S16" s="189">
        <v>40.82</v>
      </c>
      <c r="T16" s="189">
        <v>42.05</v>
      </c>
      <c r="U16" s="189">
        <v>42.16</v>
      </c>
      <c r="V16" s="189">
        <v>41.52</v>
      </c>
      <c r="W16" s="189">
        <v>37.33</v>
      </c>
      <c r="X16" s="189" t="s">
        <v>10</v>
      </c>
      <c r="Y16" s="189" t="s">
        <v>10</v>
      </c>
      <c r="Z16" s="189" t="s">
        <v>10</v>
      </c>
      <c r="AA16" s="189" t="s">
        <v>10</v>
      </c>
      <c r="AB16" s="189" t="s">
        <v>10</v>
      </c>
      <c r="AC16" s="189" t="s">
        <v>10</v>
      </c>
      <c r="AD16" s="189" t="s">
        <v>10</v>
      </c>
      <c r="AE16" s="189">
        <v>49.08</v>
      </c>
      <c r="AF16" s="189">
        <v>47.28</v>
      </c>
      <c r="AG16" s="189">
        <v>43.05</v>
      </c>
      <c r="AH16" s="189" t="s">
        <v>10</v>
      </c>
      <c r="AI16" s="189" t="s">
        <v>10</v>
      </c>
    </row>
    <row r="17" spans="1:35" s="174" customFormat="1" x14ac:dyDescent="0.2">
      <c r="A17" s="179">
        <v>1996</v>
      </c>
      <c r="B17" s="179" t="s">
        <v>59</v>
      </c>
      <c r="C17" s="189">
        <v>18.399999999999999</v>
      </c>
      <c r="D17" s="189">
        <v>32.56</v>
      </c>
      <c r="E17" s="189">
        <v>32.14</v>
      </c>
      <c r="F17" s="189">
        <v>33.69</v>
      </c>
      <c r="G17" s="189">
        <v>34.76</v>
      </c>
      <c r="H17" s="189">
        <v>34.81</v>
      </c>
      <c r="I17" s="189">
        <v>31.62</v>
      </c>
      <c r="J17" s="189">
        <v>25.02</v>
      </c>
      <c r="K17" s="189">
        <v>19.47</v>
      </c>
      <c r="L17" s="189">
        <v>32.159999999999997</v>
      </c>
      <c r="M17" s="189">
        <v>33.4</v>
      </c>
      <c r="N17" s="189">
        <v>35.49</v>
      </c>
      <c r="O17" s="189">
        <v>34.270000000000003</v>
      </c>
      <c r="P17" s="189">
        <v>37.65</v>
      </c>
      <c r="Q17" s="189">
        <v>23.16</v>
      </c>
      <c r="R17" s="189">
        <v>17.329999999999998</v>
      </c>
      <c r="S17" s="189">
        <v>23</v>
      </c>
      <c r="T17" s="189">
        <v>25.36</v>
      </c>
      <c r="U17" s="189">
        <v>27.91</v>
      </c>
      <c r="V17" s="189">
        <v>26.68</v>
      </c>
      <c r="W17" s="189">
        <v>27.68</v>
      </c>
      <c r="X17" s="189" t="s">
        <v>10</v>
      </c>
      <c r="Y17" s="189" t="s">
        <v>10</v>
      </c>
      <c r="Z17" s="189" t="s">
        <v>10</v>
      </c>
      <c r="AA17" s="189" t="s">
        <v>10</v>
      </c>
      <c r="AB17" s="189" t="s">
        <v>10</v>
      </c>
      <c r="AC17" s="189" t="s">
        <v>10</v>
      </c>
      <c r="AD17" s="189" t="s">
        <v>10</v>
      </c>
      <c r="AE17" s="189" t="s">
        <v>10</v>
      </c>
      <c r="AF17" s="189" t="s">
        <v>10</v>
      </c>
      <c r="AG17" s="189" t="s">
        <v>10</v>
      </c>
      <c r="AH17" s="189" t="s">
        <v>10</v>
      </c>
      <c r="AI17" s="189" t="s">
        <v>10</v>
      </c>
    </row>
    <row r="18" spans="1:35" s="174" customFormat="1" x14ac:dyDescent="0.2">
      <c r="A18" s="179">
        <v>1997</v>
      </c>
      <c r="B18" s="179" t="s">
        <v>59</v>
      </c>
      <c r="C18" s="189">
        <v>15.65</v>
      </c>
      <c r="D18" s="189">
        <v>27.44</v>
      </c>
      <c r="E18" s="189">
        <v>28.91</v>
      </c>
      <c r="F18" s="189">
        <v>31.82</v>
      </c>
      <c r="G18" s="189">
        <v>32.44</v>
      </c>
      <c r="H18" s="189">
        <v>33.51</v>
      </c>
      <c r="I18" s="189">
        <v>34.590000000000003</v>
      </c>
      <c r="J18" s="189">
        <v>26.87</v>
      </c>
      <c r="K18" s="189">
        <v>19.68</v>
      </c>
      <c r="L18" s="189">
        <v>29.57</v>
      </c>
      <c r="M18" s="189">
        <v>29.51</v>
      </c>
      <c r="N18" s="189">
        <v>32.159999999999997</v>
      </c>
      <c r="O18" s="189">
        <v>30.68</v>
      </c>
      <c r="P18" s="189">
        <v>30.79</v>
      </c>
      <c r="Q18" s="189">
        <v>19.95</v>
      </c>
      <c r="R18" s="189">
        <v>12.96</v>
      </c>
      <c r="S18" s="189">
        <v>24.19</v>
      </c>
      <c r="T18" s="189">
        <v>27.6</v>
      </c>
      <c r="U18" s="189">
        <v>32.19</v>
      </c>
      <c r="V18" s="189">
        <v>29.53</v>
      </c>
      <c r="W18" s="189">
        <v>30</v>
      </c>
      <c r="X18" s="189" t="s">
        <v>10</v>
      </c>
      <c r="Y18" s="189" t="s">
        <v>10</v>
      </c>
      <c r="Z18" s="189" t="s">
        <v>10</v>
      </c>
      <c r="AA18" s="189" t="s">
        <v>10</v>
      </c>
      <c r="AB18" s="189" t="s">
        <v>10</v>
      </c>
      <c r="AC18" s="189" t="s">
        <v>10</v>
      </c>
      <c r="AD18" s="189" t="s">
        <v>10</v>
      </c>
      <c r="AE18" s="189" t="s">
        <v>10</v>
      </c>
      <c r="AF18" s="189" t="s">
        <v>10</v>
      </c>
      <c r="AG18" s="189" t="s">
        <v>10</v>
      </c>
      <c r="AH18" s="189" t="s">
        <v>10</v>
      </c>
      <c r="AI18" s="189" t="s">
        <v>10</v>
      </c>
    </row>
    <row r="19" spans="1:35" s="174" customFormat="1" x14ac:dyDescent="0.2">
      <c r="A19" s="179">
        <v>1998</v>
      </c>
      <c r="B19" s="179" t="s">
        <v>59</v>
      </c>
      <c r="C19" s="189">
        <v>16.45</v>
      </c>
      <c r="D19" s="189">
        <v>50.72</v>
      </c>
      <c r="E19" s="189">
        <v>48.2</v>
      </c>
      <c r="F19" s="189">
        <v>49.24</v>
      </c>
      <c r="G19" s="189">
        <v>49.9</v>
      </c>
      <c r="H19" s="189">
        <v>48.27</v>
      </c>
      <c r="I19" s="189">
        <v>48.19</v>
      </c>
      <c r="J19" s="179">
        <v>59.87</v>
      </c>
      <c r="K19" s="179">
        <v>46.03</v>
      </c>
      <c r="L19" s="179">
        <v>48.01</v>
      </c>
      <c r="M19" s="179">
        <v>47.56</v>
      </c>
      <c r="N19" s="179">
        <v>48.89</v>
      </c>
      <c r="O19" s="179">
        <v>49.04</v>
      </c>
      <c r="P19" s="179">
        <v>45.61</v>
      </c>
      <c r="Q19" s="179">
        <v>37.950000000000003</v>
      </c>
      <c r="R19" s="189">
        <v>10.72</v>
      </c>
      <c r="S19" s="189">
        <v>42.9</v>
      </c>
      <c r="T19" s="189">
        <v>41.09</v>
      </c>
      <c r="U19" s="189">
        <v>48.95</v>
      </c>
      <c r="V19" s="189">
        <v>37.15</v>
      </c>
      <c r="W19" s="189">
        <v>41.06</v>
      </c>
      <c r="X19" s="189" t="s">
        <v>10</v>
      </c>
      <c r="Y19" s="189" t="s">
        <v>10</v>
      </c>
      <c r="Z19" s="189" t="s">
        <v>10</v>
      </c>
      <c r="AA19" s="189" t="s">
        <v>10</v>
      </c>
      <c r="AB19" s="189" t="s">
        <v>10</v>
      </c>
      <c r="AC19" s="189" t="s">
        <v>10</v>
      </c>
      <c r="AD19" s="189" t="s">
        <v>10</v>
      </c>
      <c r="AE19" s="189" t="s">
        <v>10</v>
      </c>
      <c r="AF19" s="189" t="s">
        <v>10</v>
      </c>
      <c r="AG19" s="189" t="s">
        <v>10</v>
      </c>
      <c r="AH19" s="189" t="s">
        <v>10</v>
      </c>
      <c r="AI19" s="189" t="s">
        <v>10</v>
      </c>
    </row>
    <row r="20" spans="1:35" s="174" customFormat="1" x14ac:dyDescent="0.2">
      <c r="A20" s="179">
        <v>1999</v>
      </c>
      <c r="B20" s="179" t="s">
        <v>59</v>
      </c>
      <c r="C20" s="189">
        <v>16.53</v>
      </c>
      <c r="D20" s="179">
        <v>96.64</v>
      </c>
      <c r="E20" s="189">
        <v>50.38</v>
      </c>
      <c r="F20" s="189">
        <v>47.12</v>
      </c>
      <c r="G20" s="189">
        <v>45.91</v>
      </c>
      <c r="H20" s="189">
        <v>45.91</v>
      </c>
      <c r="I20" s="189">
        <v>38.85</v>
      </c>
      <c r="J20" s="179">
        <v>100.06</v>
      </c>
      <c r="K20" s="179" t="s">
        <v>10</v>
      </c>
      <c r="L20" s="179">
        <v>43.36</v>
      </c>
      <c r="M20" s="179">
        <v>46.45</v>
      </c>
      <c r="N20" s="179">
        <v>46.21</v>
      </c>
      <c r="O20" s="178">
        <v>36.68</v>
      </c>
      <c r="P20" s="179">
        <v>46.49</v>
      </c>
      <c r="Q20" s="179">
        <v>94.92</v>
      </c>
      <c r="R20" s="189">
        <v>10.050000000000001</v>
      </c>
      <c r="S20" s="189">
        <v>42.55</v>
      </c>
      <c r="T20" s="189">
        <v>40.85</v>
      </c>
      <c r="U20" s="189">
        <v>44</v>
      </c>
      <c r="V20" s="189">
        <v>38.840000000000003</v>
      </c>
      <c r="W20" s="189">
        <v>42.82</v>
      </c>
      <c r="X20" s="189" t="s">
        <v>10</v>
      </c>
      <c r="Y20" s="189" t="s">
        <v>10</v>
      </c>
      <c r="Z20" s="189" t="s">
        <v>10</v>
      </c>
      <c r="AA20" s="189" t="s">
        <v>10</v>
      </c>
      <c r="AB20" s="189" t="s">
        <v>10</v>
      </c>
      <c r="AC20" s="189" t="s">
        <v>10</v>
      </c>
      <c r="AD20" s="189" t="s">
        <v>10</v>
      </c>
      <c r="AE20" s="189" t="s">
        <v>10</v>
      </c>
      <c r="AF20" s="189" t="s">
        <v>10</v>
      </c>
      <c r="AG20" s="189" t="s">
        <v>10</v>
      </c>
      <c r="AH20" s="189" t="s">
        <v>10</v>
      </c>
      <c r="AI20" s="189" t="s">
        <v>10</v>
      </c>
    </row>
    <row r="21" spans="1:35" s="174" customFormat="1" x14ac:dyDescent="0.2">
      <c r="A21" s="182"/>
      <c r="B21" s="182"/>
      <c r="C21" s="182"/>
      <c r="D21" s="182"/>
      <c r="E21" s="423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  <c r="AC21" s="423"/>
      <c r="AD21" s="423"/>
      <c r="AE21" s="423"/>
      <c r="AF21" s="423"/>
      <c r="AG21" s="423"/>
      <c r="AH21" s="423"/>
      <c r="AI21" s="423"/>
    </row>
    <row r="22" spans="1:35" s="174" customFormat="1" x14ac:dyDescent="0.2">
      <c r="E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</row>
    <row r="23" spans="1:35" s="174" customFormat="1" x14ac:dyDescent="0.2"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</row>
    <row r="24" spans="1:35" s="174" customFormat="1" x14ac:dyDescent="0.2">
      <c r="A24" s="410"/>
      <c r="R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</row>
    <row r="25" spans="1:35" s="174" customFormat="1" x14ac:dyDescent="0.2">
      <c r="A25" s="124" t="s">
        <v>598</v>
      </c>
      <c r="Y25" s="341"/>
      <c r="Z25" s="341"/>
      <c r="AA25" s="341"/>
      <c r="AB25" s="341"/>
      <c r="AC25" s="341"/>
      <c r="AD25" s="341"/>
      <c r="AE25" s="341"/>
      <c r="AF25" s="341"/>
      <c r="AG25" s="341"/>
      <c r="AH25" s="341"/>
      <c r="AI25" s="341"/>
    </row>
    <row r="26" spans="1:35" s="174" customFormat="1" x14ac:dyDescent="0.2">
      <c r="R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</row>
    <row r="27" spans="1:35" s="174" customFormat="1" x14ac:dyDescent="0.2"/>
    <row r="28" spans="1:35" s="174" customFormat="1" x14ac:dyDescent="0.2"/>
    <row r="29" spans="1:35" s="174" customFormat="1" x14ac:dyDescent="0.2"/>
    <row r="30" spans="1:35" s="174" customFormat="1" x14ac:dyDescent="0.2"/>
    <row r="31" spans="1:35" s="174" customFormat="1" x14ac:dyDescent="0.2"/>
    <row r="32" spans="1:35" s="174" customFormat="1" x14ac:dyDescent="0.2"/>
    <row r="33" s="174" customFormat="1" x14ac:dyDescent="0.2"/>
    <row r="34" s="174" customFormat="1" x14ac:dyDescent="0.2"/>
    <row r="35" s="174" customFormat="1" x14ac:dyDescent="0.2"/>
    <row r="36" s="174" customFormat="1" x14ac:dyDescent="0.2"/>
    <row r="37" s="174" customFormat="1" x14ac:dyDescent="0.2"/>
    <row r="38" s="174" customFormat="1" x14ac:dyDescent="0.2"/>
    <row r="39" s="174" customFormat="1" x14ac:dyDescent="0.2"/>
    <row r="40" s="174" customFormat="1" x14ac:dyDescent="0.2"/>
    <row r="41" s="174" customFormat="1" x14ac:dyDescent="0.2"/>
    <row r="42" s="174" customFormat="1" x14ac:dyDescent="0.2"/>
    <row r="43" s="174" customFormat="1" x14ac:dyDescent="0.2"/>
    <row r="44" s="174" customFormat="1" x14ac:dyDescent="0.2"/>
  </sheetData>
  <mergeCells count="9">
    <mergeCell ref="A1:AI1"/>
    <mergeCell ref="A2:AI2"/>
    <mergeCell ref="C5:C6"/>
    <mergeCell ref="E5:I5"/>
    <mergeCell ref="L5:P5"/>
    <mergeCell ref="S5:W5"/>
    <mergeCell ref="Y5:AC5"/>
    <mergeCell ref="AE5:AI5"/>
    <mergeCell ref="A4:B6"/>
  </mergeCells>
  <hyperlinks>
    <hyperlink ref="A25" location="'indice cap.1'!A1" display="regresar al índice" xr:uid="{00000000-0004-0000-2400-000000000000}"/>
  </hyperlinks>
  <pageMargins left="0.70866141732283472" right="0" top="0.74803149606299213" bottom="0.74803149606299213" header="0.31496062992125984" footer="0.31496062992125984"/>
  <pageSetup paperSize="9" scale="60" orientation="landscape" verticalDpi="599" r:id="rId1"/>
  <ignoredErrors>
    <ignoredError sqref="AD6 J6:K6 Q6 X6" twoDigitTextYear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57"/>
  <sheetViews>
    <sheetView showGridLines="0" workbookViewId="0">
      <selection activeCell="A4" sqref="A4:B6"/>
    </sheetView>
  </sheetViews>
  <sheetFormatPr defaultColWidth="11.42578125" defaultRowHeight="12.75" x14ac:dyDescent="0.2"/>
  <cols>
    <col min="1" max="1" width="11.42578125" style="303"/>
    <col min="2" max="32" width="12.7109375" style="303" customWidth="1"/>
    <col min="33" max="16384" width="11.42578125" style="303"/>
  </cols>
  <sheetData>
    <row r="1" spans="1:33" x14ac:dyDescent="0.2">
      <c r="A1" s="648" t="s">
        <v>693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359"/>
    </row>
    <row r="2" spans="1:33" x14ac:dyDescent="0.2">
      <c r="A2" s="648" t="s">
        <v>62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359"/>
    </row>
    <row r="3" spans="1:33" x14ac:dyDescent="0.2">
      <c r="A3" s="359"/>
      <c r="B3" s="359"/>
      <c r="C3" s="359"/>
      <c r="D3" s="359"/>
      <c r="E3" s="360"/>
      <c r="F3" s="359"/>
      <c r="G3" s="360"/>
      <c r="H3" s="360"/>
      <c r="I3" s="360"/>
      <c r="J3" s="359"/>
      <c r="K3" s="359"/>
      <c r="L3" s="360"/>
      <c r="M3" s="359"/>
      <c r="N3" s="360"/>
      <c r="O3" s="360"/>
      <c r="P3" s="360"/>
      <c r="Q3" s="359"/>
      <c r="R3" s="359"/>
      <c r="S3" s="359"/>
      <c r="T3" s="359"/>
      <c r="U3" s="360"/>
      <c r="V3" s="360"/>
      <c r="W3" s="360"/>
      <c r="X3" s="359"/>
      <c r="Y3" s="359"/>
      <c r="Z3" s="359"/>
      <c r="AA3" s="359"/>
      <c r="AB3" s="359"/>
      <c r="AC3" s="359"/>
      <c r="AD3" s="359"/>
      <c r="AE3" s="359"/>
      <c r="AF3" s="359"/>
      <c r="AG3" s="359"/>
    </row>
    <row r="4" spans="1:33" s="369" customFormat="1" ht="39.75" customHeight="1" x14ac:dyDescent="0.25">
      <c r="A4" s="665" t="s">
        <v>67</v>
      </c>
      <c r="B4" s="666"/>
      <c r="C4" s="645" t="s">
        <v>589</v>
      </c>
      <c r="D4" s="664"/>
      <c r="E4" s="664"/>
      <c r="F4" s="664"/>
      <c r="G4" s="664"/>
      <c r="H4" s="664"/>
      <c r="I4" s="664"/>
      <c r="J4" s="645" t="s">
        <v>594</v>
      </c>
      <c r="K4" s="664"/>
      <c r="L4" s="664"/>
      <c r="M4" s="664"/>
      <c r="N4" s="664"/>
      <c r="O4" s="664"/>
      <c r="P4" s="664"/>
      <c r="Q4" s="645" t="s">
        <v>65</v>
      </c>
      <c r="R4" s="664"/>
      <c r="S4" s="664"/>
      <c r="T4" s="664"/>
      <c r="U4" s="664"/>
      <c r="V4" s="664"/>
      <c r="W4" s="664"/>
      <c r="X4" s="645" t="s">
        <v>595</v>
      </c>
      <c r="Y4" s="645"/>
      <c r="Z4" s="645"/>
      <c r="AA4" s="645"/>
      <c r="AB4" s="645"/>
      <c r="AC4" s="645"/>
      <c r="AD4" s="645"/>
      <c r="AE4" s="645" t="s">
        <v>592</v>
      </c>
      <c r="AF4" s="643"/>
      <c r="AG4" s="368"/>
    </row>
    <row r="5" spans="1:33" s="367" customFormat="1" ht="25.5" x14ac:dyDescent="0.25">
      <c r="A5" s="667"/>
      <c r="B5" s="668"/>
      <c r="C5" s="406" t="s">
        <v>744</v>
      </c>
      <c r="D5" s="662" t="s">
        <v>66</v>
      </c>
      <c r="E5" s="663"/>
      <c r="F5" s="663"/>
      <c r="G5" s="663"/>
      <c r="H5" s="663"/>
      <c r="I5" s="663"/>
      <c r="J5" s="406" t="s">
        <v>744</v>
      </c>
      <c r="K5" s="662" t="s">
        <v>66</v>
      </c>
      <c r="L5" s="663"/>
      <c r="M5" s="663"/>
      <c r="N5" s="663"/>
      <c r="O5" s="663"/>
      <c r="P5" s="663"/>
      <c r="Q5" s="406" t="s">
        <v>744</v>
      </c>
      <c r="R5" s="662" t="s">
        <v>66</v>
      </c>
      <c r="S5" s="663"/>
      <c r="T5" s="663"/>
      <c r="U5" s="663"/>
      <c r="V5" s="663"/>
      <c r="W5" s="663"/>
      <c r="X5" s="406" t="s">
        <v>744</v>
      </c>
      <c r="Y5" s="662" t="s">
        <v>66</v>
      </c>
      <c r="Z5" s="662"/>
      <c r="AA5" s="662"/>
      <c r="AB5" s="662"/>
      <c r="AC5" s="662"/>
      <c r="AD5" s="662"/>
      <c r="AE5" s="662" t="s">
        <v>596</v>
      </c>
      <c r="AF5" s="670"/>
      <c r="AG5" s="366"/>
    </row>
    <row r="6" spans="1:33" s="369" customFormat="1" x14ac:dyDescent="0.25">
      <c r="A6" s="620"/>
      <c r="B6" s="669"/>
      <c r="C6" s="373" t="s">
        <v>80</v>
      </c>
      <c r="D6" s="373" t="s">
        <v>68</v>
      </c>
      <c r="E6" s="374" t="s">
        <v>69</v>
      </c>
      <c r="F6" s="373" t="s">
        <v>70</v>
      </c>
      <c r="G6" s="374" t="s">
        <v>71</v>
      </c>
      <c r="H6" s="374" t="s">
        <v>72</v>
      </c>
      <c r="I6" s="374" t="s">
        <v>73</v>
      </c>
      <c r="J6" s="373" t="s">
        <v>74</v>
      </c>
      <c r="K6" s="373" t="s">
        <v>74</v>
      </c>
      <c r="L6" s="374" t="s">
        <v>69</v>
      </c>
      <c r="M6" s="373" t="s">
        <v>70</v>
      </c>
      <c r="N6" s="374" t="s">
        <v>71</v>
      </c>
      <c r="O6" s="374" t="s">
        <v>72</v>
      </c>
      <c r="P6" s="374" t="s">
        <v>73</v>
      </c>
      <c r="Q6" s="373" t="s">
        <v>74</v>
      </c>
      <c r="R6" s="373" t="s">
        <v>74</v>
      </c>
      <c r="S6" s="373" t="s">
        <v>69</v>
      </c>
      <c r="T6" s="373" t="s">
        <v>70</v>
      </c>
      <c r="U6" s="374" t="s">
        <v>75</v>
      </c>
      <c r="V6" s="374" t="s">
        <v>76</v>
      </c>
      <c r="W6" s="374" t="s">
        <v>73</v>
      </c>
      <c r="X6" s="373" t="s">
        <v>74</v>
      </c>
      <c r="Y6" s="373" t="s">
        <v>74</v>
      </c>
      <c r="Z6" s="373" t="s">
        <v>69</v>
      </c>
      <c r="AA6" s="373" t="s">
        <v>70</v>
      </c>
      <c r="AB6" s="373" t="s">
        <v>71</v>
      </c>
      <c r="AC6" s="373" t="s">
        <v>76</v>
      </c>
      <c r="AD6" s="373" t="s">
        <v>73</v>
      </c>
      <c r="AE6" s="373" t="s">
        <v>76</v>
      </c>
      <c r="AF6" s="375" t="s">
        <v>73</v>
      </c>
      <c r="AG6" s="368"/>
    </row>
    <row r="7" spans="1:33" x14ac:dyDescent="0.2">
      <c r="E7" s="361"/>
      <c r="G7" s="361"/>
      <c r="H7" s="361"/>
      <c r="I7" s="361"/>
      <c r="K7" s="334"/>
      <c r="L7" s="361"/>
      <c r="N7" s="361"/>
      <c r="O7" s="361"/>
      <c r="P7" s="361"/>
      <c r="U7" s="361"/>
      <c r="V7" s="361"/>
      <c r="W7" s="361"/>
    </row>
    <row r="8" spans="1:33" s="334" customFormat="1" x14ac:dyDescent="0.2">
      <c r="A8" s="335">
        <v>1988</v>
      </c>
      <c r="B8" s="335" t="s">
        <v>59</v>
      </c>
      <c r="C8" s="335" t="s">
        <v>10</v>
      </c>
      <c r="D8" s="335" t="s">
        <v>10</v>
      </c>
      <c r="E8" s="335">
        <v>44.73</v>
      </c>
      <c r="F8" s="335" t="s">
        <v>10</v>
      </c>
      <c r="G8" s="335">
        <v>44.57</v>
      </c>
      <c r="H8" s="335">
        <v>41.55</v>
      </c>
      <c r="I8" s="335">
        <v>42.36</v>
      </c>
      <c r="J8" s="335" t="s">
        <v>10</v>
      </c>
      <c r="K8" s="335" t="s">
        <v>10</v>
      </c>
      <c r="L8" s="335">
        <v>41.77</v>
      </c>
      <c r="M8" s="335" t="s">
        <v>10</v>
      </c>
      <c r="N8" s="370">
        <v>42.86</v>
      </c>
      <c r="O8" s="370">
        <v>42.78</v>
      </c>
      <c r="P8" s="370">
        <v>41.4</v>
      </c>
      <c r="Q8" s="335" t="s">
        <v>10</v>
      </c>
      <c r="R8" s="335" t="s">
        <v>10</v>
      </c>
      <c r="S8" s="370" t="s">
        <v>10</v>
      </c>
      <c r="T8" s="370" t="s">
        <v>10</v>
      </c>
      <c r="U8" s="370" t="s">
        <v>10</v>
      </c>
      <c r="V8" s="370" t="s">
        <v>10</v>
      </c>
      <c r="W8" s="370" t="s">
        <v>10</v>
      </c>
      <c r="X8" s="370" t="s">
        <v>10</v>
      </c>
      <c r="Y8" s="370" t="s">
        <v>10</v>
      </c>
      <c r="Z8" s="370" t="s">
        <v>10</v>
      </c>
      <c r="AA8" s="370" t="s">
        <v>10</v>
      </c>
      <c r="AB8" s="370" t="s">
        <v>10</v>
      </c>
      <c r="AC8" s="370" t="s">
        <v>10</v>
      </c>
      <c r="AD8" s="370" t="s">
        <v>10</v>
      </c>
      <c r="AE8" s="370" t="s">
        <v>10</v>
      </c>
      <c r="AF8" s="370" t="s">
        <v>10</v>
      </c>
    </row>
    <row r="9" spans="1:33" s="334" customFormat="1" x14ac:dyDescent="0.2">
      <c r="A9" s="335">
        <v>1989</v>
      </c>
      <c r="B9" s="335" t="s">
        <v>59</v>
      </c>
      <c r="C9" s="335" t="s">
        <v>10</v>
      </c>
      <c r="D9" s="335" t="s">
        <v>10</v>
      </c>
      <c r="E9" s="335">
        <v>49.33</v>
      </c>
      <c r="F9" s="335" t="s">
        <v>10</v>
      </c>
      <c r="G9" s="335">
        <v>49.16</v>
      </c>
      <c r="H9" s="335">
        <v>45.92</v>
      </c>
      <c r="I9" s="335">
        <v>46.88</v>
      </c>
      <c r="J9" s="335" t="s">
        <v>10</v>
      </c>
      <c r="K9" s="335" t="s">
        <v>10</v>
      </c>
      <c r="L9" s="335">
        <v>51.63</v>
      </c>
      <c r="M9" s="335" t="s">
        <v>10</v>
      </c>
      <c r="N9" s="370">
        <v>50.27</v>
      </c>
      <c r="O9" s="370">
        <v>51.71</v>
      </c>
      <c r="P9" s="370" t="s">
        <v>10</v>
      </c>
      <c r="Q9" s="335" t="s">
        <v>10</v>
      </c>
      <c r="R9" s="335" t="s">
        <v>10</v>
      </c>
      <c r="S9" s="370">
        <v>44.02</v>
      </c>
      <c r="T9" s="370" t="s">
        <v>10</v>
      </c>
      <c r="U9" s="370">
        <v>42.08</v>
      </c>
      <c r="V9" s="370">
        <v>34.78</v>
      </c>
      <c r="W9" s="370">
        <v>32.35</v>
      </c>
      <c r="X9" s="370" t="s">
        <v>10</v>
      </c>
      <c r="Y9" s="370">
        <v>49.59</v>
      </c>
      <c r="Z9" s="370">
        <v>49.4</v>
      </c>
      <c r="AA9" s="370" t="s">
        <v>10</v>
      </c>
      <c r="AB9" s="370">
        <v>31.81</v>
      </c>
      <c r="AC9" s="370">
        <v>48.94</v>
      </c>
      <c r="AD9" s="370" t="s">
        <v>10</v>
      </c>
      <c r="AE9" s="370" t="s">
        <v>10</v>
      </c>
      <c r="AF9" s="370" t="s">
        <v>10</v>
      </c>
    </row>
    <row r="10" spans="1:33" s="334" customFormat="1" x14ac:dyDescent="0.2">
      <c r="A10" s="335">
        <v>1990</v>
      </c>
      <c r="B10" s="335" t="s">
        <v>59</v>
      </c>
      <c r="C10" s="335" t="s">
        <v>10</v>
      </c>
      <c r="D10" s="335" t="s">
        <v>10</v>
      </c>
      <c r="E10" s="335">
        <v>53.94</v>
      </c>
      <c r="F10" s="335" t="s">
        <v>10</v>
      </c>
      <c r="G10" s="335">
        <v>53.09</v>
      </c>
      <c r="H10" s="335">
        <v>52.06</v>
      </c>
      <c r="I10" s="335">
        <v>50.85</v>
      </c>
      <c r="J10" s="335" t="s">
        <v>10</v>
      </c>
      <c r="K10" s="335">
        <v>46.41</v>
      </c>
      <c r="L10" s="370">
        <v>51.2</v>
      </c>
      <c r="M10" s="335" t="s">
        <v>10</v>
      </c>
      <c r="N10" s="370">
        <v>53.53</v>
      </c>
      <c r="O10" s="370" t="s">
        <v>10</v>
      </c>
      <c r="P10" s="370" t="s">
        <v>10</v>
      </c>
      <c r="Q10" s="335" t="s">
        <v>10</v>
      </c>
      <c r="R10" s="335" t="s">
        <v>10</v>
      </c>
      <c r="S10" s="370">
        <v>45.56</v>
      </c>
      <c r="T10" s="370" t="s">
        <v>10</v>
      </c>
      <c r="U10" s="370">
        <v>46.14</v>
      </c>
      <c r="V10" s="370">
        <v>40.200000000000003</v>
      </c>
      <c r="W10" s="370">
        <v>38.299999999999997</v>
      </c>
      <c r="X10" s="370" t="s">
        <v>10</v>
      </c>
      <c r="Y10" s="370">
        <v>46.41</v>
      </c>
      <c r="Z10" s="370">
        <v>49.36</v>
      </c>
      <c r="AA10" s="370" t="s">
        <v>10</v>
      </c>
      <c r="AB10" s="370">
        <v>52.51</v>
      </c>
      <c r="AC10" s="370" t="s">
        <v>10</v>
      </c>
      <c r="AD10" s="370" t="s">
        <v>10</v>
      </c>
      <c r="AE10" s="370" t="s">
        <v>10</v>
      </c>
      <c r="AF10" s="370" t="s">
        <v>10</v>
      </c>
    </row>
    <row r="11" spans="1:33" s="334" customFormat="1" x14ac:dyDescent="0.2">
      <c r="A11" s="335">
        <v>1991</v>
      </c>
      <c r="B11" s="335" t="s">
        <v>59</v>
      </c>
      <c r="C11" s="335" t="s">
        <v>10</v>
      </c>
      <c r="D11" s="335" t="s">
        <v>10</v>
      </c>
      <c r="E11" s="335">
        <v>55.82</v>
      </c>
      <c r="F11" s="335" t="s">
        <v>10</v>
      </c>
      <c r="G11" s="335">
        <v>55.82</v>
      </c>
      <c r="H11" s="335">
        <v>56.71</v>
      </c>
      <c r="I11" s="335">
        <v>57.68</v>
      </c>
      <c r="J11" s="335" t="s">
        <v>10</v>
      </c>
      <c r="K11" s="370">
        <v>57.5</v>
      </c>
      <c r="L11" s="335">
        <v>55.95</v>
      </c>
      <c r="M11" s="335" t="s">
        <v>10</v>
      </c>
      <c r="N11" s="370">
        <v>57</v>
      </c>
      <c r="O11" s="370">
        <v>57.25</v>
      </c>
      <c r="P11" s="370" t="s">
        <v>10</v>
      </c>
      <c r="Q11" s="335" t="s">
        <v>10</v>
      </c>
      <c r="R11" s="335" t="s">
        <v>10</v>
      </c>
      <c r="S11" s="370">
        <v>51.34</v>
      </c>
      <c r="T11" s="370" t="s">
        <v>10</v>
      </c>
      <c r="U11" s="370">
        <v>52</v>
      </c>
      <c r="V11" s="370">
        <v>47.78</v>
      </c>
      <c r="W11" s="370">
        <v>44.99</v>
      </c>
      <c r="X11" s="370" t="s">
        <v>10</v>
      </c>
      <c r="Y11" s="370">
        <v>57.5</v>
      </c>
      <c r="Z11" s="370">
        <v>58.04</v>
      </c>
      <c r="AA11" s="370" t="s">
        <v>10</v>
      </c>
      <c r="AB11" s="370">
        <v>57.87</v>
      </c>
      <c r="AC11" s="370">
        <v>57.14</v>
      </c>
      <c r="AD11" s="370" t="s">
        <v>10</v>
      </c>
      <c r="AE11" s="370" t="s">
        <v>10</v>
      </c>
      <c r="AF11" s="370" t="s">
        <v>10</v>
      </c>
    </row>
    <row r="12" spans="1:33" s="334" customFormat="1" x14ac:dyDescent="0.2">
      <c r="A12" s="335">
        <v>1992</v>
      </c>
      <c r="B12" s="335" t="s">
        <v>59</v>
      </c>
      <c r="C12" s="335" t="s">
        <v>10</v>
      </c>
      <c r="D12" s="335" t="s">
        <v>10</v>
      </c>
      <c r="E12" s="335">
        <v>56.51</v>
      </c>
      <c r="F12" s="335" t="s">
        <v>10</v>
      </c>
      <c r="G12" s="335">
        <v>57.31</v>
      </c>
      <c r="H12" s="335">
        <v>59.75</v>
      </c>
      <c r="I12" s="335">
        <v>53.64</v>
      </c>
      <c r="J12" s="335" t="s">
        <v>10</v>
      </c>
      <c r="K12" s="371">
        <v>53.74</v>
      </c>
      <c r="L12" s="335">
        <v>60.53</v>
      </c>
      <c r="M12" s="335" t="s">
        <v>10</v>
      </c>
      <c r="N12" s="370">
        <v>61.11</v>
      </c>
      <c r="O12" s="370">
        <v>71.73</v>
      </c>
      <c r="P12" s="370" t="s">
        <v>10</v>
      </c>
      <c r="Q12" s="335" t="s">
        <v>10</v>
      </c>
      <c r="R12" s="335" t="s">
        <v>10</v>
      </c>
      <c r="S12" s="370">
        <v>58</v>
      </c>
      <c r="T12" s="370" t="s">
        <v>10</v>
      </c>
      <c r="U12" s="370">
        <v>57.03</v>
      </c>
      <c r="V12" s="370">
        <v>51.04</v>
      </c>
      <c r="W12" s="370">
        <v>49.07</v>
      </c>
      <c r="X12" s="370" t="s">
        <v>10</v>
      </c>
      <c r="Y12" s="370">
        <v>53.74</v>
      </c>
      <c r="Z12" s="370">
        <v>60.93</v>
      </c>
      <c r="AA12" s="370" t="s">
        <v>10</v>
      </c>
      <c r="AB12" s="370">
        <v>61.2</v>
      </c>
      <c r="AC12" s="370">
        <v>69.349999999999994</v>
      </c>
      <c r="AD12" s="370" t="s">
        <v>10</v>
      </c>
      <c r="AE12" s="370" t="s">
        <v>10</v>
      </c>
      <c r="AF12" s="370" t="s">
        <v>10</v>
      </c>
    </row>
    <row r="13" spans="1:33" s="334" customFormat="1" x14ac:dyDescent="0.2">
      <c r="A13" s="335">
        <v>1993</v>
      </c>
      <c r="B13" s="335" t="s">
        <v>59</v>
      </c>
      <c r="C13" s="371">
        <v>34.68</v>
      </c>
      <c r="D13" s="371">
        <v>47.25</v>
      </c>
      <c r="E13" s="371">
        <v>38.869999999999997</v>
      </c>
      <c r="F13" s="371">
        <v>40.44</v>
      </c>
      <c r="G13" s="371">
        <v>38.630000000000003</v>
      </c>
      <c r="H13" s="371">
        <v>41.47</v>
      </c>
      <c r="I13" s="371">
        <v>39.22</v>
      </c>
      <c r="J13" s="371">
        <v>40.21</v>
      </c>
      <c r="K13" s="371">
        <v>43.91</v>
      </c>
      <c r="L13" s="371">
        <v>42.13</v>
      </c>
      <c r="M13" s="371">
        <v>41.24</v>
      </c>
      <c r="N13" s="370">
        <v>40.01</v>
      </c>
      <c r="O13" s="370">
        <v>45.78</v>
      </c>
      <c r="P13" s="370">
        <v>48.46</v>
      </c>
      <c r="Q13" s="372">
        <v>38.770000000000003</v>
      </c>
      <c r="R13" s="372">
        <v>32.44</v>
      </c>
      <c r="S13" s="370">
        <v>30.08</v>
      </c>
      <c r="T13" s="370">
        <v>49.79</v>
      </c>
      <c r="U13" s="370">
        <v>36.75</v>
      </c>
      <c r="V13" s="370">
        <v>38.04</v>
      </c>
      <c r="W13" s="370">
        <v>37.28</v>
      </c>
      <c r="X13" s="370">
        <v>42.75</v>
      </c>
      <c r="Y13" s="370">
        <v>43.91</v>
      </c>
      <c r="Z13" s="370">
        <v>42.48</v>
      </c>
      <c r="AA13" s="370">
        <v>41.49</v>
      </c>
      <c r="AB13" s="370">
        <v>39.4</v>
      </c>
      <c r="AC13" s="370">
        <v>46.08</v>
      </c>
      <c r="AD13" s="370">
        <v>48.96</v>
      </c>
      <c r="AE13" s="370">
        <v>46.27</v>
      </c>
      <c r="AF13" s="370">
        <v>37.39</v>
      </c>
    </row>
    <row r="14" spans="1:33" s="334" customFormat="1" x14ac:dyDescent="0.2">
      <c r="A14" s="335">
        <v>1994</v>
      </c>
      <c r="B14" s="335" t="s">
        <v>59</v>
      </c>
      <c r="C14" s="371">
        <v>46.39</v>
      </c>
      <c r="D14" s="371">
        <v>56.72</v>
      </c>
      <c r="E14" s="371">
        <v>48.31</v>
      </c>
      <c r="F14" s="371">
        <v>49.59</v>
      </c>
      <c r="G14" s="371">
        <v>46.11</v>
      </c>
      <c r="H14" s="371">
        <v>49.65</v>
      </c>
      <c r="I14" s="371">
        <v>48.99</v>
      </c>
      <c r="J14" s="371">
        <v>53.85</v>
      </c>
      <c r="K14" s="371">
        <v>52.97</v>
      </c>
      <c r="L14" s="371">
        <v>52.41</v>
      </c>
      <c r="M14" s="371">
        <v>53.18</v>
      </c>
      <c r="N14" s="370">
        <v>48.09</v>
      </c>
      <c r="O14" s="370">
        <v>51.27</v>
      </c>
      <c r="P14" s="370">
        <v>46.9</v>
      </c>
      <c r="Q14" s="372">
        <v>47.8</v>
      </c>
      <c r="R14" s="372">
        <v>44.56</v>
      </c>
      <c r="S14" s="370">
        <v>42.85</v>
      </c>
      <c r="T14" s="370">
        <v>48.84</v>
      </c>
      <c r="U14" s="370">
        <v>46.73</v>
      </c>
      <c r="V14" s="370">
        <v>45.19</v>
      </c>
      <c r="W14" s="370">
        <v>41.55</v>
      </c>
      <c r="X14" s="370">
        <v>53.74</v>
      </c>
      <c r="Y14" s="370">
        <v>53.09</v>
      </c>
      <c r="Z14" s="370">
        <v>52.89</v>
      </c>
      <c r="AA14" s="370">
        <v>53.47</v>
      </c>
      <c r="AB14" s="370">
        <v>47.56</v>
      </c>
      <c r="AC14" s="370">
        <v>48.06</v>
      </c>
      <c r="AD14" s="370">
        <v>46.45</v>
      </c>
      <c r="AE14" s="370" t="s">
        <v>10</v>
      </c>
      <c r="AF14" s="370">
        <v>42.05</v>
      </c>
    </row>
    <row r="15" spans="1:33" s="334" customFormat="1" x14ac:dyDescent="0.2">
      <c r="A15" s="335">
        <v>1995</v>
      </c>
      <c r="B15" s="335" t="s">
        <v>59</v>
      </c>
      <c r="C15" s="371">
        <v>65.989999999999995</v>
      </c>
      <c r="D15" s="371">
        <v>72.34</v>
      </c>
      <c r="E15" s="371">
        <v>59.1</v>
      </c>
      <c r="F15" s="371">
        <v>60.39</v>
      </c>
      <c r="G15" s="371">
        <v>58.4</v>
      </c>
      <c r="H15" s="371">
        <v>57.76</v>
      </c>
      <c r="I15" s="371">
        <v>54.22</v>
      </c>
      <c r="J15" s="371">
        <v>66</v>
      </c>
      <c r="K15" s="371">
        <v>73.11</v>
      </c>
      <c r="L15" s="371">
        <v>65.81</v>
      </c>
      <c r="M15" s="371">
        <v>67.22</v>
      </c>
      <c r="N15" s="370">
        <v>63.98</v>
      </c>
      <c r="O15" s="370">
        <v>63.7</v>
      </c>
      <c r="P15" s="370">
        <v>59.3</v>
      </c>
      <c r="Q15" s="372">
        <v>66.64</v>
      </c>
      <c r="R15" s="372">
        <v>65.7</v>
      </c>
      <c r="S15" s="370">
        <v>60.72</v>
      </c>
      <c r="T15" s="370">
        <v>59.13</v>
      </c>
      <c r="U15" s="370">
        <v>57.05</v>
      </c>
      <c r="V15" s="370">
        <v>58.53</v>
      </c>
      <c r="W15" s="370">
        <v>48.35</v>
      </c>
      <c r="X15" s="370">
        <v>78.75</v>
      </c>
      <c r="Y15" s="370">
        <v>79.180000000000007</v>
      </c>
      <c r="Z15" s="370">
        <v>71.16</v>
      </c>
      <c r="AA15" s="370">
        <v>72.83</v>
      </c>
      <c r="AB15" s="370">
        <v>67.040000000000006</v>
      </c>
      <c r="AC15" s="370">
        <v>66.239999999999995</v>
      </c>
      <c r="AD15" s="370">
        <v>63.93</v>
      </c>
      <c r="AE15" s="370" t="s">
        <v>10</v>
      </c>
      <c r="AF15" s="370" t="s">
        <v>10</v>
      </c>
    </row>
    <row r="16" spans="1:33" s="334" customFormat="1" x14ac:dyDescent="0.2">
      <c r="A16" s="335">
        <v>1996</v>
      </c>
      <c r="B16" s="335" t="s">
        <v>59</v>
      </c>
      <c r="C16" s="371">
        <v>27.65</v>
      </c>
      <c r="D16" s="371">
        <v>45.25</v>
      </c>
      <c r="E16" s="371">
        <v>44.59</v>
      </c>
      <c r="F16" s="371">
        <v>45.73</v>
      </c>
      <c r="G16" s="371">
        <v>43.98</v>
      </c>
      <c r="H16" s="371">
        <v>46.28</v>
      </c>
      <c r="I16" s="371">
        <v>41.96</v>
      </c>
      <c r="J16" s="371">
        <v>27.05</v>
      </c>
      <c r="K16" s="371">
        <v>48.07</v>
      </c>
      <c r="L16" s="371">
        <v>44.77</v>
      </c>
      <c r="M16" s="371">
        <v>52.65</v>
      </c>
      <c r="N16" s="370">
        <v>49.19</v>
      </c>
      <c r="O16" s="370">
        <v>47.27</v>
      </c>
      <c r="P16" s="370">
        <v>52.25</v>
      </c>
      <c r="Q16" s="372">
        <v>30.51</v>
      </c>
      <c r="R16" s="372">
        <v>50.93</v>
      </c>
      <c r="S16" s="370">
        <v>41.25</v>
      </c>
      <c r="T16" s="370">
        <v>48.81</v>
      </c>
      <c r="U16" s="370">
        <v>46.7</v>
      </c>
      <c r="V16" s="370">
        <v>49.41</v>
      </c>
      <c r="W16" s="370">
        <v>40.590000000000003</v>
      </c>
      <c r="X16" s="370" t="s">
        <v>10</v>
      </c>
      <c r="Y16" s="370" t="s">
        <v>10</v>
      </c>
      <c r="Z16" s="370" t="s">
        <v>10</v>
      </c>
      <c r="AA16" s="370" t="s">
        <v>10</v>
      </c>
      <c r="AB16" s="370" t="s">
        <v>10</v>
      </c>
      <c r="AC16" s="370" t="s">
        <v>10</v>
      </c>
      <c r="AD16" s="370" t="s">
        <v>10</v>
      </c>
      <c r="AE16" s="370" t="s">
        <v>10</v>
      </c>
      <c r="AF16" s="370" t="s">
        <v>10</v>
      </c>
    </row>
    <row r="17" spans="1:32" s="334" customFormat="1" x14ac:dyDescent="0.2">
      <c r="A17" s="335">
        <v>1997</v>
      </c>
      <c r="B17" s="335" t="s">
        <v>59</v>
      </c>
      <c r="C17" s="371">
        <v>28.53</v>
      </c>
      <c r="D17" s="372">
        <v>35.32</v>
      </c>
      <c r="E17" s="370">
        <v>39.479999999999997</v>
      </c>
      <c r="F17" s="372">
        <v>40.39</v>
      </c>
      <c r="G17" s="370">
        <v>40.72</v>
      </c>
      <c r="H17" s="370">
        <v>43.58</v>
      </c>
      <c r="I17" s="370">
        <v>44.82</v>
      </c>
      <c r="J17" s="372">
        <v>27.61</v>
      </c>
      <c r="K17" s="372">
        <v>36.42</v>
      </c>
      <c r="L17" s="370">
        <v>48.89</v>
      </c>
      <c r="M17" s="372">
        <v>44.64</v>
      </c>
      <c r="N17" s="370">
        <v>46.48</v>
      </c>
      <c r="O17" s="370">
        <v>42.97</v>
      </c>
      <c r="P17" s="370">
        <v>49.5</v>
      </c>
      <c r="Q17" s="372">
        <v>25.19</v>
      </c>
      <c r="R17" s="372">
        <v>52.97</v>
      </c>
      <c r="S17" s="370">
        <v>50.64</v>
      </c>
      <c r="T17" s="370">
        <v>43.89</v>
      </c>
      <c r="U17" s="370">
        <v>54.36</v>
      </c>
      <c r="V17" s="370">
        <v>41.51</v>
      </c>
      <c r="W17" s="370">
        <v>37.14</v>
      </c>
      <c r="X17" s="370" t="s">
        <v>10</v>
      </c>
      <c r="Y17" s="370" t="s">
        <v>10</v>
      </c>
      <c r="Z17" s="370" t="s">
        <v>10</v>
      </c>
      <c r="AA17" s="370" t="s">
        <v>10</v>
      </c>
      <c r="AB17" s="370" t="s">
        <v>10</v>
      </c>
      <c r="AC17" s="370" t="s">
        <v>10</v>
      </c>
      <c r="AD17" s="370" t="s">
        <v>10</v>
      </c>
      <c r="AE17" s="370" t="s">
        <v>10</v>
      </c>
      <c r="AF17" s="370" t="s">
        <v>10</v>
      </c>
    </row>
    <row r="18" spans="1:32" s="334" customFormat="1" x14ac:dyDescent="0.2">
      <c r="A18" s="335">
        <v>1998</v>
      </c>
      <c r="B18" s="335" t="s">
        <v>59</v>
      </c>
      <c r="C18" s="371">
        <v>60.3</v>
      </c>
      <c r="D18" s="372">
        <v>58.5</v>
      </c>
      <c r="E18" s="370">
        <v>60</v>
      </c>
      <c r="F18" s="372">
        <v>61.41</v>
      </c>
      <c r="G18" s="370">
        <v>59.87</v>
      </c>
      <c r="H18" s="370">
        <v>59.79</v>
      </c>
      <c r="I18" s="370">
        <v>62.79</v>
      </c>
      <c r="J18" s="372">
        <v>50.72</v>
      </c>
      <c r="K18" s="372">
        <v>68.05</v>
      </c>
      <c r="L18" s="370">
        <v>79.2</v>
      </c>
      <c r="M18" s="372">
        <v>63.79</v>
      </c>
      <c r="N18" s="370">
        <v>64.569999999999993</v>
      </c>
      <c r="O18" s="370">
        <v>57.56</v>
      </c>
      <c r="P18" s="335">
        <v>64.44</v>
      </c>
      <c r="Q18" s="372">
        <v>43.55</v>
      </c>
      <c r="R18" s="372">
        <v>54.62</v>
      </c>
      <c r="S18" s="370">
        <v>56.08</v>
      </c>
      <c r="T18" s="370">
        <v>57.25</v>
      </c>
      <c r="U18" s="370">
        <v>53.09</v>
      </c>
      <c r="V18" s="370">
        <v>49.59</v>
      </c>
      <c r="W18" s="370">
        <v>47.26</v>
      </c>
      <c r="X18" s="370" t="s">
        <v>10</v>
      </c>
      <c r="Y18" s="370" t="s">
        <v>10</v>
      </c>
      <c r="Z18" s="370" t="s">
        <v>10</v>
      </c>
      <c r="AA18" s="370" t="s">
        <v>10</v>
      </c>
      <c r="AB18" s="370" t="s">
        <v>10</v>
      </c>
      <c r="AC18" s="370" t="s">
        <v>10</v>
      </c>
      <c r="AD18" s="370" t="s">
        <v>10</v>
      </c>
      <c r="AE18" s="370" t="s">
        <v>10</v>
      </c>
      <c r="AF18" s="370" t="s">
        <v>10</v>
      </c>
    </row>
    <row r="19" spans="1:32" s="334" customFormat="1" x14ac:dyDescent="0.2">
      <c r="A19" s="335">
        <v>1999</v>
      </c>
      <c r="B19" s="335" t="s">
        <v>59</v>
      </c>
      <c r="C19" s="371" t="s">
        <v>10</v>
      </c>
      <c r="D19" s="372">
        <v>89.02</v>
      </c>
      <c r="E19" s="370">
        <v>77.739999999999995</v>
      </c>
      <c r="F19" s="372">
        <v>69.02</v>
      </c>
      <c r="G19" s="370">
        <v>69.3</v>
      </c>
      <c r="H19" s="370">
        <v>70.84</v>
      </c>
      <c r="I19" s="370">
        <v>55.71</v>
      </c>
      <c r="J19" s="372" t="s">
        <v>10</v>
      </c>
      <c r="K19" s="372">
        <v>148.72</v>
      </c>
      <c r="L19" s="370">
        <v>85.42</v>
      </c>
      <c r="M19" s="372">
        <v>74.34</v>
      </c>
      <c r="N19" s="370">
        <v>78.069999999999993</v>
      </c>
      <c r="O19" s="370">
        <v>81.599999999999994</v>
      </c>
      <c r="P19" s="370">
        <v>77.64</v>
      </c>
      <c r="Q19" s="372" t="s">
        <v>10</v>
      </c>
      <c r="R19" s="372" t="s">
        <v>10</v>
      </c>
      <c r="S19" s="370">
        <v>54.14</v>
      </c>
      <c r="T19" s="370">
        <v>55.78</v>
      </c>
      <c r="U19" s="370">
        <v>51.38</v>
      </c>
      <c r="V19" s="370">
        <v>59.87</v>
      </c>
      <c r="W19" s="370">
        <v>52.33</v>
      </c>
      <c r="X19" s="370" t="s">
        <v>10</v>
      </c>
      <c r="Y19" s="370" t="s">
        <v>10</v>
      </c>
      <c r="Z19" s="370" t="s">
        <v>10</v>
      </c>
      <c r="AA19" s="370" t="s">
        <v>10</v>
      </c>
      <c r="AB19" s="370" t="s">
        <v>10</v>
      </c>
      <c r="AC19" s="370" t="s">
        <v>10</v>
      </c>
      <c r="AD19" s="370" t="s">
        <v>10</v>
      </c>
      <c r="AE19" s="370" t="s">
        <v>10</v>
      </c>
      <c r="AF19" s="370" t="s">
        <v>10</v>
      </c>
    </row>
    <row r="20" spans="1:32" x14ac:dyDescent="0.2">
      <c r="A20" s="424"/>
      <c r="B20" s="425"/>
      <c r="C20" s="425"/>
      <c r="D20" s="424"/>
      <c r="E20" s="426"/>
      <c r="F20" s="424"/>
      <c r="G20" s="426"/>
      <c r="H20" s="426"/>
      <c r="I20" s="426"/>
      <c r="J20" s="424"/>
      <c r="K20" s="424"/>
      <c r="L20" s="426"/>
      <c r="M20" s="424"/>
      <c r="N20" s="426"/>
      <c r="O20" s="426"/>
      <c r="P20" s="426"/>
      <c r="Q20" s="427"/>
      <c r="R20" s="427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</row>
    <row r="21" spans="1:32" x14ac:dyDescent="0.2">
      <c r="B21" s="364"/>
      <c r="C21" s="364"/>
      <c r="D21" s="364"/>
      <c r="E21" s="361"/>
      <c r="F21" s="364"/>
      <c r="G21" s="361"/>
      <c r="H21" s="361"/>
      <c r="I21" s="361"/>
      <c r="J21" s="364"/>
      <c r="K21" s="364"/>
      <c r="L21" s="361"/>
      <c r="M21" s="364"/>
      <c r="N21" s="361"/>
      <c r="O21" s="361"/>
      <c r="P21" s="361"/>
      <c r="Q21" s="362"/>
      <c r="R21" s="362"/>
      <c r="S21" s="362"/>
      <c r="T21" s="362"/>
      <c r="U21" s="363"/>
      <c r="V21" s="363"/>
      <c r="W21" s="363"/>
      <c r="X21" s="363"/>
      <c r="Y21" s="362"/>
      <c r="Z21" s="362"/>
      <c r="AA21" s="362"/>
      <c r="AB21" s="362"/>
      <c r="AC21" s="362"/>
      <c r="AD21" s="362"/>
      <c r="AE21" s="362"/>
      <c r="AF21" s="362"/>
    </row>
    <row r="22" spans="1:32" x14ac:dyDescent="0.2">
      <c r="B22" s="364"/>
      <c r="C22" s="364"/>
      <c r="D22" s="364"/>
      <c r="E22" s="361"/>
      <c r="F22" s="364"/>
      <c r="G22" s="361"/>
      <c r="H22" s="361"/>
      <c r="I22" s="361"/>
      <c r="J22" s="364"/>
      <c r="K22" s="364"/>
      <c r="L22" s="361"/>
      <c r="M22" s="364"/>
      <c r="N22" s="361"/>
      <c r="O22" s="361"/>
      <c r="P22" s="361"/>
      <c r="Q22" s="362"/>
      <c r="R22" s="362"/>
      <c r="S22" s="362"/>
      <c r="T22" s="362"/>
      <c r="U22" s="363"/>
      <c r="V22" s="363"/>
      <c r="W22" s="363"/>
      <c r="X22" s="362"/>
      <c r="Y22" s="362"/>
      <c r="Z22" s="362"/>
      <c r="AA22" s="362"/>
      <c r="AB22" s="362"/>
      <c r="AC22" s="362"/>
      <c r="AD22" s="362"/>
      <c r="AE22" s="362"/>
      <c r="AF22" s="362"/>
    </row>
    <row r="23" spans="1:32" x14ac:dyDescent="0.2">
      <c r="A23" s="410"/>
      <c r="B23" s="364"/>
      <c r="C23" s="364"/>
      <c r="D23" s="364"/>
      <c r="E23" s="361"/>
      <c r="F23" s="364"/>
      <c r="G23" s="361"/>
      <c r="H23" s="361"/>
      <c r="I23" s="361"/>
      <c r="J23" s="364"/>
      <c r="K23" s="364"/>
      <c r="L23" s="361"/>
      <c r="M23" s="364"/>
      <c r="N23" s="361"/>
      <c r="O23" s="361"/>
      <c r="P23" s="361"/>
      <c r="S23" s="362"/>
      <c r="T23" s="362"/>
      <c r="U23" s="363"/>
      <c r="V23" s="363"/>
      <c r="W23" s="363"/>
      <c r="X23" s="362"/>
      <c r="Y23" s="362"/>
      <c r="Z23" s="362"/>
      <c r="AA23" s="362"/>
      <c r="AB23" s="362"/>
      <c r="AC23" s="362"/>
      <c r="AD23" s="362"/>
      <c r="AE23" s="362"/>
      <c r="AF23" s="362"/>
    </row>
    <row r="24" spans="1:32" x14ac:dyDescent="0.2">
      <c r="A24" s="316" t="s">
        <v>598</v>
      </c>
      <c r="D24" s="364"/>
      <c r="E24" s="361"/>
      <c r="F24" s="364"/>
      <c r="G24" s="361"/>
      <c r="H24" s="361"/>
      <c r="I24" s="361"/>
      <c r="J24" s="364"/>
      <c r="K24" s="364"/>
      <c r="L24" s="361"/>
      <c r="M24" s="364"/>
      <c r="N24" s="361"/>
      <c r="O24" s="361"/>
      <c r="P24" s="361"/>
      <c r="Q24" s="362"/>
      <c r="R24" s="362"/>
      <c r="S24" s="362"/>
      <c r="T24" s="362"/>
      <c r="U24" s="363"/>
      <c r="V24" s="363"/>
      <c r="W24" s="363"/>
      <c r="X24" s="362"/>
      <c r="Y24" s="362"/>
      <c r="Z24" s="362"/>
      <c r="AA24" s="362"/>
      <c r="AB24" s="362"/>
      <c r="AC24" s="362"/>
      <c r="AD24" s="362"/>
      <c r="AE24" s="362"/>
      <c r="AF24" s="362"/>
    </row>
    <row r="25" spans="1:32" x14ac:dyDescent="0.2">
      <c r="A25" s="364"/>
      <c r="D25" s="364"/>
      <c r="E25" s="361"/>
      <c r="F25" s="364"/>
      <c r="G25" s="361"/>
      <c r="H25" s="361"/>
      <c r="I25" s="361"/>
      <c r="J25" s="364"/>
      <c r="K25" s="364"/>
      <c r="L25" s="361"/>
      <c r="M25" s="364"/>
      <c r="N25" s="361"/>
      <c r="O25" s="361"/>
      <c r="P25" s="361"/>
      <c r="Q25" s="362"/>
      <c r="R25" s="362"/>
      <c r="S25" s="362"/>
      <c r="T25" s="362"/>
      <c r="U25" s="363"/>
      <c r="V25" s="363"/>
      <c r="W25" s="363"/>
      <c r="X25" s="362"/>
      <c r="Y25" s="362"/>
      <c r="Z25" s="362"/>
      <c r="AA25" s="362"/>
      <c r="AB25" s="362"/>
      <c r="AC25" s="362"/>
      <c r="AD25" s="362"/>
      <c r="AE25" s="362"/>
      <c r="AF25" s="362"/>
    </row>
    <row r="26" spans="1:32" x14ac:dyDescent="0.2">
      <c r="A26" s="364"/>
      <c r="D26" s="364"/>
      <c r="E26" s="361"/>
      <c r="F26" s="364"/>
      <c r="G26" s="361"/>
      <c r="H26" s="361"/>
      <c r="I26" s="361"/>
      <c r="J26" s="364"/>
      <c r="K26" s="364"/>
      <c r="L26" s="361"/>
      <c r="M26" s="364"/>
      <c r="N26" s="361"/>
      <c r="O26" s="361"/>
      <c r="P26" s="361"/>
      <c r="Q26" s="362"/>
      <c r="R26" s="362"/>
      <c r="S26" s="364"/>
      <c r="T26" s="364"/>
      <c r="U26" s="361"/>
      <c r="V26" s="361"/>
      <c r="W26" s="363"/>
      <c r="X26" s="362"/>
      <c r="Y26" s="362"/>
      <c r="Z26" s="362"/>
      <c r="AA26" s="362"/>
      <c r="AB26" s="362"/>
      <c r="AC26" s="362"/>
      <c r="AD26" s="362"/>
      <c r="AE26" s="362"/>
      <c r="AF26" s="362"/>
    </row>
    <row r="27" spans="1:32" x14ac:dyDescent="0.2">
      <c r="D27" s="364"/>
      <c r="E27" s="361"/>
      <c r="F27" s="364"/>
      <c r="G27" s="361"/>
      <c r="H27" s="361"/>
      <c r="I27" s="361"/>
      <c r="J27" s="364"/>
      <c r="K27" s="364"/>
      <c r="L27" s="361"/>
      <c r="M27" s="364"/>
      <c r="N27" s="361"/>
      <c r="O27" s="361"/>
      <c r="P27" s="361"/>
      <c r="Q27" s="364"/>
      <c r="R27" s="364"/>
      <c r="S27" s="364"/>
      <c r="T27" s="364"/>
      <c r="U27" s="361"/>
      <c r="V27" s="361"/>
      <c r="W27" s="361"/>
      <c r="X27" s="364"/>
      <c r="Y27" s="364"/>
      <c r="Z27" s="364"/>
      <c r="AA27" s="364"/>
      <c r="AB27" s="364"/>
      <c r="AC27" s="364"/>
      <c r="AD27" s="364"/>
      <c r="AE27" s="364"/>
      <c r="AF27" s="364"/>
    </row>
    <row r="28" spans="1:32" x14ac:dyDescent="0.2">
      <c r="D28" s="364"/>
      <c r="E28" s="361"/>
      <c r="F28" s="364"/>
      <c r="G28" s="361"/>
      <c r="H28" s="361"/>
      <c r="I28" s="361"/>
      <c r="J28" s="364"/>
      <c r="K28" s="364"/>
      <c r="L28" s="361"/>
      <c r="M28" s="364"/>
      <c r="N28" s="361"/>
      <c r="O28" s="361"/>
      <c r="P28" s="361"/>
      <c r="Q28" s="364"/>
      <c r="R28" s="364"/>
      <c r="S28" s="364"/>
      <c r="T28" s="364"/>
      <c r="U28" s="361"/>
      <c r="V28" s="361"/>
      <c r="W28" s="361"/>
      <c r="X28" s="364"/>
      <c r="Y28" s="364"/>
      <c r="Z28" s="364"/>
      <c r="AA28" s="364"/>
      <c r="AB28" s="364"/>
      <c r="AC28" s="364"/>
      <c r="AD28" s="364"/>
      <c r="AE28" s="364"/>
      <c r="AF28" s="364"/>
    </row>
    <row r="29" spans="1:32" x14ac:dyDescent="0.2">
      <c r="D29" s="364"/>
      <c r="E29" s="361"/>
      <c r="F29" s="364"/>
      <c r="G29" s="361"/>
      <c r="H29" s="361"/>
      <c r="I29" s="361"/>
      <c r="J29" s="364"/>
      <c r="K29" s="364"/>
      <c r="L29" s="361"/>
      <c r="M29" s="364"/>
      <c r="N29" s="361"/>
      <c r="O29" s="361"/>
      <c r="P29" s="361"/>
      <c r="Q29" s="364"/>
      <c r="R29" s="364"/>
      <c r="S29" s="364"/>
      <c r="T29" s="364"/>
      <c r="U29" s="361"/>
      <c r="V29" s="361"/>
      <c r="W29" s="361"/>
      <c r="X29" s="364"/>
      <c r="Y29" s="364"/>
      <c r="Z29" s="364"/>
      <c r="AA29" s="364"/>
      <c r="AB29" s="364"/>
      <c r="AC29" s="364"/>
      <c r="AD29" s="364"/>
      <c r="AE29" s="364"/>
      <c r="AF29" s="364"/>
    </row>
    <row r="30" spans="1:32" x14ac:dyDescent="0.2">
      <c r="D30" s="364"/>
      <c r="E30" s="361"/>
      <c r="F30" s="364"/>
      <c r="G30" s="361"/>
      <c r="H30" s="361"/>
      <c r="I30" s="361"/>
      <c r="J30" s="364"/>
      <c r="K30" s="364"/>
      <c r="L30" s="361"/>
      <c r="M30" s="364"/>
      <c r="N30" s="361"/>
      <c r="O30" s="361"/>
      <c r="P30" s="361"/>
      <c r="Q30" s="364"/>
      <c r="R30" s="364"/>
      <c r="S30" s="364"/>
      <c r="T30" s="364"/>
      <c r="U30" s="361"/>
      <c r="V30" s="361"/>
      <c r="W30" s="361"/>
      <c r="X30" s="364"/>
      <c r="Y30" s="364"/>
      <c r="Z30" s="364"/>
      <c r="AA30" s="364"/>
      <c r="AB30" s="364"/>
      <c r="AC30" s="364"/>
      <c r="AD30" s="364"/>
      <c r="AE30" s="364"/>
      <c r="AF30" s="364"/>
    </row>
    <row r="31" spans="1:32" x14ac:dyDescent="0.2">
      <c r="D31" s="364"/>
      <c r="E31" s="361"/>
      <c r="F31" s="364"/>
      <c r="G31" s="361"/>
      <c r="H31" s="361"/>
      <c r="I31" s="361"/>
      <c r="J31" s="364"/>
      <c r="K31" s="364"/>
      <c r="L31" s="361"/>
      <c r="M31" s="364"/>
      <c r="N31" s="361"/>
      <c r="O31" s="361"/>
      <c r="P31" s="361"/>
      <c r="Q31" s="364"/>
      <c r="R31" s="364"/>
      <c r="S31" s="364"/>
      <c r="T31" s="364"/>
      <c r="U31" s="361"/>
      <c r="V31" s="361"/>
      <c r="W31" s="361"/>
      <c r="X31" s="364"/>
      <c r="Y31" s="364"/>
      <c r="Z31" s="364"/>
      <c r="AA31" s="364"/>
      <c r="AB31" s="364"/>
      <c r="AC31" s="364"/>
      <c r="AD31" s="364"/>
      <c r="AE31" s="364"/>
      <c r="AF31" s="364"/>
    </row>
    <row r="32" spans="1:32" x14ac:dyDescent="0.2">
      <c r="E32" s="361"/>
      <c r="G32" s="361"/>
      <c r="H32" s="361"/>
      <c r="I32" s="361"/>
      <c r="L32" s="361"/>
      <c r="N32" s="361"/>
      <c r="O32" s="361"/>
      <c r="P32" s="361"/>
      <c r="Q32" s="364"/>
      <c r="R32" s="364"/>
      <c r="S32" s="364"/>
      <c r="T32" s="364"/>
      <c r="U32" s="361"/>
      <c r="V32" s="361"/>
      <c r="W32" s="361"/>
      <c r="X32" s="364"/>
      <c r="Y32" s="364"/>
      <c r="Z32" s="364"/>
      <c r="AA32" s="364"/>
      <c r="AB32" s="364"/>
      <c r="AC32" s="364"/>
      <c r="AD32" s="364"/>
      <c r="AE32" s="364"/>
      <c r="AF32" s="364"/>
    </row>
    <row r="33" spans="5:32" x14ac:dyDescent="0.2">
      <c r="E33" s="361"/>
      <c r="G33" s="361"/>
      <c r="H33" s="361"/>
      <c r="I33" s="361"/>
      <c r="L33" s="361"/>
      <c r="N33" s="361"/>
      <c r="O33" s="361"/>
      <c r="P33" s="361"/>
      <c r="Q33" s="364"/>
      <c r="R33" s="364"/>
      <c r="S33" s="364"/>
      <c r="T33" s="364"/>
      <c r="U33" s="361"/>
      <c r="V33" s="361"/>
      <c r="W33" s="361"/>
      <c r="X33" s="364"/>
      <c r="Y33" s="364"/>
      <c r="Z33" s="364"/>
      <c r="AA33" s="364"/>
      <c r="AB33" s="364"/>
      <c r="AC33" s="364"/>
      <c r="AD33" s="364"/>
      <c r="AE33" s="364"/>
      <c r="AF33" s="364"/>
    </row>
    <row r="34" spans="5:32" x14ac:dyDescent="0.2">
      <c r="E34" s="361"/>
      <c r="G34" s="361"/>
      <c r="H34" s="361"/>
      <c r="I34" s="361"/>
      <c r="L34" s="361"/>
      <c r="N34" s="361"/>
      <c r="O34" s="361"/>
      <c r="P34" s="361"/>
      <c r="Q34" s="364"/>
      <c r="R34" s="364"/>
      <c r="S34" s="364"/>
      <c r="T34" s="364"/>
      <c r="U34" s="361"/>
      <c r="V34" s="361"/>
      <c r="W34" s="361"/>
      <c r="X34" s="364"/>
      <c r="Y34" s="364"/>
      <c r="Z34" s="364"/>
      <c r="AA34" s="364"/>
      <c r="AB34" s="364"/>
      <c r="AC34" s="364"/>
      <c r="AD34" s="364"/>
      <c r="AE34" s="364"/>
      <c r="AF34" s="364"/>
    </row>
    <row r="35" spans="5:32" x14ac:dyDescent="0.2">
      <c r="E35" s="361"/>
      <c r="G35" s="361"/>
      <c r="H35" s="361"/>
      <c r="I35" s="361"/>
      <c r="L35" s="361"/>
      <c r="N35" s="361"/>
      <c r="O35" s="361"/>
      <c r="P35" s="361"/>
      <c r="Q35" s="364"/>
      <c r="R35" s="364"/>
      <c r="U35" s="361"/>
      <c r="V35" s="361"/>
      <c r="W35" s="361"/>
      <c r="X35" s="364"/>
      <c r="Y35" s="364"/>
      <c r="Z35" s="364"/>
      <c r="AA35" s="364"/>
      <c r="AB35" s="364"/>
      <c r="AC35" s="364"/>
      <c r="AD35" s="364"/>
      <c r="AE35" s="364"/>
      <c r="AF35" s="364"/>
    </row>
    <row r="36" spans="5:32" x14ac:dyDescent="0.2">
      <c r="E36" s="361"/>
      <c r="G36" s="361"/>
      <c r="H36" s="361"/>
      <c r="I36" s="361"/>
      <c r="L36" s="361"/>
      <c r="N36" s="361"/>
      <c r="O36" s="361"/>
      <c r="P36" s="361"/>
      <c r="U36" s="361"/>
      <c r="V36" s="361"/>
      <c r="W36" s="361"/>
    </row>
    <row r="37" spans="5:32" x14ac:dyDescent="0.2">
      <c r="E37" s="361"/>
      <c r="G37" s="361"/>
      <c r="H37" s="361"/>
      <c r="I37" s="361"/>
      <c r="L37" s="361"/>
      <c r="N37" s="361"/>
      <c r="O37" s="361"/>
      <c r="P37" s="361"/>
      <c r="U37" s="361"/>
      <c r="V37" s="361"/>
      <c r="W37" s="361"/>
    </row>
    <row r="38" spans="5:32" x14ac:dyDescent="0.2">
      <c r="E38" s="361"/>
      <c r="G38" s="361"/>
      <c r="H38" s="361"/>
      <c r="I38" s="361"/>
      <c r="L38" s="361"/>
      <c r="N38" s="361"/>
      <c r="O38" s="361"/>
      <c r="P38" s="361"/>
      <c r="U38" s="361"/>
      <c r="V38" s="361"/>
      <c r="W38" s="361"/>
    </row>
    <row r="39" spans="5:32" x14ac:dyDescent="0.2">
      <c r="E39" s="361"/>
      <c r="G39" s="361"/>
      <c r="H39" s="361"/>
      <c r="I39" s="361"/>
      <c r="L39" s="361"/>
      <c r="N39" s="361"/>
      <c r="O39" s="361"/>
      <c r="P39" s="361"/>
      <c r="U39" s="361"/>
      <c r="V39" s="361"/>
      <c r="W39" s="361"/>
    </row>
    <row r="40" spans="5:32" x14ac:dyDescent="0.2">
      <c r="E40" s="361"/>
      <c r="G40" s="361"/>
      <c r="H40" s="361"/>
      <c r="I40" s="361"/>
      <c r="L40" s="361"/>
      <c r="N40" s="361"/>
      <c r="O40" s="361"/>
      <c r="P40" s="361"/>
      <c r="U40" s="361"/>
      <c r="V40" s="361"/>
      <c r="W40" s="361"/>
    </row>
    <row r="41" spans="5:32" x14ac:dyDescent="0.2">
      <c r="E41" s="361"/>
      <c r="G41" s="361"/>
      <c r="H41" s="361"/>
      <c r="I41" s="361"/>
      <c r="L41" s="361"/>
      <c r="N41" s="361"/>
      <c r="O41" s="361"/>
      <c r="P41" s="361"/>
      <c r="U41" s="361"/>
      <c r="V41" s="361"/>
      <c r="W41" s="361"/>
    </row>
    <row r="42" spans="5:32" x14ac:dyDescent="0.2">
      <c r="E42" s="361"/>
      <c r="G42" s="361"/>
      <c r="H42" s="361"/>
      <c r="I42" s="361"/>
      <c r="L42" s="361"/>
      <c r="N42" s="361"/>
      <c r="O42" s="361"/>
      <c r="P42" s="361"/>
      <c r="U42" s="361"/>
      <c r="V42" s="361"/>
      <c r="W42" s="361"/>
    </row>
    <row r="43" spans="5:32" x14ac:dyDescent="0.2">
      <c r="E43" s="361"/>
      <c r="G43" s="361"/>
      <c r="H43" s="361"/>
      <c r="I43" s="361"/>
      <c r="L43" s="361"/>
      <c r="N43" s="361"/>
      <c r="O43" s="361"/>
      <c r="P43" s="361"/>
      <c r="U43" s="361"/>
      <c r="V43" s="361"/>
      <c r="W43" s="361"/>
    </row>
    <row r="44" spans="5:32" x14ac:dyDescent="0.2">
      <c r="E44" s="361"/>
      <c r="G44" s="361"/>
      <c r="H44" s="361"/>
      <c r="I44" s="361"/>
      <c r="L44" s="361"/>
      <c r="N44" s="361"/>
      <c r="O44" s="361"/>
      <c r="P44" s="361"/>
      <c r="U44" s="361"/>
      <c r="V44" s="361"/>
      <c r="W44" s="361"/>
    </row>
    <row r="45" spans="5:32" x14ac:dyDescent="0.2">
      <c r="E45" s="361"/>
      <c r="G45" s="361"/>
      <c r="H45" s="361"/>
      <c r="I45" s="361"/>
      <c r="L45" s="361"/>
      <c r="N45" s="361"/>
      <c r="O45" s="361"/>
      <c r="P45" s="361"/>
      <c r="U45" s="361"/>
      <c r="V45" s="361"/>
      <c r="W45" s="361"/>
    </row>
    <row r="46" spans="5:32" x14ac:dyDescent="0.2">
      <c r="E46" s="361"/>
      <c r="G46" s="361"/>
      <c r="H46" s="361"/>
      <c r="I46" s="361"/>
      <c r="L46" s="361"/>
      <c r="N46" s="361"/>
      <c r="O46" s="361"/>
      <c r="P46" s="361"/>
      <c r="W46" s="361"/>
    </row>
    <row r="47" spans="5:32" x14ac:dyDescent="0.2">
      <c r="E47" s="361"/>
      <c r="G47" s="361"/>
      <c r="H47" s="361"/>
      <c r="I47" s="361"/>
      <c r="L47" s="361"/>
      <c r="N47" s="361"/>
      <c r="O47" s="361"/>
      <c r="P47" s="361"/>
    </row>
    <row r="48" spans="5:32" x14ac:dyDescent="0.2">
      <c r="E48" s="361"/>
      <c r="G48" s="361"/>
      <c r="H48" s="361"/>
      <c r="I48" s="361"/>
      <c r="L48" s="361"/>
      <c r="N48" s="361"/>
      <c r="O48" s="361"/>
      <c r="P48" s="361"/>
    </row>
    <row r="49" spans="5:16" x14ac:dyDescent="0.2">
      <c r="E49" s="361"/>
      <c r="G49" s="361"/>
      <c r="H49" s="361"/>
      <c r="I49" s="361"/>
      <c r="L49" s="361"/>
      <c r="N49" s="361"/>
      <c r="O49" s="361"/>
      <c r="P49" s="361"/>
    </row>
    <row r="50" spans="5:16" x14ac:dyDescent="0.2">
      <c r="E50" s="361"/>
      <c r="G50" s="361"/>
      <c r="H50" s="361"/>
      <c r="I50" s="361"/>
      <c r="L50" s="361"/>
      <c r="N50" s="361"/>
      <c r="O50" s="361"/>
      <c r="P50" s="361"/>
    </row>
    <row r="51" spans="5:16" x14ac:dyDescent="0.2">
      <c r="E51" s="361"/>
      <c r="G51" s="361"/>
      <c r="H51" s="361"/>
      <c r="I51" s="361"/>
      <c r="L51" s="361"/>
      <c r="N51" s="361"/>
      <c r="O51" s="361"/>
      <c r="P51" s="361"/>
    </row>
    <row r="52" spans="5:16" x14ac:dyDescent="0.2">
      <c r="E52" s="361"/>
      <c r="G52" s="361"/>
      <c r="H52" s="361"/>
      <c r="I52" s="361"/>
      <c r="L52" s="361"/>
      <c r="N52" s="361"/>
      <c r="O52" s="361"/>
      <c r="P52" s="361"/>
    </row>
    <row r="53" spans="5:16" x14ac:dyDescent="0.2">
      <c r="E53" s="361"/>
      <c r="G53" s="361"/>
      <c r="H53" s="361"/>
      <c r="I53" s="361"/>
      <c r="L53" s="361"/>
      <c r="N53" s="361"/>
      <c r="O53" s="361"/>
      <c r="P53" s="361"/>
    </row>
    <row r="54" spans="5:16" x14ac:dyDescent="0.2">
      <c r="E54" s="361"/>
      <c r="G54" s="361"/>
      <c r="H54" s="361"/>
      <c r="I54" s="361"/>
      <c r="L54" s="361"/>
      <c r="N54" s="361"/>
      <c r="O54" s="361"/>
      <c r="P54" s="361"/>
    </row>
    <row r="55" spans="5:16" x14ac:dyDescent="0.2">
      <c r="E55" s="361"/>
      <c r="G55" s="361"/>
      <c r="H55" s="361"/>
      <c r="I55" s="361"/>
      <c r="L55" s="361"/>
      <c r="N55" s="361"/>
      <c r="O55" s="361"/>
      <c r="P55" s="361"/>
    </row>
    <row r="56" spans="5:16" x14ac:dyDescent="0.2">
      <c r="E56" s="361"/>
      <c r="G56" s="361"/>
      <c r="H56" s="361"/>
      <c r="I56" s="361"/>
      <c r="L56" s="361"/>
      <c r="N56" s="361"/>
      <c r="O56" s="361"/>
      <c r="P56" s="361"/>
    </row>
    <row r="57" spans="5:16" x14ac:dyDescent="0.2">
      <c r="E57" s="361"/>
      <c r="G57" s="361"/>
      <c r="H57" s="361"/>
      <c r="I57" s="361"/>
      <c r="L57" s="361"/>
      <c r="N57" s="361"/>
      <c r="O57" s="361"/>
      <c r="P57" s="361"/>
    </row>
  </sheetData>
  <mergeCells count="13">
    <mergeCell ref="A1:AF1"/>
    <mergeCell ref="A2:AF2"/>
    <mergeCell ref="D5:I5"/>
    <mergeCell ref="K5:P5"/>
    <mergeCell ref="C4:I4"/>
    <mergeCell ref="J4:P4"/>
    <mergeCell ref="A4:B6"/>
    <mergeCell ref="Q4:W4"/>
    <mergeCell ref="X4:AD4"/>
    <mergeCell ref="AE4:AF4"/>
    <mergeCell ref="AE5:AF5"/>
    <mergeCell ref="Y5:AD5"/>
    <mergeCell ref="R5:W5"/>
  </mergeCells>
  <hyperlinks>
    <hyperlink ref="A24" location="'indice cap.1'!A1" display="regresar al índice" xr:uid="{00000000-0004-0000-2500-000000000000}"/>
  </hyperlinks>
  <pageMargins left="0" right="0" top="0.74803149606299213" bottom="0.74803149606299213" header="0.31496062992125984" footer="0.31496062992125984"/>
  <pageSetup paperSize="9" scale="60" orientation="landscape" verticalDpi="599" r:id="rId1"/>
  <ignoredErrors>
    <ignoredError sqref="J6:K6 X6:Y6 Q6:R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48</vt:i4>
      </vt:variant>
    </vt:vector>
  </HeadingPairs>
  <TitlesOfParts>
    <vt:vector size="86" baseType="lpstr">
      <vt:lpstr>indice cap.1</vt:lpstr>
      <vt:lpstr>1.1</vt:lpstr>
      <vt:lpstr>1.2</vt:lpstr>
      <vt:lpstr>1.3</vt:lpstr>
      <vt:lpstr>1.4</vt:lpstr>
      <vt:lpstr>1.5</vt:lpstr>
      <vt:lpstr>1.6</vt:lpstr>
      <vt:lpstr>1.7</vt:lpstr>
      <vt:lpstr>1.8a</vt:lpstr>
      <vt:lpstr>1.8b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1.16a</vt:lpstr>
      <vt:lpstr>1.16b</vt:lpstr>
      <vt:lpstr>1.16c</vt:lpstr>
      <vt:lpstr>1.17</vt:lpstr>
      <vt:lpstr>1.18</vt:lpstr>
      <vt:lpstr>1.19</vt:lpstr>
      <vt:lpstr>1.20</vt:lpstr>
      <vt:lpstr>1.21</vt:lpstr>
      <vt:lpstr>1.21b</vt:lpstr>
      <vt:lpstr>1.22</vt:lpstr>
      <vt:lpstr>1.23</vt:lpstr>
      <vt:lpstr>1.24</vt:lpstr>
      <vt:lpstr>1.25</vt:lpstr>
      <vt:lpstr>1.26</vt:lpstr>
      <vt:lpstr>1.27</vt:lpstr>
      <vt:lpstr>1.28</vt:lpstr>
      <vt:lpstr>1.29</vt:lpstr>
      <vt:lpstr>1.30</vt:lpstr>
      <vt:lpstr>1.31</vt:lpstr>
      <vt:lpstr>1.32</vt:lpstr>
      <vt:lpstr>'1.1'!Print_Area</vt:lpstr>
      <vt:lpstr>'1.10'!Print_Area</vt:lpstr>
      <vt:lpstr>'1.11'!Print_Area</vt:lpstr>
      <vt:lpstr>'1.12'!Print_Area</vt:lpstr>
      <vt:lpstr>'1.13'!Print_Area</vt:lpstr>
      <vt:lpstr>'1.14'!Print_Area</vt:lpstr>
      <vt:lpstr>'1.15'!Print_Area</vt:lpstr>
      <vt:lpstr>'1.16'!Print_Area</vt:lpstr>
      <vt:lpstr>'1.17'!Print_Area</vt:lpstr>
      <vt:lpstr>'1.18'!Print_Area</vt:lpstr>
      <vt:lpstr>'1.19'!Print_Area</vt:lpstr>
      <vt:lpstr>'1.2'!Print_Area</vt:lpstr>
      <vt:lpstr>'1.20'!Print_Area</vt:lpstr>
      <vt:lpstr>'1.21'!Print_Area</vt:lpstr>
      <vt:lpstr>'1.21b'!Print_Area</vt:lpstr>
      <vt:lpstr>'1.22'!Print_Area</vt:lpstr>
      <vt:lpstr>'1.23'!Print_Area</vt:lpstr>
      <vt:lpstr>'1.24'!Print_Area</vt:lpstr>
      <vt:lpstr>'1.25'!Print_Area</vt:lpstr>
      <vt:lpstr>'1.26'!Print_Area</vt:lpstr>
      <vt:lpstr>'1.27'!Print_Area</vt:lpstr>
      <vt:lpstr>'1.28'!Print_Area</vt:lpstr>
      <vt:lpstr>'1.29'!Print_Area</vt:lpstr>
      <vt:lpstr>'1.3'!Print_Area</vt:lpstr>
      <vt:lpstr>'1.30'!Print_Area</vt:lpstr>
      <vt:lpstr>'1.31'!Print_Area</vt:lpstr>
      <vt:lpstr>'1.32'!Print_Area</vt:lpstr>
      <vt:lpstr>'1.4'!Print_Area</vt:lpstr>
      <vt:lpstr>'1.5'!Print_Area</vt:lpstr>
      <vt:lpstr>'1.6'!Print_Area</vt:lpstr>
      <vt:lpstr>'1.7'!Print_Area</vt:lpstr>
      <vt:lpstr>'1.8a'!Print_Area</vt:lpstr>
      <vt:lpstr>'1.8b'!Print_Area</vt:lpstr>
      <vt:lpstr>'1.9'!Print_Area</vt:lpstr>
      <vt:lpstr>'indice cap.1'!Print_Area</vt:lpstr>
      <vt:lpstr>'1.11'!Print_Titles</vt:lpstr>
      <vt:lpstr>'1.12'!Print_Titles</vt:lpstr>
      <vt:lpstr>'1.13'!Print_Titles</vt:lpstr>
      <vt:lpstr>'1.14'!Print_Titles</vt:lpstr>
      <vt:lpstr>'1.15'!Print_Titles</vt:lpstr>
      <vt:lpstr>'1.17'!Print_Titles</vt:lpstr>
      <vt:lpstr>'1.18'!Print_Titles</vt:lpstr>
      <vt:lpstr>'1.19'!Print_Titles</vt:lpstr>
      <vt:lpstr>'1.20'!Print_Titles</vt:lpstr>
      <vt:lpstr>'1.24'!Print_Titles</vt:lpstr>
      <vt:lpstr>'1.3'!Print_Titles</vt:lpstr>
      <vt:lpstr>'1.6'!Print_Titles</vt:lpstr>
      <vt:lpstr>'1.7'!Print_Titles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Velasco Struve</dc:creator>
  <cp:lastModifiedBy>Jaramillo Vasconez Oscar Eduardo</cp:lastModifiedBy>
  <cp:lastPrinted>2012-06-21T16:04:18Z</cp:lastPrinted>
  <dcterms:created xsi:type="dcterms:W3CDTF">2008-04-14T20:41:23Z</dcterms:created>
  <dcterms:modified xsi:type="dcterms:W3CDTF">2025-07-25T18:21:01Z</dcterms:modified>
</cp:coreProperties>
</file>