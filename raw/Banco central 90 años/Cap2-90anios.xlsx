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Default Extension="bin" ContentType="application/vnd.openxmlformats-officedocument.spreadsheetml.printerSettings"/>
  <Default Extension="png" ContentType="image/png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9185" yWindow="-15" windowWidth="9660" windowHeight="12795" tabRatio="151"/>
  </bookViews>
  <sheets>
    <sheet name="indice cap.2" sheetId="1" r:id="rId1"/>
    <sheet name="2.1" sheetId="29" r:id="rId2"/>
    <sheet name="2.2" sheetId="30" r:id="rId3"/>
    <sheet name="2.3" sheetId="31" r:id="rId4"/>
    <sheet name="2.4" sheetId="5" r:id="rId5"/>
    <sheet name="2.5" sheetId="6" r:id="rId6"/>
    <sheet name="2.6" sheetId="27" r:id="rId7"/>
    <sheet name="2.7" sheetId="8" r:id="rId8"/>
    <sheet name="2.8" sheetId="9" r:id="rId9"/>
    <sheet name="2.9" sheetId="28" r:id="rId10"/>
    <sheet name="2.10" sheetId="32" r:id="rId11"/>
    <sheet name="2.11" sheetId="33" r:id="rId12"/>
    <sheet name="2.12" sheetId="34" r:id="rId13"/>
    <sheet name="2.13" sheetId="35" r:id="rId14"/>
    <sheet name="2.14" sheetId="36" r:id="rId15"/>
    <sheet name="2.15" sheetId="37" r:id="rId16"/>
    <sheet name="2.16" sheetId="38" r:id="rId17"/>
  </sheets>
  <definedNames>
    <definedName name="_xlnm.Print_Area" localSheetId="2">'2.2'!$A$1:$AF$48</definedName>
    <definedName name="_xlnm.Print_Area" localSheetId="0">'indice cap.2'!$A$1:$H$28</definedName>
  </definedNames>
  <calcPr calcId="125725"/>
</workbook>
</file>

<file path=xl/calcChain.xml><?xml version="1.0" encoding="utf-8"?>
<calcChain xmlns="http://schemas.openxmlformats.org/spreadsheetml/2006/main">
  <c r="E29" i="33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E9"/>
  <c r="E8"/>
  <c r="E7"/>
  <c r="E6"/>
  <c r="I29" i="32"/>
  <c r="I28"/>
  <c r="I27"/>
  <c r="I26"/>
  <c r="I25"/>
  <c r="I24"/>
  <c r="H24"/>
  <c r="H23"/>
  <c r="I23" s="1"/>
  <c r="I22"/>
  <c r="I21"/>
  <c r="I20"/>
  <c r="I19"/>
  <c r="I18"/>
  <c r="I17"/>
  <c r="I16"/>
  <c r="I15"/>
  <c r="I14"/>
  <c r="I13"/>
  <c r="I12"/>
  <c r="I11"/>
  <c r="I10"/>
  <c r="I9"/>
  <c r="I8"/>
  <c r="I7"/>
  <c r="I6"/>
  <c r="D95" i="5"/>
  <c r="D94"/>
  <c r="D93"/>
  <c r="D92"/>
  <c r="D91"/>
  <c r="D90"/>
  <c r="D89"/>
  <c r="D88"/>
  <c r="D87"/>
  <c r="D86"/>
  <c r="D85"/>
  <c r="D84"/>
  <c r="D83"/>
  <c r="D82"/>
  <c r="D81"/>
  <c r="D80"/>
  <c r="D79"/>
  <c r="D78"/>
  <c r="D77"/>
  <c r="D76"/>
  <c r="D75"/>
  <c r="D74"/>
  <c r="D73"/>
  <c r="D72"/>
  <c r="D71"/>
  <c r="D70"/>
  <c r="D69"/>
  <c r="D68"/>
  <c r="D67"/>
  <c r="D66"/>
  <c r="D65"/>
  <c r="D64"/>
  <c r="D63"/>
  <c r="D62"/>
  <c r="D61"/>
  <c r="D60"/>
  <c r="D59"/>
  <c r="D58"/>
  <c r="D57"/>
  <c r="D56"/>
  <c r="D55"/>
  <c r="D54"/>
  <c r="D53"/>
  <c r="D52"/>
  <c r="D51"/>
  <c r="D50"/>
  <c r="D49"/>
  <c r="D48"/>
  <c r="D47"/>
  <c r="D46"/>
  <c r="D45"/>
  <c r="D44"/>
  <c r="D43"/>
  <c r="D42"/>
  <c r="D41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D9"/>
  <c r="D8"/>
  <c r="D7"/>
  <c r="D6"/>
</calcChain>
</file>

<file path=xl/sharedStrings.xml><?xml version="1.0" encoding="utf-8"?>
<sst xmlns="http://schemas.openxmlformats.org/spreadsheetml/2006/main" count="2576" uniqueCount="476">
  <si>
    <t>SECTOR EXTERNO</t>
  </si>
  <si>
    <t>capítulo 2</t>
  </si>
  <si>
    <t>2.4      Balanza Comercial</t>
  </si>
  <si>
    <t>2.1      Balanza de Pagos II Manual</t>
  </si>
  <si>
    <t>2.2      Balanza de Pagos: IV Manual</t>
  </si>
  <si>
    <t>2.3      Balanza de Pagos: Presentación analítica (V Manual)</t>
  </si>
  <si>
    <t xml:space="preserve">2.7      Importaciones por Grupos de Bienes (1943 - 1956) (1) (2) </t>
  </si>
  <si>
    <t>2.6       Exportaciones por Continente y Area Económica</t>
  </si>
  <si>
    <t>2.5      Exporatciones por grupos de productos</t>
  </si>
  <si>
    <t xml:space="preserve">2.10    Saldos de la Deuda Externa "Antigua"  ( 1938 - 1961 ) </t>
  </si>
  <si>
    <t>2.11     Desglose de los Saldos de la Deuda Externa "Antigua" (1938 - 1961)</t>
  </si>
  <si>
    <t>2.13    Tipo de Cambio</t>
  </si>
  <si>
    <t>2.15    Ecuador: Indices de Tipo de Cambio real</t>
  </si>
  <si>
    <t>-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</si>
  <si>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</si>
  <si>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</si>
  <si>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</si>
  <si>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</si>
  <si>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</si>
  <si>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</si>
  <si>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</si>
  <si>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</si>
  <si>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</si>
  <si>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</si>
  <si>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</si>
  <si>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</si>
  <si>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</si>
  <si>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</si>
  <si>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</si>
  <si>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</si>
  <si>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</si>
  <si>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</si>
  <si>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</si>
  <si>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</si>
  <si>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</si>
  <si>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</si>
  <si>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</si>
  <si>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Miles de dólares</t>
  </si>
  <si>
    <t>Años</t>
  </si>
  <si>
    <t>Importaciones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</si>
  <si>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</si>
  <si>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</si>
  <si>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</si>
  <si>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</si>
  <si>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</si>
  <si>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</si>
  <si>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</si>
  <si>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</si>
  <si>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</si>
  <si>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</si>
  <si>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</si>
  <si>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</si>
  <si>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</si>
  <si>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</si>
  <si>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Miles de dólares FOB</t>
  </si>
  <si>
    <t>Año</t>
  </si>
  <si>
    <t xml:space="preserve">TOTAL </t>
  </si>
  <si>
    <t>Petroleras (1)</t>
  </si>
  <si>
    <t>No Petroleras</t>
  </si>
  <si>
    <t>Total</t>
  </si>
  <si>
    <t>Derivados</t>
  </si>
  <si>
    <t xml:space="preserve">      Tradicionales</t>
  </si>
  <si>
    <t>Camarón</t>
  </si>
  <si>
    <t>a=b+e</t>
  </si>
  <si>
    <t>b=c+d</t>
  </si>
  <si>
    <t>c</t>
  </si>
  <si>
    <t>d</t>
  </si>
  <si>
    <t>e=f+l</t>
  </si>
  <si>
    <t>f=g+h+i+j+k</t>
  </si>
  <si>
    <t>g</t>
  </si>
  <si>
    <t>h</t>
  </si>
  <si>
    <t>i</t>
  </si>
  <si>
    <t>j</t>
  </si>
  <si>
    <t>k</t>
  </si>
  <si>
    <t>l</t>
  </si>
  <si>
    <t>Millones de dólares FOB</t>
  </si>
  <si>
    <t>Año/País</t>
  </si>
  <si>
    <t>TOTAL GENERAL</t>
  </si>
  <si>
    <t xml:space="preserve">    Taiwán</t>
  </si>
  <si>
    <t xml:space="preserve">    Japón</t>
  </si>
  <si>
    <t xml:space="preserve">    Otros países</t>
  </si>
  <si>
    <t xml:space="preserve">2.7 IMPORTACIONES POR GRUPOS DE BIENES (1943 - 1956) (1) (2) </t>
  </si>
  <si>
    <t>Miles de dólares CIF</t>
  </si>
  <si>
    <t>TOTAL</t>
  </si>
  <si>
    <t>Bienes de consumo</t>
  </si>
  <si>
    <t>Materias Primas</t>
  </si>
  <si>
    <t>Bienes de Capital</t>
  </si>
  <si>
    <t>Diversos</t>
  </si>
  <si>
    <t>No duraderos</t>
  </si>
  <si>
    <t>Duraderos</t>
  </si>
  <si>
    <t>Agrícolas</t>
  </si>
  <si>
    <t>Industriales</t>
  </si>
  <si>
    <t>e</t>
  </si>
  <si>
    <t>m</t>
  </si>
  <si>
    <t>n</t>
  </si>
  <si>
    <t>Millones de dólares CIF</t>
  </si>
  <si>
    <t xml:space="preserve">2.10 SALDOS DE LA DEUDA  EXTERNA "ANTIGUA"  (1938 - 1961) (1)  </t>
  </si>
  <si>
    <t>Miles de dólares al final del período</t>
  </si>
  <si>
    <t>BIRF</t>
  </si>
  <si>
    <t>Otros</t>
  </si>
  <si>
    <t>2.11  DESGLOSE DE LOS SALDOS DE LA DEUDA  EXTERNA "ANTIGUA" (1938 - 1961) (1)</t>
  </si>
  <si>
    <t>AÑOS</t>
  </si>
  <si>
    <t>Millones de dólares al final del período</t>
  </si>
  <si>
    <t>AMORTIZACIONES</t>
  </si>
  <si>
    <t xml:space="preserve"> INTERESES</t>
  </si>
  <si>
    <t>Efectivos</t>
  </si>
  <si>
    <t>Refinanciados</t>
  </si>
  <si>
    <t>Intereses</t>
  </si>
  <si>
    <t>T O T A L</t>
  </si>
  <si>
    <t>Efectivas</t>
  </si>
  <si>
    <t>TOTAL 1950</t>
  </si>
  <si>
    <t xml:space="preserve">   DEUDA PUBLICA</t>
  </si>
  <si>
    <t xml:space="preserve">   DEUDA PRIVADA</t>
  </si>
  <si>
    <t>TOTAL 1951</t>
  </si>
  <si>
    <t>TOTAL 1952</t>
  </si>
  <si>
    <t>TOTAL 1953</t>
  </si>
  <si>
    <t>TOTAL 1954</t>
  </si>
  <si>
    <t>TOTAL 1955</t>
  </si>
  <si>
    <t>TOTAL 1956</t>
  </si>
  <si>
    <t>TOTAL 1957</t>
  </si>
  <si>
    <t>TOTAL 1958</t>
  </si>
  <si>
    <t>TOTAL 1959</t>
  </si>
  <si>
    <t>TOTAL 1960</t>
  </si>
  <si>
    <t>TOTAL 1961</t>
  </si>
  <si>
    <t>TOTAL 1962</t>
  </si>
  <si>
    <t>TOTAL 1963</t>
  </si>
  <si>
    <t>TOTAL 1964</t>
  </si>
  <si>
    <t>TOTAL 1965</t>
  </si>
  <si>
    <t>TOTAL 1966</t>
  </si>
  <si>
    <t>TOTAL 1967</t>
  </si>
  <si>
    <t>TOTAL 1968</t>
  </si>
  <si>
    <t>TOTAL 1969</t>
  </si>
  <si>
    <t>TOTAL 1970</t>
  </si>
  <si>
    <t xml:space="preserve"> (1)</t>
  </si>
  <si>
    <t>TOTAL 1971</t>
  </si>
  <si>
    <t>TOTAL 1972</t>
  </si>
  <si>
    <t>TOTAL 1973</t>
  </si>
  <si>
    <t>TOTAL 1974</t>
  </si>
  <si>
    <t>TOTAL 1975</t>
  </si>
  <si>
    <t>TOTAL 1976</t>
  </si>
  <si>
    <t>TOTAL 1977</t>
  </si>
  <si>
    <t>TOTAL 1978</t>
  </si>
  <si>
    <t xml:space="preserve"> (2)</t>
  </si>
  <si>
    <t>TOTAL 1979</t>
  </si>
  <si>
    <t>TOTAL 1980</t>
  </si>
  <si>
    <t>TOTAL 1981</t>
  </si>
  <si>
    <t>TOTAL 1982</t>
  </si>
  <si>
    <t xml:space="preserve"> (3)</t>
  </si>
  <si>
    <t>TOTAL 1983</t>
  </si>
  <si>
    <t>TOTAL 1984</t>
  </si>
  <si>
    <t>TOTAL 1985</t>
  </si>
  <si>
    <t>TOTAL 1986</t>
  </si>
  <si>
    <t>TOTAL 1987</t>
  </si>
  <si>
    <t>TOTAL 1988</t>
  </si>
  <si>
    <t>TOTAL 1989</t>
  </si>
  <si>
    <t>TOTAL 1990</t>
  </si>
  <si>
    <t>TOTAL 1991</t>
  </si>
  <si>
    <t>TOTAL 1992</t>
  </si>
  <si>
    <t>TOTAL 1993</t>
  </si>
  <si>
    <t>TOTAL 1994</t>
  </si>
  <si>
    <t>TOTAL 1995</t>
  </si>
  <si>
    <t>TOTAL 1996</t>
  </si>
  <si>
    <t>TOTAL 1997</t>
  </si>
  <si>
    <t>TOTAL 1998</t>
  </si>
  <si>
    <t>TOTAL 1999</t>
  </si>
  <si>
    <t>TOTAL 2000</t>
  </si>
  <si>
    <t>TOTAL 2001</t>
  </si>
  <si>
    <t>TOTAL 2002</t>
  </si>
  <si>
    <t>TOTAL 2003</t>
  </si>
  <si>
    <t>TOTAL 2004</t>
  </si>
  <si>
    <t>TOTAL 2005</t>
  </si>
  <si>
    <t>(4)</t>
  </si>
  <si>
    <t>TOTAL 2006</t>
  </si>
  <si>
    <t>TOTAL 2007</t>
  </si>
  <si>
    <t>2.13 TIPO DE CAMBIO</t>
  </si>
  <si>
    <t>En sucres</t>
  </si>
  <si>
    <t>MERCADO OFICIAL</t>
  </si>
  <si>
    <t>MERCADO DE INTERVENCIÓN</t>
  </si>
  <si>
    <t>MERCADO LIBRE DE CAMBIOS</t>
  </si>
  <si>
    <t>PROMEDIO (1)</t>
  </si>
  <si>
    <t>Compra</t>
  </si>
  <si>
    <t>Venta</t>
  </si>
  <si>
    <t>...</t>
  </si>
  <si>
    <t>(2)</t>
  </si>
  <si>
    <t>(3)</t>
  </si>
  <si>
    <t>(5)</t>
  </si>
  <si>
    <t>(6)</t>
  </si>
  <si>
    <t>(7)</t>
  </si>
  <si>
    <t>(8)</t>
  </si>
  <si>
    <t>Enero</t>
  </si>
  <si>
    <t>Febrero</t>
  </si>
  <si>
    <t>Marzo 1 -12</t>
  </si>
  <si>
    <t>2.14   COTIZACIONES DEL DOLAR DE ESTADOS UNIDOS DE AMERICA EN EL MERCADO INTERNACIONAL (1)</t>
  </si>
  <si>
    <t>Unidades de cada moneda al final del período</t>
  </si>
  <si>
    <t>Período</t>
  </si>
  <si>
    <t>DEG</t>
  </si>
  <si>
    <t xml:space="preserve">2.15   ECUADOR: INDICES  DE  TIPO  DE  CAMBIO  REAL  (1) </t>
  </si>
  <si>
    <t>EFECTIVO REAL (3)</t>
  </si>
  <si>
    <t>BILATERAL  REAL</t>
  </si>
  <si>
    <t>Estados Unidos de América</t>
  </si>
  <si>
    <t>Japón</t>
  </si>
  <si>
    <t>Colombia</t>
  </si>
  <si>
    <t>Alemania</t>
  </si>
  <si>
    <t>Italia</t>
  </si>
  <si>
    <t>España</t>
  </si>
  <si>
    <t>Chile</t>
  </si>
  <si>
    <t>Perú</t>
  </si>
  <si>
    <t>Brasil</t>
  </si>
  <si>
    <t>México</t>
  </si>
  <si>
    <t>Venezuela</t>
  </si>
  <si>
    <t>Francia</t>
  </si>
  <si>
    <t>Bélgica</t>
  </si>
  <si>
    <t>Argentina</t>
  </si>
  <si>
    <t>Reino Unido</t>
  </si>
  <si>
    <t>2.16  TASAS DE INFLACION DE ESTADOS UNIDOS DE AMERICA Y TASAS DE INTERES INTERNACIONALES</t>
  </si>
  <si>
    <t xml:space="preserve"> TASAS DE INTERES</t>
  </si>
  <si>
    <t>Fondos Federales</t>
  </si>
  <si>
    <t>PRIME New York</t>
  </si>
  <si>
    <t xml:space="preserve"> LIBOR</t>
  </si>
  <si>
    <t>90</t>
  </si>
  <si>
    <t>180</t>
  </si>
  <si>
    <t>360</t>
  </si>
  <si>
    <t>regresar al índice</t>
  </si>
  <si>
    <t>2007</t>
  </si>
  <si>
    <t>2008</t>
  </si>
  <si>
    <t>2009</t>
  </si>
  <si>
    <t>2010</t>
  </si>
  <si>
    <t>2011</t>
  </si>
  <si>
    <t xml:space="preserve">    Rep. Popular China</t>
  </si>
  <si>
    <t xml:space="preserve">    Corea del Sur</t>
  </si>
  <si>
    <t>TOTAL 2008</t>
  </si>
  <si>
    <t>TOTAL 2009</t>
  </si>
  <si>
    <t>TOTAL 2010</t>
  </si>
  <si>
    <t>TOTAL 2011</t>
  </si>
  <si>
    <t>Notas</t>
  </si>
  <si>
    <t>Exportaciones     FOB</t>
  </si>
  <si>
    <t>Petroleo Crudo</t>
  </si>
  <si>
    <t>Banano y plátano</t>
  </si>
  <si>
    <t>Café y elaborados</t>
  </si>
  <si>
    <t>Cacao y elaborados</t>
  </si>
  <si>
    <t>Atún y pescado</t>
  </si>
  <si>
    <t>No tradicionales</t>
  </si>
  <si>
    <t>Productos alimenticios bebidas y tabacos</t>
  </si>
  <si>
    <t>Aceites, grasas y ceras de origen animal y vegetal</t>
  </si>
  <si>
    <t>Productos químicos y similares</t>
  </si>
  <si>
    <t>Caucho y sus manufacturas</t>
  </si>
  <si>
    <t>Maderas, papel, cartón y sus manufacturas</t>
  </si>
  <si>
    <t>Cueros, pieles y sus manufacturas</t>
  </si>
  <si>
    <t>Hilos, tejidos y otras materias textiles</t>
  </si>
  <si>
    <t>Artículos de vestir, confecciones textiles</t>
  </si>
  <si>
    <t>Productos para la calefacción, lubricación y conexos</t>
  </si>
  <si>
    <t>Minerales,  vidrio, cerámica y manufacturas no metálicas</t>
  </si>
  <si>
    <t>Metales y sus manufacturas</t>
  </si>
  <si>
    <t>Máquinas, instrumentos y vehiculos</t>
  </si>
  <si>
    <t>Mercaderias, diversos y misceláneos</t>
  </si>
  <si>
    <t>Equipos de transporte</t>
  </si>
  <si>
    <t>Materiales de construcción</t>
  </si>
  <si>
    <t>Combustibles y lubricantes</t>
  </si>
  <si>
    <t>TOTAL IMPORTACIONES</t>
  </si>
  <si>
    <t>AÑO</t>
  </si>
  <si>
    <t>Deuda Antigua (2)</t>
  </si>
  <si>
    <t>Gobierno EE.UU. AID</t>
  </si>
  <si>
    <t>Bonos Empréstito italiano</t>
  </si>
  <si>
    <t>Empréstito del Eximbank</t>
  </si>
  <si>
    <t>Corporación Ecuatoriana de Fomento</t>
  </si>
  <si>
    <t>Bonos FF. CC. del sur</t>
  </si>
  <si>
    <t>Certificados de la sal</t>
  </si>
  <si>
    <t>Bonos Cóndores</t>
  </si>
  <si>
    <t>SALDO INICIAL</t>
  </si>
  <si>
    <t>Ajustes por variación en el tipo de cambio</t>
  </si>
  <si>
    <t>Atrasos de intereses acumulados a fin de año</t>
  </si>
  <si>
    <t>SALDO FINAL MAS ATRASOS INTERESES</t>
  </si>
  <si>
    <t>DESEMBOLSOS</t>
  </si>
  <si>
    <t>SALDO    FINAL</t>
  </si>
  <si>
    <t xml:space="preserve">    CAPITALIZACIÓN</t>
  </si>
  <si>
    <t>PERÍODO</t>
  </si>
  <si>
    <t>FIN DE PERÍODO</t>
  </si>
  <si>
    <t>COLOMBIA Peso</t>
  </si>
  <si>
    <t>PERU  Nuevo Sol (2)</t>
  </si>
  <si>
    <t>ARGENTINA Peso (3)</t>
  </si>
  <si>
    <t>VENEZUELA Bolívar (6)</t>
  </si>
  <si>
    <t>REINO UNIDO Libra Esterlina</t>
  </si>
  <si>
    <t>BRASIL         Real (4)</t>
  </si>
  <si>
    <t>MEXICO            Peso (5)</t>
  </si>
  <si>
    <t>SUIZA             Franco</t>
  </si>
  <si>
    <t>JAPON           Yen</t>
  </si>
  <si>
    <t>TASAS DE INFLACION ESTADOS UNIDOS DE AMERICA                    variación anual (1)</t>
  </si>
  <si>
    <t>Notas metodológicas de este capítulo</t>
  </si>
  <si>
    <t>2012</t>
  </si>
  <si>
    <t>2013</t>
  </si>
  <si>
    <t>2014</t>
  </si>
  <si>
    <t>2015</t>
  </si>
  <si>
    <t>2016</t>
  </si>
  <si>
    <t>2.5 EXPORTACIONES POR GRUPOS DE PRODUCTOS (1927-2016)</t>
  </si>
  <si>
    <t>AMÉRICA</t>
  </si>
  <si>
    <t>ESTADOS UNIDOS (2)</t>
  </si>
  <si>
    <t>CANADÁ</t>
  </si>
  <si>
    <t>MERCADO COMÚN CENTROAMERICANO</t>
  </si>
  <si>
    <t>ASOC. LATINOAMERICANA DE INTEGRACIÓN</t>
  </si>
  <si>
    <t xml:space="preserve">    Argentina</t>
  </si>
  <si>
    <t xml:space="preserve">    Brasil</t>
  </si>
  <si>
    <t xml:space="preserve">    México</t>
  </si>
  <si>
    <t xml:space="preserve">    COMUNIDAD ANDINA</t>
  </si>
  <si>
    <t xml:space="preserve">    Bolivia</t>
  </si>
  <si>
    <t xml:space="preserve">    Colombia</t>
  </si>
  <si>
    <t xml:space="preserve">    Perú</t>
  </si>
  <si>
    <t xml:space="preserve">    Venezuela </t>
  </si>
  <si>
    <t>RESTO AMÉRICA</t>
  </si>
  <si>
    <t>EUROPA</t>
  </si>
  <si>
    <t>UNIÓN EUROPEA</t>
  </si>
  <si>
    <t xml:space="preserve">    Bélgica y Luxemburgo</t>
  </si>
  <si>
    <t xml:space="preserve">    España</t>
  </si>
  <si>
    <t xml:space="preserve">    Francia</t>
  </si>
  <si>
    <t xml:space="preserve">    Holanda</t>
  </si>
  <si>
    <t xml:space="preserve">    Italia</t>
  </si>
  <si>
    <t xml:space="preserve">    Reino Unido</t>
  </si>
  <si>
    <t xml:space="preserve">    Otros países </t>
  </si>
  <si>
    <t>ASOC. EUROPEA DE LIBRE COMERCIO</t>
  </si>
  <si>
    <t>RESTO EUROPA</t>
  </si>
  <si>
    <t>ASIA</t>
  </si>
  <si>
    <t xml:space="preserve">    Hong Kong</t>
  </si>
  <si>
    <t>ÁFRICA</t>
  </si>
  <si>
    <t>OCEANÍA</t>
  </si>
  <si>
    <t>OTROS PAÍSES NEP</t>
  </si>
  <si>
    <t>Tráfico Postal Internacional y Correos</t>
  </si>
  <si>
    <t>f</t>
  </si>
  <si>
    <t>b=c+d+e</t>
  </si>
  <si>
    <t>g=h+i+j</t>
  </si>
  <si>
    <t>k=l+m+n</t>
  </si>
  <si>
    <t>a=b+f+g+k+o</t>
  </si>
  <si>
    <t>o</t>
  </si>
  <si>
    <t>2.8 IMPORTACIONES POR USO O DESTINO ECONOMICO (1957-2016) (1)</t>
  </si>
  <si>
    <t xml:space="preserve">2.4 BALANZA COMERCIAL (1927- 2016) </t>
  </si>
  <si>
    <t xml:space="preserve"> 2.6  EXPORTACIONES POR CONTINENTE, AREA ECONÓMICA Y PAIS (1949 - 2016) (1)</t>
  </si>
  <si>
    <t>2.1  BALANZA DE PAGOS (1)</t>
  </si>
  <si>
    <t>Millones de dólares</t>
  </si>
  <si>
    <t>Transacciones \ años</t>
  </si>
  <si>
    <t>1961 (2)</t>
  </si>
  <si>
    <t xml:space="preserve">SALDO EN CUENTA CORRIENTE </t>
  </si>
  <si>
    <t>Balanza Comercial</t>
  </si>
  <si>
    <t xml:space="preserve">   Exportaciones FOB</t>
  </si>
  <si>
    <t xml:space="preserve">   Importaciones FOB</t>
  </si>
  <si>
    <t>Otros bienes, servicios e ingresos netos</t>
  </si>
  <si>
    <t>Transferencias unilaterales privadas</t>
  </si>
  <si>
    <t>Transferencias unilaterales oficiales</t>
  </si>
  <si>
    <t>Capital, salvo reservas</t>
  </si>
  <si>
    <t>Errores y omisiones netos</t>
  </si>
  <si>
    <t>Cuentas de contrapartida</t>
  </si>
  <si>
    <t>Pasivos que constituyen reservas de autoridades extranjeras</t>
  </si>
  <si>
    <t>Variación total de reservas (3)</t>
  </si>
  <si>
    <t>2.2  BALANZA DE PAGOS  (1)</t>
  </si>
  <si>
    <t>SALDO EN CUENTA CORRIENTE</t>
  </si>
  <si>
    <t>BALANZA COMERCIAL</t>
  </si>
  <si>
    <t xml:space="preserve">  Exportaciones</t>
  </si>
  <si>
    <t xml:space="preserve">        Petróleo y derivados</t>
  </si>
  <si>
    <t xml:space="preserve">        Otros</t>
  </si>
  <si>
    <t xml:space="preserve">  Importaciones</t>
  </si>
  <si>
    <t xml:space="preserve">        Bienes de consumo (2)</t>
  </si>
  <si>
    <t>BALANZA DE SERVICIOS Y RENTA</t>
  </si>
  <si>
    <t xml:space="preserve">  Servicios prestados</t>
  </si>
  <si>
    <t xml:space="preserve">        Viajes</t>
  </si>
  <si>
    <t xml:space="preserve">        Otros servicios</t>
  </si>
  <si>
    <t xml:space="preserve">  Servicios recibidos</t>
  </si>
  <si>
    <t xml:space="preserve">        Intereses deuda externa mediano y largo plazo (3)</t>
  </si>
  <si>
    <t xml:space="preserve">        Otros intereses deuda externa corto plazo</t>
  </si>
  <si>
    <t>TRANSFERENCIAS UNILATERALES</t>
  </si>
  <si>
    <t>CUENTA DE CAPITALES</t>
  </si>
  <si>
    <t xml:space="preserve">  Inversión directa</t>
  </si>
  <si>
    <t xml:space="preserve">  Deuda externa</t>
  </si>
  <si>
    <t xml:space="preserve">        Pública</t>
  </si>
  <si>
    <t xml:space="preserve">             Desembolsos efectivos</t>
  </si>
  <si>
    <t xml:space="preserve">             Desembolsos por refinanciamiento y capitalización</t>
  </si>
  <si>
    <t xml:space="preserve">                  Refinanciamiento</t>
  </si>
  <si>
    <t xml:space="preserve">                  Capitalización (4)</t>
  </si>
  <si>
    <t xml:space="preserve">             Amortización</t>
  </si>
  <si>
    <t xml:space="preserve">                  Efectiva</t>
  </si>
  <si>
    <t xml:space="preserve">                  Refinanciada  </t>
  </si>
  <si>
    <t xml:space="preserve">                  Diferida (5)  </t>
  </si>
  <si>
    <t xml:space="preserve">                  Condonación  </t>
  </si>
  <si>
    <t xml:space="preserve">        Privada</t>
  </si>
  <si>
    <t xml:space="preserve">             Desembolsos (6)</t>
  </si>
  <si>
    <t xml:space="preserve">                  Refinanciada </t>
  </si>
  <si>
    <t xml:space="preserve">  Atrasos </t>
  </si>
  <si>
    <t xml:space="preserve">       de intereses (3)</t>
  </si>
  <si>
    <t xml:space="preserve">       Otros (7)</t>
  </si>
  <si>
    <t xml:space="preserve">  Otros capitales (8)</t>
  </si>
  <si>
    <t>RESERVA MONETARIA INTERNACIONAL (9)</t>
  </si>
  <si>
    <t>2.3 BALANZA DE PAGOS: PRESENTACION ANALITICA (1) (2)</t>
  </si>
  <si>
    <t>Transacción / Años</t>
  </si>
  <si>
    <t>1 CUENTA CORRIENTE  (A+B+C+D)</t>
  </si>
  <si>
    <t xml:space="preserve">     A Bienes</t>
  </si>
  <si>
    <t xml:space="preserve">              A1 Exportaciones </t>
  </si>
  <si>
    <t xml:space="preserve">                       Mercancías generales</t>
  </si>
  <si>
    <t xml:space="preserve">                          Mercancías según SENAE</t>
  </si>
  <si>
    <t xml:space="preserve">                               Petróleo y derivados</t>
  </si>
  <si>
    <t xml:space="preserve">                               Las demás</t>
  </si>
  <si>
    <t xml:space="preserve">                          Comercio no registrado (3)</t>
  </si>
  <si>
    <t xml:space="preserve">                       Otras exportaciones</t>
  </si>
  <si>
    <r>
      <t xml:space="preserve">            </t>
    </r>
    <r>
      <rPr>
        <b/>
        <sz val="10"/>
        <color indexed="56"/>
        <rFont val="Calibri"/>
        <family val="2"/>
      </rPr>
      <t xml:space="preserve"> </t>
    </r>
    <r>
      <rPr>
        <sz val="10"/>
        <color indexed="56"/>
        <rFont val="Calibri"/>
        <family val="2"/>
      </rPr>
      <t xml:space="preserve">A2  Importaciones </t>
    </r>
  </si>
  <si>
    <t xml:space="preserve">                               Bienes de consumo (4)</t>
  </si>
  <si>
    <t xml:space="preserve">                               Otras</t>
  </si>
  <si>
    <t xml:space="preserve">                       Otras importaciones</t>
  </si>
  <si>
    <t xml:space="preserve">     B Servicios</t>
  </si>
  <si>
    <t xml:space="preserve">              B1 Servicios prestados </t>
  </si>
  <si>
    <t xml:space="preserve">                       Transportes</t>
  </si>
  <si>
    <t xml:space="preserve">                       Viajes</t>
  </si>
  <si>
    <t xml:space="preserve">                       Otros servicios</t>
  </si>
  <si>
    <t xml:space="preserve">              B2 Servicios recibidos</t>
  </si>
  <si>
    <t xml:space="preserve">     C Renta</t>
  </si>
  <si>
    <t xml:space="preserve">              C1 Renta recibida</t>
  </si>
  <si>
    <t xml:space="preserve">              C2 Renta pagada </t>
  </si>
  <si>
    <t xml:space="preserve">                       Remuneración de empleados</t>
  </si>
  <si>
    <t xml:space="preserve">                       Renta de la inversión directa</t>
  </si>
  <si>
    <t xml:space="preserve">                       Renta de la inversión de cartera</t>
  </si>
  <si>
    <t xml:space="preserve">                       Renta de otra inversión (5)</t>
  </si>
  <si>
    <t xml:space="preserve">     D Transferencias corrientes</t>
  </si>
  <si>
    <t xml:space="preserve">              D1Transferencias corrientes recibidas</t>
  </si>
  <si>
    <t xml:space="preserve">                       Gobierno general</t>
  </si>
  <si>
    <t xml:space="preserve">                       Otros sectores</t>
  </si>
  <si>
    <t xml:space="preserve">                          Remesas de trabajadores (6)</t>
  </si>
  <si>
    <t xml:space="preserve">                          Otras transferencias </t>
  </si>
  <si>
    <t xml:space="preserve">              D2 Transferencias corrientes enviadas</t>
  </si>
  <si>
    <t>2 CUENTA DE CAPITAL Y FINANCIERA (A+B)</t>
  </si>
  <si>
    <t xml:space="preserve">     A Cuenta de capital </t>
  </si>
  <si>
    <t xml:space="preserve">     B Cuenta financiera</t>
  </si>
  <si>
    <t xml:space="preserve">               B1 Inversión directa en el país</t>
  </si>
  <si>
    <t xml:space="preserve">               B2 Inversión de cartera (neta)</t>
  </si>
  <si>
    <t xml:space="preserve">                            B21  Títulos de participación en el capital</t>
  </si>
  <si>
    <t xml:space="preserve">                            B22  Títulos de deuda</t>
  </si>
  <si>
    <t xml:space="preserve">               B3 Otra inversión</t>
  </si>
  <si>
    <t xml:space="preserve">                      B31 Activos</t>
  </si>
  <si>
    <t xml:space="preserve">                            B311 Créditos comerciales</t>
  </si>
  <si>
    <t xml:space="preserve">                            B312 Moneda y depósitos</t>
  </si>
  <si>
    <t xml:space="preserve">                            B313 Otros activos</t>
  </si>
  <si>
    <t xml:space="preserve">                      B32 Pasivos</t>
  </si>
  <si>
    <t xml:space="preserve">                            B321 Créditos comerciales</t>
  </si>
  <si>
    <t xml:space="preserve">                                             Gobierno general</t>
  </si>
  <si>
    <t xml:space="preserve">                                             Otros sectores</t>
  </si>
  <si>
    <t xml:space="preserve">                            B322 Préstamos</t>
  </si>
  <si>
    <t xml:space="preserve">                                             Autoridades monetarias</t>
  </si>
  <si>
    <t xml:space="preserve">                                             Bancos</t>
  </si>
  <si>
    <t xml:space="preserve">                                             Otros sectores (7)</t>
  </si>
  <si>
    <t>Desembolsos</t>
  </si>
  <si>
    <t>Amortizaciones</t>
  </si>
  <si>
    <t xml:space="preserve">                            B323 Moneda y depósitos</t>
  </si>
  <si>
    <t xml:space="preserve">                            B324 Otros pasivos</t>
  </si>
  <si>
    <t>3 ERRORES Y OMISIONES</t>
  </si>
  <si>
    <t>BALANZA DE PAGOS GLOBAL (1+2+3)</t>
  </si>
  <si>
    <t>FINANCIAMIENTO</t>
  </si>
  <si>
    <t xml:space="preserve">       Activos de reserva (8)</t>
  </si>
  <si>
    <t xml:space="preserve">       Uso del crédito del FMI</t>
  </si>
  <si>
    <t xml:space="preserve">       Financiamiento excepcional</t>
  </si>
  <si>
    <t xml:space="preserve">2.12 MOVIMIENTO DE LA DEUDA EXTERNA PUBLICA Y PRIVADA  ( 1950 - 2016 ) </t>
  </si>
  <si>
    <t>TOTAL 2012</t>
  </si>
  <si>
    <t>TOTAL 2013</t>
  </si>
  <si>
    <t>TOTAL 2014</t>
  </si>
  <si>
    <t>TOTAL 2015</t>
  </si>
  <si>
    <t>TOTAL 2016</t>
  </si>
  <si>
    <t>EURO   (7)</t>
  </si>
  <si>
    <t>Base: 2007 = 100 (2)</t>
  </si>
  <si>
    <t>Datos al final del período, en porcentajes</t>
  </si>
  <si>
    <t>2.14    Cotización del dólar de EE.UU. En el mercado internacional (1980 - 2016)</t>
  </si>
  <si>
    <t>2.12    Movimiento de la Deuda Externa Pública y Privada (1950 - 2016)</t>
  </si>
  <si>
    <t>2.8      Importaciones por uso o Destino Económico (1957-2016) (1)</t>
  </si>
  <si>
    <t>2.9      Importaciones por Continente, Area Económica y País (1948 - 2016) (1)</t>
  </si>
  <si>
    <t>2.16    Tasas de inflación de EE.UU. y tasas de interés internacionales</t>
  </si>
  <si>
    <t>Balanza Comercial (1)</t>
  </si>
  <si>
    <t>Importaciones (2)     FOB</t>
  </si>
  <si>
    <t xml:space="preserve">    Chile </t>
  </si>
  <si>
    <t xml:space="preserve">    Panamá (3)</t>
  </si>
  <si>
    <t xml:space="preserve">    Venezuela (4)</t>
  </si>
  <si>
    <t xml:space="preserve">    Alemania (5)</t>
  </si>
  <si>
    <t xml:space="preserve">Tráfico Postal Internacional y Correos Rápidos </t>
  </si>
  <si>
    <t>Tráfico Postal Internacional y Correos Rápidos (6)</t>
  </si>
  <si>
    <t>Refinanciadas y condonadas</t>
  </si>
  <si>
    <t xml:space="preserve"> 2.9  IMPORTACIONES POR CONTINENTE, AREA ECONÓMICA Y PAIS (1948 - 2016) (1)(Cont.)</t>
  </si>
</sst>
</file>

<file path=xl/styles.xml><?xml version="1.0" encoding="utf-8"?>
<styleSheet xmlns="http://schemas.openxmlformats.org/spreadsheetml/2006/main">
  <numFmts count="16">
    <numFmt numFmtId="41" formatCode="_(* #,##0_);_(* \(#,##0\);_(* &quot;-&quot;_);_(@_)"/>
    <numFmt numFmtId="43" formatCode="_(* #,##0.00_);_(* \(#,##0.00\);_(* &quot;-&quot;??_);_(@_)"/>
    <numFmt numFmtId="164" formatCode="0_)"/>
    <numFmt numFmtId="165" formatCode="#,##0.0"/>
    <numFmt numFmtId="166" formatCode="_ * #,##0.0_ ;_ * \-#,##0.0_ ;_ * &quot;-&quot;?_ ;_ @_ "/>
    <numFmt numFmtId="167" formatCode="#,##0.000"/>
    <numFmt numFmtId="168" formatCode="#,##0.0_);\(#,##0.0\)"/>
    <numFmt numFmtId="169" formatCode="#,##0.0000000_);\(#,##0.0000000\)"/>
    <numFmt numFmtId="170" formatCode="_-* #,##0\ _P_t_s_-;\-* #,##0\ _P_t_s_-;_-* &quot;-&quot;\ _P_t_s_-;_-@_-"/>
    <numFmt numFmtId="171" formatCode="_ * #,##0_ ;_ * \-#,##0_ ;_ * &quot;-&quot;_ ;_ @_ "/>
    <numFmt numFmtId="172" formatCode="_(* #,##0.0_);_(* \(#,##0.0\);_(* &quot;-&quot;?_);_(@_)"/>
    <numFmt numFmtId="173" formatCode="#,##0.0000_);\(#,##0.0000\)"/>
    <numFmt numFmtId="174" formatCode="_ * #,##0.0_ ;_ * \-#,##0.0_ ;_ * &quot;-&quot;??_ ;_ @_ "/>
    <numFmt numFmtId="175" formatCode="_ * #,##0.00_ ;_ * \-#,##0.00_ ;_ * &quot;-&quot;??_ ;_ @_ "/>
    <numFmt numFmtId="176" formatCode="0.0"/>
    <numFmt numFmtId="177" formatCode="0.0_)"/>
  </numFmts>
  <fonts count="28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0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0"/>
      <color theme="3" tint="-0.499984740745262"/>
      <name val="Calibri"/>
      <family val="2"/>
      <scheme val="minor"/>
    </font>
    <font>
      <u/>
      <sz val="10"/>
      <color theme="3" tint="-0.499984740745262"/>
      <name val="Calibri"/>
      <family val="2"/>
      <scheme val="minor"/>
    </font>
    <font>
      <b/>
      <sz val="10"/>
      <color theme="4" tint="-0.499984740745262"/>
      <name val="Calibri"/>
      <family val="2"/>
      <scheme val="minor"/>
    </font>
    <font>
      <b/>
      <sz val="10"/>
      <color theme="3" tint="-0.499984740745262"/>
      <name val="Calibri"/>
      <family val="2"/>
      <scheme val="minor"/>
    </font>
    <font>
      <b/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4" tint="-0.499984740745262"/>
      <name val="Calibri"/>
      <family val="2"/>
      <scheme val="minor"/>
    </font>
    <font>
      <u/>
      <sz val="10"/>
      <color theme="4" tint="-0.499984740745262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indexed="10"/>
      <name val="Calibri"/>
      <family val="2"/>
      <scheme val="minor"/>
    </font>
    <font>
      <i/>
      <vertAlign val="subscript"/>
      <sz val="10"/>
      <color indexed="8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0"/>
      <color theme="10"/>
      <name val="Calibri"/>
      <family val="2"/>
    </font>
    <font>
      <sz val="10"/>
      <color rgb="FFFF0000"/>
      <name val="Calibri"/>
      <family val="2"/>
      <scheme val="minor"/>
    </font>
    <font>
      <b/>
      <sz val="10"/>
      <color indexed="56"/>
      <name val="Calibri"/>
      <family val="2"/>
    </font>
    <font>
      <sz val="10"/>
      <color indexed="56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-0.499984740745262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medium">
        <color theme="0"/>
      </left>
      <right/>
      <top style="medium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/>
      <top/>
      <bottom style="thin">
        <color indexed="8"/>
      </bottom>
      <diagonal/>
    </border>
  </borders>
  <cellStyleXfs count="4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41" fontId="2" fillId="0" borderId="0" applyFont="0" applyFill="0" applyBorder="0" applyAlignment="0" applyProtection="0"/>
    <xf numFmtId="0" fontId="4" fillId="0" borderId="0"/>
  </cellStyleXfs>
  <cellXfs count="396">
    <xf numFmtId="0" fontId="0" fillId="0" borderId="0" xfId="0"/>
    <xf numFmtId="0" fontId="6" fillId="0" borderId="0" xfId="0" applyFont="1"/>
    <xf numFmtId="0" fontId="5" fillId="0" borderId="0" xfId="0" applyFont="1"/>
    <xf numFmtId="0" fontId="3" fillId="0" borderId="0" xfId="1" applyAlignment="1" applyProtection="1"/>
    <xf numFmtId="39" fontId="1" fillId="0" borderId="0" xfId="0" applyNumberFormat="1" applyFont="1" applyBorder="1"/>
    <xf numFmtId="0" fontId="0" fillId="0" borderId="0" xfId="0"/>
    <xf numFmtId="0" fontId="7" fillId="0" borderId="0" xfId="0" applyFont="1"/>
    <xf numFmtId="164" fontId="8" fillId="0" borderId="0" xfId="1" applyNumberFormat="1" applyFont="1" applyAlignment="1" applyProtection="1"/>
    <xf numFmtId="0" fontId="9" fillId="0" borderId="0" xfId="0" applyFont="1"/>
    <xf numFmtId="164" fontId="10" fillId="0" borderId="0" xfId="1" applyNumberFormat="1" applyFont="1" applyAlignment="1" applyProtection="1"/>
    <xf numFmtId="0" fontId="12" fillId="0" borderId="0" xfId="0" applyFont="1"/>
    <xf numFmtId="165" fontId="9" fillId="4" borderId="0" xfId="0" applyNumberFormat="1" applyFont="1" applyFill="1" applyProtection="1"/>
    <xf numFmtId="165" fontId="9" fillId="4" borderId="0" xfId="0" applyNumberFormat="1" applyFont="1" applyFill="1" applyBorder="1" applyProtection="1"/>
    <xf numFmtId="3" fontId="7" fillId="0" borderId="0" xfId="0" applyNumberFormat="1" applyFont="1"/>
    <xf numFmtId="0" fontId="7" fillId="0" borderId="0" xfId="0" applyFont="1" applyBorder="1"/>
    <xf numFmtId="165" fontId="9" fillId="0" borderId="0" xfId="0" applyNumberFormat="1" applyFont="1"/>
    <xf numFmtId="0" fontId="9" fillId="0" borderId="0" xfId="0" applyFont="1" applyBorder="1"/>
    <xf numFmtId="165" fontId="9" fillId="4" borderId="0" xfId="0" applyNumberFormat="1" applyFont="1" applyFill="1"/>
    <xf numFmtId="0" fontId="9" fillId="4" borderId="0" xfId="0" applyFont="1" applyFill="1"/>
    <xf numFmtId="165" fontId="9" fillId="4" borderId="0" xfId="0" applyNumberFormat="1" applyFont="1" applyFill="1" applyBorder="1" applyAlignment="1">
      <alignment horizontal="right"/>
    </xf>
    <xf numFmtId="3" fontId="13" fillId="0" borderId="0" xfId="0" applyNumberFormat="1" applyFont="1" applyAlignment="1">
      <alignment horizontal="centerContinuous"/>
    </xf>
    <xf numFmtId="0" fontId="13" fillId="0" borderId="0" xfId="0" applyFont="1" applyAlignment="1">
      <alignment horizontal="center"/>
    </xf>
    <xf numFmtId="3" fontId="7" fillId="0" borderId="0" xfId="0" applyNumberFormat="1" applyFont="1" applyAlignment="1">
      <alignment horizontal="centerContinuous"/>
    </xf>
    <xf numFmtId="0" fontId="7" fillId="0" borderId="0" xfId="0" applyFont="1" applyAlignment="1">
      <alignment horizontal="center"/>
    </xf>
    <xf numFmtId="0" fontId="13" fillId="0" borderId="0" xfId="0" applyFont="1" applyBorder="1" applyAlignment="1">
      <alignment horizontal="center"/>
    </xf>
    <xf numFmtId="3" fontId="13" fillId="0" borderId="0" xfId="0" applyNumberFormat="1" applyFont="1" applyBorder="1" applyAlignment="1">
      <alignment horizontal="center"/>
    </xf>
    <xf numFmtId="0" fontId="13" fillId="3" borderId="9" xfId="0" applyFont="1" applyFill="1" applyBorder="1" applyAlignment="1">
      <alignment horizontal="center" vertical="center" wrapText="1"/>
    </xf>
    <xf numFmtId="3" fontId="13" fillId="3" borderId="10" xfId="0" applyNumberFormat="1" applyFont="1" applyFill="1" applyBorder="1" applyAlignment="1">
      <alignment horizontal="center" vertical="center" wrapText="1"/>
    </xf>
    <xf numFmtId="3" fontId="13" fillId="3" borderId="11" xfId="0" applyNumberFormat="1" applyFont="1" applyFill="1" applyBorder="1" applyAlignment="1">
      <alignment horizontal="center" vertical="center" wrapText="1"/>
    </xf>
    <xf numFmtId="0" fontId="7" fillId="4" borderId="0" xfId="0" applyFont="1" applyFill="1" applyAlignment="1">
      <alignment horizontal="center"/>
    </xf>
    <xf numFmtId="3" fontId="7" fillId="4" borderId="0" xfId="0" applyNumberFormat="1" applyFont="1" applyFill="1"/>
    <xf numFmtId="0" fontId="13" fillId="0" borderId="2" xfId="0" applyFont="1" applyBorder="1" applyAlignment="1">
      <alignment horizontal="centerContinuous"/>
    </xf>
    <xf numFmtId="0" fontId="13" fillId="0" borderId="0" xfId="0" applyFont="1" applyBorder="1"/>
    <xf numFmtId="0" fontId="7" fillId="0" borderId="2" xfId="0" applyFont="1" applyBorder="1"/>
    <xf numFmtId="0" fontId="13" fillId="0" borderId="2" xfId="0" applyFont="1" applyBorder="1"/>
    <xf numFmtId="0" fontId="13" fillId="0" borderId="2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3" fontId="7" fillId="0" borderId="0" xfId="0" applyNumberFormat="1" applyFont="1" applyBorder="1"/>
    <xf numFmtId="3" fontId="7" fillId="0" borderId="2" xfId="0" applyNumberFormat="1" applyFont="1" applyBorder="1"/>
    <xf numFmtId="3" fontId="14" fillId="0" borderId="0" xfId="0" applyNumberFormat="1" applyFont="1" applyBorder="1"/>
    <xf numFmtId="37" fontId="13" fillId="0" borderId="0" xfId="0" applyNumberFormat="1" applyFont="1" applyBorder="1" applyProtection="1"/>
    <xf numFmtId="37" fontId="7" fillId="0" borderId="0" xfId="0" applyNumberFormat="1" applyFont="1" applyBorder="1" applyProtection="1"/>
    <xf numFmtId="0" fontId="15" fillId="0" borderId="0" xfId="0" applyFont="1" applyBorder="1"/>
    <xf numFmtId="0" fontId="15" fillId="0" borderId="0" xfId="0" applyFont="1"/>
    <xf numFmtId="0" fontId="13" fillId="0" borderId="0" xfId="0" applyFont="1" applyBorder="1" applyAlignment="1">
      <alignment horizontal="center" vertical="center" wrapText="1"/>
    </xf>
    <xf numFmtId="0" fontId="13" fillId="5" borderId="6" xfId="0" applyFont="1" applyFill="1" applyBorder="1" applyAlignment="1">
      <alignment horizontal="center"/>
    </xf>
    <xf numFmtId="0" fontId="13" fillId="5" borderId="7" xfId="0" applyFont="1" applyFill="1" applyBorder="1" applyAlignment="1">
      <alignment horizontal="center"/>
    </xf>
    <xf numFmtId="0" fontId="13" fillId="5" borderId="8" xfId="0" applyFont="1" applyFill="1" applyBorder="1" applyAlignment="1">
      <alignment horizontal="center"/>
    </xf>
    <xf numFmtId="0" fontId="7" fillId="4" borderId="0" xfId="0" applyFont="1" applyFill="1" applyBorder="1" applyAlignment="1">
      <alignment horizontal="center"/>
    </xf>
    <xf numFmtId="3" fontId="7" fillId="4" borderId="0" xfId="0" applyNumberFormat="1" applyFont="1" applyFill="1" applyBorder="1"/>
    <xf numFmtId="3" fontId="7" fillId="4" borderId="0" xfId="0" applyNumberFormat="1" applyFont="1" applyFill="1" applyBorder="1" applyAlignment="1">
      <alignment horizontal="right"/>
    </xf>
    <xf numFmtId="0" fontId="7" fillId="4" borderId="0" xfId="0" applyFont="1" applyFill="1" applyBorder="1" applyAlignment="1">
      <alignment horizontal="right"/>
    </xf>
    <xf numFmtId="0" fontId="14" fillId="4" borderId="0" xfId="0" applyFont="1" applyFill="1" applyBorder="1" applyAlignment="1">
      <alignment horizontal="center"/>
    </xf>
    <xf numFmtId="3" fontId="14" fillId="4" borderId="0" xfId="0" applyNumberFormat="1" applyFont="1" applyFill="1" applyBorder="1"/>
    <xf numFmtId="39" fontId="9" fillId="0" borderId="0" xfId="0" applyNumberFormat="1" applyFont="1" applyBorder="1"/>
    <xf numFmtId="169" fontId="9" fillId="0" borderId="0" xfId="0" applyNumberFormat="1" applyFont="1" applyBorder="1"/>
    <xf numFmtId="39" fontId="9" fillId="0" borderId="0" xfId="0" applyNumberFormat="1" applyFont="1" applyBorder="1" applyAlignment="1" applyProtection="1">
      <alignment horizontal="fill"/>
    </xf>
    <xf numFmtId="167" fontId="9" fillId="0" borderId="0" xfId="0" applyNumberFormat="1" applyFont="1" applyBorder="1" applyAlignment="1" applyProtection="1">
      <alignment horizontal="fill"/>
      <protection locked="0"/>
    </xf>
    <xf numFmtId="39" fontId="9" fillId="0" borderId="0" xfId="0" applyNumberFormat="1" applyFont="1" applyBorder="1" applyAlignment="1" applyProtection="1">
      <alignment horizontal="center"/>
    </xf>
    <xf numFmtId="165" fontId="9" fillId="0" borderId="0" xfId="0" applyNumberFormat="1" applyFont="1" applyBorder="1"/>
    <xf numFmtId="39" fontId="9" fillId="0" borderId="0" xfId="0" applyNumberFormat="1" applyFont="1"/>
    <xf numFmtId="169" fontId="9" fillId="0" borderId="0" xfId="0" applyNumberFormat="1" applyFont="1"/>
    <xf numFmtId="167" fontId="9" fillId="0" borderId="0" xfId="0" applyNumberFormat="1" applyFont="1" applyProtection="1">
      <protection locked="0"/>
    </xf>
    <xf numFmtId="168" fontId="9" fillId="0" borderId="0" xfId="0" applyNumberFormat="1" applyFont="1" applyProtection="1"/>
    <xf numFmtId="39" fontId="12" fillId="0" borderId="0" xfId="0" applyNumberFormat="1" applyFont="1" applyBorder="1" applyAlignment="1">
      <alignment horizontal="center" vertical="center"/>
    </xf>
    <xf numFmtId="39" fontId="12" fillId="3" borderId="9" xfId="0" applyNumberFormat="1" applyFont="1" applyFill="1" applyBorder="1" applyAlignment="1">
      <alignment horizontal="center" vertical="center"/>
    </xf>
    <xf numFmtId="1" fontId="12" fillId="3" borderId="10" xfId="0" applyNumberFormat="1" applyFont="1" applyFill="1" applyBorder="1" applyAlignment="1" applyProtection="1">
      <alignment horizontal="center" vertical="center"/>
    </xf>
    <xf numFmtId="1" fontId="12" fillId="3" borderId="11" xfId="0" applyNumberFormat="1" applyFont="1" applyFill="1" applyBorder="1" applyAlignment="1" applyProtection="1">
      <alignment horizontal="center" vertical="center"/>
    </xf>
    <xf numFmtId="39" fontId="9" fillId="4" borderId="0" xfId="0" applyNumberFormat="1" applyFont="1" applyFill="1" applyBorder="1" applyAlignment="1" applyProtection="1">
      <alignment horizontal="left"/>
    </xf>
    <xf numFmtId="165" fontId="9" fillId="4" borderId="0" xfId="0" applyNumberFormat="1" applyFont="1" applyFill="1" applyBorder="1" applyAlignment="1" applyProtection="1">
      <alignment horizontal="right"/>
    </xf>
    <xf numFmtId="165" fontId="9" fillId="4" borderId="0" xfId="0" applyNumberFormat="1" applyFont="1" applyFill="1" applyBorder="1" applyAlignment="1" applyProtection="1">
      <alignment horizontal="right"/>
      <protection locked="0"/>
    </xf>
    <xf numFmtId="165" fontId="9" fillId="4" borderId="0" xfId="0" applyNumberFormat="1" applyFont="1" applyFill="1" applyBorder="1"/>
    <xf numFmtId="39" fontId="9" fillId="4" borderId="0" xfId="0" applyNumberFormat="1" applyFont="1" applyFill="1" applyBorder="1"/>
    <xf numFmtId="165" fontId="9" fillId="4" borderId="0" xfId="2" applyNumberFormat="1" applyFont="1" applyFill="1" applyBorder="1" applyAlignment="1">
      <alignment horizontal="right"/>
    </xf>
    <xf numFmtId="165" fontId="9" fillId="4" borderId="0" xfId="2" applyNumberFormat="1" applyFont="1" applyFill="1" applyBorder="1" applyAlignment="1" applyProtection="1">
      <alignment horizontal="right"/>
    </xf>
    <xf numFmtId="0" fontId="7" fillId="0" borderId="0" xfId="0" applyFont="1" applyAlignment="1"/>
    <xf numFmtId="0" fontId="15" fillId="0" borderId="0" xfId="0" applyFont="1" applyAlignment="1">
      <alignment horizontal="center"/>
    </xf>
    <xf numFmtId="0" fontId="16" fillId="0" borderId="0" xfId="0" applyFont="1" applyBorder="1"/>
    <xf numFmtId="0" fontId="16" fillId="0" borderId="0" xfId="0" applyFont="1" applyBorder="1" applyAlignment="1">
      <alignment horizontal="center"/>
    </xf>
    <xf numFmtId="164" fontId="17" fillId="0" borderId="0" xfId="1" applyNumberFormat="1" applyFont="1" applyAlignment="1" applyProtection="1"/>
    <xf numFmtId="0" fontId="16" fillId="0" borderId="0" xfId="0" applyFont="1" applyAlignment="1">
      <alignment horizontal="center"/>
    </xf>
    <xf numFmtId="0" fontId="11" fillId="0" borderId="0" xfId="0" applyFont="1" applyBorder="1" applyAlignment="1">
      <alignment horizontal="center" vertical="center" wrapText="1"/>
    </xf>
    <xf numFmtId="0" fontId="16" fillId="0" borderId="0" xfId="0" applyFont="1" applyAlignment="1">
      <alignment vertical="center"/>
    </xf>
    <xf numFmtId="0" fontId="11" fillId="3" borderId="6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0" fontId="11" fillId="3" borderId="8" xfId="0" applyFont="1" applyFill="1" applyBorder="1" applyAlignment="1">
      <alignment horizontal="center" vertical="center" wrapText="1"/>
    </xf>
    <xf numFmtId="0" fontId="16" fillId="4" borderId="0" xfId="0" applyFont="1" applyFill="1" applyBorder="1" applyAlignment="1">
      <alignment horizontal="center"/>
    </xf>
    <xf numFmtId="3" fontId="16" fillId="4" borderId="0" xfId="0" applyNumberFormat="1" applyFont="1" applyFill="1" applyBorder="1"/>
    <xf numFmtId="0" fontId="11" fillId="0" borderId="0" xfId="0" applyFont="1" applyBorder="1"/>
    <xf numFmtId="0" fontId="16" fillId="0" borderId="0" xfId="0" applyFont="1" applyFill="1"/>
    <xf numFmtId="37" fontId="16" fillId="0" borderId="0" xfId="0" applyNumberFormat="1" applyFont="1" applyFill="1" applyProtection="1"/>
    <xf numFmtId="164" fontId="16" fillId="0" borderId="0" xfId="0" applyNumberFormat="1" applyFont="1" applyFill="1" applyProtection="1"/>
    <xf numFmtId="0" fontId="11" fillId="3" borderId="12" xfId="0" applyFont="1" applyFill="1" applyBorder="1" applyAlignment="1">
      <alignment horizontal="center" vertical="center" wrapText="1"/>
    </xf>
    <xf numFmtId="0" fontId="11" fillId="5" borderId="6" xfId="0" applyFont="1" applyFill="1" applyBorder="1" applyAlignment="1">
      <alignment horizontal="center"/>
    </xf>
    <xf numFmtId="0" fontId="11" fillId="5" borderId="7" xfId="0" applyFont="1" applyFill="1" applyBorder="1" applyAlignment="1">
      <alignment horizontal="center"/>
    </xf>
    <xf numFmtId="0" fontId="11" fillId="5" borderId="8" xfId="0" applyFont="1" applyFill="1" applyBorder="1" applyAlignment="1">
      <alignment horizontal="center"/>
    </xf>
    <xf numFmtId="3" fontId="16" fillId="4" borderId="0" xfId="0" applyNumberFormat="1" applyFont="1" applyFill="1" applyProtection="1"/>
    <xf numFmtId="0" fontId="18" fillId="2" borderId="0" xfId="0" applyFont="1" applyFill="1" applyBorder="1"/>
    <xf numFmtId="0" fontId="12" fillId="0" borderId="0" xfId="0" applyFont="1" applyBorder="1"/>
    <xf numFmtId="164" fontId="12" fillId="0" borderId="0" xfId="0" applyNumberFormat="1" applyFont="1" applyBorder="1" applyAlignment="1" applyProtection="1">
      <alignment horizontal="left"/>
    </xf>
    <xf numFmtId="39" fontId="12" fillId="0" borderId="0" xfId="0" applyNumberFormat="1" applyFont="1" applyBorder="1" applyAlignment="1" applyProtection="1">
      <alignment horizontal="left"/>
    </xf>
    <xf numFmtId="170" fontId="9" fillId="0" borderId="0" xfId="2" applyNumberFormat="1" applyFont="1" applyBorder="1"/>
    <xf numFmtId="0" fontId="9" fillId="4" borderId="0" xfId="0" applyFont="1" applyFill="1" applyBorder="1"/>
    <xf numFmtId="0" fontId="12" fillId="3" borderId="9" xfId="0" applyFont="1" applyFill="1" applyBorder="1" applyAlignment="1">
      <alignment horizontal="center" vertical="center"/>
    </xf>
    <xf numFmtId="39" fontId="12" fillId="3" borderId="10" xfId="0" applyNumberFormat="1" applyFont="1" applyFill="1" applyBorder="1" applyAlignment="1" applyProtection="1">
      <alignment horizontal="center" vertical="center"/>
    </xf>
    <xf numFmtId="0" fontId="12" fillId="3" borderId="10" xfId="0" applyNumberFormat="1" applyFont="1" applyFill="1" applyBorder="1" applyAlignment="1" applyProtection="1">
      <alignment horizontal="center" vertical="center"/>
    </xf>
    <xf numFmtId="0" fontId="12" fillId="3" borderId="11" xfId="0" applyNumberFormat="1" applyFont="1" applyFill="1" applyBorder="1" applyAlignment="1" applyProtection="1">
      <alignment horizontal="center" vertical="center"/>
    </xf>
    <xf numFmtId="0" fontId="9" fillId="0" borderId="0" xfId="0" applyFont="1" applyAlignment="1">
      <alignment vertical="center"/>
    </xf>
    <xf numFmtId="39" fontId="12" fillId="4" borderId="0" xfId="0" applyNumberFormat="1" applyFont="1" applyFill="1" applyBorder="1" applyAlignment="1" applyProtection="1">
      <alignment horizontal="left"/>
    </xf>
    <xf numFmtId="0" fontId="13" fillId="3" borderId="8" xfId="0" applyFont="1" applyFill="1" applyBorder="1" applyAlignment="1">
      <alignment horizontal="center" vertical="center" wrapText="1"/>
    </xf>
    <xf numFmtId="0" fontId="13" fillId="0" borderId="0" xfId="0" applyFont="1"/>
    <xf numFmtId="0" fontId="15" fillId="0" borderId="0" xfId="0" applyFont="1" applyBorder="1" applyAlignment="1">
      <alignment horizontal="center"/>
    </xf>
    <xf numFmtId="0" fontId="15" fillId="4" borderId="0" xfId="0" applyFont="1" applyFill="1" applyBorder="1" applyAlignment="1">
      <alignment horizontal="center"/>
    </xf>
    <xf numFmtId="3" fontId="15" fillId="4" borderId="0" xfId="0" applyNumberFormat="1" applyFont="1" applyFill="1" applyBorder="1" applyAlignment="1"/>
    <xf numFmtId="3" fontId="15" fillId="4" borderId="0" xfId="0" applyNumberFormat="1" applyFont="1" applyFill="1" applyBorder="1" applyAlignment="1">
      <alignment horizontal="right"/>
    </xf>
    <xf numFmtId="171" fontId="15" fillId="4" borderId="0" xfId="0" applyNumberFormat="1" applyFont="1" applyFill="1" applyBorder="1"/>
    <xf numFmtId="3" fontId="15" fillId="4" borderId="0" xfId="0" applyNumberFormat="1" applyFont="1" applyFill="1" applyBorder="1"/>
    <xf numFmtId="171" fontId="15" fillId="4" borderId="0" xfId="0" applyNumberFormat="1" applyFont="1" applyFill="1" applyBorder="1" applyAlignment="1">
      <alignment horizontal="right"/>
    </xf>
    <xf numFmtId="0" fontId="7" fillId="0" borderId="0" xfId="0" quotePrefix="1" applyFont="1" applyAlignment="1">
      <alignment horizontal="left"/>
    </xf>
    <xf numFmtId="0" fontId="7" fillId="0" borderId="0" xfId="0" applyFont="1" applyAlignment="1">
      <alignment horizontal="left"/>
    </xf>
    <xf numFmtId="3" fontId="7" fillId="4" borderId="0" xfId="0" applyNumberFormat="1" applyFont="1" applyFill="1" applyBorder="1" applyAlignment="1"/>
    <xf numFmtId="0" fontId="12" fillId="3" borderId="13" xfId="0" applyFont="1" applyFill="1" applyBorder="1" applyAlignment="1" applyProtection="1">
      <alignment horizontal="centerContinuous" vertical="center" wrapText="1"/>
    </xf>
    <xf numFmtId="0" fontId="12" fillId="3" borderId="13" xfId="0" applyFont="1" applyFill="1" applyBorder="1" applyAlignment="1">
      <alignment horizontal="centerContinuous" vertical="center" wrapText="1"/>
    </xf>
    <xf numFmtId="0" fontId="9" fillId="4" borderId="0" xfId="0" applyFont="1" applyFill="1" applyBorder="1" applyAlignment="1" applyProtection="1">
      <alignment horizontal="left"/>
    </xf>
    <xf numFmtId="166" fontId="9" fillId="4" borderId="0" xfId="0" applyNumberFormat="1" applyFont="1" applyFill="1" applyBorder="1" applyProtection="1"/>
    <xf numFmtId="166" fontId="9" fillId="4" borderId="0" xfId="0" quotePrefix="1" applyNumberFormat="1" applyFont="1" applyFill="1" applyBorder="1" applyAlignment="1" applyProtection="1">
      <alignment horizontal="left"/>
    </xf>
    <xf numFmtId="166" fontId="9" fillId="4" borderId="0" xfId="0" quotePrefix="1" applyNumberFormat="1" applyFont="1" applyFill="1" applyBorder="1" applyProtection="1"/>
    <xf numFmtId="166" fontId="9" fillId="4" borderId="0" xfId="0" applyNumberFormat="1" applyFont="1" applyFill="1" applyBorder="1"/>
    <xf numFmtId="172" fontId="9" fillId="4" borderId="0" xfId="2" applyNumberFormat="1" applyFont="1" applyFill="1"/>
    <xf numFmtId="0" fontId="9" fillId="4" borderId="0" xfId="0" applyFont="1" applyFill="1" applyAlignment="1" applyProtection="1">
      <alignment horizontal="left"/>
    </xf>
    <xf numFmtId="165" fontId="9" fillId="4" borderId="0" xfId="2" applyNumberFormat="1" applyFont="1" applyFill="1"/>
    <xf numFmtId="172" fontId="9" fillId="4" borderId="0" xfId="2" applyNumberFormat="1" applyFont="1" applyFill="1" applyBorder="1"/>
    <xf numFmtId="166" fontId="9" fillId="4" borderId="0" xfId="2" applyNumberFormat="1" applyFont="1" applyFill="1"/>
    <xf numFmtId="166" fontId="9" fillId="4" borderId="0" xfId="2" applyNumberFormat="1" applyFont="1" applyFill="1" applyBorder="1"/>
    <xf numFmtId="0" fontId="14" fillId="2" borderId="0" xfId="0" applyFont="1" applyFill="1" applyBorder="1"/>
    <xf numFmtId="4" fontId="18" fillId="2" borderId="0" xfId="0" applyNumberFormat="1" applyFont="1" applyFill="1" applyBorder="1"/>
    <xf numFmtId="4" fontId="18" fillId="3" borderId="13" xfId="0" applyNumberFormat="1" applyFont="1" applyFill="1" applyBorder="1" applyAlignment="1">
      <alignment horizontal="center" vertical="center" wrapText="1"/>
    </xf>
    <xf numFmtId="4" fontId="18" fillId="3" borderId="13" xfId="0" quotePrefix="1" applyNumberFormat="1" applyFont="1" applyFill="1" applyBorder="1" applyAlignment="1">
      <alignment horizontal="center" vertical="center" wrapText="1"/>
    </xf>
    <xf numFmtId="4" fontId="14" fillId="2" borderId="0" xfId="0" applyNumberFormat="1" applyFont="1" applyFill="1" applyBorder="1"/>
    <xf numFmtId="0" fontId="14" fillId="4" borderId="0" xfId="0" applyFont="1" applyFill="1" applyBorder="1"/>
    <xf numFmtId="4" fontId="14" fillId="4" borderId="0" xfId="0" applyNumberFormat="1" applyFont="1" applyFill="1" applyBorder="1" applyAlignment="1">
      <alignment horizontal="center"/>
    </xf>
    <xf numFmtId="2" fontId="14" fillId="4" borderId="0" xfId="0" applyNumberFormat="1" applyFont="1" applyFill="1" applyBorder="1"/>
    <xf numFmtId="2" fontId="14" fillId="4" borderId="0" xfId="0" applyNumberFormat="1" applyFont="1" applyFill="1" applyBorder="1" applyAlignment="1">
      <alignment horizontal="center"/>
    </xf>
    <xf numFmtId="4" fontId="14" fillId="4" borderId="0" xfId="0" applyNumberFormat="1" applyFont="1" applyFill="1" applyBorder="1"/>
    <xf numFmtId="0" fontId="14" fillId="4" borderId="0" xfId="0" quotePrefix="1" applyFont="1" applyFill="1" applyBorder="1"/>
    <xf numFmtId="4" fontId="21" fillId="4" borderId="0" xfId="0" applyNumberFormat="1" applyFont="1" applyFill="1" applyBorder="1"/>
    <xf numFmtId="0" fontId="14" fillId="2" borderId="1" xfId="0" applyFont="1" applyFill="1" applyBorder="1"/>
    <xf numFmtId="4" fontId="14" fillId="2" borderId="1" xfId="0" applyNumberFormat="1" applyFont="1" applyFill="1" applyBorder="1" applyAlignment="1">
      <alignment horizontal="center"/>
    </xf>
    <xf numFmtId="2" fontId="14" fillId="2" borderId="0" xfId="0" applyNumberFormat="1" applyFont="1" applyFill="1" applyBorder="1"/>
    <xf numFmtId="0" fontId="14" fillId="2" borderId="0" xfId="0" quotePrefix="1" applyFont="1" applyFill="1" applyBorder="1" applyAlignment="1">
      <alignment horizontal="left"/>
    </xf>
    <xf numFmtId="0" fontId="14" fillId="2" borderId="0" xfId="0" applyFont="1" applyFill="1" applyBorder="1" applyAlignment="1">
      <alignment horizontal="left"/>
    </xf>
    <xf numFmtId="0" fontId="22" fillId="2" borderId="0" xfId="0" applyFont="1" applyFill="1" applyBorder="1" applyAlignment="1">
      <alignment horizontal="left"/>
    </xf>
    <xf numFmtId="0" fontId="11" fillId="2" borderId="0" xfId="0" applyFont="1" applyFill="1" applyBorder="1"/>
    <xf numFmtId="4" fontId="18" fillId="3" borderId="14" xfId="0" applyNumberFormat="1" applyFont="1" applyFill="1" applyBorder="1" applyAlignment="1">
      <alignment horizontal="center" vertical="center" wrapText="1"/>
    </xf>
    <xf numFmtId="0" fontId="14" fillId="2" borderId="0" xfId="0" applyFont="1" applyFill="1" applyBorder="1" applyAlignment="1">
      <alignment horizontal="center"/>
    </xf>
    <xf numFmtId="0" fontId="13" fillId="0" borderId="1" xfId="0" applyFont="1" applyBorder="1"/>
    <xf numFmtId="0" fontId="11" fillId="0" borderId="0" xfId="0" applyFont="1"/>
    <xf numFmtId="0" fontId="16" fillId="0" borderId="0" xfId="0" applyFont="1" applyAlignment="1">
      <alignment horizontal="left"/>
    </xf>
    <xf numFmtId="0" fontId="16" fillId="2" borderId="0" xfId="0" applyFont="1" applyFill="1" applyAlignment="1"/>
    <xf numFmtId="0" fontId="16" fillId="2" borderId="0" xfId="0" applyFont="1" applyFill="1" applyAlignment="1">
      <alignment wrapText="1"/>
    </xf>
    <xf numFmtId="0" fontId="16" fillId="0" borderId="0" xfId="0" applyFont="1" applyBorder="1" applyAlignment="1">
      <alignment horizontal="left"/>
    </xf>
    <xf numFmtId="0" fontId="16" fillId="2" borderId="0" xfId="0" applyFont="1" applyFill="1" applyBorder="1" applyAlignment="1"/>
    <xf numFmtId="0" fontId="16" fillId="2" borderId="0" xfId="0" applyFont="1" applyFill="1" applyBorder="1" applyAlignment="1">
      <alignment wrapText="1"/>
    </xf>
    <xf numFmtId="0" fontId="16" fillId="0" borderId="1" xfId="0" applyFont="1" applyBorder="1" applyAlignment="1">
      <alignment horizontal="left"/>
    </xf>
    <xf numFmtId="43" fontId="16" fillId="0" borderId="1" xfId="0" applyNumberFormat="1" applyFont="1" applyBorder="1" applyProtection="1"/>
    <xf numFmtId="43" fontId="16" fillId="0" borderId="0" xfId="0" applyNumberFormat="1" applyFont="1" applyBorder="1" applyProtection="1"/>
    <xf numFmtId="0" fontId="16" fillId="7" borderId="0" xfId="0" applyFont="1" applyFill="1" applyAlignment="1">
      <alignment wrapText="1"/>
    </xf>
    <xf numFmtId="173" fontId="16" fillId="0" borderId="0" xfId="0" applyNumberFormat="1" applyFont="1" applyProtection="1"/>
    <xf numFmtId="0" fontId="11" fillId="0" borderId="0" xfId="0" applyFont="1" applyAlignment="1">
      <alignment horizontal="left"/>
    </xf>
    <xf numFmtId="0" fontId="16" fillId="0" borderId="0" xfId="0" applyFont="1" applyAlignment="1">
      <alignment horizontal="center" vertical="center" wrapText="1"/>
    </xf>
    <xf numFmtId="0" fontId="16" fillId="4" borderId="0" xfId="0" applyFont="1" applyFill="1" applyAlignment="1">
      <alignment horizontal="left"/>
    </xf>
    <xf numFmtId="43" fontId="16" fillId="4" borderId="0" xfId="0" applyNumberFormat="1" applyFont="1" applyFill="1" applyAlignment="1">
      <alignment horizontal="left" vertical="center"/>
    </xf>
    <xf numFmtId="43" fontId="16" fillId="4" borderId="0" xfId="0" applyNumberFormat="1" applyFont="1" applyFill="1" applyAlignment="1" applyProtection="1">
      <alignment horizontal="left" vertical="center"/>
    </xf>
    <xf numFmtId="0" fontId="16" fillId="4" borderId="0" xfId="0" applyFont="1" applyFill="1" applyBorder="1" applyAlignment="1">
      <alignment horizontal="left"/>
    </xf>
    <xf numFmtId="43" fontId="16" fillId="4" borderId="0" xfId="0" applyNumberFormat="1" applyFont="1" applyFill="1" applyBorder="1" applyAlignment="1" applyProtection="1">
      <alignment horizontal="left" vertical="center"/>
    </xf>
    <xf numFmtId="174" fontId="16" fillId="0" borderId="0" xfId="0" applyNumberFormat="1" applyFont="1"/>
    <xf numFmtId="174" fontId="16" fillId="0" borderId="0" xfId="0" applyNumberFormat="1" applyFont="1" applyAlignment="1"/>
    <xf numFmtId="0" fontId="11" fillId="3" borderId="15" xfId="0" applyFont="1" applyFill="1" applyBorder="1" applyAlignment="1">
      <alignment horizontal="center" vertical="center" wrapText="1"/>
    </xf>
    <xf numFmtId="0" fontId="16" fillId="0" borderId="0" xfId="0" applyFont="1" applyBorder="1" applyAlignment="1">
      <alignment horizontal="center" vertical="center" wrapText="1"/>
    </xf>
    <xf numFmtId="49" fontId="16" fillId="0" borderId="1" xfId="0" applyNumberFormat="1" applyFont="1" applyBorder="1"/>
    <xf numFmtId="175" fontId="16" fillId="0" borderId="1" xfId="0" applyNumberFormat="1" applyFont="1" applyBorder="1"/>
    <xf numFmtId="174" fontId="16" fillId="0" borderId="1" xfId="0" applyNumberFormat="1" applyFont="1" applyBorder="1"/>
    <xf numFmtId="174" fontId="16" fillId="0" borderId="0" xfId="0" applyNumberFormat="1" applyFont="1" applyBorder="1"/>
    <xf numFmtId="175" fontId="16" fillId="0" borderId="0" xfId="0" applyNumberFormat="1" applyFont="1" applyBorder="1"/>
    <xf numFmtId="2" fontId="16" fillId="4" borderId="0" xfId="0" applyNumberFormat="1" applyFont="1" applyFill="1" applyBorder="1" applyAlignment="1">
      <alignment horizontal="right"/>
    </xf>
    <xf numFmtId="0" fontId="13" fillId="0" borderId="0" xfId="0" applyFont="1" applyAlignment="1">
      <alignment horizontal="left" vertical="top"/>
    </xf>
    <xf numFmtId="0" fontId="13" fillId="0" borderId="0" xfId="0" applyFont="1" applyBorder="1" applyAlignment="1">
      <alignment horizontal="left" vertical="top"/>
    </xf>
    <xf numFmtId="0" fontId="15" fillId="0" borderId="1" xfId="0" applyFont="1" applyBorder="1"/>
    <xf numFmtId="0" fontId="7" fillId="4" borderId="0" xfId="0" applyFont="1" applyFill="1" applyAlignment="1">
      <alignment horizontal="left"/>
    </xf>
    <xf numFmtId="4" fontId="7" fillId="4" borderId="0" xfId="0" applyNumberFormat="1" applyFont="1" applyFill="1" applyAlignment="1" applyProtection="1">
      <alignment horizontal="center"/>
    </xf>
    <xf numFmtId="4" fontId="14" fillId="4" borderId="0" xfId="0" applyNumberFormat="1" applyFont="1" applyFill="1" applyAlignment="1" applyProtection="1">
      <alignment horizontal="center"/>
    </xf>
    <xf numFmtId="4" fontId="14" fillId="4" borderId="0" xfId="0" applyNumberFormat="1" applyFont="1" applyFill="1" applyAlignment="1">
      <alignment horizontal="center"/>
    </xf>
    <xf numFmtId="3" fontId="7" fillId="0" borderId="0" xfId="0" applyNumberFormat="1" applyFont="1" applyFill="1" applyBorder="1"/>
    <xf numFmtId="0" fontId="0" fillId="0" borderId="0" xfId="0" applyFill="1"/>
    <xf numFmtId="0" fontId="3" fillId="4" borderId="0" xfId="1" applyFill="1" applyAlignment="1" applyProtection="1"/>
    <xf numFmtId="0" fontId="13" fillId="3" borderId="13" xfId="0" applyFont="1" applyFill="1" applyBorder="1" applyAlignment="1">
      <alignment horizontal="center" vertical="center" wrapText="1"/>
    </xf>
    <xf numFmtId="0" fontId="16" fillId="0" borderId="0" xfId="0" applyFont="1"/>
    <xf numFmtId="0" fontId="24" fillId="0" borderId="0" xfId="1" applyFont="1" applyAlignment="1" applyProtection="1"/>
    <xf numFmtId="0" fontId="7" fillId="0" borderId="1" xfId="0" applyFont="1" applyBorder="1" applyAlignment="1">
      <alignment horizontal="center"/>
    </xf>
    <xf numFmtId="3" fontId="7" fillId="0" borderId="1" xfId="0" applyNumberFormat="1" applyFont="1" applyBorder="1"/>
    <xf numFmtId="49" fontId="16" fillId="0" borderId="0" xfId="0" applyNumberFormat="1" applyFont="1" applyBorder="1"/>
    <xf numFmtId="165" fontId="9" fillId="0" borderId="0" xfId="0" applyNumberFormat="1" applyFont="1" applyBorder="1" applyProtection="1"/>
    <xf numFmtId="0" fontId="7" fillId="0" borderId="0" xfId="0" applyFont="1" applyFill="1" applyBorder="1" applyAlignment="1">
      <alignment horizontal="center"/>
    </xf>
    <xf numFmtId="3" fontId="7" fillId="0" borderId="0" xfId="0" applyNumberFormat="1" applyFont="1" applyFill="1" applyBorder="1" applyAlignment="1"/>
    <xf numFmtId="0" fontId="7" fillId="0" borderId="1" xfId="0" applyFont="1" applyFill="1" applyBorder="1" applyAlignment="1">
      <alignment horizontal="center"/>
    </xf>
    <xf numFmtId="3" fontId="7" fillId="0" borderId="1" xfId="0" applyNumberFormat="1" applyFont="1" applyFill="1" applyBorder="1"/>
    <xf numFmtId="3" fontId="7" fillId="0" borderId="1" xfId="0" applyNumberFormat="1" applyFont="1" applyFill="1" applyBorder="1" applyAlignment="1"/>
    <xf numFmtId="0" fontId="15" fillId="0" borderId="0" xfId="0" applyFont="1" applyFill="1" applyBorder="1" applyAlignment="1">
      <alignment horizontal="center"/>
    </xf>
    <xf numFmtId="3" fontId="15" fillId="0" borderId="0" xfId="0" applyNumberFormat="1" applyFont="1" applyFill="1" applyBorder="1" applyAlignment="1"/>
    <xf numFmtId="171" fontId="15" fillId="0" borderId="0" xfId="0" applyNumberFormat="1" applyFont="1" applyFill="1" applyBorder="1" applyAlignment="1">
      <alignment horizontal="right"/>
    </xf>
    <xf numFmtId="3" fontId="15" fillId="0" borderId="0" xfId="0" applyNumberFormat="1" applyFont="1" applyFill="1" applyBorder="1"/>
    <xf numFmtId="3" fontId="15" fillId="0" borderId="0" xfId="0" applyNumberFormat="1" applyFont="1" applyFill="1" applyBorder="1" applyAlignment="1">
      <alignment horizontal="right"/>
    </xf>
    <xf numFmtId="0" fontId="15" fillId="0" borderId="1" xfId="0" applyFont="1" applyFill="1" applyBorder="1" applyAlignment="1">
      <alignment horizontal="center"/>
    </xf>
    <xf numFmtId="3" fontId="15" fillId="0" borderId="1" xfId="0" applyNumberFormat="1" applyFont="1" applyFill="1" applyBorder="1" applyAlignment="1"/>
    <xf numFmtId="171" fontId="15" fillId="0" borderId="1" xfId="0" applyNumberFormat="1" applyFont="1" applyFill="1" applyBorder="1" applyAlignment="1">
      <alignment horizontal="right"/>
    </xf>
    <xf numFmtId="3" fontId="15" fillId="0" borderId="1" xfId="0" applyNumberFormat="1" applyFont="1" applyFill="1" applyBorder="1"/>
    <xf numFmtId="3" fontId="15" fillId="0" borderId="1" xfId="0" applyNumberFormat="1" applyFont="1" applyFill="1" applyBorder="1" applyAlignment="1">
      <alignment horizontal="right"/>
    </xf>
    <xf numFmtId="0" fontId="16" fillId="0" borderId="1" xfId="0" applyFont="1" applyFill="1" applyBorder="1"/>
    <xf numFmtId="37" fontId="16" fillId="0" borderId="1" xfId="0" applyNumberFormat="1" applyFont="1" applyFill="1" applyBorder="1" applyProtection="1"/>
    <xf numFmtId="164" fontId="16" fillId="0" borderId="1" xfId="0" applyNumberFormat="1" applyFont="1" applyFill="1" applyBorder="1" applyProtection="1"/>
    <xf numFmtId="3" fontId="16" fillId="0" borderId="0" xfId="0" applyNumberFormat="1" applyFont="1" applyBorder="1"/>
    <xf numFmtId="0" fontId="16" fillId="0" borderId="1" xfId="0" applyFont="1" applyBorder="1" applyAlignment="1">
      <alignment horizontal="center"/>
    </xf>
    <xf numFmtId="3" fontId="16" fillId="0" borderId="1" xfId="0" applyNumberFormat="1" applyFont="1" applyBorder="1"/>
    <xf numFmtId="39" fontId="9" fillId="0" borderId="1" xfId="0" applyNumberFormat="1" applyFont="1" applyBorder="1"/>
    <xf numFmtId="3" fontId="14" fillId="0" borderId="1" xfId="0" applyNumberFormat="1" applyFont="1" applyBorder="1"/>
    <xf numFmtId="0" fontId="7" fillId="0" borderId="1" xfId="0" applyFont="1" applyBorder="1"/>
    <xf numFmtId="0" fontId="16" fillId="0" borderId="0" xfId="0" applyFont="1"/>
    <xf numFmtId="0" fontId="11" fillId="3" borderId="10" xfId="0" applyFont="1" applyFill="1" applyBorder="1" applyAlignment="1">
      <alignment horizontal="center" vertical="center" wrapText="1"/>
    </xf>
    <xf numFmtId="3" fontId="25" fillId="0" borderId="0" xfId="0" applyNumberFormat="1" applyFont="1"/>
    <xf numFmtId="39" fontId="25" fillId="4" borderId="0" xfId="0" applyNumberFormat="1" applyFont="1" applyFill="1" applyBorder="1"/>
    <xf numFmtId="165" fontId="25" fillId="4" borderId="0" xfId="0" applyNumberFormat="1" applyFont="1" applyFill="1" applyBorder="1" applyAlignment="1">
      <alignment horizontal="right"/>
    </xf>
    <xf numFmtId="39" fontId="25" fillId="0" borderId="0" xfId="0" applyNumberFormat="1" applyFont="1" applyBorder="1"/>
    <xf numFmtId="176" fontId="25" fillId="0" borderId="0" xfId="0" applyNumberFormat="1" applyFont="1" applyFill="1" applyBorder="1" applyAlignment="1" applyProtection="1">
      <alignment horizontal="fill"/>
    </xf>
    <xf numFmtId="165" fontId="25" fillId="0" borderId="0" xfId="0" applyNumberFormat="1" applyFont="1" applyFill="1" applyBorder="1"/>
    <xf numFmtId="176" fontId="25" fillId="0" borderId="0" xfId="0" applyNumberFormat="1" applyFont="1" applyFill="1" applyBorder="1"/>
    <xf numFmtId="39" fontId="9" fillId="8" borderId="0" xfId="0" applyNumberFormat="1" applyFont="1" applyFill="1" applyBorder="1"/>
    <xf numFmtId="39" fontId="9" fillId="4" borderId="1" xfId="0" applyNumberFormat="1" applyFont="1" applyFill="1" applyBorder="1" applyAlignment="1" applyProtection="1">
      <alignment horizontal="left"/>
    </xf>
    <xf numFmtId="165" fontId="9" fillId="4" borderId="1" xfId="0" applyNumberFormat="1" applyFont="1" applyFill="1" applyBorder="1" applyAlignment="1" applyProtection="1">
      <alignment horizontal="right"/>
    </xf>
    <xf numFmtId="165" fontId="9" fillId="4" borderId="1" xfId="0" applyNumberFormat="1" applyFont="1" applyFill="1" applyBorder="1" applyAlignment="1" applyProtection="1">
      <alignment horizontal="right"/>
      <protection locked="0"/>
    </xf>
    <xf numFmtId="165" fontId="9" fillId="4" borderId="1" xfId="0" applyNumberFormat="1" applyFont="1" applyFill="1" applyBorder="1" applyAlignment="1" applyProtection="1"/>
    <xf numFmtId="165" fontId="9" fillId="4" borderId="1" xfId="0" applyNumberFormat="1" applyFont="1" applyFill="1" applyBorder="1" applyProtection="1"/>
    <xf numFmtId="168" fontId="9" fillId="4" borderId="1" xfId="0" applyNumberFormat="1" applyFont="1" applyFill="1" applyBorder="1" applyProtection="1"/>
    <xf numFmtId="165" fontId="9" fillId="4" borderId="1" xfId="0" applyNumberFormat="1" applyFont="1" applyFill="1" applyBorder="1"/>
    <xf numFmtId="39" fontId="9" fillId="4" borderId="1" xfId="0" applyNumberFormat="1" applyFont="1" applyFill="1" applyBorder="1"/>
    <xf numFmtId="165" fontId="9" fillId="4" borderId="0" xfId="0" applyNumberFormat="1" applyFont="1" applyFill="1" applyAlignment="1" applyProtection="1">
      <alignment horizontal="right"/>
    </xf>
    <xf numFmtId="165" fontId="9" fillId="4" borderId="0" xfId="0" applyNumberFormat="1" applyFont="1" applyFill="1" applyAlignment="1">
      <alignment horizontal="right"/>
    </xf>
    <xf numFmtId="4" fontId="16" fillId="0" borderId="0" xfId="0" applyNumberFormat="1" applyFont="1"/>
    <xf numFmtId="0" fontId="11" fillId="3" borderId="3" xfId="0" applyFont="1" applyFill="1" applyBorder="1" applyAlignment="1">
      <alignment horizontal="center" vertical="center" wrapText="1"/>
    </xf>
    <xf numFmtId="165" fontId="12" fillId="4" borderId="0" xfId="0" applyNumberFormat="1" applyFont="1" applyFill="1" applyBorder="1" applyAlignment="1" applyProtection="1">
      <alignment horizontal="right"/>
    </xf>
    <xf numFmtId="165" fontId="12" fillId="4" borderId="0" xfId="0" applyNumberFormat="1" applyFont="1" applyFill="1" applyBorder="1" applyAlignment="1">
      <alignment horizontal="right"/>
    </xf>
    <xf numFmtId="165" fontId="12" fillId="4" borderId="0" xfId="0" applyNumberFormat="1" applyFont="1" applyFill="1" applyAlignment="1" applyProtection="1">
      <alignment horizontal="right"/>
    </xf>
    <xf numFmtId="0" fontId="13" fillId="3" borderId="6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0" fontId="16" fillId="0" borderId="0" xfId="0" applyFont="1"/>
    <xf numFmtId="0" fontId="16" fillId="0" borderId="0" xfId="0" applyFont="1" applyFill="1" applyAlignment="1">
      <alignment wrapText="1"/>
    </xf>
    <xf numFmtId="0" fontId="13" fillId="3" borderId="12" xfId="0" applyFont="1" applyFill="1" applyBorder="1" applyAlignment="1">
      <alignment horizontal="center" vertical="center"/>
    </xf>
    <xf numFmtId="0" fontId="13" fillId="3" borderId="15" xfId="0" applyFont="1" applyFill="1" applyBorder="1" applyAlignment="1">
      <alignment horizontal="center" vertical="center"/>
    </xf>
    <xf numFmtId="164" fontId="9" fillId="0" borderId="0" xfId="0" applyNumberFormat="1" applyFont="1" applyProtection="1"/>
    <xf numFmtId="164" fontId="11" fillId="3" borderId="6" xfId="0" applyNumberFormat="1" applyFont="1" applyFill="1" applyBorder="1" applyAlignment="1" applyProtection="1">
      <alignment horizontal="center" vertical="center"/>
    </xf>
    <xf numFmtId="164" fontId="11" fillId="3" borderId="7" xfId="0" quotePrefix="1" applyNumberFormat="1" applyFont="1" applyFill="1" applyBorder="1" applyAlignment="1" applyProtection="1">
      <alignment horizontal="center" vertical="center"/>
    </xf>
    <xf numFmtId="164" fontId="11" fillId="3" borderId="7" xfId="0" applyNumberFormat="1" applyFont="1" applyFill="1" applyBorder="1" applyAlignment="1" applyProtection="1">
      <alignment horizontal="center" vertical="center"/>
    </xf>
    <xf numFmtId="164" fontId="11" fillId="3" borderId="8" xfId="0" quotePrefix="1" applyNumberFormat="1" applyFont="1" applyFill="1" applyBorder="1" applyAlignment="1" applyProtection="1">
      <alignment horizontal="center" vertical="center"/>
    </xf>
    <xf numFmtId="0" fontId="12" fillId="0" borderId="0" xfId="0" applyFont="1" applyAlignment="1">
      <alignment horizontal="center" vertical="center"/>
    </xf>
    <xf numFmtId="164" fontId="9" fillId="0" borderId="0" xfId="0" applyNumberFormat="1" applyFont="1" applyAlignment="1" applyProtection="1">
      <alignment horizontal="right"/>
    </xf>
    <xf numFmtId="164" fontId="9" fillId="4" borderId="0" xfId="0" applyNumberFormat="1" applyFont="1" applyFill="1" applyAlignment="1" applyProtection="1">
      <alignment horizontal="left" vertical="center" wrapText="1"/>
    </xf>
    <xf numFmtId="164" fontId="9" fillId="4" borderId="0" xfId="0" applyNumberFormat="1" applyFont="1" applyFill="1" applyAlignment="1" applyProtection="1">
      <alignment horizontal="right"/>
    </xf>
    <xf numFmtId="177" fontId="9" fillId="4" borderId="0" xfId="0" applyNumberFormat="1" applyFont="1" applyFill="1" applyAlignment="1" applyProtection="1">
      <alignment horizontal="right"/>
    </xf>
    <xf numFmtId="177" fontId="9" fillId="4" borderId="0" xfId="0" applyNumberFormat="1" applyFont="1" applyFill="1" applyAlignment="1" applyProtection="1">
      <alignment horizontal="right" vertical="center"/>
    </xf>
    <xf numFmtId="0" fontId="9" fillId="0" borderId="0" xfId="0" applyFont="1" applyAlignment="1">
      <alignment horizontal="left" vertical="center"/>
    </xf>
    <xf numFmtId="164" fontId="9" fillId="0" borderId="1" xfId="0" applyNumberFormat="1" applyFont="1" applyBorder="1" applyProtection="1"/>
    <xf numFmtId="177" fontId="9" fillId="0" borderId="1" xfId="0" applyNumberFormat="1" applyFont="1" applyBorder="1" applyProtection="1"/>
    <xf numFmtId="177" fontId="9" fillId="0" borderId="0" xfId="0" applyNumberFormat="1" applyFont="1" applyProtection="1"/>
    <xf numFmtId="164" fontId="9" fillId="0" borderId="0" xfId="0" applyNumberFormat="1" applyFont="1" applyAlignment="1" applyProtection="1">
      <alignment horizontal="left"/>
    </xf>
    <xf numFmtId="164" fontId="9" fillId="0" borderId="0" xfId="0" applyNumberFormat="1" applyFont="1"/>
    <xf numFmtId="164" fontId="9" fillId="0" borderId="0" xfId="0" applyNumberFormat="1" applyFont="1" applyBorder="1" applyAlignment="1" applyProtection="1">
      <alignment horizontal="centerContinuous"/>
    </xf>
    <xf numFmtId="164" fontId="12" fillId="3" borderId="9" xfId="0" applyNumberFormat="1" applyFont="1" applyFill="1" applyBorder="1" applyAlignment="1" applyProtection="1">
      <alignment horizontal="center" vertical="center"/>
    </xf>
    <xf numFmtId="3" fontId="12" fillId="3" borderId="10" xfId="0" quotePrefix="1" applyNumberFormat="1" applyFont="1" applyFill="1" applyBorder="1" applyAlignment="1" applyProtection="1">
      <alignment horizontal="center" vertical="center"/>
    </xf>
    <xf numFmtId="49" fontId="12" fillId="3" borderId="10" xfId="0" quotePrefix="1" applyNumberFormat="1" applyFont="1" applyFill="1" applyBorder="1" applyAlignment="1" applyProtection="1">
      <alignment horizontal="center" vertical="center"/>
    </xf>
    <xf numFmtId="49" fontId="12" fillId="3" borderId="11" xfId="0" quotePrefix="1" applyNumberFormat="1" applyFont="1" applyFill="1" applyBorder="1" applyAlignment="1" applyProtection="1">
      <alignment horizontal="center" vertical="center"/>
    </xf>
    <xf numFmtId="164" fontId="12" fillId="0" borderId="0" xfId="0" applyNumberFormat="1" applyFont="1" applyBorder="1" applyAlignment="1">
      <alignment vertical="center"/>
    </xf>
    <xf numFmtId="165" fontId="9" fillId="0" borderId="0" xfId="0" applyNumberFormat="1" applyFont="1" applyProtection="1"/>
    <xf numFmtId="165" fontId="9" fillId="0" borderId="0" xfId="0" applyNumberFormat="1" applyFont="1" applyBorder="1" applyAlignment="1" applyProtection="1">
      <alignment horizontal="right"/>
    </xf>
    <xf numFmtId="164" fontId="9" fillId="4" borderId="0" xfId="0" applyNumberFormat="1" applyFont="1" applyFill="1" applyAlignment="1" applyProtection="1">
      <alignment horizontal="left" wrapText="1"/>
    </xf>
    <xf numFmtId="164" fontId="9" fillId="4" borderId="0" xfId="0" applyNumberFormat="1" applyFont="1" applyFill="1" applyAlignment="1" applyProtection="1">
      <alignment wrapText="1"/>
    </xf>
    <xf numFmtId="164" fontId="9" fillId="4" borderId="0" xfId="0" applyNumberFormat="1" applyFont="1" applyFill="1" applyBorder="1" applyAlignment="1" applyProtection="1">
      <alignment horizontal="left" wrapText="1"/>
    </xf>
    <xf numFmtId="164" fontId="9" fillId="0" borderId="30" xfId="0" applyNumberFormat="1" applyFont="1" applyBorder="1" applyProtection="1"/>
    <xf numFmtId="0" fontId="16" fillId="0" borderId="0" xfId="0" applyFont="1"/>
    <xf numFmtId="4" fontId="9" fillId="0" borderId="0" xfId="0" applyNumberFormat="1" applyFont="1"/>
    <xf numFmtId="4" fontId="12" fillId="0" borderId="0" xfId="0" applyNumberFormat="1" applyFont="1" applyBorder="1" applyAlignment="1">
      <alignment horizontal="centerContinuous"/>
    </xf>
    <xf numFmtId="4" fontId="9" fillId="0" borderId="0" xfId="0" applyNumberFormat="1" applyFont="1" applyBorder="1"/>
    <xf numFmtId="4" fontId="9" fillId="0" borderId="1" xfId="0" applyNumberFormat="1" applyFont="1" applyBorder="1"/>
    <xf numFmtId="4" fontId="24" fillId="0" borderId="0" xfId="1" applyNumberFormat="1" applyFont="1" applyAlignment="1" applyProtection="1"/>
    <xf numFmtId="4" fontId="10" fillId="0" borderId="0" xfId="1" applyNumberFormat="1" applyFont="1" applyAlignment="1" applyProtection="1"/>
    <xf numFmtId="4" fontId="9" fillId="0" borderId="0" xfId="0" applyNumberFormat="1" applyFont="1" applyFill="1"/>
    <xf numFmtId="1" fontId="9" fillId="3" borderId="6" xfId="0" applyNumberFormat="1" applyFont="1" applyFill="1" applyBorder="1" applyAlignment="1">
      <alignment horizontal="center" vertical="center"/>
    </xf>
    <xf numFmtId="1" fontId="12" fillId="3" borderId="7" xfId="0" applyNumberFormat="1" applyFont="1" applyFill="1" applyBorder="1" applyAlignment="1">
      <alignment horizontal="center" vertical="center"/>
    </xf>
    <xf numFmtId="1" fontId="12" fillId="3" borderId="8" xfId="0" applyNumberFormat="1" applyFont="1" applyFill="1" applyBorder="1" applyAlignment="1">
      <alignment horizontal="center" vertical="center"/>
    </xf>
    <xf numFmtId="1" fontId="9" fillId="0" borderId="0" xfId="0" applyNumberFormat="1" applyFont="1"/>
    <xf numFmtId="165" fontId="12" fillId="4" borderId="0" xfId="0" applyNumberFormat="1" applyFont="1" applyFill="1"/>
    <xf numFmtId="165" fontId="9" fillId="4" borderId="0" xfId="0" applyNumberFormat="1" applyFont="1" applyFill="1" applyAlignment="1">
      <alignment horizontal="center"/>
    </xf>
    <xf numFmtId="165" fontId="9" fillId="4" borderId="0" xfId="0" applyNumberFormat="1" applyFont="1" applyFill="1" applyAlignment="1">
      <alignment horizontal="left" indent="22"/>
    </xf>
    <xf numFmtId="0" fontId="16" fillId="0" borderId="0" xfId="0" applyFont="1"/>
    <xf numFmtId="0" fontId="13" fillId="0" borderId="0" xfId="0" applyFont="1" applyFill="1" applyBorder="1"/>
    <xf numFmtId="37" fontId="13" fillId="0" borderId="0" xfId="0" applyNumberFormat="1" applyFont="1" applyFill="1" applyBorder="1" applyProtection="1"/>
    <xf numFmtId="0" fontId="7" fillId="0" borderId="0" xfId="0" applyFont="1" applyFill="1" applyBorder="1"/>
    <xf numFmtId="0" fontId="16" fillId="0" borderId="0" xfId="0" applyFont="1"/>
    <xf numFmtId="165" fontId="25" fillId="0" borderId="0" xfId="0" applyNumberFormat="1" applyFont="1" applyBorder="1"/>
    <xf numFmtId="165" fontId="25" fillId="0" borderId="0" xfId="0" applyNumberFormat="1" applyFont="1"/>
    <xf numFmtId="0" fontId="9" fillId="0" borderId="0" xfId="0" applyFont="1" applyFill="1" applyBorder="1"/>
    <xf numFmtId="165" fontId="9" fillId="0" borderId="0" xfId="0" applyNumberFormat="1" applyFont="1" applyFill="1" applyBorder="1"/>
    <xf numFmtId="0" fontId="11" fillId="0" borderId="0" xfId="0" applyFont="1" applyFill="1" applyBorder="1"/>
    <xf numFmtId="3" fontId="16" fillId="0" borderId="0" xfId="0" applyNumberFormat="1" applyFont="1"/>
    <xf numFmtId="164" fontId="19" fillId="6" borderId="0" xfId="0" applyNumberFormat="1" applyFont="1" applyFill="1" applyAlignment="1" applyProtection="1">
      <alignment horizontal="left"/>
    </xf>
    <xf numFmtId="0" fontId="20" fillId="6" borderId="0" xfId="0" applyFont="1" applyFill="1" applyAlignment="1">
      <alignment horizontal="left"/>
    </xf>
    <xf numFmtId="164" fontId="20" fillId="6" borderId="0" xfId="0" applyNumberFormat="1" applyFont="1" applyFill="1" applyAlignment="1" applyProtection="1">
      <alignment horizontal="left"/>
    </xf>
    <xf numFmtId="4" fontId="19" fillId="6" borderId="0" xfId="0" applyNumberFormat="1" applyFont="1" applyFill="1" applyAlignment="1">
      <alignment horizontal="left"/>
    </xf>
    <xf numFmtId="4" fontId="20" fillId="6" borderId="0" xfId="0" applyNumberFormat="1" applyFont="1" applyFill="1" applyAlignment="1">
      <alignment horizontal="left"/>
    </xf>
    <xf numFmtId="0" fontId="19" fillId="9" borderId="0" xfId="0" applyFont="1" applyFill="1" applyAlignment="1">
      <alignment horizontal="left"/>
    </xf>
    <xf numFmtId="0" fontId="20" fillId="9" borderId="0" xfId="0" applyFont="1" applyFill="1" applyAlignment="1">
      <alignment horizontal="left"/>
    </xf>
    <xf numFmtId="0" fontId="19" fillId="9" borderId="0" xfId="0" applyFont="1" applyFill="1" applyBorder="1" applyAlignment="1">
      <alignment horizontal="left"/>
    </xf>
    <xf numFmtId="0" fontId="13" fillId="3" borderId="18" xfId="0" applyFont="1" applyFill="1" applyBorder="1" applyAlignment="1">
      <alignment horizontal="center" vertical="center" wrapText="1"/>
    </xf>
    <xf numFmtId="0" fontId="13" fillId="3" borderId="14" xfId="0" applyFont="1" applyFill="1" applyBorder="1" applyAlignment="1">
      <alignment horizontal="center" vertical="center" wrapText="1"/>
    </xf>
    <xf numFmtId="0" fontId="13" fillId="3" borderId="19" xfId="0" applyFont="1" applyFill="1" applyBorder="1" applyAlignment="1">
      <alignment horizontal="center" vertical="center" wrapText="1"/>
    </xf>
    <xf numFmtId="0" fontId="13" fillId="3" borderId="13" xfId="0" applyFont="1" applyFill="1" applyBorder="1" applyAlignment="1">
      <alignment horizontal="center" vertical="center" wrapText="1"/>
    </xf>
    <xf numFmtId="0" fontId="15" fillId="3" borderId="19" xfId="0" applyFont="1" applyFill="1" applyBorder="1" applyAlignment="1"/>
    <xf numFmtId="0" fontId="13" fillId="3" borderId="16" xfId="0" applyFont="1" applyFill="1" applyBorder="1" applyAlignment="1">
      <alignment horizontal="center" vertical="center" wrapText="1"/>
    </xf>
    <xf numFmtId="0" fontId="13" fillId="3" borderId="17" xfId="0" applyFont="1" applyFill="1" applyBorder="1" applyAlignment="1">
      <alignment horizontal="center" vertical="center" wrapText="1"/>
    </xf>
    <xf numFmtId="0" fontId="13" fillId="3" borderId="6" xfId="0" applyFont="1" applyFill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39" fontId="19" fillId="9" borderId="0" xfId="0" applyNumberFormat="1" applyFont="1" applyFill="1" applyBorder="1" applyAlignment="1">
      <alignment horizontal="left" vertical="center"/>
    </xf>
    <xf numFmtId="0" fontId="20" fillId="9" borderId="0" xfId="0" applyFont="1" applyFill="1" applyAlignment="1">
      <alignment horizontal="left" vertical="center"/>
    </xf>
    <xf numFmtId="39" fontId="19" fillId="9" borderId="0" xfId="0" applyNumberFormat="1" applyFont="1" applyFill="1" applyBorder="1" applyAlignment="1">
      <alignment horizontal="left"/>
    </xf>
    <xf numFmtId="0" fontId="20" fillId="9" borderId="0" xfId="0" applyFont="1" applyFill="1" applyAlignment="1"/>
    <xf numFmtId="0" fontId="19" fillId="6" borderId="0" xfId="0" applyFont="1" applyFill="1" applyBorder="1" applyAlignment="1">
      <alignment horizontal="left"/>
    </xf>
    <xf numFmtId="0" fontId="20" fillId="6" borderId="0" xfId="0" applyFont="1" applyFill="1" applyAlignment="1"/>
    <xf numFmtId="0" fontId="11" fillId="3" borderId="20" xfId="0" applyFont="1" applyFill="1" applyBorder="1" applyAlignment="1">
      <alignment horizontal="center" vertical="center" wrapText="1"/>
    </xf>
    <xf numFmtId="0" fontId="15" fillId="3" borderId="15" xfId="0" applyFont="1" applyFill="1" applyBorder="1" applyAlignment="1">
      <alignment vertical="center" wrapText="1"/>
    </xf>
    <xf numFmtId="0" fontId="23" fillId="3" borderId="21" xfId="0" applyFont="1" applyFill="1" applyBorder="1" applyAlignment="1">
      <alignment horizontal="center" vertical="center" wrapText="1"/>
    </xf>
    <xf numFmtId="0" fontId="23" fillId="3" borderId="22" xfId="0" applyFont="1" applyFill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center" vertical="center" wrapText="1"/>
    </xf>
    <xf numFmtId="0" fontId="11" fillId="3" borderId="5" xfId="0" applyFont="1" applyFill="1" applyBorder="1" applyAlignment="1">
      <alignment horizontal="center" vertical="center" wrapText="1"/>
    </xf>
    <xf numFmtId="0" fontId="15" fillId="3" borderId="12" xfId="0" applyFont="1" applyFill="1" applyBorder="1" applyAlignment="1">
      <alignment vertical="center" wrapText="1"/>
    </xf>
    <xf numFmtId="0" fontId="11" fillId="3" borderId="21" xfId="0" applyFont="1" applyFill="1" applyBorder="1" applyAlignment="1">
      <alignment horizontal="center" vertical="center" wrapText="1"/>
    </xf>
    <xf numFmtId="0" fontId="11" fillId="3" borderId="23" xfId="0" applyFont="1" applyFill="1" applyBorder="1" applyAlignment="1">
      <alignment horizontal="center" vertical="center" wrapText="1"/>
    </xf>
    <xf numFmtId="0" fontId="15" fillId="3" borderId="23" xfId="0" applyFont="1" applyFill="1" applyBorder="1" applyAlignment="1">
      <alignment vertical="center" wrapText="1"/>
    </xf>
    <xf numFmtId="0" fontId="19" fillId="6" borderId="0" xfId="0" applyFont="1" applyFill="1" applyAlignment="1">
      <alignment horizontal="left"/>
    </xf>
    <xf numFmtId="0" fontId="19" fillId="6" borderId="0" xfId="0" applyFont="1" applyFill="1" applyAlignment="1" applyProtection="1">
      <alignment horizontal="left"/>
    </xf>
    <xf numFmtId="0" fontId="12" fillId="3" borderId="6" xfId="0" applyFont="1" applyFill="1" applyBorder="1" applyAlignment="1">
      <alignment horizontal="center" vertical="center" wrapText="1"/>
    </xf>
    <xf numFmtId="0" fontId="12" fillId="3" borderId="8" xfId="0" applyFont="1" applyFill="1" applyBorder="1" applyAlignment="1" applyProtection="1">
      <alignment horizontal="center" vertical="center" wrapText="1"/>
    </xf>
    <xf numFmtId="0" fontId="15" fillId="0" borderId="6" xfId="0" applyFont="1" applyBorder="1" applyAlignment="1">
      <alignment vertical="center" wrapText="1"/>
    </xf>
    <xf numFmtId="0" fontId="12" fillId="3" borderId="8" xfId="0" applyFont="1" applyFill="1" applyBorder="1" applyAlignment="1">
      <alignment vertical="center" wrapText="1"/>
    </xf>
    <xf numFmtId="0" fontId="12" fillId="3" borderId="16" xfId="0" applyFont="1" applyFill="1" applyBorder="1" applyAlignment="1" applyProtection="1">
      <alignment horizontal="center" vertical="center" wrapText="1"/>
    </xf>
    <xf numFmtId="0" fontId="23" fillId="3" borderId="16" xfId="0" applyFont="1" applyFill="1" applyBorder="1" applyAlignment="1">
      <alignment horizontal="center" vertical="center" wrapText="1"/>
    </xf>
    <xf numFmtId="0" fontId="23" fillId="3" borderId="19" xfId="0" applyFont="1" applyFill="1" applyBorder="1" applyAlignment="1">
      <alignment vertical="center" wrapText="1"/>
    </xf>
    <xf numFmtId="0" fontId="23" fillId="3" borderId="16" xfId="0" applyFont="1" applyFill="1" applyBorder="1" applyAlignment="1">
      <alignment vertical="center" wrapText="1"/>
    </xf>
    <xf numFmtId="0" fontId="12" fillId="3" borderId="19" xfId="0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 wrapText="1"/>
    </xf>
    <xf numFmtId="0" fontId="12" fillId="3" borderId="19" xfId="0" applyFont="1" applyFill="1" applyBorder="1" applyAlignment="1">
      <alignment vertical="center" wrapText="1"/>
    </xf>
    <xf numFmtId="0" fontId="12" fillId="3" borderId="13" xfId="0" applyFont="1" applyFill="1" applyBorder="1" applyAlignment="1">
      <alignment vertical="center" wrapText="1"/>
    </xf>
    <xf numFmtId="0" fontId="12" fillId="3" borderId="17" xfId="0" applyFont="1" applyFill="1" applyBorder="1" applyAlignment="1" applyProtection="1">
      <alignment horizontal="center" vertical="center" wrapText="1"/>
    </xf>
    <xf numFmtId="0" fontId="12" fillId="3" borderId="18" xfId="0" applyFont="1" applyFill="1" applyBorder="1" applyAlignment="1">
      <alignment horizontal="center" vertical="center" wrapText="1"/>
    </xf>
    <xf numFmtId="0" fontId="12" fillId="3" borderId="14" xfId="0" applyFont="1" applyFill="1" applyBorder="1" applyAlignment="1">
      <alignment horizontal="center" vertical="center" wrapText="1"/>
    </xf>
    <xf numFmtId="0" fontId="12" fillId="3" borderId="19" xfId="0" applyFont="1" applyFill="1" applyBorder="1" applyAlignment="1" applyProtection="1">
      <alignment horizontal="center" vertical="center" wrapText="1"/>
    </xf>
    <xf numFmtId="0" fontId="23" fillId="3" borderId="13" xfId="0" applyFont="1" applyFill="1" applyBorder="1" applyAlignment="1">
      <alignment vertical="center" wrapText="1"/>
    </xf>
    <xf numFmtId="0" fontId="23" fillId="3" borderId="19" xfId="0" applyFont="1" applyFill="1" applyBorder="1" applyAlignment="1">
      <alignment horizontal="center" vertical="center" wrapText="1"/>
    </xf>
    <xf numFmtId="4" fontId="18" fillId="3" borderId="19" xfId="0" applyNumberFormat="1" applyFont="1" applyFill="1" applyBorder="1" applyAlignment="1">
      <alignment horizontal="center" vertical="center" wrapText="1"/>
    </xf>
    <xf numFmtId="4" fontId="18" fillId="3" borderId="18" xfId="0" applyNumberFormat="1" applyFont="1" applyFill="1" applyBorder="1" applyAlignment="1">
      <alignment horizontal="center" vertical="center" wrapText="1"/>
    </xf>
    <xf numFmtId="0" fontId="18" fillId="3" borderId="24" xfId="0" applyFont="1" applyFill="1" applyBorder="1" applyAlignment="1">
      <alignment horizontal="center" vertical="center" wrapText="1"/>
    </xf>
    <xf numFmtId="0" fontId="15" fillId="3" borderId="16" xfId="0" applyFont="1" applyFill="1" applyBorder="1" applyAlignment="1">
      <alignment vertical="center" wrapText="1"/>
    </xf>
    <xf numFmtId="0" fontId="15" fillId="3" borderId="25" xfId="0" applyFont="1" applyFill="1" applyBorder="1" applyAlignment="1">
      <alignment vertical="center" wrapText="1"/>
    </xf>
    <xf numFmtId="0" fontId="15" fillId="3" borderId="19" xfId="0" applyFont="1" applyFill="1" applyBorder="1" applyAlignment="1">
      <alignment vertical="center" wrapText="1"/>
    </xf>
    <xf numFmtId="0" fontId="15" fillId="3" borderId="26" xfId="0" applyFont="1" applyFill="1" applyBorder="1" applyAlignment="1">
      <alignment vertical="center" wrapText="1"/>
    </xf>
    <xf numFmtId="0" fontId="15" fillId="3" borderId="13" xfId="0" applyFont="1" applyFill="1" applyBorder="1" applyAlignment="1">
      <alignment vertical="center" wrapText="1"/>
    </xf>
    <xf numFmtId="4" fontId="18" fillId="3" borderId="16" xfId="0" applyNumberFormat="1" applyFont="1" applyFill="1" applyBorder="1" applyAlignment="1">
      <alignment horizontal="center" vertical="center" wrapText="1"/>
    </xf>
    <xf numFmtId="4" fontId="18" fillId="3" borderId="17" xfId="0" applyNumberFormat="1" applyFont="1" applyFill="1" applyBorder="1" applyAlignment="1">
      <alignment horizontal="center" vertical="center" wrapText="1"/>
    </xf>
    <xf numFmtId="0" fontId="19" fillId="6" borderId="0" xfId="0" applyFont="1" applyFill="1" applyAlignment="1">
      <alignment horizontal="left" vertical="center"/>
    </xf>
    <xf numFmtId="0" fontId="16" fillId="0" borderId="0" xfId="0" applyFont="1"/>
    <xf numFmtId="0" fontId="16" fillId="0" borderId="0" xfId="0" applyFont="1" applyAlignment="1">
      <alignment wrapText="1"/>
    </xf>
    <xf numFmtId="0" fontId="16" fillId="0" borderId="0" xfId="0" applyFont="1" applyFill="1" applyAlignment="1">
      <alignment wrapText="1"/>
    </xf>
    <xf numFmtId="0" fontId="16" fillId="3" borderId="22" xfId="0" applyFont="1" applyFill="1" applyBorder="1" applyAlignment="1">
      <alignment horizontal="center" vertical="center" wrapText="1"/>
    </xf>
    <xf numFmtId="0" fontId="16" fillId="3" borderId="12" xfId="0" applyFont="1" applyFill="1" applyBorder="1" applyAlignment="1">
      <alignment horizontal="center" vertical="center" wrapText="1"/>
    </xf>
    <xf numFmtId="0" fontId="11" fillId="3" borderId="23" xfId="0" applyFont="1" applyFill="1" applyBorder="1" applyAlignment="1">
      <alignment horizontal="center"/>
    </xf>
    <xf numFmtId="0" fontId="16" fillId="3" borderId="23" xfId="0" applyFont="1" applyFill="1" applyBorder="1" applyAlignment="1">
      <alignment horizontal="center"/>
    </xf>
    <xf numFmtId="0" fontId="16" fillId="3" borderId="20" xfId="0" applyFont="1" applyFill="1" applyBorder="1" applyAlignment="1">
      <alignment horizontal="center"/>
    </xf>
    <xf numFmtId="0" fontId="19" fillId="6" borderId="0" xfId="0" applyFont="1" applyFill="1" applyAlignment="1">
      <alignment horizontal="left" vertical="top"/>
    </xf>
    <xf numFmtId="0" fontId="13" fillId="3" borderId="10" xfId="0" applyFont="1" applyFill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5" fillId="0" borderId="23" xfId="0" applyFont="1" applyBorder="1" applyAlignment="1">
      <alignment horizontal="center" vertical="center" wrapText="1"/>
    </xf>
    <xf numFmtId="0" fontId="13" fillId="3" borderId="20" xfId="0" applyFont="1" applyFill="1" applyBorder="1" applyAlignment="1">
      <alignment horizontal="center" vertical="center" wrapText="1"/>
    </xf>
    <xf numFmtId="0" fontId="15" fillId="0" borderId="29" xfId="0" applyFont="1" applyBorder="1" applyAlignment="1">
      <alignment horizontal="center" vertical="center" wrapText="1"/>
    </xf>
    <xf numFmtId="0" fontId="13" fillId="3" borderId="12" xfId="0" applyFont="1" applyFill="1" applyBorder="1" applyAlignment="1">
      <alignment horizontal="center" vertical="center" wrapText="1"/>
    </xf>
    <xf numFmtId="0" fontId="13" fillId="3" borderId="23" xfId="0" applyFont="1" applyFill="1" applyBorder="1" applyAlignment="1">
      <alignment horizontal="center" vertical="center" wrapText="1"/>
    </xf>
    <xf numFmtId="0" fontId="13" fillId="3" borderId="27" xfId="0" applyFont="1" applyFill="1" applyBorder="1" applyAlignment="1">
      <alignment horizontal="center" vertical="center" wrapText="1"/>
    </xf>
    <xf numFmtId="0" fontId="15" fillId="0" borderId="28" xfId="0" applyFont="1" applyBorder="1" applyAlignment="1">
      <alignment horizontal="center" vertical="center" wrapText="1"/>
    </xf>
  </cellXfs>
  <cellStyles count="4">
    <cellStyle name="Hipervínculo" xfId="1" builtinId="8"/>
    <cellStyle name="Millares [0]" xfId="2" builtinId="6"/>
    <cellStyle name="Normal" xfId="0" builtinId="0"/>
    <cellStyle name="Normal 2" xfId="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6010275</xdr:colOff>
      <xdr:row>0</xdr:row>
      <xdr:rowOff>1</xdr:rowOff>
    </xdr:from>
    <xdr:to>
      <xdr:col>1</xdr:col>
      <xdr:colOff>0</xdr:colOff>
      <xdr:row>3</xdr:row>
      <xdr:rowOff>133351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lc="http://schemas.openxmlformats.org/drawingml/2006/lockedCanvas" xmlns="" xmlns:a14="http://schemas.microsoft.com/office/drawing/2010/main" xmlns:p="http://schemas.openxmlformats.org/presentationml/2006/main" val="0"/>
            </a:ext>
          </a:extLst>
        </a:blip>
        <a:stretch>
          <a:fillRect/>
        </a:stretch>
      </xdr:blipFill>
      <xdr:spPr>
        <a:xfrm>
          <a:off x="6010275" y="1"/>
          <a:ext cx="1038225" cy="838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NOTAS%20Cap2-90anios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showGridLines="0" tabSelected="1" workbookViewId="0">
      <selection activeCell="A25" sqref="A25"/>
    </sheetView>
  </sheetViews>
  <sheetFormatPr baseColWidth="10" defaultRowHeight="15"/>
  <cols>
    <col min="1" max="1" width="105.7109375" customWidth="1"/>
  </cols>
  <sheetData>
    <row r="1" spans="1:6" ht="23.25">
      <c r="A1" s="1" t="s">
        <v>1</v>
      </c>
    </row>
    <row r="2" spans="1:6">
      <c r="A2" s="2" t="s">
        <v>0</v>
      </c>
    </row>
    <row r="3" spans="1:6" ht="17.25" customHeight="1"/>
    <row r="4" spans="1:6">
      <c r="A4" s="194" t="s">
        <v>3</v>
      </c>
      <c r="B4" s="5"/>
      <c r="C4" s="5"/>
      <c r="D4" s="5"/>
      <c r="E4" s="5"/>
      <c r="F4" s="5"/>
    </row>
    <row r="5" spans="1:6">
      <c r="A5" s="194" t="s">
        <v>4</v>
      </c>
      <c r="B5" s="5"/>
      <c r="C5" s="5"/>
      <c r="D5" s="5"/>
      <c r="E5" s="5"/>
      <c r="F5" s="5"/>
    </row>
    <row r="6" spans="1:6">
      <c r="A6" s="194" t="s">
        <v>5</v>
      </c>
      <c r="B6" s="5"/>
      <c r="C6" s="5"/>
      <c r="D6" s="5"/>
      <c r="E6" s="5"/>
      <c r="F6" s="5"/>
    </row>
    <row r="7" spans="1:6">
      <c r="A7" s="194" t="s">
        <v>2</v>
      </c>
      <c r="B7" s="5"/>
      <c r="C7" s="5"/>
      <c r="D7" s="5"/>
      <c r="E7" s="5"/>
      <c r="F7" s="5"/>
    </row>
    <row r="8" spans="1:6" s="193" customFormat="1"/>
    <row r="9" spans="1:6">
      <c r="A9" s="194" t="s">
        <v>8</v>
      </c>
      <c r="B9" s="5"/>
      <c r="C9" s="5"/>
      <c r="D9" s="5"/>
      <c r="E9" s="5"/>
      <c r="F9" s="5"/>
    </row>
    <row r="10" spans="1:6">
      <c r="A10" s="194" t="s">
        <v>7</v>
      </c>
      <c r="B10" s="5"/>
      <c r="C10" s="5"/>
      <c r="D10" s="5"/>
      <c r="E10" s="5"/>
      <c r="F10" s="5"/>
    </row>
    <row r="11" spans="1:6">
      <c r="A11" s="194" t="s">
        <v>6</v>
      </c>
      <c r="B11" s="5"/>
      <c r="C11" s="5"/>
      <c r="D11" s="5"/>
      <c r="E11" s="5"/>
      <c r="F11" s="5"/>
    </row>
    <row r="12" spans="1:6">
      <c r="A12" s="194" t="s">
        <v>463</v>
      </c>
      <c r="B12" s="5"/>
      <c r="C12" s="5"/>
      <c r="D12" s="5"/>
      <c r="E12" s="5"/>
      <c r="F12" s="5"/>
    </row>
    <row r="13" spans="1:6">
      <c r="A13" s="194" t="s">
        <v>464</v>
      </c>
      <c r="B13" s="5"/>
      <c r="C13" s="5"/>
      <c r="D13" s="5"/>
      <c r="E13" s="5"/>
      <c r="F13" s="5"/>
    </row>
    <row r="14" spans="1:6" s="5" customFormat="1">
      <c r="A14" s="193"/>
    </row>
    <row r="15" spans="1:6">
      <c r="A15" s="194" t="s">
        <v>9</v>
      </c>
      <c r="B15" s="5"/>
      <c r="C15" s="5"/>
      <c r="D15" s="5"/>
      <c r="E15" s="5"/>
      <c r="F15" s="5"/>
    </row>
    <row r="16" spans="1:6">
      <c r="A16" s="194" t="s">
        <v>10</v>
      </c>
      <c r="B16" s="5"/>
      <c r="C16" s="5"/>
      <c r="D16" s="5"/>
      <c r="E16" s="5"/>
      <c r="F16" s="5"/>
    </row>
    <row r="17" spans="1:6">
      <c r="A17" s="194" t="s">
        <v>462</v>
      </c>
      <c r="B17" s="5"/>
      <c r="C17" s="5"/>
      <c r="D17" s="5"/>
      <c r="E17" s="5"/>
      <c r="F17" s="5"/>
    </row>
    <row r="18" spans="1:6" s="5" customFormat="1">
      <c r="A18" s="193"/>
    </row>
    <row r="19" spans="1:6">
      <c r="A19" s="194" t="s">
        <v>11</v>
      </c>
      <c r="B19" s="5"/>
      <c r="C19" s="5"/>
      <c r="D19" s="5"/>
      <c r="E19" s="5"/>
      <c r="F19" s="5"/>
    </row>
    <row r="20" spans="1:6">
      <c r="A20" s="194" t="s">
        <v>461</v>
      </c>
      <c r="B20" s="5"/>
      <c r="C20" s="5"/>
      <c r="D20" s="5"/>
      <c r="E20" s="5"/>
      <c r="F20" s="5"/>
    </row>
    <row r="21" spans="1:6">
      <c r="A21" s="194" t="s">
        <v>12</v>
      </c>
      <c r="B21" s="5"/>
      <c r="C21" s="5"/>
      <c r="D21" s="5"/>
      <c r="E21" s="5"/>
      <c r="F21" s="5"/>
    </row>
    <row r="22" spans="1:6">
      <c r="A22" s="194" t="s">
        <v>465</v>
      </c>
      <c r="B22" s="5"/>
      <c r="C22" s="5"/>
      <c r="D22" s="5"/>
      <c r="E22" s="5"/>
      <c r="F22" s="5"/>
    </row>
    <row r="23" spans="1:6" s="5" customFormat="1">
      <c r="A23" s="193"/>
    </row>
    <row r="24" spans="1:6" s="5" customFormat="1">
      <c r="A24" s="3"/>
      <c r="B24" s="3"/>
      <c r="C24" s="3"/>
    </row>
    <row r="25" spans="1:6">
      <c r="A25" s="3" t="s">
        <v>287</v>
      </c>
      <c r="B25" s="5"/>
      <c r="C25" s="5"/>
      <c r="D25" s="5"/>
      <c r="E25" s="5"/>
      <c r="F25" s="5"/>
    </row>
  </sheetData>
  <hyperlinks>
    <hyperlink ref="A4" location="'2.1'!A1" display="2.1      Balanza de Pagos II Manual"/>
    <hyperlink ref="A5" location="'2.2'!A1" display="2.2      Balanza de Pagos: IV Manual"/>
    <hyperlink ref="A6" location="'2.3'!A1" display="2.3      Balanza de Pagos: Presentación analítica (V Manual)"/>
    <hyperlink ref="A7" location="'2.4'!A1" display="2.4      Balanza Comercial"/>
    <hyperlink ref="A9" location="'2.5'!A1" display="2.5      Exporatciones por grupos de productos"/>
    <hyperlink ref="A10" location="'2.6'!A1" display="2.6       Exportaciones por Continente y Area Económica"/>
    <hyperlink ref="A11" location="'2.7'!A1" display="2.7      Importaciones por Grupos de Bienes (1943 - 1956) (1) (2) "/>
    <hyperlink ref="A12" location="'2.8'!A1" display="2.8      Importaciones por uso o Destino Económico (1957-2006) (1)"/>
    <hyperlink ref="A13" location="'2.9'!A1" display="2.9      Importaciones por Continente, Area Económica y País (1948 - 2006) (1)"/>
    <hyperlink ref="A15" location="'2.10'!A1" display="2.10    Saldos de la Deuda Externa &quot;Antigua&quot;  ( 1938 - 1961 ) "/>
    <hyperlink ref="A16" location="'2.11'!A1" display="2.11     Desglose de los Saldos de la Deuda Externa &quot;Antigua&quot; (1938 - 1961)"/>
    <hyperlink ref="A17" location="'2.12'!A1" display="2.12    Movimiento de la Deuda Externa Pública y Privada (1950 - 2006)"/>
    <hyperlink ref="A19" location="'2.13'!A1" display="2.13    Tipo de Cambio"/>
    <hyperlink ref="A20" location="'2.14'!A1" display="2.14    Cotización del dólar de EE.UU. En el mercado internacional (1980 - 2007)"/>
    <hyperlink ref="A21" location="'2.15'!A1" display="2.15    Ecuador: Indices de Tipo de Cambio real"/>
    <hyperlink ref="A22" location="'2.16'!A1" display="2.16    Tasas de inflación de EE.UU. Y tasas de interés internacionales"/>
    <hyperlink ref="A25" r:id="rId1"/>
  </hyperlinks>
  <pageMargins left="0.7" right="0.7" top="0.75" bottom="0.75" header="0.3" footer="0.3"/>
  <pageSetup paperSize="9" orientation="portrait" horizontalDpi="1200" verticalDpi="12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24"/>
  <sheetViews>
    <sheetView showGridLines="0" workbookViewId="0">
      <selection activeCell="T16" sqref="T16"/>
    </sheetView>
  </sheetViews>
  <sheetFormatPr baseColWidth="10" defaultColWidth="12.5703125" defaultRowHeight="12.75"/>
  <cols>
    <col min="1" max="1" width="31.42578125" style="8" customWidth="1"/>
    <col min="2" max="2" width="7.42578125" style="8" customWidth="1"/>
    <col min="3" max="3" width="8" style="8" customWidth="1"/>
    <col min="4" max="4" width="7.42578125" style="8" customWidth="1"/>
    <col min="5" max="5" width="8.7109375" style="8" customWidth="1"/>
    <col min="6" max="8" width="8" style="8" customWidth="1"/>
    <col min="9" max="9" width="8.7109375" style="8" customWidth="1"/>
    <col min="10" max="10" width="8" style="8" customWidth="1"/>
    <col min="11" max="11" width="8.7109375" style="8" customWidth="1"/>
    <col min="12" max="12" width="9.140625" style="8" customWidth="1"/>
    <col min="13" max="15" width="8.7109375" style="8" customWidth="1"/>
    <col min="16" max="16" width="10.42578125" style="8" customWidth="1"/>
    <col min="17" max="20" width="8.7109375" style="8" customWidth="1"/>
    <col min="21" max="256" width="12.5703125" style="8"/>
    <col min="257" max="257" width="31.42578125" style="8" customWidth="1"/>
    <col min="258" max="258" width="7.42578125" style="8" customWidth="1"/>
    <col min="259" max="259" width="8" style="8" customWidth="1"/>
    <col min="260" max="260" width="7.42578125" style="8" customWidth="1"/>
    <col min="261" max="261" width="8.7109375" style="8" customWidth="1"/>
    <col min="262" max="264" width="8" style="8" customWidth="1"/>
    <col min="265" max="265" width="8.7109375" style="8" customWidth="1"/>
    <col min="266" max="266" width="8" style="8" customWidth="1"/>
    <col min="267" max="267" width="8.7109375" style="8" customWidth="1"/>
    <col min="268" max="268" width="9.140625" style="8" customWidth="1"/>
    <col min="269" max="271" width="8.7109375" style="8" customWidth="1"/>
    <col min="272" max="272" width="10.42578125" style="8" customWidth="1"/>
    <col min="273" max="276" width="8.7109375" style="8" customWidth="1"/>
    <col min="277" max="512" width="12.5703125" style="8"/>
    <col min="513" max="513" width="31.42578125" style="8" customWidth="1"/>
    <col min="514" max="514" width="7.42578125" style="8" customWidth="1"/>
    <col min="515" max="515" width="8" style="8" customWidth="1"/>
    <col min="516" max="516" width="7.42578125" style="8" customWidth="1"/>
    <col min="517" max="517" width="8.7109375" style="8" customWidth="1"/>
    <col min="518" max="520" width="8" style="8" customWidth="1"/>
    <col min="521" max="521" width="8.7109375" style="8" customWidth="1"/>
    <col min="522" max="522" width="8" style="8" customWidth="1"/>
    <col min="523" max="523" width="8.7109375" style="8" customWidth="1"/>
    <col min="524" max="524" width="9.140625" style="8" customWidth="1"/>
    <col min="525" max="527" width="8.7109375" style="8" customWidth="1"/>
    <col min="528" max="528" width="10.42578125" style="8" customWidth="1"/>
    <col min="529" max="532" width="8.7109375" style="8" customWidth="1"/>
    <col min="533" max="768" width="12.5703125" style="8"/>
    <col min="769" max="769" width="31.42578125" style="8" customWidth="1"/>
    <col min="770" max="770" width="7.42578125" style="8" customWidth="1"/>
    <col min="771" max="771" width="8" style="8" customWidth="1"/>
    <col min="772" max="772" width="7.42578125" style="8" customWidth="1"/>
    <col min="773" max="773" width="8.7109375" style="8" customWidth="1"/>
    <col min="774" max="776" width="8" style="8" customWidth="1"/>
    <col min="777" max="777" width="8.7109375" style="8" customWidth="1"/>
    <col min="778" max="778" width="8" style="8" customWidth="1"/>
    <col min="779" max="779" width="8.7109375" style="8" customWidth="1"/>
    <col min="780" max="780" width="9.140625" style="8" customWidth="1"/>
    <col min="781" max="783" width="8.7109375" style="8" customWidth="1"/>
    <col min="784" max="784" width="10.42578125" style="8" customWidth="1"/>
    <col min="785" max="788" width="8.7109375" style="8" customWidth="1"/>
    <col min="789" max="1024" width="12.5703125" style="8"/>
    <col min="1025" max="1025" width="31.42578125" style="8" customWidth="1"/>
    <col min="1026" max="1026" width="7.42578125" style="8" customWidth="1"/>
    <col min="1027" max="1027" width="8" style="8" customWidth="1"/>
    <col min="1028" max="1028" width="7.42578125" style="8" customWidth="1"/>
    <col min="1029" max="1029" width="8.7109375" style="8" customWidth="1"/>
    <col min="1030" max="1032" width="8" style="8" customWidth="1"/>
    <col min="1033" max="1033" width="8.7109375" style="8" customWidth="1"/>
    <col min="1034" max="1034" width="8" style="8" customWidth="1"/>
    <col min="1035" max="1035" width="8.7109375" style="8" customWidth="1"/>
    <col min="1036" max="1036" width="9.140625" style="8" customWidth="1"/>
    <col min="1037" max="1039" width="8.7109375" style="8" customWidth="1"/>
    <col min="1040" max="1040" width="10.42578125" style="8" customWidth="1"/>
    <col min="1041" max="1044" width="8.7109375" style="8" customWidth="1"/>
    <col min="1045" max="1280" width="12.5703125" style="8"/>
    <col min="1281" max="1281" width="31.42578125" style="8" customWidth="1"/>
    <col min="1282" max="1282" width="7.42578125" style="8" customWidth="1"/>
    <col min="1283" max="1283" width="8" style="8" customWidth="1"/>
    <col min="1284" max="1284" width="7.42578125" style="8" customWidth="1"/>
    <col min="1285" max="1285" width="8.7109375" style="8" customWidth="1"/>
    <col min="1286" max="1288" width="8" style="8" customWidth="1"/>
    <col min="1289" max="1289" width="8.7109375" style="8" customWidth="1"/>
    <col min="1290" max="1290" width="8" style="8" customWidth="1"/>
    <col min="1291" max="1291" width="8.7109375" style="8" customWidth="1"/>
    <col min="1292" max="1292" width="9.140625" style="8" customWidth="1"/>
    <col min="1293" max="1295" width="8.7109375" style="8" customWidth="1"/>
    <col min="1296" max="1296" width="10.42578125" style="8" customWidth="1"/>
    <col min="1297" max="1300" width="8.7109375" style="8" customWidth="1"/>
    <col min="1301" max="1536" width="12.5703125" style="8"/>
    <col min="1537" max="1537" width="31.42578125" style="8" customWidth="1"/>
    <col min="1538" max="1538" width="7.42578125" style="8" customWidth="1"/>
    <col min="1539" max="1539" width="8" style="8" customWidth="1"/>
    <col min="1540" max="1540" width="7.42578125" style="8" customWidth="1"/>
    <col min="1541" max="1541" width="8.7109375" style="8" customWidth="1"/>
    <col min="1542" max="1544" width="8" style="8" customWidth="1"/>
    <col min="1545" max="1545" width="8.7109375" style="8" customWidth="1"/>
    <col min="1546" max="1546" width="8" style="8" customWidth="1"/>
    <col min="1547" max="1547" width="8.7109375" style="8" customWidth="1"/>
    <col min="1548" max="1548" width="9.140625" style="8" customWidth="1"/>
    <col min="1549" max="1551" width="8.7109375" style="8" customWidth="1"/>
    <col min="1552" max="1552" width="10.42578125" style="8" customWidth="1"/>
    <col min="1553" max="1556" width="8.7109375" style="8" customWidth="1"/>
    <col min="1557" max="1792" width="12.5703125" style="8"/>
    <col min="1793" max="1793" width="31.42578125" style="8" customWidth="1"/>
    <col min="1794" max="1794" width="7.42578125" style="8" customWidth="1"/>
    <col min="1795" max="1795" width="8" style="8" customWidth="1"/>
    <col min="1796" max="1796" width="7.42578125" style="8" customWidth="1"/>
    <col min="1797" max="1797" width="8.7109375" style="8" customWidth="1"/>
    <col min="1798" max="1800" width="8" style="8" customWidth="1"/>
    <col min="1801" max="1801" width="8.7109375" style="8" customWidth="1"/>
    <col min="1802" max="1802" width="8" style="8" customWidth="1"/>
    <col min="1803" max="1803" width="8.7109375" style="8" customWidth="1"/>
    <col min="1804" max="1804" width="9.140625" style="8" customWidth="1"/>
    <col min="1805" max="1807" width="8.7109375" style="8" customWidth="1"/>
    <col min="1808" max="1808" width="10.42578125" style="8" customWidth="1"/>
    <col min="1809" max="1812" width="8.7109375" style="8" customWidth="1"/>
    <col min="1813" max="2048" width="12.5703125" style="8"/>
    <col min="2049" max="2049" width="31.42578125" style="8" customWidth="1"/>
    <col min="2050" max="2050" width="7.42578125" style="8" customWidth="1"/>
    <col min="2051" max="2051" width="8" style="8" customWidth="1"/>
    <col min="2052" max="2052" width="7.42578125" style="8" customWidth="1"/>
    <col min="2053" max="2053" width="8.7109375" style="8" customWidth="1"/>
    <col min="2054" max="2056" width="8" style="8" customWidth="1"/>
    <col min="2057" max="2057" width="8.7109375" style="8" customWidth="1"/>
    <col min="2058" max="2058" width="8" style="8" customWidth="1"/>
    <col min="2059" max="2059" width="8.7109375" style="8" customWidth="1"/>
    <col min="2060" max="2060" width="9.140625" style="8" customWidth="1"/>
    <col min="2061" max="2063" width="8.7109375" style="8" customWidth="1"/>
    <col min="2064" max="2064" width="10.42578125" style="8" customWidth="1"/>
    <col min="2065" max="2068" width="8.7109375" style="8" customWidth="1"/>
    <col min="2069" max="2304" width="12.5703125" style="8"/>
    <col min="2305" max="2305" width="31.42578125" style="8" customWidth="1"/>
    <col min="2306" max="2306" width="7.42578125" style="8" customWidth="1"/>
    <col min="2307" max="2307" width="8" style="8" customWidth="1"/>
    <col min="2308" max="2308" width="7.42578125" style="8" customWidth="1"/>
    <col min="2309" max="2309" width="8.7109375" style="8" customWidth="1"/>
    <col min="2310" max="2312" width="8" style="8" customWidth="1"/>
    <col min="2313" max="2313" width="8.7109375" style="8" customWidth="1"/>
    <col min="2314" max="2314" width="8" style="8" customWidth="1"/>
    <col min="2315" max="2315" width="8.7109375" style="8" customWidth="1"/>
    <col min="2316" max="2316" width="9.140625" style="8" customWidth="1"/>
    <col min="2317" max="2319" width="8.7109375" style="8" customWidth="1"/>
    <col min="2320" max="2320" width="10.42578125" style="8" customWidth="1"/>
    <col min="2321" max="2324" width="8.7109375" style="8" customWidth="1"/>
    <col min="2325" max="2560" width="12.5703125" style="8"/>
    <col min="2561" max="2561" width="31.42578125" style="8" customWidth="1"/>
    <col min="2562" max="2562" width="7.42578125" style="8" customWidth="1"/>
    <col min="2563" max="2563" width="8" style="8" customWidth="1"/>
    <col min="2564" max="2564" width="7.42578125" style="8" customWidth="1"/>
    <col min="2565" max="2565" width="8.7109375" style="8" customWidth="1"/>
    <col min="2566" max="2568" width="8" style="8" customWidth="1"/>
    <col min="2569" max="2569" width="8.7109375" style="8" customWidth="1"/>
    <col min="2570" max="2570" width="8" style="8" customWidth="1"/>
    <col min="2571" max="2571" width="8.7109375" style="8" customWidth="1"/>
    <col min="2572" max="2572" width="9.140625" style="8" customWidth="1"/>
    <col min="2573" max="2575" width="8.7109375" style="8" customWidth="1"/>
    <col min="2576" max="2576" width="10.42578125" style="8" customWidth="1"/>
    <col min="2577" max="2580" width="8.7109375" style="8" customWidth="1"/>
    <col min="2581" max="2816" width="12.5703125" style="8"/>
    <col min="2817" max="2817" width="31.42578125" style="8" customWidth="1"/>
    <col min="2818" max="2818" width="7.42578125" style="8" customWidth="1"/>
    <col min="2819" max="2819" width="8" style="8" customWidth="1"/>
    <col min="2820" max="2820" width="7.42578125" style="8" customWidth="1"/>
    <col min="2821" max="2821" width="8.7109375" style="8" customWidth="1"/>
    <col min="2822" max="2824" width="8" style="8" customWidth="1"/>
    <col min="2825" max="2825" width="8.7109375" style="8" customWidth="1"/>
    <col min="2826" max="2826" width="8" style="8" customWidth="1"/>
    <col min="2827" max="2827" width="8.7109375" style="8" customWidth="1"/>
    <col min="2828" max="2828" width="9.140625" style="8" customWidth="1"/>
    <col min="2829" max="2831" width="8.7109375" style="8" customWidth="1"/>
    <col min="2832" max="2832" width="10.42578125" style="8" customWidth="1"/>
    <col min="2833" max="2836" width="8.7109375" style="8" customWidth="1"/>
    <col min="2837" max="3072" width="12.5703125" style="8"/>
    <col min="3073" max="3073" width="31.42578125" style="8" customWidth="1"/>
    <col min="3074" max="3074" width="7.42578125" style="8" customWidth="1"/>
    <col min="3075" max="3075" width="8" style="8" customWidth="1"/>
    <col min="3076" max="3076" width="7.42578125" style="8" customWidth="1"/>
    <col min="3077" max="3077" width="8.7109375" style="8" customWidth="1"/>
    <col min="3078" max="3080" width="8" style="8" customWidth="1"/>
    <col min="3081" max="3081" width="8.7109375" style="8" customWidth="1"/>
    <col min="3082" max="3082" width="8" style="8" customWidth="1"/>
    <col min="3083" max="3083" width="8.7109375" style="8" customWidth="1"/>
    <col min="3084" max="3084" width="9.140625" style="8" customWidth="1"/>
    <col min="3085" max="3087" width="8.7109375" style="8" customWidth="1"/>
    <col min="3088" max="3088" width="10.42578125" style="8" customWidth="1"/>
    <col min="3089" max="3092" width="8.7109375" style="8" customWidth="1"/>
    <col min="3093" max="3328" width="12.5703125" style="8"/>
    <col min="3329" max="3329" width="31.42578125" style="8" customWidth="1"/>
    <col min="3330" max="3330" width="7.42578125" style="8" customWidth="1"/>
    <col min="3331" max="3331" width="8" style="8" customWidth="1"/>
    <col min="3332" max="3332" width="7.42578125" style="8" customWidth="1"/>
    <col min="3333" max="3333" width="8.7109375" style="8" customWidth="1"/>
    <col min="3334" max="3336" width="8" style="8" customWidth="1"/>
    <col min="3337" max="3337" width="8.7109375" style="8" customWidth="1"/>
    <col min="3338" max="3338" width="8" style="8" customWidth="1"/>
    <col min="3339" max="3339" width="8.7109375" style="8" customWidth="1"/>
    <col min="3340" max="3340" width="9.140625" style="8" customWidth="1"/>
    <col min="3341" max="3343" width="8.7109375" style="8" customWidth="1"/>
    <col min="3344" max="3344" width="10.42578125" style="8" customWidth="1"/>
    <col min="3345" max="3348" width="8.7109375" style="8" customWidth="1"/>
    <col min="3349" max="3584" width="12.5703125" style="8"/>
    <col min="3585" max="3585" width="31.42578125" style="8" customWidth="1"/>
    <col min="3586" max="3586" width="7.42578125" style="8" customWidth="1"/>
    <col min="3587" max="3587" width="8" style="8" customWidth="1"/>
    <col min="3588" max="3588" width="7.42578125" style="8" customWidth="1"/>
    <col min="3589" max="3589" width="8.7109375" style="8" customWidth="1"/>
    <col min="3590" max="3592" width="8" style="8" customWidth="1"/>
    <col min="3593" max="3593" width="8.7109375" style="8" customWidth="1"/>
    <col min="3594" max="3594" width="8" style="8" customWidth="1"/>
    <col min="3595" max="3595" width="8.7109375" style="8" customWidth="1"/>
    <col min="3596" max="3596" width="9.140625" style="8" customWidth="1"/>
    <col min="3597" max="3599" width="8.7109375" style="8" customWidth="1"/>
    <col min="3600" max="3600" width="10.42578125" style="8" customWidth="1"/>
    <col min="3601" max="3604" width="8.7109375" style="8" customWidth="1"/>
    <col min="3605" max="3840" width="12.5703125" style="8"/>
    <col min="3841" max="3841" width="31.42578125" style="8" customWidth="1"/>
    <col min="3842" max="3842" width="7.42578125" style="8" customWidth="1"/>
    <col min="3843" max="3843" width="8" style="8" customWidth="1"/>
    <col min="3844" max="3844" width="7.42578125" style="8" customWidth="1"/>
    <col min="3845" max="3845" width="8.7109375" style="8" customWidth="1"/>
    <col min="3846" max="3848" width="8" style="8" customWidth="1"/>
    <col min="3849" max="3849" width="8.7109375" style="8" customWidth="1"/>
    <col min="3850" max="3850" width="8" style="8" customWidth="1"/>
    <col min="3851" max="3851" width="8.7109375" style="8" customWidth="1"/>
    <col min="3852" max="3852" width="9.140625" style="8" customWidth="1"/>
    <col min="3853" max="3855" width="8.7109375" style="8" customWidth="1"/>
    <col min="3856" max="3856" width="10.42578125" style="8" customWidth="1"/>
    <col min="3857" max="3860" width="8.7109375" style="8" customWidth="1"/>
    <col min="3861" max="4096" width="12.5703125" style="8"/>
    <col min="4097" max="4097" width="31.42578125" style="8" customWidth="1"/>
    <col min="4098" max="4098" width="7.42578125" style="8" customWidth="1"/>
    <col min="4099" max="4099" width="8" style="8" customWidth="1"/>
    <col min="4100" max="4100" width="7.42578125" style="8" customWidth="1"/>
    <col min="4101" max="4101" width="8.7109375" style="8" customWidth="1"/>
    <col min="4102" max="4104" width="8" style="8" customWidth="1"/>
    <col min="4105" max="4105" width="8.7109375" style="8" customWidth="1"/>
    <col min="4106" max="4106" width="8" style="8" customWidth="1"/>
    <col min="4107" max="4107" width="8.7109375" style="8" customWidth="1"/>
    <col min="4108" max="4108" width="9.140625" style="8" customWidth="1"/>
    <col min="4109" max="4111" width="8.7109375" style="8" customWidth="1"/>
    <col min="4112" max="4112" width="10.42578125" style="8" customWidth="1"/>
    <col min="4113" max="4116" width="8.7109375" style="8" customWidth="1"/>
    <col min="4117" max="4352" width="12.5703125" style="8"/>
    <col min="4353" max="4353" width="31.42578125" style="8" customWidth="1"/>
    <col min="4354" max="4354" width="7.42578125" style="8" customWidth="1"/>
    <col min="4355" max="4355" width="8" style="8" customWidth="1"/>
    <col min="4356" max="4356" width="7.42578125" style="8" customWidth="1"/>
    <col min="4357" max="4357" width="8.7109375" style="8" customWidth="1"/>
    <col min="4358" max="4360" width="8" style="8" customWidth="1"/>
    <col min="4361" max="4361" width="8.7109375" style="8" customWidth="1"/>
    <col min="4362" max="4362" width="8" style="8" customWidth="1"/>
    <col min="4363" max="4363" width="8.7109375" style="8" customWidth="1"/>
    <col min="4364" max="4364" width="9.140625" style="8" customWidth="1"/>
    <col min="4365" max="4367" width="8.7109375" style="8" customWidth="1"/>
    <col min="4368" max="4368" width="10.42578125" style="8" customWidth="1"/>
    <col min="4369" max="4372" width="8.7109375" style="8" customWidth="1"/>
    <col min="4373" max="4608" width="12.5703125" style="8"/>
    <col min="4609" max="4609" width="31.42578125" style="8" customWidth="1"/>
    <col min="4610" max="4610" width="7.42578125" style="8" customWidth="1"/>
    <col min="4611" max="4611" width="8" style="8" customWidth="1"/>
    <col min="4612" max="4612" width="7.42578125" style="8" customWidth="1"/>
    <col min="4613" max="4613" width="8.7109375" style="8" customWidth="1"/>
    <col min="4614" max="4616" width="8" style="8" customWidth="1"/>
    <col min="4617" max="4617" width="8.7109375" style="8" customWidth="1"/>
    <col min="4618" max="4618" width="8" style="8" customWidth="1"/>
    <col min="4619" max="4619" width="8.7109375" style="8" customWidth="1"/>
    <col min="4620" max="4620" width="9.140625" style="8" customWidth="1"/>
    <col min="4621" max="4623" width="8.7109375" style="8" customWidth="1"/>
    <col min="4624" max="4624" width="10.42578125" style="8" customWidth="1"/>
    <col min="4625" max="4628" width="8.7109375" style="8" customWidth="1"/>
    <col min="4629" max="4864" width="12.5703125" style="8"/>
    <col min="4865" max="4865" width="31.42578125" style="8" customWidth="1"/>
    <col min="4866" max="4866" width="7.42578125" style="8" customWidth="1"/>
    <col min="4867" max="4867" width="8" style="8" customWidth="1"/>
    <col min="4868" max="4868" width="7.42578125" style="8" customWidth="1"/>
    <col min="4869" max="4869" width="8.7109375" style="8" customWidth="1"/>
    <col min="4870" max="4872" width="8" style="8" customWidth="1"/>
    <col min="4873" max="4873" width="8.7109375" style="8" customWidth="1"/>
    <col min="4874" max="4874" width="8" style="8" customWidth="1"/>
    <col min="4875" max="4875" width="8.7109375" style="8" customWidth="1"/>
    <col min="4876" max="4876" width="9.140625" style="8" customWidth="1"/>
    <col min="4877" max="4879" width="8.7109375" style="8" customWidth="1"/>
    <col min="4880" max="4880" width="10.42578125" style="8" customWidth="1"/>
    <col min="4881" max="4884" width="8.7109375" style="8" customWidth="1"/>
    <col min="4885" max="5120" width="12.5703125" style="8"/>
    <col min="5121" max="5121" width="31.42578125" style="8" customWidth="1"/>
    <col min="5122" max="5122" width="7.42578125" style="8" customWidth="1"/>
    <col min="5123" max="5123" width="8" style="8" customWidth="1"/>
    <col min="5124" max="5124" width="7.42578125" style="8" customWidth="1"/>
    <col min="5125" max="5125" width="8.7109375" style="8" customWidth="1"/>
    <col min="5126" max="5128" width="8" style="8" customWidth="1"/>
    <col min="5129" max="5129" width="8.7109375" style="8" customWidth="1"/>
    <col min="5130" max="5130" width="8" style="8" customWidth="1"/>
    <col min="5131" max="5131" width="8.7109375" style="8" customWidth="1"/>
    <col min="5132" max="5132" width="9.140625" style="8" customWidth="1"/>
    <col min="5133" max="5135" width="8.7109375" style="8" customWidth="1"/>
    <col min="5136" max="5136" width="10.42578125" style="8" customWidth="1"/>
    <col min="5137" max="5140" width="8.7109375" style="8" customWidth="1"/>
    <col min="5141" max="5376" width="12.5703125" style="8"/>
    <col min="5377" max="5377" width="31.42578125" style="8" customWidth="1"/>
    <col min="5378" max="5378" width="7.42578125" style="8" customWidth="1"/>
    <col min="5379" max="5379" width="8" style="8" customWidth="1"/>
    <col min="5380" max="5380" width="7.42578125" style="8" customWidth="1"/>
    <col min="5381" max="5381" width="8.7109375" style="8" customWidth="1"/>
    <col min="5382" max="5384" width="8" style="8" customWidth="1"/>
    <col min="5385" max="5385" width="8.7109375" style="8" customWidth="1"/>
    <col min="5386" max="5386" width="8" style="8" customWidth="1"/>
    <col min="5387" max="5387" width="8.7109375" style="8" customWidth="1"/>
    <col min="5388" max="5388" width="9.140625" style="8" customWidth="1"/>
    <col min="5389" max="5391" width="8.7109375" style="8" customWidth="1"/>
    <col min="5392" max="5392" width="10.42578125" style="8" customWidth="1"/>
    <col min="5393" max="5396" width="8.7109375" style="8" customWidth="1"/>
    <col min="5397" max="5632" width="12.5703125" style="8"/>
    <col min="5633" max="5633" width="31.42578125" style="8" customWidth="1"/>
    <col min="5634" max="5634" width="7.42578125" style="8" customWidth="1"/>
    <col min="5635" max="5635" width="8" style="8" customWidth="1"/>
    <col min="5636" max="5636" width="7.42578125" style="8" customWidth="1"/>
    <col min="5637" max="5637" width="8.7109375" style="8" customWidth="1"/>
    <col min="5638" max="5640" width="8" style="8" customWidth="1"/>
    <col min="5641" max="5641" width="8.7109375" style="8" customWidth="1"/>
    <col min="5642" max="5642" width="8" style="8" customWidth="1"/>
    <col min="5643" max="5643" width="8.7109375" style="8" customWidth="1"/>
    <col min="5644" max="5644" width="9.140625" style="8" customWidth="1"/>
    <col min="5645" max="5647" width="8.7109375" style="8" customWidth="1"/>
    <col min="5648" max="5648" width="10.42578125" style="8" customWidth="1"/>
    <col min="5649" max="5652" width="8.7109375" style="8" customWidth="1"/>
    <col min="5653" max="5888" width="12.5703125" style="8"/>
    <col min="5889" max="5889" width="31.42578125" style="8" customWidth="1"/>
    <col min="5890" max="5890" width="7.42578125" style="8" customWidth="1"/>
    <col min="5891" max="5891" width="8" style="8" customWidth="1"/>
    <col min="5892" max="5892" width="7.42578125" style="8" customWidth="1"/>
    <col min="5893" max="5893" width="8.7109375" style="8" customWidth="1"/>
    <col min="5894" max="5896" width="8" style="8" customWidth="1"/>
    <col min="5897" max="5897" width="8.7109375" style="8" customWidth="1"/>
    <col min="5898" max="5898" width="8" style="8" customWidth="1"/>
    <col min="5899" max="5899" width="8.7109375" style="8" customWidth="1"/>
    <col min="5900" max="5900" width="9.140625" style="8" customWidth="1"/>
    <col min="5901" max="5903" width="8.7109375" style="8" customWidth="1"/>
    <col min="5904" max="5904" width="10.42578125" style="8" customWidth="1"/>
    <col min="5905" max="5908" width="8.7109375" style="8" customWidth="1"/>
    <col min="5909" max="6144" width="12.5703125" style="8"/>
    <col min="6145" max="6145" width="31.42578125" style="8" customWidth="1"/>
    <col min="6146" max="6146" width="7.42578125" style="8" customWidth="1"/>
    <col min="6147" max="6147" width="8" style="8" customWidth="1"/>
    <col min="6148" max="6148" width="7.42578125" style="8" customWidth="1"/>
    <col min="6149" max="6149" width="8.7109375" style="8" customWidth="1"/>
    <col min="6150" max="6152" width="8" style="8" customWidth="1"/>
    <col min="6153" max="6153" width="8.7109375" style="8" customWidth="1"/>
    <col min="6154" max="6154" width="8" style="8" customWidth="1"/>
    <col min="6155" max="6155" width="8.7109375" style="8" customWidth="1"/>
    <col min="6156" max="6156" width="9.140625" style="8" customWidth="1"/>
    <col min="6157" max="6159" width="8.7109375" style="8" customWidth="1"/>
    <col min="6160" max="6160" width="10.42578125" style="8" customWidth="1"/>
    <col min="6161" max="6164" width="8.7109375" style="8" customWidth="1"/>
    <col min="6165" max="6400" width="12.5703125" style="8"/>
    <col min="6401" max="6401" width="31.42578125" style="8" customWidth="1"/>
    <col min="6402" max="6402" width="7.42578125" style="8" customWidth="1"/>
    <col min="6403" max="6403" width="8" style="8" customWidth="1"/>
    <col min="6404" max="6404" width="7.42578125" style="8" customWidth="1"/>
    <col min="6405" max="6405" width="8.7109375" style="8" customWidth="1"/>
    <col min="6406" max="6408" width="8" style="8" customWidth="1"/>
    <col min="6409" max="6409" width="8.7109375" style="8" customWidth="1"/>
    <col min="6410" max="6410" width="8" style="8" customWidth="1"/>
    <col min="6411" max="6411" width="8.7109375" style="8" customWidth="1"/>
    <col min="6412" max="6412" width="9.140625" style="8" customWidth="1"/>
    <col min="6413" max="6415" width="8.7109375" style="8" customWidth="1"/>
    <col min="6416" max="6416" width="10.42578125" style="8" customWidth="1"/>
    <col min="6417" max="6420" width="8.7109375" style="8" customWidth="1"/>
    <col min="6421" max="6656" width="12.5703125" style="8"/>
    <col min="6657" max="6657" width="31.42578125" style="8" customWidth="1"/>
    <col min="6658" max="6658" width="7.42578125" style="8" customWidth="1"/>
    <col min="6659" max="6659" width="8" style="8" customWidth="1"/>
    <col min="6660" max="6660" width="7.42578125" style="8" customWidth="1"/>
    <col min="6661" max="6661" width="8.7109375" style="8" customWidth="1"/>
    <col min="6662" max="6664" width="8" style="8" customWidth="1"/>
    <col min="6665" max="6665" width="8.7109375" style="8" customWidth="1"/>
    <col min="6666" max="6666" width="8" style="8" customWidth="1"/>
    <col min="6667" max="6667" width="8.7109375" style="8" customWidth="1"/>
    <col min="6668" max="6668" width="9.140625" style="8" customWidth="1"/>
    <col min="6669" max="6671" width="8.7109375" style="8" customWidth="1"/>
    <col min="6672" max="6672" width="10.42578125" style="8" customWidth="1"/>
    <col min="6673" max="6676" width="8.7109375" style="8" customWidth="1"/>
    <col min="6677" max="6912" width="12.5703125" style="8"/>
    <col min="6913" max="6913" width="31.42578125" style="8" customWidth="1"/>
    <col min="6914" max="6914" width="7.42578125" style="8" customWidth="1"/>
    <col min="6915" max="6915" width="8" style="8" customWidth="1"/>
    <col min="6916" max="6916" width="7.42578125" style="8" customWidth="1"/>
    <col min="6917" max="6917" width="8.7109375" style="8" customWidth="1"/>
    <col min="6918" max="6920" width="8" style="8" customWidth="1"/>
    <col min="6921" max="6921" width="8.7109375" style="8" customWidth="1"/>
    <col min="6922" max="6922" width="8" style="8" customWidth="1"/>
    <col min="6923" max="6923" width="8.7109375" style="8" customWidth="1"/>
    <col min="6924" max="6924" width="9.140625" style="8" customWidth="1"/>
    <col min="6925" max="6927" width="8.7109375" style="8" customWidth="1"/>
    <col min="6928" max="6928" width="10.42578125" style="8" customWidth="1"/>
    <col min="6929" max="6932" width="8.7109375" style="8" customWidth="1"/>
    <col min="6933" max="7168" width="12.5703125" style="8"/>
    <col min="7169" max="7169" width="31.42578125" style="8" customWidth="1"/>
    <col min="7170" max="7170" width="7.42578125" style="8" customWidth="1"/>
    <col min="7171" max="7171" width="8" style="8" customWidth="1"/>
    <col min="7172" max="7172" width="7.42578125" style="8" customWidth="1"/>
    <col min="7173" max="7173" width="8.7109375" style="8" customWidth="1"/>
    <col min="7174" max="7176" width="8" style="8" customWidth="1"/>
    <col min="7177" max="7177" width="8.7109375" style="8" customWidth="1"/>
    <col min="7178" max="7178" width="8" style="8" customWidth="1"/>
    <col min="7179" max="7179" width="8.7109375" style="8" customWidth="1"/>
    <col min="7180" max="7180" width="9.140625" style="8" customWidth="1"/>
    <col min="7181" max="7183" width="8.7109375" style="8" customWidth="1"/>
    <col min="7184" max="7184" width="10.42578125" style="8" customWidth="1"/>
    <col min="7185" max="7188" width="8.7109375" style="8" customWidth="1"/>
    <col min="7189" max="7424" width="12.5703125" style="8"/>
    <col min="7425" max="7425" width="31.42578125" style="8" customWidth="1"/>
    <col min="7426" max="7426" width="7.42578125" style="8" customWidth="1"/>
    <col min="7427" max="7427" width="8" style="8" customWidth="1"/>
    <col min="7428" max="7428" width="7.42578125" style="8" customWidth="1"/>
    <col min="7429" max="7429" width="8.7109375" style="8" customWidth="1"/>
    <col min="7430" max="7432" width="8" style="8" customWidth="1"/>
    <col min="7433" max="7433" width="8.7109375" style="8" customWidth="1"/>
    <col min="7434" max="7434" width="8" style="8" customWidth="1"/>
    <col min="7435" max="7435" width="8.7109375" style="8" customWidth="1"/>
    <col min="7436" max="7436" width="9.140625" style="8" customWidth="1"/>
    <col min="7437" max="7439" width="8.7109375" style="8" customWidth="1"/>
    <col min="7440" max="7440" width="10.42578125" style="8" customWidth="1"/>
    <col min="7441" max="7444" width="8.7109375" style="8" customWidth="1"/>
    <col min="7445" max="7680" width="12.5703125" style="8"/>
    <col min="7681" max="7681" width="31.42578125" style="8" customWidth="1"/>
    <col min="7682" max="7682" width="7.42578125" style="8" customWidth="1"/>
    <col min="7683" max="7683" width="8" style="8" customWidth="1"/>
    <col min="7684" max="7684" width="7.42578125" style="8" customWidth="1"/>
    <col min="7685" max="7685" width="8.7109375" style="8" customWidth="1"/>
    <col min="7686" max="7688" width="8" style="8" customWidth="1"/>
    <col min="7689" max="7689" width="8.7109375" style="8" customWidth="1"/>
    <col min="7690" max="7690" width="8" style="8" customWidth="1"/>
    <col min="7691" max="7691" width="8.7109375" style="8" customWidth="1"/>
    <col min="7692" max="7692" width="9.140625" style="8" customWidth="1"/>
    <col min="7693" max="7695" width="8.7109375" style="8" customWidth="1"/>
    <col min="7696" max="7696" width="10.42578125" style="8" customWidth="1"/>
    <col min="7697" max="7700" width="8.7109375" style="8" customWidth="1"/>
    <col min="7701" max="7936" width="12.5703125" style="8"/>
    <col min="7937" max="7937" width="31.42578125" style="8" customWidth="1"/>
    <col min="7938" max="7938" width="7.42578125" style="8" customWidth="1"/>
    <col min="7939" max="7939" width="8" style="8" customWidth="1"/>
    <col min="7940" max="7940" width="7.42578125" style="8" customWidth="1"/>
    <col min="7941" max="7941" width="8.7109375" style="8" customWidth="1"/>
    <col min="7942" max="7944" width="8" style="8" customWidth="1"/>
    <col min="7945" max="7945" width="8.7109375" style="8" customWidth="1"/>
    <col min="7946" max="7946" width="8" style="8" customWidth="1"/>
    <col min="7947" max="7947" width="8.7109375" style="8" customWidth="1"/>
    <col min="7948" max="7948" width="9.140625" style="8" customWidth="1"/>
    <col min="7949" max="7951" width="8.7109375" style="8" customWidth="1"/>
    <col min="7952" max="7952" width="10.42578125" style="8" customWidth="1"/>
    <col min="7953" max="7956" width="8.7109375" style="8" customWidth="1"/>
    <col min="7957" max="8192" width="12.5703125" style="8"/>
    <col min="8193" max="8193" width="31.42578125" style="8" customWidth="1"/>
    <col min="8194" max="8194" width="7.42578125" style="8" customWidth="1"/>
    <col min="8195" max="8195" width="8" style="8" customWidth="1"/>
    <col min="8196" max="8196" width="7.42578125" style="8" customWidth="1"/>
    <col min="8197" max="8197" width="8.7109375" style="8" customWidth="1"/>
    <col min="8198" max="8200" width="8" style="8" customWidth="1"/>
    <col min="8201" max="8201" width="8.7109375" style="8" customWidth="1"/>
    <col min="8202" max="8202" width="8" style="8" customWidth="1"/>
    <col min="8203" max="8203" width="8.7109375" style="8" customWidth="1"/>
    <col min="8204" max="8204" width="9.140625" style="8" customWidth="1"/>
    <col min="8205" max="8207" width="8.7109375" style="8" customWidth="1"/>
    <col min="8208" max="8208" width="10.42578125" style="8" customWidth="1"/>
    <col min="8209" max="8212" width="8.7109375" style="8" customWidth="1"/>
    <col min="8213" max="8448" width="12.5703125" style="8"/>
    <col min="8449" max="8449" width="31.42578125" style="8" customWidth="1"/>
    <col min="8450" max="8450" width="7.42578125" style="8" customWidth="1"/>
    <col min="8451" max="8451" width="8" style="8" customWidth="1"/>
    <col min="8452" max="8452" width="7.42578125" style="8" customWidth="1"/>
    <col min="8453" max="8453" width="8.7109375" style="8" customWidth="1"/>
    <col min="8454" max="8456" width="8" style="8" customWidth="1"/>
    <col min="8457" max="8457" width="8.7109375" style="8" customWidth="1"/>
    <col min="8458" max="8458" width="8" style="8" customWidth="1"/>
    <col min="8459" max="8459" width="8.7109375" style="8" customWidth="1"/>
    <col min="8460" max="8460" width="9.140625" style="8" customWidth="1"/>
    <col min="8461" max="8463" width="8.7109375" style="8" customWidth="1"/>
    <col min="8464" max="8464" width="10.42578125" style="8" customWidth="1"/>
    <col min="8465" max="8468" width="8.7109375" style="8" customWidth="1"/>
    <col min="8469" max="8704" width="12.5703125" style="8"/>
    <col min="8705" max="8705" width="31.42578125" style="8" customWidth="1"/>
    <col min="8706" max="8706" width="7.42578125" style="8" customWidth="1"/>
    <col min="8707" max="8707" width="8" style="8" customWidth="1"/>
    <col min="8708" max="8708" width="7.42578125" style="8" customWidth="1"/>
    <col min="8709" max="8709" width="8.7109375" style="8" customWidth="1"/>
    <col min="8710" max="8712" width="8" style="8" customWidth="1"/>
    <col min="8713" max="8713" width="8.7109375" style="8" customWidth="1"/>
    <col min="8714" max="8714" width="8" style="8" customWidth="1"/>
    <col min="8715" max="8715" width="8.7109375" style="8" customWidth="1"/>
    <col min="8716" max="8716" width="9.140625" style="8" customWidth="1"/>
    <col min="8717" max="8719" width="8.7109375" style="8" customWidth="1"/>
    <col min="8720" max="8720" width="10.42578125" style="8" customWidth="1"/>
    <col min="8721" max="8724" width="8.7109375" style="8" customWidth="1"/>
    <col min="8725" max="8960" width="12.5703125" style="8"/>
    <col min="8961" max="8961" width="31.42578125" style="8" customWidth="1"/>
    <col min="8962" max="8962" width="7.42578125" style="8" customWidth="1"/>
    <col min="8963" max="8963" width="8" style="8" customWidth="1"/>
    <col min="8964" max="8964" width="7.42578125" style="8" customWidth="1"/>
    <col min="8965" max="8965" width="8.7109375" style="8" customWidth="1"/>
    <col min="8966" max="8968" width="8" style="8" customWidth="1"/>
    <col min="8969" max="8969" width="8.7109375" style="8" customWidth="1"/>
    <col min="8970" max="8970" width="8" style="8" customWidth="1"/>
    <col min="8971" max="8971" width="8.7109375" style="8" customWidth="1"/>
    <col min="8972" max="8972" width="9.140625" style="8" customWidth="1"/>
    <col min="8973" max="8975" width="8.7109375" style="8" customWidth="1"/>
    <col min="8976" max="8976" width="10.42578125" style="8" customWidth="1"/>
    <col min="8977" max="8980" width="8.7109375" style="8" customWidth="1"/>
    <col min="8981" max="9216" width="12.5703125" style="8"/>
    <col min="9217" max="9217" width="31.42578125" style="8" customWidth="1"/>
    <col min="9218" max="9218" width="7.42578125" style="8" customWidth="1"/>
    <col min="9219" max="9219" width="8" style="8" customWidth="1"/>
    <col min="9220" max="9220" width="7.42578125" style="8" customWidth="1"/>
    <col min="9221" max="9221" width="8.7109375" style="8" customWidth="1"/>
    <col min="9222" max="9224" width="8" style="8" customWidth="1"/>
    <col min="9225" max="9225" width="8.7109375" style="8" customWidth="1"/>
    <col min="9226" max="9226" width="8" style="8" customWidth="1"/>
    <col min="9227" max="9227" width="8.7109375" style="8" customWidth="1"/>
    <col min="9228" max="9228" width="9.140625" style="8" customWidth="1"/>
    <col min="9229" max="9231" width="8.7109375" style="8" customWidth="1"/>
    <col min="9232" max="9232" width="10.42578125" style="8" customWidth="1"/>
    <col min="9233" max="9236" width="8.7109375" style="8" customWidth="1"/>
    <col min="9237" max="9472" width="12.5703125" style="8"/>
    <col min="9473" max="9473" width="31.42578125" style="8" customWidth="1"/>
    <col min="9474" max="9474" width="7.42578125" style="8" customWidth="1"/>
    <col min="9475" max="9475" width="8" style="8" customWidth="1"/>
    <col min="9476" max="9476" width="7.42578125" style="8" customWidth="1"/>
    <col min="9477" max="9477" width="8.7109375" style="8" customWidth="1"/>
    <col min="9478" max="9480" width="8" style="8" customWidth="1"/>
    <col min="9481" max="9481" width="8.7109375" style="8" customWidth="1"/>
    <col min="9482" max="9482" width="8" style="8" customWidth="1"/>
    <col min="9483" max="9483" width="8.7109375" style="8" customWidth="1"/>
    <col min="9484" max="9484" width="9.140625" style="8" customWidth="1"/>
    <col min="9485" max="9487" width="8.7109375" style="8" customWidth="1"/>
    <col min="9488" max="9488" width="10.42578125" style="8" customWidth="1"/>
    <col min="9489" max="9492" width="8.7109375" style="8" customWidth="1"/>
    <col min="9493" max="9728" width="12.5703125" style="8"/>
    <col min="9729" max="9729" width="31.42578125" style="8" customWidth="1"/>
    <col min="9730" max="9730" width="7.42578125" style="8" customWidth="1"/>
    <col min="9731" max="9731" width="8" style="8" customWidth="1"/>
    <col min="9732" max="9732" width="7.42578125" style="8" customWidth="1"/>
    <col min="9733" max="9733" width="8.7109375" style="8" customWidth="1"/>
    <col min="9734" max="9736" width="8" style="8" customWidth="1"/>
    <col min="9737" max="9737" width="8.7109375" style="8" customWidth="1"/>
    <col min="9738" max="9738" width="8" style="8" customWidth="1"/>
    <col min="9739" max="9739" width="8.7109375" style="8" customWidth="1"/>
    <col min="9740" max="9740" width="9.140625" style="8" customWidth="1"/>
    <col min="9741" max="9743" width="8.7109375" style="8" customWidth="1"/>
    <col min="9744" max="9744" width="10.42578125" style="8" customWidth="1"/>
    <col min="9745" max="9748" width="8.7109375" style="8" customWidth="1"/>
    <col min="9749" max="9984" width="12.5703125" style="8"/>
    <col min="9985" max="9985" width="31.42578125" style="8" customWidth="1"/>
    <col min="9986" max="9986" width="7.42578125" style="8" customWidth="1"/>
    <col min="9987" max="9987" width="8" style="8" customWidth="1"/>
    <col min="9988" max="9988" width="7.42578125" style="8" customWidth="1"/>
    <col min="9989" max="9989" width="8.7109375" style="8" customWidth="1"/>
    <col min="9990" max="9992" width="8" style="8" customWidth="1"/>
    <col min="9993" max="9993" width="8.7109375" style="8" customWidth="1"/>
    <col min="9994" max="9994" width="8" style="8" customWidth="1"/>
    <col min="9995" max="9995" width="8.7109375" style="8" customWidth="1"/>
    <col min="9996" max="9996" width="9.140625" style="8" customWidth="1"/>
    <col min="9997" max="9999" width="8.7109375" style="8" customWidth="1"/>
    <col min="10000" max="10000" width="10.42578125" style="8" customWidth="1"/>
    <col min="10001" max="10004" width="8.7109375" style="8" customWidth="1"/>
    <col min="10005" max="10240" width="12.5703125" style="8"/>
    <col min="10241" max="10241" width="31.42578125" style="8" customWidth="1"/>
    <col min="10242" max="10242" width="7.42578125" style="8" customWidth="1"/>
    <col min="10243" max="10243" width="8" style="8" customWidth="1"/>
    <col min="10244" max="10244" width="7.42578125" style="8" customWidth="1"/>
    <col min="10245" max="10245" width="8.7109375" style="8" customWidth="1"/>
    <col min="10246" max="10248" width="8" style="8" customWidth="1"/>
    <col min="10249" max="10249" width="8.7109375" style="8" customWidth="1"/>
    <col min="10250" max="10250" width="8" style="8" customWidth="1"/>
    <col min="10251" max="10251" width="8.7109375" style="8" customWidth="1"/>
    <col min="10252" max="10252" width="9.140625" style="8" customWidth="1"/>
    <col min="10253" max="10255" width="8.7109375" style="8" customWidth="1"/>
    <col min="10256" max="10256" width="10.42578125" style="8" customWidth="1"/>
    <col min="10257" max="10260" width="8.7109375" style="8" customWidth="1"/>
    <col min="10261" max="10496" width="12.5703125" style="8"/>
    <col min="10497" max="10497" width="31.42578125" style="8" customWidth="1"/>
    <col min="10498" max="10498" width="7.42578125" style="8" customWidth="1"/>
    <col min="10499" max="10499" width="8" style="8" customWidth="1"/>
    <col min="10500" max="10500" width="7.42578125" style="8" customWidth="1"/>
    <col min="10501" max="10501" width="8.7109375" style="8" customWidth="1"/>
    <col min="10502" max="10504" width="8" style="8" customWidth="1"/>
    <col min="10505" max="10505" width="8.7109375" style="8" customWidth="1"/>
    <col min="10506" max="10506" width="8" style="8" customWidth="1"/>
    <col min="10507" max="10507" width="8.7109375" style="8" customWidth="1"/>
    <col min="10508" max="10508" width="9.140625" style="8" customWidth="1"/>
    <col min="10509" max="10511" width="8.7109375" style="8" customWidth="1"/>
    <col min="10512" max="10512" width="10.42578125" style="8" customWidth="1"/>
    <col min="10513" max="10516" width="8.7109375" style="8" customWidth="1"/>
    <col min="10517" max="10752" width="12.5703125" style="8"/>
    <col min="10753" max="10753" width="31.42578125" style="8" customWidth="1"/>
    <col min="10754" max="10754" width="7.42578125" style="8" customWidth="1"/>
    <col min="10755" max="10755" width="8" style="8" customWidth="1"/>
    <col min="10756" max="10756" width="7.42578125" style="8" customWidth="1"/>
    <col min="10757" max="10757" width="8.7109375" style="8" customWidth="1"/>
    <col min="10758" max="10760" width="8" style="8" customWidth="1"/>
    <col min="10761" max="10761" width="8.7109375" style="8" customWidth="1"/>
    <col min="10762" max="10762" width="8" style="8" customWidth="1"/>
    <col min="10763" max="10763" width="8.7109375" style="8" customWidth="1"/>
    <col min="10764" max="10764" width="9.140625" style="8" customWidth="1"/>
    <col min="10765" max="10767" width="8.7109375" style="8" customWidth="1"/>
    <col min="10768" max="10768" width="10.42578125" style="8" customWidth="1"/>
    <col min="10769" max="10772" width="8.7109375" style="8" customWidth="1"/>
    <col min="10773" max="11008" width="12.5703125" style="8"/>
    <col min="11009" max="11009" width="31.42578125" style="8" customWidth="1"/>
    <col min="11010" max="11010" width="7.42578125" style="8" customWidth="1"/>
    <col min="11011" max="11011" width="8" style="8" customWidth="1"/>
    <col min="11012" max="11012" width="7.42578125" style="8" customWidth="1"/>
    <col min="11013" max="11013" width="8.7109375" style="8" customWidth="1"/>
    <col min="11014" max="11016" width="8" style="8" customWidth="1"/>
    <col min="11017" max="11017" width="8.7109375" style="8" customWidth="1"/>
    <col min="11018" max="11018" width="8" style="8" customWidth="1"/>
    <col min="11019" max="11019" width="8.7109375" style="8" customWidth="1"/>
    <col min="11020" max="11020" width="9.140625" style="8" customWidth="1"/>
    <col min="11021" max="11023" width="8.7109375" style="8" customWidth="1"/>
    <col min="11024" max="11024" width="10.42578125" style="8" customWidth="1"/>
    <col min="11025" max="11028" width="8.7109375" style="8" customWidth="1"/>
    <col min="11029" max="11264" width="12.5703125" style="8"/>
    <col min="11265" max="11265" width="31.42578125" style="8" customWidth="1"/>
    <col min="11266" max="11266" width="7.42578125" style="8" customWidth="1"/>
    <col min="11267" max="11267" width="8" style="8" customWidth="1"/>
    <col min="11268" max="11268" width="7.42578125" style="8" customWidth="1"/>
    <col min="11269" max="11269" width="8.7109375" style="8" customWidth="1"/>
    <col min="11270" max="11272" width="8" style="8" customWidth="1"/>
    <col min="11273" max="11273" width="8.7109375" style="8" customWidth="1"/>
    <col min="11274" max="11274" width="8" style="8" customWidth="1"/>
    <col min="11275" max="11275" width="8.7109375" style="8" customWidth="1"/>
    <col min="11276" max="11276" width="9.140625" style="8" customWidth="1"/>
    <col min="11277" max="11279" width="8.7109375" style="8" customWidth="1"/>
    <col min="11280" max="11280" width="10.42578125" style="8" customWidth="1"/>
    <col min="11281" max="11284" width="8.7109375" style="8" customWidth="1"/>
    <col min="11285" max="11520" width="12.5703125" style="8"/>
    <col min="11521" max="11521" width="31.42578125" style="8" customWidth="1"/>
    <col min="11522" max="11522" width="7.42578125" style="8" customWidth="1"/>
    <col min="11523" max="11523" width="8" style="8" customWidth="1"/>
    <col min="11524" max="11524" width="7.42578125" style="8" customWidth="1"/>
    <col min="11525" max="11525" width="8.7109375" style="8" customWidth="1"/>
    <col min="11526" max="11528" width="8" style="8" customWidth="1"/>
    <col min="11529" max="11529" width="8.7109375" style="8" customWidth="1"/>
    <col min="11530" max="11530" width="8" style="8" customWidth="1"/>
    <col min="11531" max="11531" width="8.7109375" style="8" customWidth="1"/>
    <col min="11532" max="11532" width="9.140625" style="8" customWidth="1"/>
    <col min="11533" max="11535" width="8.7109375" style="8" customWidth="1"/>
    <col min="11536" max="11536" width="10.42578125" style="8" customWidth="1"/>
    <col min="11537" max="11540" width="8.7109375" style="8" customWidth="1"/>
    <col min="11541" max="11776" width="12.5703125" style="8"/>
    <col min="11777" max="11777" width="31.42578125" style="8" customWidth="1"/>
    <col min="11778" max="11778" width="7.42578125" style="8" customWidth="1"/>
    <col min="11779" max="11779" width="8" style="8" customWidth="1"/>
    <col min="11780" max="11780" width="7.42578125" style="8" customWidth="1"/>
    <col min="11781" max="11781" width="8.7109375" style="8" customWidth="1"/>
    <col min="11782" max="11784" width="8" style="8" customWidth="1"/>
    <col min="11785" max="11785" width="8.7109375" style="8" customWidth="1"/>
    <col min="11786" max="11786" width="8" style="8" customWidth="1"/>
    <col min="11787" max="11787" width="8.7109375" style="8" customWidth="1"/>
    <col min="11788" max="11788" width="9.140625" style="8" customWidth="1"/>
    <col min="11789" max="11791" width="8.7109375" style="8" customWidth="1"/>
    <col min="11792" max="11792" width="10.42578125" style="8" customWidth="1"/>
    <col min="11793" max="11796" width="8.7109375" style="8" customWidth="1"/>
    <col min="11797" max="12032" width="12.5703125" style="8"/>
    <col min="12033" max="12033" width="31.42578125" style="8" customWidth="1"/>
    <col min="12034" max="12034" width="7.42578125" style="8" customWidth="1"/>
    <col min="12035" max="12035" width="8" style="8" customWidth="1"/>
    <col min="12036" max="12036" width="7.42578125" style="8" customWidth="1"/>
    <col min="12037" max="12037" width="8.7109375" style="8" customWidth="1"/>
    <col min="12038" max="12040" width="8" style="8" customWidth="1"/>
    <col min="12041" max="12041" width="8.7109375" style="8" customWidth="1"/>
    <col min="12042" max="12042" width="8" style="8" customWidth="1"/>
    <col min="12043" max="12043" width="8.7109375" style="8" customWidth="1"/>
    <col min="12044" max="12044" width="9.140625" style="8" customWidth="1"/>
    <col min="12045" max="12047" width="8.7109375" style="8" customWidth="1"/>
    <col min="12048" max="12048" width="10.42578125" style="8" customWidth="1"/>
    <col min="12049" max="12052" width="8.7109375" style="8" customWidth="1"/>
    <col min="12053" max="12288" width="12.5703125" style="8"/>
    <col min="12289" max="12289" width="31.42578125" style="8" customWidth="1"/>
    <col min="12290" max="12290" width="7.42578125" style="8" customWidth="1"/>
    <col min="12291" max="12291" width="8" style="8" customWidth="1"/>
    <col min="12292" max="12292" width="7.42578125" style="8" customWidth="1"/>
    <col min="12293" max="12293" width="8.7109375" style="8" customWidth="1"/>
    <col min="12294" max="12296" width="8" style="8" customWidth="1"/>
    <col min="12297" max="12297" width="8.7109375" style="8" customWidth="1"/>
    <col min="12298" max="12298" width="8" style="8" customWidth="1"/>
    <col min="12299" max="12299" width="8.7109375" style="8" customWidth="1"/>
    <col min="12300" max="12300" width="9.140625" style="8" customWidth="1"/>
    <col min="12301" max="12303" width="8.7109375" style="8" customWidth="1"/>
    <col min="12304" max="12304" width="10.42578125" style="8" customWidth="1"/>
    <col min="12305" max="12308" width="8.7109375" style="8" customWidth="1"/>
    <col min="12309" max="12544" width="12.5703125" style="8"/>
    <col min="12545" max="12545" width="31.42578125" style="8" customWidth="1"/>
    <col min="12546" max="12546" width="7.42578125" style="8" customWidth="1"/>
    <col min="12547" max="12547" width="8" style="8" customWidth="1"/>
    <col min="12548" max="12548" width="7.42578125" style="8" customWidth="1"/>
    <col min="12549" max="12549" width="8.7109375" style="8" customWidth="1"/>
    <col min="12550" max="12552" width="8" style="8" customWidth="1"/>
    <col min="12553" max="12553" width="8.7109375" style="8" customWidth="1"/>
    <col min="12554" max="12554" width="8" style="8" customWidth="1"/>
    <col min="12555" max="12555" width="8.7109375" style="8" customWidth="1"/>
    <col min="12556" max="12556" width="9.140625" style="8" customWidth="1"/>
    <col min="12557" max="12559" width="8.7109375" style="8" customWidth="1"/>
    <col min="12560" max="12560" width="10.42578125" style="8" customWidth="1"/>
    <col min="12561" max="12564" width="8.7109375" style="8" customWidth="1"/>
    <col min="12565" max="12800" width="12.5703125" style="8"/>
    <col min="12801" max="12801" width="31.42578125" style="8" customWidth="1"/>
    <col min="12802" max="12802" width="7.42578125" style="8" customWidth="1"/>
    <col min="12803" max="12803" width="8" style="8" customWidth="1"/>
    <col min="12804" max="12804" width="7.42578125" style="8" customWidth="1"/>
    <col min="12805" max="12805" width="8.7109375" style="8" customWidth="1"/>
    <col min="12806" max="12808" width="8" style="8" customWidth="1"/>
    <col min="12809" max="12809" width="8.7109375" style="8" customWidth="1"/>
    <col min="12810" max="12810" width="8" style="8" customWidth="1"/>
    <col min="12811" max="12811" width="8.7109375" style="8" customWidth="1"/>
    <col min="12812" max="12812" width="9.140625" style="8" customWidth="1"/>
    <col min="12813" max="12815" width="8.7109375" style="8" customWidth="1"/>
    <col min="12816" max="12816" width="10.42578125" style="8" customWidth="1"/>
    <col min="12817" max="12820" width="8.7109375" style="8" customWidth="1"/>
    <col min="12821" max="13056" width="12.5703125" style="8"/>
    <col min="13057" max="13057" width="31.42578125" style="8" customWidth="1"/>
    <col min="13058" max="13058" width="7.42578125" style="8" customWidth="1"/>
    <col min="13059" max="13059" width="8" style="8" customWidth="1"/>
    <col min="13060" max="13060" width="7.42578125" style="8" customWidth="1"/>
    <col min="13061" max="13061" width="8.7109375" style="8" customWidth="1"/>
    <col min="13062" max="13064" width="8" style="8" customWidth="1"/>
    <col min="13065" max="13065" width="8.7109375" style="8" customWidth="1"/>
    <col min="13066" max="13066" width="8" style="8" customWidth="1"/>
    <col min="13067" max="13067" width="8.7109375" style="8" customWidth="1"/>
    <col min="13068" max="13068" width="9.140625" style="8" customWidth="1"/>
    <col min="13069" max="13071" width="8.7109375" style="8" customWidth="1"/>
    <col min="13072" max="13072" width="10.42578125" style="8" customWidth="1"/>
    <col min="13073" max="13076" width="8.7109375" style="8" customWidth="1"/>
    <col min="13077" max="13312" width="12.5703125" style="8"/>
    <col min="13313" max="13313" width="31.42578125" style="8" customWidth="1"/>
    <col min="13314" max="13314" width="7.42578125" style="8" customWidth="1"/>
    <col min="13315" max="13315" width="8" style="8" customWidth="1"/>
    <col min="13316" max="13316" width="7.42578125" style="8" customWidth="1"/>
    <col min="13317" max="13317" width="8.7109375" style="8" customWidth="1"/>
    <col min="13318" max="13320" width="8" style="8" customWidth="1"/>
    <col min="13321" max="13321" width="8.7109375" style="8" customWidth="1"/>
    <col min="13322" max="13322" width="8" style="8" customWidth="1"/>
    <col min="13323" max="13323" width="8.7109375" style="8" customWidth="1"/>
    <col min="13324" max="13324" width="9.140625" style="8" customWidth="1"/>
    <col min="13325" max="13327" width="8.7109375" style="8" customWidth="1"/>
    <col min="13328" max="13328" width="10.42578125" style="8" customWidth="1"/>
    <col min="13329" max="13332" width="8.7109375" style="8" customWidth="1"/>
    <col min="13333" max="13568" width="12.5703125" style="8"/>
    <col min="13569" max="13569" width="31.42578125" style="8" customWidth="1"/>
    <col min="13570" max="13570" width="7.42578125" style="8" customWidth="1"/>
    <col min="13571" max="13571" width="8" style="8" customWidth="1"/>
    <col min="13572" max="13572" width="7.42578125" style="8" customWidth="1"/>
    <col min="13573" max="13573" width="8.7109375" style="8" customWidth="1"/>
    <col min="13574" max="13576" width="8" style="8" customWidth="1"/>
    <col min="13577" max="13577" width="8.7109375" style="8" customWidth="1"/>
    <col min="13578" max="13578" width="8" style="8" customWidth="1"/>
    <col min="13579" max="13579" width="8.7109375" style="8" customWidth="1"/>
    <col min="13580" max="13580" width="9.140625" style="8" customWidth="1"/>
    <col min="13581" max="13583" width="8.7109375" style="8" customWidth="1"/>
    <col min="13584" max="13584" width="10.42578125" style="8" customWidth="1"/>
    <col min="13585" max="13588" width="8.7109375" style="8" customWidth="1"/>
    <col min="13589" max="13824" width="12.5703125" style="8"/>
    <col min="13825" max="13825" width="31.42578125" style="8" customWidth="1"/>
    <col min="13826" max="13826" width="7.42578125" style="8" customWidth="1"/>
    <col min="13827" max="13827" width="8" style="8" customWidth="1"/>
    <col min="13828" max="13828" width="7.42578125" style="8" customWidth="1"/>
    <col min="13829" max="13829" width="8.7109375" style="8" customWidth="1"/>
    <col min="13830" max="13832" width="8" style="8" customWidth="1"/>
    <col min="13833" max="13833" width="8.7109375" style="8" customWidth="1"/>
    <col min="13834" max="13834" width="8" style="8" customWidth="1"/>
    <col min="13835" max="13835" width="8.7109375" style="8" customWidth="1"/>
    <col min="13836" max="13836" width="9.140625" style="8" customWidth="1"/>
    <col min="13837" max="13839" width="8.7109375" style="8" customWidth="1"/>
    <col min="13840" max="13840" width="10.42578125" style="8" customWidth="1"/>
    <col min="13841" max="13844" width="8.7109375" style="8" customWidth="1"/>
    <col min="13845" max="14080" width="12.5703125" style="8"/>
    <col min="14081" max="14081" width="31.42578125" style="8" customWidth="1"/>
    <col min="14082" max="14082" width="7.42578125" style="8" customWidth="1"/>
    <col min="14083" max="14083" width="8" style="8" customWidth="1"/>
    <col min="14084" max="14084" width="7.42578125" style="8" customWidth="1"/>
    <col min="14085" max="14085" width="8.7109375" style="8" customWidth="1"/>
    <col min="14086" max="14088" width="8" style="8" customWidth="1"/>
    <col min="14089" max="14089" width="8.7109375" style="8" customWidth="1"/>
    <col min="14090" max="14090" width="8" style="8" customWidth="1"/>
    <col min="14091" max="14091" width="8.7109375" style="8" customWidth="1"/>
    <col min="14092" max="14092" width="9.140625" style="8" customWidth="1"/>
    <col min="14093" max="14095" width="8.7109375" style="8" customWidth="1"/>
    <col min="14096" max="14096" width="10.42578125" style="8" customWidth="1"/>
    <col min="14097" max="14100" width="8.7109375" style="8" customWidth="1"/>
    <col min="14101" max="14336" width="12.5703125" style="8"/>
    <col min="14337" max="14337" width="31.42578125" style="8" customWidth="1"/>
    <col min="14338" max="14338" width="7.42578125" style="8" customWidth="1"/>
    <col min="14339" max="14339" width="8" style="8" customWidth="1"/>
    <col min="14340" max="14340" width="7.42578125" style="8" customWidth="1"/>
    <col min="14341" max="14341" width="8.7109375" style="8" customWidth="1"/>
    <col min="14342" max="14344" width="8" style="8" customWidth="1"/>
    <col min="14345" max="14345" width="8.7109375" style="8" customWidth="1"/>
    <col min="14346" max="14346" width="8" style="8" customWidth="1"/>
    <col min="14347" max="14347" width="8.7109375" style="8" customWidth="1"/>
    <col min="14348" max="14348" width="9.140625" style="8" customWidth="1"/>
    <col min="14349" max="14351" width="8.7109375" style="8" customWidth="1"/>
    <col min="14352" max="14352" width="10.42578125" style="8" customWidth="1"/>
    <col min="14353" max="14356" width="8.7109375" style="8" customWidth="1"/>
    <col min="14357" max="14592" width="12.5703125" style="8"/>
    <col min="14593" max="14593" width="31.42578125" style="8" customWidth="1"/>
    <col min="14594" max="14594" width="7.42578125" style="8" customWidth="1"/>
    <col min="14595" max="14595" width="8" style="8" customWidth="1"/>
    <col min="14596" max="14596" width="7.42578125" style="8" customWidth="1"/>
    <col min="14597" max="14597" width="8.7109375" style="8" customWidth="1"/>
    <col min="14598" max="14600" width="8" style="8" customWidth="1"/>
    <col min="14601" max="14601" width="8.7109375" style="8" customWidth="1"/>
    <col min="14602" max="14602" width="8" style="8" customWidth="1"/>
    <col min="14603" max="14603" width="8.7109375" style="8" customWidth="1"/>
    <col min="14604" max="14604" width="9.140625" style="8" customWidth="1"/>
    <col min="14605" max="14607" width="8.7109375" style="8" customWidth="1"/>
    <col min="14608" max="14608" width="10.42578125" style="8" customWidth="1"/>
    <col min="14609" max="14612" width="8.7109375" style="8" customWidth="1"/>
    <col min="14613" max="14848" width="12.5703125" style="8"/>
    <col min="14849" max="14849" width="31.42578125" style="8" customWidth="1"/>
    <col min="14850" max="14850" width="7.42578125" style="8" customWidth="1"/>
    <col min="14851" max="14851" width="8" style="8" customWidth="1"/>
    <col min="14852" max="14852" width="7.42578125" style="8" customWidth="1"/>
    <col min="14853" max="14853" width="8.7109375" style="8" customWidth="1"/>
    <col min="14854" max="14856" width="8" style="8" customWidth="1"/>
    <col min="14857" max="14857" width="8.7109375" style="8" customWidth="1"/>
    <col min="14858" max="14858" width="8" style="8" customWidth="1"/>
    <col min="14859" max="14859" width="8.7109375" style="8" customWidth="1"/>
    <col min="14860" max="14860" width="9.140625" style="8" customWidth="1"/>
    <col min="14861" max="14863" width="8.7109375" style="8" customWidth="1"/>
    <col min="14864" max="14864" width="10.42578125" style="8" customWidth="1"/>
    <col min="14865" max="14868" width="8.7109375" style="8" customWidth="1"/>
    <col min="14869" max="15104" width="12.5703125" style="8"/>
    <col min="15105" max="15105" width="31.42578125" style="8" customWidth="1"/>
    <col min="15106" max="15106" width="7.42578125" style="8" customWidth="1"/>
    <col min="15107" max="15107" width="8" style="8" customWidth="1"/>
    <col min="15108" max="15108" width="7.42578125" style="8" customWidth="1"/>
    <col min="15109" max="15109" width="8.7109375" style="8" customWidth="1"/>
    <col min="15110" max="15112" width="8" style="8" customWidth="1"/>
    <col min="15113" max="15113" width="8.7109375" style="8" customWidth="1"/>
    <col min="15114" max="15114" width="8" style="8" customWidth="1"/>
    <col min="15115" max="15115" width="8.7109375" style="8" customWidth="1"/>
    <col min="15116" max="15116" width="9.140625" style="8" customWidth="1"/>
    <col min="15117" max="15119" width="8.7109375" style="8" customWidth="1"/>
    <col min="15120" max="15120" width="10.42578125" style="8" customWidth="1"/>
    <col min="15121" max="15124" width="8.7109375" style="8" customWidth="1"/>
    <col min="15125" max="15360" width="12.5703125" style="8"/>
    <col min="15361" max="15361" width="31.42578125" style="8" customWidth="1"/>
    <col min="15362" max="15362" width="7.42578125" style="8" customWidth="1"/>
    <col min="15363" max="15363" width="8" style="8" customWidth="1"/>
    <col min="15364" max="15364" width="7.42578125" style="8" customWidth="1"/>
    <col min="15365" max="15365" width="8.7109375" style="8" customWidth="1"/>
    <col min="15366" max="15368" width="8" style="8" customWidth="1"/>
    <col min="15369" max="15369" width="8.7109375" style="8" customWidth="1"/>
    <col min="15370" max="15370" width="8" style="8" customWidth="1"/>
    <col min="15371" max="15371" width="8.7109375" style="8" customWidth="1"/>
    <col min="15372" max="15372" width="9.140625" style="8" customWidth="1"/>
    <col min="15373" max="15375" width="8.7109375" style="8" customWidth="1"/>
    <col min="15376" max="15376" width="10.42578125" style="8" customWidth="1"/>
    <col min="15377" max="15380" width="8.7109375" style="8" customWidth="1"/>
    <col min="15381" max="15616" width="12.5703125" style="8"/>
    <col min="15617" max="15617" width="31.42578125" style="8" customWidth="1"/>
    <col min="15618" max="15618" width="7.42578125" style="8" customWidth="1"/>
    <col min="15619" max="15619" width="8" style="8" customWidth="1"/>
    <col min="15620" max="15620" width="7.42578125" style="8" customWidth="1"/>
    <col min="15621" max="15621" width="8.7109375" style="8" customWidth="1"/>
    <col min="15622" max="15624" width="8" style="8" customWidth="1"/>
    <col min="15625" max="15625" width="8.7109375" style="8" customWidth="1"/>
    <col min="15626" max="15626" width="8" style="8" customWidth="1"/>
    <col min="15627" max="15627" width="8.7109375" style="8" customWidth="1"/>
    <col min="15628" max="15628" width="9.140625" style="8" customWidth="1"/>
    <col min="15629" max="15631" width="8.7109375" style="8" customWidth="1"/>
    <col min="15632" max="15632" width="10.42578125" style="8" customWidth="1"/>
    <col min="15633" max="15636" width="8.7109375" style="8" customWidth="1"/>
    <col min="15637" max="15872" width="12.5703125" style="8"/>
    <col min="15873" max="15873" width="31.42578125" style="8" customWidth="1"/>
    <col min="15874" max="15874" width="7.42578125" style="8" customWidth="1"/>
    <col min="15875" max="15875" width="8" style="8" customWidth="1"/>
    <col min="15876" max="15876" width="7.42578125" style="8" customWidth="1"/>
    <col min="15877" max="15877" width="8.7109375" style="8" customWidth="1"/>
    <col min="15878" max="15880" width="8" style="8" customWidth="1"/>
    <col min="15881" max="15881" width="8.7109375" style="8" customWidth="1"/>
    <col min="15882" max="15882" width="8" style="8" customWidth="1"/>
    <col min="15883" max="15883" width="8.7109375" style="8" customWidth="1"/>
    <col min="15884" max="15884" width="9.140625" style="8" customWidth="1"/>
    <col min="15885" max="15887" width="8.7109375" style="8" customWidth="1"/>
    <col min="15888" max="15888" width="10.42578125" style="8" customWidth="1"/>
    <col min="15889" max="15892" width="8.7109375" style="8" customWidth="1"/>
    <col min="15893" max="16128" width="12.5703125" style="8"/>
    <col min="16129" max="16129" width="31.42578125" style="8" customWidth="1"/>
    <col min="16130" max="16130" width="7.42578125" style="8" customWidth="1"/>
    <col min="16131" max="16131" width="8" style="8" customWidth="1"/>
    <col min="16132" max="16132" width="7.42578125" style="8" customWidth="1"/>
    <col min="16133" max="16133" width="8.7109375" style="8" customWidth="1"/>
    <col min="16134" max="16136" width="8" style="8" customWidth="1"/>
    <col min="16137" max="16137" width="8.7109375" style="8" customWidth="1"/>
    <col min="16138" max="16138" width="8" style="8" customWidth="1"/>
    <col min="16139" max="16139" width="8.7109375" style="8" customWidth="1"/>
    <col min="16140" max="16140" width="9.140625" style="8" customWidth="1"/>
    <col min="16141" max="16143" width="8.7109375" style="8" customWidth="1"/>
    <col min="16144" max="16144" width="10.42578125" style="8" customWidth="1"/>
    <col min="16145" max="16148" width="8.7109375" style="8" customWidth="1"/>
    <col min="16149" max="16384" width="12.5703125" style="8"/>
  </cols>
  <sheetData>
    <row r="1" spans="1:20">
      <c r="A1" s="312" t="s">
        <v>334</v>
      </c>
      <c r="B1" s="313"/>
      <c r="C1" s="313"/>
      <c r="D1" s="313"/>
      <c r="E1" s="313"/>
      <c r="F1" s="313"/>
      <c r="G1" s="313"/>
      <c r="H1" s="313"/>
      <c r="I1" s="313"/>
      <c r="J1" s="313"/>
      <c r="K1" s="313"/>
      <c r="L1" s="313"/>
      <c r="M1" s="313"/>
      <c r="N1" s="313"/>
      <c r="O1" s="313"/>
      <c r="P1" s="313"/>
      <c r="Q1" s="313"/>
      <c r="R1" s="313"/>
      <c r="S1" s="313"/>
      <c r="T1" s="313"/>
    </row>
    <row r="2" spans="1:20">
      <c r="A2" s="314" t="s">
        <v>335</v>
      </c>
      <c r="B2" s="314"/>
      <c r="C2" s="314"/>
      <c r="D2" s="314"/>
      <c r="E2" s="314"/>
      <c r="F2" s="314"/>
      <c r="G2" s="314"/>
      <c r="H2" s="314"/>
      <c r="I2" s="314"/>
      <c r="J2" s="314"/>
      <c r="K2" s="314"/>
      <c r="L2" s="314"/>
      <c r="M2" s="314"/>
      <c r="N2" s="314"/>
      <c r="O2" s="314"/>
      <c r="P2" s="314"/>
      <c r="Q2" s="314"/>
      <c r="R2" s="314"/>
      <c r="S2" s="314"/>
      <c r="T2" s="314"/>
    </row>
    <row r="3" spans="1:20">
      <c r="A3" s="257"/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</row>
    <row r="4" spans="1:20" s="262" customFormat="1" ht="24" customHeight="1">
      <c r="A4" s="258" t="s">
        <v>336</v>
      </c>
      <c r="B4" s="259">
        <v>1951</v>
      </c>
      <c r="C4" s="259">
        <v>1952</v>
      </c>
      <c r="D4" s="259">
        <v>1953</v>
      </c>
      <c r="E4" s="259">
        <v>1954</v>
      </c>
      <c r="F4" s="259">
        <v>1955</v>
      </c>
      <c r="G4" s="259">
        <v>1956</v>
      </c>
      <c r="H4" s="259">
        <v>1957</v>
      </c>
      <c r="I4" s="259">
        <v>1958</v>
      </c>
      <c r="J4" s="259">
        <v>1959</v>
      </c>
      <c r="K4" s="259">
        <v>1960</v>
      </c>
      <c r="L4" s="260" t="s">
        <v>337</v>
      </c>
      <c r="M4" s="259">
        <v>1962</v>
      </c>
      <c r="N4" s="259">
        <v>1963</v>
      </c>
      <c r="O4" s="259">
        <v>1964</v>
      </c>
      <c r="P4" s="259">
        <v>1965</v>
      </c>
      <c r="Q4" s="259">
        <v>1966</v>
      </c>
      <c r="R4" s="259">
        <v>1967</v>
      </c>
      <c r="S4" s="259">
        <v>1968</v>
      </c>
      <c r="T4" s="261">
        <v>1969</v>
      </c>
    </row>
    <row r="5" spans="1:20">
      <c r="A5" s="257"/>
      <c r="B5" s="263"/>
      <c r="C5" s="263"/>
      <c r="D5" s="263"/>
      <c r="E5" s="263"/>
      <c r="F5" s="263"/>
      <c r="G5" s="263"/>
      <c r="H5" s="263"/>
      <c r="I5" s="263"/>
      <c r="J5" s="263"/>
      <c r="K5" s="263"/>
      <c r="L5" s="263"/>
      <c r="M5" s="263"/>
      <c r="N5" s="263"/>
      <c r="O5" s="263"/>
      <c r="P5" s="263"/>
      <c r="Q5" s="263"/>
      <c r="R5" s="263"/>
      <c r="S5" s="263"/>
      <c r="T5" s="263"/>
    </row>
    <row r="6" spans="1:20">
      <c r="A6" s="264" t="s">
        <v>338</v>
      </c>
      <c r="B6" s="265" t="s">
        <v>13</v>
      </c>
      <c r="C6" s="265" t="s">
        <v>13</v>
      </c>
      <c r="D6" s="265" t="s">
        <v>13</v>
      </c>
      <c r="E6" s="265" t="s">
        <v>13</v>
      </c>
      <c r="F6" s="265" t="s">
        <v>13</v>
      </c>
      <c r="G6" s="265" t="s">
        <v>13</v>
      </c>
      <c r="H6" s="265" t="s">
        <v>13</v>
      </c>
      <c r="I6" s="265" t="s">
        <v>13</v>
      </c>
      <c r="J6" s="265" t="s">
        <v>13</v>
      </c>
      <c r="K6" s="265" t="s">
        <v>13</v>
      </c>
      <c r="L6" s="266">
        <v>-41.325000000000003</v>
      </c>
      <c r="M6" s="266">
        <v>-6.3929999999999989</v>
      </c>
      <c r="N6" s="266">
        <v>-6.3456155956919984</v>
      </c>
      <c r="O6" s="266">
        <v>-42.835999999999991</v>
      </c>
      <c r="P6" s="266">
        <v>-61.51</v>
      </c>
      <c r="Q6" s="266">
        <v>-55.101000000000006</v>
      </c>
      <c r="R6" s="266">
        <v>-77.263999999999982</v>
      </c>
      <c r="S6" s="266">
        <v>-115.54099999999998</v>
      </c>
      <c r="T6" s="266">
        <v>-127.31400000000001</v>
      </c>
    </row>
    <row r="7" spans="1:20">
      <c r="A7" s="264" t="s">
        <v>339</v>
      </c>
      <c r="B7" s="266">
        <v>8.7999999999993861E-2</v>
      </c>
      <c r="C7" s="266">
        <v>24.240952108012799</v>
      </c>
      <c r="D7" s="266">
        <v>9.9262000000000015</v>
      </c>
      <c r="E7" s="266">
        <v>20.378900274752596</v>
      </c>
      <c r="F7" s="266">
        <v>6.6639940581688961</v>
      </c>
      <c r="G7" s="266">
        <v>20.042610124078891</v>
      </c>
      <c r="H7" s="266">
        <v>9.8829999999999956</v>
      </c>
      <c r="I7" s="266">
        <v>15.430087989659398</v>
      </c>
      <c r="J7" s="266">
        <v>10.64</v>
      </c>
      <c r="K7" s="266">
        <v>4.1610000000000014</v>
      </c>
      <c r="L7" s="266">
        <v>3.0750000000000002</v>
      </c>
      <c r="M7" s="266">
        <v>31.807000000000002</v>
      </c>
      <c r="N7" s="266">
        <v>28.654384404308004</v>
      </c>
      <c r="O7" s="266">
        <v>-2.23599999999999</v>
      </c>
      <c r="P7" s="266">
        <v>-13.41</v>
      </c>
      <c r="Q7" s="266">
        <v>-4.0010000000000048</v>
      </c>
      <c r="R7" s="266">
        <v>-20.163999999999987</v>
      </c>
      <c r="S7" s="266">
        <v>-45.441000000000003</v>
      </c>
      <c r="T7" s="266">
        <v>-57.114000000000004</v>
      </c>
    </row>
    <row r="8" spans="1:20">
      <c r="A8" s="264" t="s">
        <v>340</v>
      </c>
      <c r="B8" s="266">
        <v>52.16</v>
      </c>
      <c r="C8" s="266">
        <v>76.701999999999998</v>
      </c>
      <c r="D8" s="266">
        <v>72.6982</v>
      </c>
      <c r="E8" s="266">
        <v>100.2192</v>
      </c>
      <c r="F8" s="266">
        <v>89.861399999999989</v>
      </c>
      <c r="G8" s="266">
        <v>94.429699999999997</v>
      </c>
      <c r="H8" s="266">
        <v>98.635999999999996</v>
      </c>
      <c r="I8" s="266">
        <v>96.382000000000005</v>
      </c>
      <c r="J8" s="266">
        <v>97.245000000000005</v>
      </c>
      <c r="K8" s="266">
        <v>102.56100000000001</v>
      </c>
      <c r="L8" s="266">
        <v>96.647000000000006</v>
      </c>
      <c r="M8" s="266">
        <v>116.917</v>
      </c>
      <c r="N8" s="266">
        <v>131.215</v>
      </c>
      <c r="O8" s="266">
        <v>130.364</v>
      </c>
      <c r="P8" s="266">
        <v>133.79</v>
      </c>
      <c r="Q8" s="266">
        <v>147.499</v>
      </c>
      <c r="R8" s="266">
        <v>166.036</v>
      </c>
      <c r="S8" s="266">
        <v>176.559</v>
      </c>
      <c r="T8" s="266">
        <v>151.886</v>
      </c>
    </row>
    <row r="9" spans="1:20">
      <c r="A9" s="264" t="s">
        <v>341</v>
      </c>
      <c r="B9" s="266">
        <v>-52.072000000000003</v>
      </c>
      <c r="C9" s="266">
        <v>-52.461047891987199</v>
      </c>
      <c r="D9" s="266">
        <v>-62.771999999999998</v>
      </c>
      <c r="E9" s="266">
        <v>-79.840299725247405</v>
      </c>
      <c r="F9" s="266">
        <v>-83.197405941831093</v>
      </c>
      <c r="G9" s="266">
        <v>-74.387089875921106</v>
      </c>
      <c r="H9" s="266">
        <v>-88.753</v>
      </c>
      <c r="I9" s="266">
        <v>-80.951912010340607</v>
      </c>
      <c r="J9" s="266">
        <v>-86.605000000000004</v>
      </c>
      <c r="K9" s="266">
        <v>-98.4</v>
      </c>
      <c r="L9" s="266">
        <v>-93.572000000000003</v>
      </c>
      <c r="M9" s="266">
        <v>-85.11</v>
      </c>
      <c r="N9" s="266">
        <v>-102.560615595692</v>
      </c>
      <c r="O9" s="266">
        <v>-132.6</v>
      </c>
      <c r="P9" s="266">
        <v>-147.19999999999999</v>
      </c>
      <c r="Q9" s="266">
        <v>-151.5</v>
      </c>
      <c r="R9" s="266">
        <v>-186.2</v>
      </c>
      <c r="S9" s="266">
        <v>-222</v>
      </c>
      <c r="T9" s="266">
        <v>-209</v>
      </c>
    </row>
    <row r="10" spans="1:20" ht="25.5">
      <c r="A10" s="264" t="s">
        <v>342</v>
      </c>
      <c r="B10" s="267">
        <v>-18.8</v>
      </c>
      <c r="C10" s="267">
        <v>-24.9</v>
      </c>
      <c r="D10" s="267">
        <v>-32.4</v>
      </c>
      <c r="E10" s="267">
        <v>-42</v>
      </c>
      <c r="F10" s="267">
        <v>-42.5</v>
      </c>
      <c r="G10" s="267">
        <v>-46.6</v>
      </c>
      <c r="H10" s="267">
        <v>-44.6</v>
      </c>
      <c r="I10" s="267">
        <v>-47.7</v>
      </c>
      <c r="J10" s="267">
        <v>-53</v>
      </c>
      <c r="K10" s="267">
        <v>-56.7</v>
      </c>
      <c r="L10" s="267">
        <v>-51.5</v>
      </c>
      <c r="M10" s="267">
        <v>-47.5</v>
      </c>
      <c r="N10" s="267">
        <v>-41.7</v>
      </c>
      <c r="O10" s="267">
        <v>-52.5</v>
      </c>
      <c r="P10" s="267">
        <v>-57.4</v>
      </c>
      <c r="Q10" s="267">
        <v>-60.5</v>
      </c>
      <c r="R10" s="267">
        <v>-69.8</v>
      </c>
      <c r="S10" s="267">
        <v>-83.3</v>
      </c>
      <c r="T10" s="267">
        <v>-82.5</v>
      </c>
    </row>
    <row r="11" spans="1:20">
      <c r="A11" s="264" t="s">
        <v>343</v>
      </c>
      <c r="B11" s="266">
        <v>0</v>
      </c>
      <c r="C11" s="266">
        <v>0.1</v>
      </c>
      <c r="D11" s="266">
        <v>0.1</v>
      </c>
      <c r="E11" s="266">
        <v>0.6</v>
      </c>
      <c r="F11" s="266">
        <v>0.3</v>
      </c>
      <c r="G11" s="266">
        <v>0.2</v>
      </c>
      <c r="H11" s="266">
        <v>0.1</v>
      </c>
      <c r="I11" s="266">
        <v>1.2</v>
      </c>
      <c r="J11" s="266">
        <v>0.8</v>
      </c>
      <c r="K11" s="266">
        <v>1.4</v>
      </c>
      <c r="L11" s="266">
        <v>2.5</v>
      </c>
      <c r="M11" s="266">
        <v>2.2000000000000002</v>
      </c>
      <c r="N11" s="266">
        <v>1.5</v>
      </c>
      <c r="O11" s="266">
        <v>1.9</v>
      </c>
      <c r="P11" s="266">
        <v>2.2000000000000002</v>
      </c>
      <c r="Q11" s="266">
        <v>2.8</v>
      </c>
      <c r="R11" s="266">
        <v>5</v>
      </c>
      <c r="S11" s="266">
        <v>4.8</v>
      </c>
      <c r="T11" s="266">
        <v>5.5</v>
      </c>
    </row>
    <row r="12" spans="1:20">
      <c r="A12" s="264" t="s">
        <v>344</v>
      </c>
      <c r="B12" s="266">
        <v>0.4</v>
      </c>
      <c r="C12" s="266">
        <v>1.3</v>
      </c>
      <c r="D12" s="266">
        <v>1.2</v>
      </c>
      <c r="E12" s="266">
        <v>1.2</v>
      </c>
      <c r="F12" s="266">
        <v>1.8</v>
      </c>
      <c r="G12" s="266">
        <v>3</v>
      </c>
      <c r="H12" s="266">
        <v>2.6</v>
      </c>
      <c r="I12" s="266">
        <v>3.5</v>
      </c>
      <c r="J12" s="266">
        <v>3.6</v>
      </c>
      <c r="K12" s="266">
        <v>5.8</v>
      </c>
      <c r="L12" s="266">
        <v>4.5999999999999996</v>
      </c>
      <c r="M12" s="266">
        <v>7.1</v>
      </c>
      <c r="N12" s="266">
        <v>5.2</v>
      </c>
      <c r="O12" s="266">
        <v>10</v>
      </c>
      <c r="P12" s="266">
        <v>7.1</v>
      </c>
      <c r="Q12" s="266">
        <v>6.6</v>
      </c>
      <c r="R12" s="266">
        <v>7.7</v>
      </c>
      <c r="S12" s="266">
        <v>8.4</v>
      </c>
      <c r="T12" s="266">
        <v>6.8</v>
      </c>
    </row>
    <row r="13" spans="1:20">
      <c r="A13" s="264" t="s">
        <v>345</v>
      </c>
      <c r="B13" s="266">
        <v>0.6</v>
      </c>
      <c r="C13" s="266">
        <v>-0.4</v>
      </c>
      <c r="D13" s="266">
        <v>6.2</v>
      </c>
      <c r="E13" s="266">
        <v>10.4</v>
      </c>
      <c r="F13" s="266">
        <v>12.8</v>
      </c>
      <c r="G13" s="266">
        <v>22</v>
      </c>
      <c r="H13" s="266">
        <v>3.7</v>
      </c>
      <c r="I13" s="266">
        <v>2.2999999999999998</v>
      </c>
      <c r="J13" s="266">
        <v>11.8</v>
      </c>
      <c r="K13" s="266">
        <v>12.5</v>
      </c>
      <c r="L13" s="266">
        <v>10.6</v>
      </c>
      <c r="M13" s="266">
        <v>5.3</v>
      </c>
      <c r="N13" s="266">
        <v>4.3</v>
      </c>
      <c r="O13" s="266">
        <v>18.5</v>
      </c>
      <c r="P13" s="266">
        <v>16.8</v>
      </c>
      <c r="Q13" s="266">
        <v>32.700000000000003</v>
      </c>
      <c r="R13" s="266">
        <v>37.1</v>
      </c>
      <c r="S13" s="266">
        <v>64.900000000000006</v>
      </c>
      <c r="T13" s="266">
        <v>57</v>
      </c>
    </row>
    <row r="14" spans="1:20">
      <c r="A14" s="264" t="s">
        <v>346</v>
      </c>
      <c r="B14" s="266">
        <v>-5.7</v>
      </c>
      <c r="C14" s="266">
        <v>-8.5</v>
      </c>
      <c r="D14" s="266">
        <v>-8.5</v>
      </c>
      <c r="E14" s="266">
        <v>2.4</v>
      </c>
      <c r="F14" s="266">
        <v>1.6</v>
      </c>
      <c r="G14" s="266">
        <v>-0.7</v>
      </c>
      <c r="H14" s="266">
        <v>2</v>
      </c>
      <c r="I14" s="266">
        <v>7.2</v>
      </c>
      <c r="J14" s="266">
        <v>-5.4</v>
      </c>
      <c r="K14" s="266">
        <v>-2.2999999999999998</v>
      </c>
      <c r="L14" s="266">
        <v>-2.2000000000000002</v>
      </c>
      <c r="M14" s="266">
        <v>3</v>
      </c>
      <c r="N14" s="266">
        <v>10.199999999999999</v>
      </c>
      <c r="O14" s="266">
        <v>5</v>
      </c>
      <c r="P14" s="266">
        <v>-9.6</v>
      </c>
      <c r="Q14" s="266">
        <v>1.5</v>
      </c>
      <c r="R14" s="266">
        <v>21.8</v>
      </c>
      <c r="S14" s="266">
        <v>20.9</v>
      </c>
      <c r="T14" s="266">
        <v>32.9</v>
      </c>
    </row>
    <row r="15" spans="1:20">
      <c r="A15" s="264" t="s">
        <v>347</v>
      </c>
      <c r="B15" s="266">
        <v>0</v>
      </c>
      <c r="C15" s="266">
        <v>0</v>
      </c>
      <c r="D15" s="266">
        <v>0</v>
      </c>
      <c r="E15" s="266">
        <v>0</v>
      </c>
      <c r="F15" s="266">
        <v>0</v>
      </c>
      <c r="G15" s="266">
        <v>0</v>
      </c>
      <c r="H15" s="266">
        <v>0</v>
      </c>
      <c r="I15" s="266">
        <v>0</v>
      </c>
      <c r="J15" s="266">
        <v>0</v>
      </c>
      <c r="K15" s="266">
        <v>0</v>
      </c>
      <c r="L15" s="266">
        <v>0</v>
      </c>
      <c r="M15" s="266">
        <v>0</v>
      </c>
      <c r="N15" s="266">
        <v>0</v>
      </c>
      <c r="O15" s="266">
        <v>0</v>
      </c>
      <c r="P15" s="266">
        <v>0</v>
      </c>
      <c r="Q15" s="266">
        <v>0</v>
      </c>
      <c r="R15" s="266">
        <v>3.7</v>
      </c>
      <c r="S15" s="266">
        <v>3.4</v>
      </c>
      <c r="T15" s="266">
        <v>1.2</v>
      </c>
    </row>
    <row r="16" spans="1:20" s="268" customFormat="1" ht="25.5">
      <c r="A16" s="264" t="s">
        <v>348</v>
      </c>
      <c r="B16" s="267">
        <v>0</v>
      </c>
      <c r="C16" s="267">
        <v>0</v>
      </c>
      <c r="D16" s="267">
        <v>0</v>
      </c>
      <c r="E16" s="267">
        <v>0</v>
      </c>
      <c r="F16" s="267">
        <v>0</v>
      </c>
      <c r="G16" s="267">
        <v>0</v>
      </c>
      <c r="H16" s="267">
        <v>0</v>
      </c>
      <c r="I16" s="267">
        <v>0</v>
      </c>
      <c r="J16" s="267">
        <v>0</v>
      </c>
      <c r="K16" s="267">
        <v>0</v>
      </c>
      <c r="L16" s="267">
        <v>0</v>
      </c>
      <c r="M16" s="267">
        <v>0</v>
      </c>
      <c r="N16" s="267">
        <v>0</v>
      </c>
      <c r="O16" s="267">
        <v>0</v>
      </c>
      <c r="P16" s="267">
        <v>0</v>
      </c>
      <c r="Q16" s="267">
        <v>0</v>
      </c>
      <c r="R16" s="267">
        <v>0.1</v>
      </c>
      <c r="S16" s="267">
        <v>0.2</v>
      </c>
      <c r="T16" s="267">
        <v>-0.2</v>
      </c>
    </row>
    <row r="17" spans="1:20">
      <c r="A17" s="264" t="s">
        <v>349</v>
      </c>
      <c r="B17" s="266">
        <v>5</v>
      </c>
      <c r="C17" s="266">
        <v>-11.5</v>
      </c>
      <c r="D17" s="266">
        <v>2.9</v>
      </c>
      <c r="E17" s="266">
        <v>2.2999999999999998</v>
      </c>
      <c r="F17" s="266">
        <v>5.8</v>
      </c>
      <c r="G17" s="266">
        <v>0.20000000000001061</v>
      </c>
      <c r="H17" s="266">
        <v>-2.3999999999999928</v>
      </c>
      <c r="I17" s="266">
        <v>-1.2</v>
      </c>
      <c r="J17" s="266">
        <v>-5.9</v>
      </c>
      <c r="K17" s="266">
        <v>2.7999999999999892</v>
      </c>
      <c r="L17" s="266">
        <v>12.7</v>
      </c>
      <c r="M17" s="266">
        <v>-7.1</v>
      </c>
      <c r="N17" s="266">
        <v>-11.7</v>
      </c>
      <c r="O17" s="266">
        <v>-4.8</v>
      </c>
      <c r="P17" s="266">
        <v>11.7</v>
      </c>
      <c r="Q17" s="266">
        <v>-10.1</v>
      </c>
      <c r="R17" s="266">
        <v>-8.8000000000000238</v>
      </c>
      <c r="S17" s="266">
        <v>1.6</v>
      </c>
      <c r="T17" s="266">
        <v>4.5999999999999872</v>
      </c>
    </row>
    <row r="18" spans="1:20">
      <c r="A18" s="269"/>
      <c r="B18" s="270"/>
      <c r="C18" s="270"/>
      <c r="D18" s="270"/>
      <c r="E18" s="270"/>
      <c r="F18" s="270"/>
      <c r="G18" s="270"/>
      <c r="H18" s="270"/>
      <c r="I18" s="270"/>
      <c r="J18" s="270"/>
      <c r="K18" s="270"/>
      <c r="L18" s="270"/>
      <c r="M18" s="270"/>
      <c r="N18" s="270"/>
      <c r="O18" s="270"/>
      <c r="P18" s="270"/>
      <c r="Q18" s="270"/>
      <c r="R18" s="270"/>
      <c r="S18" s="270"/>
      <c r="T18" s="270"/>
    </row>
    <row r="19" spans="1:20">
      <c r="A19" s="257"/>
      <c r="B19" s="271"/>
      <c r="C19" s="271"/>
      <c r="D19" s="271"/>
      <c r="E19" s="271"/>
      <c r="F19" s="271"/>
      <c r="G19" s="271"/>
      <c r="H19" s="271"/>
      <c r="I19" s="271"/>
      <c r="J19" s="271"/>
      <c r="K19" s="271"/>
      <c r="L19" s="271"/>
      <c r="M19" s="271"/>
      <c r="N19" s="271"/>
      <c r="O19" s="271"/>
      <c r="P19" s="271"/>
      <c r="Q19" s="271"/>
      <c r="R19" s="271"/>
      <c r="S19" s="271"/>
      <c r="T19" s="271"/>
    </row>
    <row r="20" spans="1:20">
      <c r="B20" s="271"/>
      <c r="C20" s="271"/>
      <c r="D20" s="271"/>
      <c r="E20" s="271"/>
      <c r="F20" s="271"/>
      <c r="G20" s="271"/>
      <c r="H20" s="271"/>
      <c r="I20" s="271"/>
      <c r="J20" s="271"/>
      <c r="K20" s="271"/>
      <c r="L20" s="271"/>
      <c r="M20" s="271"/>
      <c r="N20" s="271"/>
      <c r="O20" s="271"/>
      <c r="P20" s="271"/>
      <c r="Q20" s="271"/>
      <c r="R20" s="271"/>
      <c r="S20" s="271"/>
      <c r="T20" s="271"/>
    </row>
    <row r="21" spans="1:20">
      <c r="A21" s="197" t="s">
        <v>234</v>
      </c>
      <c r="B21" s="257"/>
      <c r="C21" s="257"/>
      <c r="D21" s="257"/>
      <c r="E21" s="257"/>
      <c r="F21" s="257"/>
      <c r="G21" s="257"/>
      <c r="H21" s="257"/>
      <c r="I21" s="257"/>
      <c r="J21" s="257"/>
      <c r="K21" s="257"/>
      <c r="L21" s="257"/>
      <c r="M21" s="257"/>
      <c r="N21" s="257"/>
      <c r="O21" s="257"/>
      <c r="P21" s="257"/>
      <c r="Q21" s="257"/>
      <c r="R21" s="257"/>
      <c r="S21" s="257"/>
      <c r="T21" s="257"/>
    </row>
    <row r="22" spans="1:20">
      <c r="A22" s="9" t="s">
        <v>222</v>
      </c>
      <c r="B22" s="257"/>
      <c r="C22" s="257"/>
      <c r="D22" s="257"/>
      <c r="E22" s="257"/>
      <c r="F22" s="257"/>
      <c r="G22" s="257"/>
      <c r="H22" s="257"/>
      <c r="I22" s="257"/>
      <c r="J22" s="257"/>
      <c r="K22" s="257"/>
      <c r="L22" s="257"/>
      <c r="M22" s="257"/>
      <c r="N22" s="257"/>
      <c r="O22" s="257"/>
      <c r="P22" s="257"/>
      <c r="Q22" s="257"/>
      <c r="R22" s="257"/>
      <c r="S22" s="257"/>
      <c r="T22" s="257"/>
    </row>
    <row r="23" spans="1:20">
      <c r="A23" s="272"/>
      <c r="B23" s="272"/>
      <c r="C23" s="272"/>
      <c r="D23" s="272"/>
      <c r="E23" s="272"/>
      <c r="F23" s="272"/>
      <c r="G23" s="272"/>
      <c r="H23" s="272"/>
      <c r="I23" s="272"/>
      <c r="J23" s="272"/>
      <c r="K23" s="272"/>
      <c r="L23" s="272"/>
      <c r="M23" s="272"/>
      <c r="N23" s="272"/>
      <c r="O23" s="272"/>
      <c r="P23" s="272"/>
      <c r="Q23" s="272"/>
      <c r="R23" s="272"/>
      <c r="S23" s="272"/>
      <c r="T23" s="272"/>
    </row>
    <row r="24" spans="1:20">
      <c r="A24" s="272"/>
      <c r="B24" s="272"/>
      <c r="C24" s="272"/>
      <c r="D24" s="272"/>
      <c r="E24" s="272"/>
      <c r="F24" s="272"/>
      <c r="G24" s="272"/>
      <c r="H24" s="272"/>
      <c r="I24" s="272"/>
      <c r="J24" s="272"/>
      <c r="K24" s="272"/>
      <c r="L24" s="272"/>
      <c r="M24" s="272"/>
      <c r="N24" s="272"/>
      <c r="O24" s="272"/>
      <c r="P24" s="272"/>
      <c r="Q24" s="272"/>
      <c r="R24" s="272"/>
      <c r="S24" s="272"/>
      <c r="T24" s="272"/>
    </row>
  </sheetData>
  <mergeCells count="2">
    <mergeCell ref="A1:T1"/>
    <mergeCell ref="A2:T2"/>
  </mergeCells>
  <hyperlinks>
    <hyperlink ref="A22" location="'indice cap.2'!A1" display="regresar al índice"/>
    <hyperlink ref="A21" location="'indice cap.2'!A1" display="Notas"/>
  </hyperlinks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F68"/>
  <sheetViews>
    <sheetView showGridLines="0" workbookViewId="0">
      <selection activeCell="T16" sqref="T16"/>
    </sheetView>
  </sheetViews>
  <sheetFormatPr baseColWidth="10" defaultColWidth="12.5703125" defaultRowHeight="12.75"/>
  <cols>
    <col min="1" max="1" width="33.5703125" style="273" customWidth="1"/>
    <col min="2" max="2" width="9" style="273" customWidth="1"/>
    <col min="3" max="3" width="8.42578125" style="273" customWidth="1"/>
    <col min="4" max="5" width="8.140625" style="273" customWidth="1"/>
    <col min="6" max="6" width="7.42578125" style="273" customWidth="1"/>
    <col min="7" max="7" width="8.28515625" style="273" customWidth="1"/>
    <col min="8" max="8" width="8.42578125" style="273" customWidth="1"/>
    <col min="9" max="9" width="8.85546875" style="273" customWidth="1"/>
    <col min="10" max="10" width="8.7109375" style="273" customWidth="1"/>
    <col min="11" max="11" width="8.140625" style="273" customWidth="1"/>
    <col min="12" max="12" width="9.42578125" style="273" customWidth="1"/>
    <col min="13" max="13" width="9.28515625" style="273" customWidth="1"/>
    <col min="14" max="14" width="9.42578125" style="273" customWidth="1"/>
    <col min="15" max="15" width="10.140625" style="273" customWidth="1"/>
    <col min="16" max="16" width="9.5703125" style="273" customWidth="1"/>
    <col min="17" max="17" width="8.85546875" style="273" customWidth="1"/>
    <col min="18" max="18" width="8.140625" style="273" customWidth="1"/>
    <col min="19" max="19" width="9.140625" style="273" customWidth="1"/>
    <col min="20" max="20" width="9.5703125" style="273" customWidth="1"/>
    <col min="21" max="21" width="8.85546875" style="273" customWidth="1"/>
    <col min="22" max="22" width="8.5703125" style="273" customWidth="1"/>
    <col min="23" max="23" width="9.28515625" style="273" customWidth="1"/>
    <col min="24" max="24" width="9.42578125" style="273" customWidth="1"/>
    <col min="25" max="25" width="9" style="273" customWidth="1"/>
    <col min="26" max="26" width="8.7109375" style="273" customWidth="1"/>
    <col min="27" max="28" width="9.140625" style="273" customWidth="1"/>
    <col min="29" max="29" width="8.85546875" style="273" customWidth="1"/>
    <col min="30" max="30" width="9.42578125" style="273" customWidth="1"/>
    <col min="31" max="32" width="9.140625" style="273" customWidth="1"/>
    <col min="33" max="36" width="12.5703125" style="273"/>
    <col min="37" max="37" width="33.5703125" style="273" customWidth="1"/>
    <col min="38" max="38" width="9" style="273" customWidth="1"/>
    <col min="39" max="39" width="8.42578125" style="273" customWidth="1"/>
    <col min="40" max="41" width="8.140625" style="273" customWidth="1"/>
    <col min="42" max="42" width="7.42578125" style="273" customWidth="1"/>
    <col min="43" max="43" width="8.28515625" style="273" customWidth="1"/>
    <col min="44" max="44" width="8.42578125" style="273" customWidth="1"/>
    <col min="45" max="45" width="8.85546875" style="273" customWidth="1"/>
    <col min="46" max="46" width="8.7109375" style="273" customWidth="1"/>
    <col min="47" max="47" width="8.140625" style="273" customWidth="1"/>
    <col min="48" max="48" width="9.42578125" style="273" customWidth="1"/>
    <col min="49" max="49" width="9.28515625" style="273" customWidth="1"/>
    <col min="50" max="50" width="9.42578125" style="273" customWidth="1"/>
    <col min="51" max="51" width="10.140625" style="273" customWidth="1"/>
    <col min="52" max="52" width="9.5703125" style="273" customWidth="1"/>
    <col min="53" max="53" width="8.85546875" style="273" customWidth="1"/>
    <col min="54" max="54" width="8.140625" style="273" customWidth="1"/>
    <col min="55" max="55" width="9.140625" style="273" customWidth="1"/>
    <col min="56" max="56" width="9.5703125" style="273" customWidth="1"/>
    <col min="57" max="57" width="8.85546875" style="273" customWidth="1"/>
    <col min="58" max="58" width="8.5703125" style="273" customWidth="1"/>
    <col min="59" max="59" width="9.28515625" style="273" customWidth="1"/>
    <col min="60" max="60" width="9.42578125" style="273" customWidth="1"/>
    <col min="61" max="61" width="9" style="273" customWidth="1"/>
    <col min="62" max="62" width="8.7109375" style="273" customWidth="1"/>
    <col min="63" max="64" width="9.140625" style="273" customWidth="1"/>
    <col min="65" max="65" width="8.85546875" style="273" customWidth="1"/>
    <col min="66" max="66" width="9.42578125" style="273" customWidth="1"/>
    <col min="67" max="68" width="9.140625" style="273" customWidth="1"/>
    <col min="69" max="92" width="0" style="273" hidden="1" customWidth="1"/>
    <col min="93" max="292" width="12.5703125" style="273"/>
    <col min="293" max="293" width="33.5703125" style="273" customWidth="1"/>
    <col min="294" max="294" width="9" style="273" customWidth="1"/>
    <col min="295" max="295" width="8.42578125" style="273" customWidth="1"/>
    <col min="296" max="297" width="8.140625" style="273" customWidth="1"/>
    <col min="298" max="298" width="7.42578125" style="273" customWidth="1"/>
    <col min="299" max="299" width="8.28515625" style="273" customWidth="1"/>
    <col min="300" max="300" width="8.42578125" style="273" customWidth="1"/>
    <col min="301" max="301" width="8.85546875" style="273" customWidth="1"/>
    <col min="302" max="302" width="8.7109375" style="273" customWidth="1"/>
    <col min="303" max="303" width="8.140625" style="273" customWidth="1"/>
    <col min="304" max="304" width="9.42578125" style="273" customWidth="1"/>
    <col min="305" max="305" width="9.28515625" style="273" customWidth="1"/>
    <col min="306" max="306" width="9.42578125" style="273" customWidth="1"/>
    <col min="307" max="307" width="10.140625" style="273" customWidth="1"/>
    <col min="308" max="308" width="9.5703125" style="273" customWidth="1"/>
    <col min="309" max="309" width="8.85546875" style="273" customWidth="1"/>
    <col min="310" max="310" width="8.140625" style="273" customWidth="1"/>
    <col min="311" max="311" width="9.140625" style="273" customWidth="1"/>
    <col min="312" max="312" width="9.5703125" style="273" customWidth="1"/>
    <col min="313" max="313" width="8.85546875" style="273" customWidth="1"/>
    <col min="314" max="314" width="8.5703125" style="273" customWidth="1"/>
    <col min="315" max="315" width="9.28515625" style="273" customWidth="1"/>
    <col min="316" max="316" width="9.42578125" style="273" customWidth="1"/>
    <col min="317" max="317" width="9" style="273" customWidth="1"/>
    <col min="318" max="318" width="8.7109375" style="273" customWidth="1"/>
    <col min="319" max="320" width="9.140625" style="273" customWidth="1"/>
    <col min="321" max="321" width="8.85546875" style="273" customWidth="1"/>
    <col min="322" max="322" width="9.42578125" style="273" customWidth="1"/>
    <col min="323" max="324" width="9.140625" style="273" customWidth="1"/>
    <col min="325" max="348" width="0" style="273" hidden="1" customWidth="1"/>
    <col min="349" max="548" width="12.5703125" style="273"/>
    <col min="549" max="549" width="33.5703125" style="273" customWidth="1"/>
    <col min="550" max="550" width="9" style="273" customWidth="1"/>
    <col min="551" max="551" width="8.42578125" style="273" customWidth="1"/>
    <col min="552" max="553" width="8.140625" style="273" customWidth="1"/>
    <col min="554" max="554" width="7.42578125" style="273" customWidth="1"/>
    <col min="555" max="555" width="8.28515625" style="273" customWidth="1"/>
    <col min="556" max="556" width="8.42578125" style="273" customWidth="1"/>
    <col min="557" max="557" width="8.85546875" style="273" customWidth="1"/>
    <col min="558" max="558" width="8.7109375" style="273" customWidth="1"/>
    <col min="559" max="559" width="8.140625" style="273" customWidth="1"/>
    <col min="560" max="560" width="9.42578125" style="273" customWidth="1"/>
    <col min="561" max="561" width="9.28515625" style="273" customWidth="1"/>
    <col min="562" max="562" width="9.42578125" style="273" customWidth="1"/>
    <col min="563" max="563" width="10.140625" style="273" customWidth="1"/>
    <col min="564" max="564" width="9.5703125" style="273" customWidth="1"/>
    <col min="565" max="565" width="8.85546875" style="273" customWidth="1"/>
    <col min="566" max="566" width="8.140625" style="273" customWidth="1"/>
    <col min="567" max="567" width="9.140625" style="273" customWidth="1"/>
    <col min="568" max="568" width="9.5703125" style="273" customWidth="1"/>
    <col min="569" max="569" width="8.85546875" style="273" customWidth="1"/>
    <col min="570" max="570" width="8.5703125" style="273" customWidth="1"/>
    <col min="571" max="571" width="9.28515625" style="273" customWidth="1"/>
    <col min="572" max="572" width="9.42578125" style="273" customWidth="1"/>
    <col min="573" max="573" width="9" style="273" customWidth="1"/>
    <col min="574" max="574" width="8.7109375" style="273" customWidth="1"/>
    <col min="575" max="576" width="9.140625" style="273" customWidth="1"/>
    <col min="577" max="577" width="8.85546875" style="273" customWidth="1"/>
    <col min="578" max="578" width="9.42578125" style="273" customWidth="1"/>
    <col min="579" max="580" width="9.140625" style="273" customWidth="1"/>
    <col min="581" max="604" width="0" style="273" hidden="1" customWidth="1"/>
    <col min="605" max="804" width="12.5703125" style="273"/>
    <col min="805" max="805" width="33.5703125" style="273" customWidth="1"/>
    <col min="806" max="806" width="9" style="273" customWidth="1"/>
    <col min="807" max="807" width="8.42578125" style="273" customWidth="1"/>
    <col min="808" max="809" width="8.140625" style="273" customWidth="1"/>
    <col min="810" max="810" width="7.42578125" style="273" customWidth="1"/>
    <col min="811" max="811" width="8.28515625" style="273" customWidth="1"/>
    <col min="812" max="812" width="8.42578125" style="273" customWidth="1"/>
    <col min="813" max="813" width="8.85546875" style="273" customWidth="1"/>
    <col min="814" max="814" width="8.7109375" style="273" customWidth="1"/>
    <col min="815" max="815" width="8.140625" style="273" customWidth="1"/>
    <col min="816" max="816" width="9.42578125" style="273" customWidth="1"/>
    <col min="817" max="817" width="9.28515625" style="273" customWidth="1"/>
    <col min="818" max="818" width="9.42578125" style="273" customWidth="1"/>
    <col min="819" max="819" width="10.140625" style="273" customWidth="1"/>
    <col min="820" max="820" width="9.5703125" style="273" customWidth="1"/>
    <col min="821" max="821" width="8.85546875" style="273" customWidth="1"/>
    <col min="822" max="822" width="8.140625" style="273" customWidth="1"/>
    <col min="823" max="823" width="9.140625" style="273" customWidth="1"/>
    <col min="824" max="824" width="9.5703125" style="273" customWidth="1"/>
    <col min="825" max="825" width="8.85546875" style="273" customWidth="1"/>
    <col min="826" max="826" width="8.5703125" style="273" customWidth="1"/>
    <col min="827" max="827" width="9.28515625" style="273" customWidth="1"/>
    <col min="828" max="828" width="9.42578125" style="273" customWidth="1"/>
    <col min="829" max="829" width="9" style="273" customWidth="1"/>
    <col min="830" max="830" width="8.7109375" style="273" customWidth="1"/>
    <col min="831" max="832" width="9.140625" style="273" customWidth="1"/>
    <col min="833" max="833" width="8.85546875" style="273" customWidth="1"/>
    <col min="834" max="834" width="9.42578125" style="273" customWidth="1"/>
    <col min="835" max="836" width="9.140625" style="273" customWidth="1"/>
    <col min="837" max="860" width="0" style="273" hidden="1" customWidth="1"/>
    <col min="861" max="1060" width="12.5703125" style="273"/>
    <col min="1061" max="1061" width="33.5703125" style="273" customWidth="1"/>
    <col min="1062" max="1062" width="9" style="273" customWidth="1"/>
    <col min="1063" max="1063" width="8.42578125" style="273" customWidth="1"/>
    <col min="1064" max="1065" width="8.140625" style="273" customWidth="1"/>
    <col min="1066" max="1066" width="7.42578125" style="273" customWidth="1"/>
    <col min="1067" max="1067" width="8.28515625" style="273" customWidth="1"/>
    <col min="1068" max="1068" width="8.42578125" style="273" customWidth="1"/>
    <col min="1069" max="1069" width="8.85546875" style="273" customWidth="1"/>
    <col min="1070" max="1070" width="8.7109375" style="273" customWidth="1"/>
    <col min="1071" max="1071" width="8.140625" style="273" customWidth="1"/>
    <col min="1072" max="1072" width="9.42578125" style="273" customWidth="1"/>
    <col min="1073" max="1073" width="9.28515625" style="273" customWidth="1"/>
    <col min="1074" max="1074" width="9.42578125" style="273" customWidth="1"/>
    <col min="1075" max="1075" width="10.140625" style="273" customWidth="1"/>
    <col min="1076" max="1076" width="9.5703125" style="273" customWidth="1"/>
    <col min="1077" max="1077" width="8.85546875" style="273" customWidth="1"/>
    <col min="1078" max="1078" width="8.140625" style="273" customWidth="1"/>
    <col min="1079" max="1079" width="9.140625" style="273" customWidth="1"/>
    <col min="1080" max="1080" width="9.5703125" style="273" customWidth="1"/>
    <col min="1081" max="1081" width="8.85546875" style="273" customWidth="1"/>
    <col min="1082" max="1082" width="8.5703125" style="273" customWidth="1"/>
    <col min="1083" max="1083" width="9.28515625" style="273" customWidth="1"/>
    <col min="1084" max="1084" width="9.42578125" style="273" customWidth="1"/>
    <col min="1085" max="1085" width="9" style="273" customWidth="1"/>
    <col min="1086" max="1086" width="8.7109375" style="273" customWidth="1"/>
    <col min="1087" max="1088" width="9.140625" style="273" customWidth="1"/>
    <col min="1089" max="1089" width="8.85546875" style="273" customWidth="1"/>
    <col min="1090" max="1090" width="9.42578125" style="273" customWidth="1"/>
    <col min="1091" max="1092" width="9.140625" style="273" customWidth="1"/>
    <col min="1093" max="1116" width="0" style="273" hidden="1" customWidth="1"/>
    <col min="1117" max="1316" width="12.5703125" style="273"/>
    <col min="1317" max="1317" width="33.5703125" style="273" customWidth="1"/>
    <col min="1318" max="1318" width="9" style="273" customWidth="1"/>
    <col min="1319" max="1319" width="8.42578125" style="273" customWidth="1"/>
    <col min="1320" max="1321" width="8.140625" style="273" customWidth="1"/>
    <col min="1322" max="1322" width="7.42578125" style="273" customWidth="1"/>
    <col min="1323" max="1323" width="8.28515625" style="273" customWidth="1"/>
    <col min="1324" max="1324" width="8.42578125" style="273" customWidth="1"/>
    <col min="1325" max="1325" width="8.85546875" style="273" customWidth="1"/>
    <col min="1326" max="1326" width="8.7109375" style="273" customWidth="1"/>
    <col min="1327" max="1327" width="8.140625" style="273" customWidth="1"/>
    <col min="1328" max="1328" width="9.42578125" style="273" customWidth="1"/>
    <col min="1329" max="1329" width="9.28515625" style="273" customWidth="1"/>
    <col min="1330" max="1330" width="9.42578125" style="273" customWidth="1"/>
    <col min="1331" max="1331" width="10.140625" style="273" customWidth="1"/>
    <col min="1332" max="1332" width="9.5703125" style="273" customWidth="1"/>
    <col min="1333" max="1333" width="8.85546875" style="273" customWidth="1"/>
    <col min="1334" max="1334" width="8.140625" style="273" customWidth="1"/>
    <col min="1335" max="1335" width="9.140625" style="273" customWidth="1"/>
    <col min="1336" max="1336" width="9.5703125" style="273" customWidth="1"/>
    <col min="1337" max="1337" width="8.85546875" style="273" customWidth="1"/>
    <col min="1338" max="1338" width="8.5703125" style="273" customWidth="1"/>
    <col min="1339" max="1339" width="9.28515625" style="273" customWidth="1"/>
    <col min="1340" max="1340" width="9.42578125" style="273" customWidth="1"/>
    <col min="1341" max="1341" width="9" style="273" customWidth="1"/>
    <col min="1342" max="1342" width="8.7109375" style="273" customWidth="1"/>
    <col min="1343" max="1344" width="9.140625" style="273" customWidth="1"/>
    <col min="1345" max="1345" width="8.85546875" style="273" customWidth="1"/>
    <col min="1346" max="1346" width="9.42578125" style="273" customWidth="1"/>
    <col min="1347" max="1348" width="9.140625" style="273" customWidth="1"/>
    <col min="1349" max="1372" width="0" style="273" hidden="1" customWidth="1"/>
    <col min="1373" max="1572" width="12.5703125" style="273"/>
    <col min="1573" max="1573" width="33.5703125" style="273" customWidth="1"/>
    <col min="1574" max="1574" width="9" style="273" customWidth="1"/>
    <col min="1575" max="1575" width="8.42578125" style="273" customWidth="1"/>
    <col min="1576" max="1577" width="8.140625" style="273" customWidth="1"/>
    <col min="1578" max="1578" width="7.42578125" style="273" customWidth="1"/>
    <col min="1579" max="1579" width="8.28515625" style="273" customWidth="1"/>
    <col min="1580" max="1580" width="8.42578125" style="273" customWidth="1"/>
    <col min="1581" max="1581" width="8.85546875" style="273" customWidth="1"/>
    <col min="1582" max="1582" width="8.7109375" style="273" customWidth="1"/>
    <col min="1583" max="1583" width="8.140625" style="273" customWidth="1"/>
    <col min="1584" max="1584" width="9.42578125" style="273" customWidth="1"/>
    <col min="1585" max="1585" width="9.28515625" style="273" customWidth="1"/>
    <col min="1586" max="1586" width="9.42578125" style="273" customWidth="1"/>
    <col min="1587" max="1587" width="10.140625" style="273" customWidth="1"/>
    <col min="1588" max="1588" width="9.5703125" style="273" customWidth="1"/>
    <col min="1589" max="1589" width="8.85546875" style="273" customWidth="1"/>
    <col min="1590" max="1590" width="8.140625" style="273" customWidth="1"/>
    <col min="1591" max="1591" width="9.140625" style="273" customWidth="1"/>
    <col min="1592" max="1592" width="9.5703125" style="273" customWidth="1"/>
    <col min="1593" max="1593" width="8.85546875" style="273" customWidth="1"/>
    <col min="1594" max="1594" width="8.5703125" style="273" customWidth="1"/>
    <col min="1595" max="1595" width="9.28515625" style="273" customWidth="1"/>
    <col min="1596" max="1596" width="9.42578125" style="273" customWidth="1"/>
    <col min="1597" max="1597" width="9" style="273" customWidth="1"/>
    <col min="1598" max="1598" width="8.7109375" style="273" customWidth="1"/>
    <col min="1599" max="1600" width="9.140625" style="273" customWidth="1"/>
    <col min="1601" max="1601" width="8.85546875" style="273" customWidth="1"/>
    <col min="1602" max="1602" width="9.42578125" style="273" customWidth="1"/>
    <col min="1603" max="1604" width="9.140625" style="273" customWidth="1"/>
    <col min="1605" max="1628" width="0" style="273" hidden="1" customWidth="1"/>
    <col min="1629" max="1828" width="12.5703125" style="273"/>
    <col min="1829" max="1829" width="33.5703125" style="273" customWidth="1"/>
    <col min="1830" max="1830" width="9" style="273" customWidth="1"/>
    <col min="1831" max="1831" width="8.42578125" style="273" customWidth="1"/>
    <col min="1832" max="1833" width="8.140625" style="273" customWidth="1"/>
    <col min="1834" max="1834" width="7.42578125" style="273" customWidth="1"/>
    <col min="1835" max="1835" width="8.28515625" style="273" customWidth="1"/>
    <col min="1836" max="1836" width="8.42578125" style="273" customWidth="1"/>
    <col min="1837" max="1837" width="8.85546875" style="273" customWidth="1"/>
    <col min="1838" max="1838" width="8.7109375" style="273" customWidth="1"/>
    <col min="1839" max="1839" width="8.140625" style="273" customWidth="1"/>
    <col min="1840" max="1840" width="9.42578125" style="273" customWidth="1"/>
    <col min="1841" max="1841" width="9.28515625" style="273" customWidth="1"/>
    <col min="1842" max="1842" width="9.42578125" style="273" customWidth="1"/>
    <col min="1843" max="1843" width="10.140625" style="273" customWidth="1"/>
    <col min="1844" max="1844" width="9.5703125" style="273" customWidth="1"/>
    <col min="1845" max="1845" width="8.85546875" style="273" customWidth="1"/>
    <col min="1846" max="1846" width="8.140625" style="273" customWidth="1"/>
    <col min="1847" max="1847" width="9.140625" style="273" customWidth="1"/>
    <col min="1848" max="1848" width="9.5703125" style="273" customWidth="1"/>
    <col min="1849" max="1849" width="8.85546875" style="273" customWidth="1"/>
    <col min="1850" max="1850" width="8.5703125" style="273" customWidth="1"/>
    <col min="1851" max="1851" width="9.28515625" style="273" customWidth="1"/>
    <col min="1852" max="1852" width="9.42578125" style="273" customWidth="1"/>
    <col min="1853" max="1853" width="9" style="273" customWidth="1"/>
    <col min="1854" max="1854" width="8.7109375" style="273" customWidth="1"/>
    <col min="1855" max="1856" width="9.140625" style="273" customWidth="1"/>
    <col min="1857" max="1857" width="8.85546875" style="273" customWidth="1"/>
    <col min="1858" max="1858" width="9.42578125" style="273" customWidth="1"/>
    <col min="1859" max="1860" width="9.140625" style="273" customWidth="1"/>
    <col min="1861" max="1884" width="0" style="273" hidden="1" customWidth="1"/>
    <col min="1885" max="2084" width="12.5703125" style="273"/>
    <col min="2085" max="2085" width="33.5703125" style="273" customWidth="1"/>
    <col min="2086" max="2086" width="9" style="273" customWidth="1"/>
    <col min="2087" max="2087" width="8.42578125" style="273" customWidth="1"/>
    <col min="2088" max="2089" width="8.140625" style="273" customWidth="1"/>
    <col min="2090" max="2090" width="7.42578125" style="273" customWidth="1"/>
    <col min="2091" max="2091" width="8.28515625" style="273" customWidth="1"/>
    <col min="2092" max="2092" width="8.42578125" style="273" customWidth="1"/>
    <col min="2093" max="2093" width="8.85546875" style="273" customWidth="1"/>
    <col min="2094" max="2094" width="8.7109375" style="273" customWidth="1"/>
    <col min="2095" max="2095" width="8.140625" style="273" customWidth="1"/>
    <col min="2096" max="2096" width="9.42578125" style="273" customWidth="1"/>
    <col min="2097" max="2097" width="9.28515625" style="273" customWidth="1"/>
    <col min="2098" max="2098" width="9.42578125" style="273" customWidth="1"/>
    <col min="2099" max="2099" width="10.140625" style="273" customWidth="1"/>
    <col min="2100" max="2100" width="9.5703125" style="273" customWidth="1"/>
    <col min="2101" max="2101" width="8.85546875" style="273" customWidth="1"/>
    <col min="2102" max="2102" width="8.140625" style="273" customWidth="1"/>
    <col min="2103" max="2103" width="9.140625" style="273" customWidth="1"/>
    <col min="2104" max="2104" width="9.5703125" style="273" customWidth="1"/>
    <col min="2105" max="2105" width="8.85546875" style="273" customWidth="1"/>
    <col min="2106" max="2106" width="8.5703125" style="273" customWidth="1"/>
    <col min="2107" max="2107" width="9.28515625" style="273" customWidth="1"/>
    <col min="2108" max="2108" width="9.42578125" style="273" customWidth="1"/>
    <col min="2109" max="2109" width="9" style="273" customWidth="1"/>
    <col min="2110" max="2110" width="8.7109375" style="273" customWidth="1"/>
    <col min="2111" max="2112" width="9.140625" style="273" customWidth="1"/>
    <col min="2113" max="2113" width="8.85546875" style="273" customWidth="1"/>
    <col min="2114" max="2114" width="9.42578125" style="273" customWidth="1"/>
    <col min="2115" max="2116" width="9.140625" style="273" customWidth="1"/>
    <col min="2117" max="2140" width="0" style="273" hidden="1" customWidth="1"/>
    <col min="2141" max="2340" width="12.5703125" style="273"/>
    <col min="2341" max="2341" width="33.5703125" style="273" customWidth="1"/>
    <col min="2342" max="2342" width="9" style="273" customWidth="1"/>
    <col min="2343" max="2343" width="8.42578125" style="273" customWidth="1"/>
    <col min="2344" max="2345" width="8.140625" style="273" customWidth="1"/>
    <col min="2346" max="2346" width="7.42578125" style="273" customWidth="1"/>
    <col min="2347" max="2347" width="8.28515625" style="273" customWidth="1"/>
    <col min="2348" max="2348" width="8.42578125" style="273" customWidth="1"/>
    <col min="2349" max="2349" width="8.85546875" style="273" customWidth="1"/>
    <col min="2350" max="2350" width="8.7109375" style="273" customWidth="1"/>
    <col min="2351" max="2351" width="8.140625" style="273" customWidth="1"/>
    <col min="2352" max="2352" width="9.42578125" style="273" customWidth="1"/>
    <col min="2353" max="2353" width="9.28515625" style="273" customWidth="1"/>
    <col min="2354" max="2354" width="9.42578125" style="273" customWidth="1"/>
    <col min="2355" max="2355" width="10.140625" style="273" customWidth="1"/>
    <col min="2356" max="2356" width="9.5703125" style="273" customWidth="1"/>
    <col min="2357" max="2357" width="8.85546875" style="273" customWidth="1"/>
    <col min="2358" max="2358" width="8.140625" style="273" customWidth="1"/>
    <col min="2359" max="2359" width="9.140625" style="273" customWidth="1"/>
    <col min="2360" max="2360" width="9.5703125" style="273" customWidth="1"/>
    <col min="2361" max="2361" width="8.85546875" style="273" customWidth="1"/>
    <col min="2362" max="2362" width="8.5703125" style="273" customWidth="1"/>
    <col min="2363" max="2363" width="9.28515625" style="273" customWidth="1"/>
    <col min="2364" max="2364" width="9.42578125" style="273" customWidth="1"/>
    <col min="2365" max="2365" width="9" style="273" customWidth="1"/>
    <col min="2366" max="2366" width="8.7109375" style="273" customWidth="1"/>
    <col min="2367" max="2368" width="9.140625" style="273" customWidth="1"/>
    <col min="2369" max="2369" width="8.85546875" style="273" customWidth="1"/>
    <col min="2370" max="2370" width="9.42578125" style="273" customWidth="1"/>
    <col min="2371" max="2372" width="9.140625" style="273" customWidth="1"/>
    <col min="2373" max="2396" width="0" style="273" hidden="1" customWidth="1"/>
    <col min="2397" max="2596" width="12.5703125" style="273"/>
    <col min="2597" max="2597" width="33.5703125" style="273" customWidth="1"/>
    <col min="2598" max="2598" width="9" style="273" customWidth="1"/>
    <col min="2599" max="2599" width="8.42578125" style="273" customWidth="1"/>
    <col min="2600" max="2601" width="8.140625" style="273" customWidth="1"/>
    <col min="2602" max="2602" width="7.42578125" style="273" customWidth="1"/>
    <col min="2603" max="2603" width="8.28515625" style="273" customWidth="1"/>
    <col min="2604" max="2604" width="8.42578125" style="273" customWidth="1"/>
    <col min="2605" max="2605" width="8.85546875" style="273" customWidth="1"/>
    <col min="2606" max="2606" width="8.7109375" style="273" customWidth="1"/>
    <col min="2607" max="2607" width="8.140625" style="273" customWidth="1"/>
    <col min="2608" max="2608" width="9.42578125" style="273" customWidth="1"/>
    <col min="2609" max="2609" width="9.28515625" style="273" customWidth="1"/>
    <col min="2610" max="2610" width="9.42578125" style="273" customWidth="1"/>
    <col min="2611" max="2611" width="10.140625" style="273" customWidth="1"/>
    <col min="2612" max="2612" width="9.5703125" style="273" customWidth="1"/>
    <col min="2613" max="2613" width="8.85546875" style="273" customWidth="1"/>
    <col min="2614" max="2614" width="8.140625" style="273" customWidth="1"/>
    <col min="2615" max="2615" width="9.140625" style="273" customWidth="1"/>
    <col min="2616" max="2616" width="9.5703125" style="273" customWidth="1"/>
    <col min="2617" max="2617" width="8.85546875" style="273" customWidth="1"/>
    <col min="2618" max="2618" width="8.5703125" style="273" customWidth="1"/>
    <col min="2619" max="2619" width="9.28515625" style="273" customWidth="1"/>
    <col min="2620" max="2620" width="9.42578125" style="273" customWidth="1"/>
    <col min="2621" max="2621" width="9" style="273" customWidth="1"/>
    <col min="2622" max="2622" width="8.7109375" style="273" customWidth="1"/>
    <col min="2623" max="2624" width="9.140625" style="273" customWidth="1"/>
    <col min="2625" max="2625" width="8.85546875" style="273" customWidth="1"/>
    <col min="2626" max="2626" width="9.42578125" style="273" customWidth="1"/>
    <col min="2627" max="2628" width="9.140625" style="273" customWidth="1"/>
    <col min="2629" max="2652" width="0" style="273" hidden="1" customWidth="1"/>
    <col min="2653" max="2852" width="12.5703125" style="273"/>
    <col min="2853" max="2853" width="33.5703125" style="273" customWidth="1"/>
    <col min="2854" max="2854" width="9" style="273" customWidth="1"/>
    <col min="2855" max="2855" width="8.42578125" style="273" customWidth="1"/>
    <col min="2856" max="2857" width="8.140625" style="273" customWidth="1"/>
    <col min="2858" max="2858" width="7.42578125" style="273" customWidth="1"/>
    <col min="2859" max="2859" width="8.28515625" style="273" customWidth="1"/>
    <col min="2860" max="2860" width="8.42578125" style="273" customWidth="1"/>
    <col min="2861" max="2861" width="8.85546875" style="273" customWidth="1"/>
    <col min="2862" max="2862" width="8.7109375" style="273" customWidth="1"/>
    <col min="2863" max="2863" width="8.140625" style="273" customWidth="1"/>
    <col min="2864" max="2864" width="9.42578125" style="273" customWidth="1"/>
    <col min="2865" max="2865" width="9.28515625" style="273" customWidth="1"/>
    <col min="2866" max="2866" width="9.42578125" style="273" customWidth="1"/>
    <col min="2867" max="2867" width="10.140625" style="273" customWidth="1"/>
    <col min="2868" max="2868" width="9.5703125" style="273" customWidth="1"/>
    <col min="2869" max="2869" width="8.85546875" style="273" customWidth="1"/>
    <col min="2870" max="2870" width="8.140625" style="273" customWidth="1"/>
    <col min="2871" max="2871" width="9.140625" style="273" customWidth="1"/>
    <col min="2872" max="2872" width="9.5703125" style="273" customWidth="1"/>
    <col min="2873" max="2873" width="8.85546875" style="273" customWidth="1"/>
    <col min="2874" max="2874" width="8.5703125" style="273" customWidth="1"/>
    <col min="2875" max="2875" width="9.28515625" style="273" customWidth="1"/>
    <col min="2876" max="2876" width="9.42578125" style="273" customWidth="1"/>
    <col min="2877" max="2877" width="9" style="273" customWidth="1"/>
    <col min="2878" max="2878" width="8.7109375" style="273" customWidth="1"/>
    <col min="2879" max="2880" width="9.140625" style="273" customWidth="1"/>
    <col min="2881" max="2881" width="8.85546875" style="273" customWidth="1"/>
    <col min="2882" max="2882" width="9.42578125" style="273" customWidth="1"/>
    <col min="2883" max="2884" width="9.140625" style="273" customWidth="1"/>
    <col min="2885" max="2908" width="0" style="273" hidden="1" customWidth="1"/>
    <col min="2909" max="3108" width="12.5703125" style="273"/>
    <col min="3109" max="3109" width="33.5703125" style="273" customWidth="1"/>
    <col min="3110" max="3110" width="9" style="273" customWidth="1"/>
    <col min="3111" max="3111" width="8.42578125" style="273" customWidth="1"/>
    <col min="3112" max="3113" width="8.140625" style="273" customWidth="1"/>
    <col min="3114" max="3114" width="7.42578125" style="273" customWidth="1"/>
    <col min="3115" max="3115" width="8.28515625" style="273" customWidth="1"/>
    <col min="3116" max="3116" width="8.42578125" style="273" customWidth="1"/>
    <col min="3117" max="3117" width="8.85546875" style="273" customWidth="1"/>
    <col min="3118" max="3118" width="8.7109375" style="273" customWidth="1"/>
    <col min="3119" max="3119" width="8.140625" style="273" customWidth="1"/>
    <col min="3120" max="3120" width="9.42578125" style="273" customWidth="1"/>
    <col min="3121" max="3121" width="9.28515625" style="273" customWidth="1"/>
    <col min="3122" max="3122" width="9.42578125" style="273" customWidth="1"/>
    <col min="3123" max="3123" width="10.140625" style="273" customWidth="1"/>
    <col min="3124" max="3124" width="9.5703125" style="273" customWidth="1"/>
    <col min="3125" max="3125" width="8.85546875" style="273" customWidth="1"/>
    <col min="3126" max="3126" width="8.140625" style="273" customWidth="1"/>
    <col min="3127" max="3127" width="9.140625" style="273" customWidth="1"/>
    <col min="3128" max="3128" width="9.5703125" style="273" customWidth="1"/>
    <col min="3129" max="3129" width="8.85546875" style="273" customWidth="1"/>
    <col min="3130" max="3130" width="8.5703125" style="273" customWidth="1"/>
    <col min="3131" max="3131" width="9.28515625" style="273" customWidth="1"/>
    <col min="3132" max="3132" width="9.42578125" style="273" customWidth="1"/>
    <col min="3133" max="3133" width="9" style="273" customWidth="1"/>
    <col min="3134" max="3134" width="8.7109375" style="273" customWidth="1"/>
    <col min="3135" max="3136" width="9.140625" style="273" customWidth="1"/>
    <col min="3137" max="3137" width="8.85546875" style="273" customWidth="1"/>
    <col min="3138" max="3138" width="9.42578125" style="273" customWidth="1"/>
    <col min="3139" max="3140" width="9.140625" style="273" customWidth="1"/>
    <col min="3141" max="3164" width="0" style="273" hidden="1" customWidth="1"/>
    <col min="3165" max="3364" width="12.5703125" style="273"/>
    <col min="3365" max="3365" width="33.5703125" style="273" customWidth="1"/>
    <col min="3366" max="3366" width="9" style="273" customWidth="1"/>
    <col min="3367" max="3367" width="8.42578125" style="273" customWidth="1"/>
    <col min="3368" max="3369" width="8.140625" style="273" customWidth="1"/>
    <col min="3370" max="3370" width="7.42578125" style="273" customWidth="1"/>
    <col min="3371" max="3371" width="8.28515625" style="273" customWidth="1"/>
    <col min="3372" max="3372" width="8.42578125" style="273" customWidth="1"/>
    <col min="3373" max="3373" width="8.85546875" style="273" customWidth="1"/>
    <col min="3374" max="3374" width="8.7109375" style="273" customWidth="1"/>
    <col min="3375" max="3375" width="8.140625" style="273" customWidth="1"/>
    <col min="3376" max="3376" width="9.42578125" style="273" customWidth="1"/>
    <col min="3377" max="3377" width="9.28515625" style="273" customWidth="1"/>
    <col min="3378" max="3378" width="9.42578125" style="273" customWidth="1"/>
    <col min="3379" max="3379" width="10.140625" style="273" customWidth="1"/>
    <col min="3380" max="3380" width="9.5703125" style="273" customWidth="1"/>
    <col min="3381" max="3381" width="8.85546875" style="273" customWidth="1"/>
    <col min="3382" max="3382" width="8.140625" style="273" customWidth="1"/>
    <col min="3383" max="3383" width="9.140625" style="273" customWidth="1"/>
    <col min="3384" max="3384" width="9.5703125" style="273" customWidth="1"/>
    <col min="3385" max="3385" width="8.85546875" style="273" customWidth="1"/>
    <col min="3386" max="3386" width="8.5703125" style="273" customWidth="1"/>
    <col min="3387" max="3387" width="9.28515625" style="273" customWidth="1"/>
    <col min="3388" max="3388" width="9.42578125" style="273" customWidth="1"/>
    <col min="3389" max="3389" width="9" style="273" customWidth="1"/>
    <col min="3390" max="3390" width="8.7109375" style="273" customWidth="1"/>
    <col min="3391" max="3392" width="9.140625" style="273" customWidth="1"/>
    <col min="3393" max="3393" width="8.85546875" style="273" customWidth="1"/>
    <col min="3394" max="3394" width="9.42578125" style="273" customWidth="1"/>
    <col min="3395" max="3396" width="9.140625" style="273" customWidth="1"/>
    <col min="3397" max="3420" width="0" style="273" hidden="1" customWidth="1"/>
    <col min="3421" max="3620" width="12.5703125" style="273"/>
    <col min="3621" max="3621" width="33.5703125" style="273" customWidth="1"/>
    <col min="3622" max="3622" width="9" style="273" customWidth="1"/>
    <col min="3623" max="3623" width="8.42578125" style="273" customWidth="1"/>
    <col min="3624" max="3625" width="8.140625" style="273" customWidth="1"/>
    <col min="3626" max="3626" width="7.42578125" style="273" customWidth="1"/>
    <col min="3627" max="3627" width="8.28515625" style="273" customWidth="1"/>
    <col min="3628" max="3628" width="8.42578125" style="273" customWidth="1"/>
    <col min="3629" max="3629" width="8.85546875" style="273" customWidth="1"/>
    <col min="3630" max="3630" width="8.7109375" style="273" customWidth="1"/>
    <col min="3631" max="3631" width="8.140625" style="273" customWidth="1"/>
    <col min="3632" max="3632" width="9.42578125" style="273" customWidth="1"/>
    <col min="3633" max="3633" width="9.28515625" style="273" customWidth="1"/>
    <col min="3634" max="3634" width="9.42578125" style="273" customWidth="1"/>
    <col min="3635" max="3635" width="10.140625" style="273" customWidth="1"/>
    <col min="3636" max="3636" width="9.5703125" style="273" customWidth="1"/>
    <col min="3637" max="3637" width="8.85546875" style="273" customWidth="1"/>
    <col min="3638" max="3638" width="8.140625" style="273" customWidth="1"/>
    <col min="3639" max="3639" width="9.140625" style="273" customWidth="1"/>
    <col min="3640" max="3640" width="9.5703125" style="273" customWidth="1"/>
    <col min="3641" max="3641" width="8.85546875" style="273" customWidth="1"/>
    <col min="3642" max="3642" width="8.5703125" style="273" customWidth="1"/>
    <col min="3643" max="3643" width="9.28515625" style="273" customWidth="1"/>
    <col min="3644" max="3644" width="9.42578125" style="273" customWidth="1"/>
    <col min="3645" max="3645" width="9" style="273" customWidth="1"/>
    <col min="3646" max="3646" width="8.7109375" style="273" customWidth="1"/>
    <col min="3647" max="3648" width="9.140625" style="273" customWidth="1"/>
    <col min="3649" max="3649" width="8.85546875" style="273" customWidth="1"/>
    <col min="3650" max="3650" width="9.42578125" style="273" customWidth="1"/>
    <col min="3651" max="3652" width="9.140625" style="273" customWidth="1"/>
    <col min="3653" max="3676" width="0" style="273" hidden="1" customWidth="1"/>
    <col min="3677" max="3876" width="12.5703125" style="273"/>
    <col min="3877" max="3877" width="33.5703125" style="273" customWidth="1"/>
    <col min="3878" max="3878" width="9" style="273" customWidth="1"/>
    <col min="3879" max="3879" width="8.42578125" style="273" customWidth="1"/>
    <col min="3880" max="3881" width="8.140625" style="273" customWidth="1"/>
    <col min="3882" max="3882" width="7.42578125" style="273" customWidth="1"/>
    <col min="3883" max="3883" width="8.28515625" style="273" customWidth="1"/>
    <col min="3884" max="3884" width="8.42578125" style="273" customWidth="1"/>
    <col min="3885" max="3885" width="8.85546875" style="273" customWidth="1"/>
    <col min="3886" max="3886" width="8.7109375" style="273" customWidth="1"/>
    <col min="3887" max="3887" width="8.140625" style="273" customWidth="1"/>
    <col min="3888" max="3888" width="9.42578125" style="273" customWidth="1"/>
    <col min="3889" max="3889" width="9.28515625" style="273" customWidth="1"/>
    <col min="3890" max="3890" width="9.42578125" style="273" customWidth="1"/>
    <col min="3891" max="3891" width="10.140625" style="273" customWidth="1"/>
    <col min="3892" max="3892" width="9.5703125" style="273" customWidth="1"/>
    <col min="3893" max="3893" width="8.85546875" style="273" customWidth="1"/>
    <col min="3894" max="3894" width="8.140625" style="273" customWidth="1"/>
    <col min="3895" max="3895" width="9.140625" style="273" customWidth="1"/>
    <col min="3896" max="3896" width="9.5703125" style="273" customWidth="1"/>
    <col min="3897" max="3897" width="8.85546875" style="273" customWidth="1"/>
    <col min="3898" max="3898" width="8.5703125" style="273" customWidth="1"/>
    <col min="3899" max="3899" width="9.28515625" style="273" customWidth="1"/>
    <col min="3900" max="3900" width="9.42578125" style="273" customWidth="1"/>
    <col min="3901" max="3901" width="9" style="273" customWidth="1"/>
    <col min="3902" max="3902" width="8.7109375" style="273" customWidth="1"/>
    <col min="3903" max="3904" width="9.140625" style="273" customWidth="1"/>
    <col min="3905" max="3905" width="8.85546875" style="273" customWidth="1"/>
    <col min="3906" max="3906" width="9.42578125" style="273" customWidth="1"/>
    <col min="3907" max="3908" width="9.140625" style="273" customWidth="1"/>
    <col min="3909" max="3932" width="0" style="273" hidden="1" customWidth="1"/>
    <col min="3933" max="4132" width="12.5703125" style="273"/>
    <col min="4133" max="4133" width="33.5703125" style="273" customWidth="1"/>
    <col min="4134" max="4134" width="9" style="273" customWidth="1"/>
    <col min="4135" max="4135" width="8.42578125" style="273" customWidth="1"/>
    <col min="4136" max="4137" width="8.140625" style="273" customWidth="1"/>
    <col min="4138" max="4138" width="7.42578125" style="273" customWidth="1"/>
    <col min="4139" max="4139" width="8.28515625" style="273" customWidth="1"/>
    <col min="4140" max="4140" width="8.42578125" style="273" customWidth="1"/>
    <col min="4141" max="4141" width="8.85546875" style="273" customWidth="1"/>
    <col min="4142" max="4142" width="8.7109375" style="273" customWidth="1"/>
    <col min="4143" max="4143" width="8.140625" style="273" customWidth="1"/>
    <col min="4144" max="4144" width="9.42578125" style="273" customWidth="1"/>
    <col min="4145" max="4145" width="9.28515625" style="273" customWidth="1"/>
    <col min="4146" max="4146" width="9.42578125" style="273" customWidth="1"/>
    <col min="4147" max="4147" width="10.140625" style="273" customWidth="1"/>
    <col min="4148" max="4148" width="9.5703125" style="273" customWidth="1"/>
    <col min="4149" max="4149" width="8.85546875" style="273" customWidth="1"/>
    <col min="4150" max="4150" width="8.140625" style="273" customWidth="1"/>
    <col min="4151" max="4151" width="9.140625" style="273" customWidth="1"/>
    <col min="4152" max="4152" width="9.5703125" style="273" customWidth="1"/>
    <col min="4153" max="4153" width="8.85546875" style="273" customWidth="1"/>
    <col min="4154" max="4154" width="8.5703125" style="273" customWidth="1"/>
    <col min="4155" max="4155" width="9.28515625" style="273" customWidth="1"/>
    <col min="4156" max="4156" width="9.42578125" style="273" customWidth="1"/>
    <col min="4157" max="4157" width="9" style="273" customWidth="1"/>
    <col min="4158" max="4158" width="8.7109375" style="273" customWidth="1"/>
    <col min="4159" max="4160" width="9.140625" style="273" customWidth="1"/>
    <col min="4161" max="4161" width="8.85546875" style="273" customWidth="1"/>
    <col min="4162" max="4162" width="9.42578125" style="273" customWidth="1"/>
    <col min="4163" max="4164" width="9.140625" style="273" customWidth="1"/>
    <col min="4165" max="4188" width="0" style="273" hidden="1" customWidth="1"/>
    <col min="4189" max="4388" width="12.5703125" style="273"/>
    <col min="4389" max="4389" width="33.5703125" style="273" customWidth="1"/>
    <col min="4390" max="4390" width="9" style="273" customWidth="1"/>
    <col min="4391" max="4391" width="8.42578125" style="273" customWidth="1"/>
    <col min="4392" max="4393" width="8.140625" style="273" customWidth="1"/>
    <col min="4394" max="4394" width="7.42578125" style="273" customWidth="1"/>
    <col min="4395" max="4395" width="8.28515625" style="273" customWidth="1"/>
    <col min="4396" max="4396" width="8.42578125" style="273" customWidth="1"/>
    <col min="4397" max="4397" width="8.85546875" style="273" customWidth="1"/>
    <col min="4398" max="4398" width="8.7109375" style="273" customWidth="1"/>
    <col min="4399" max="4399" width="8.140625" style="273" customWidth="1"/>
    <col min="4400" max="4400" width="9.42578125" style="273" customWidth="1"/>
    <col min="4401" max="4401" width="9.28515625" style="273" customWidth="1"/>
    <col min="4402" max="4402" width="9.42578125" style="273" customWidth="1"/>
    <col min="4403" max="4403" width="10.140625" style="273" customWidth="1"/>
    <col min="4404" max="4404" width="9.5703125" style="273" customWidth="1"/>
    <col min="4405" max="4405" width="8.85546875" style="273" customWidth="1"/>
    <col min="4406" max="4406" width="8.140625" style="273" customWidth="1"/>
    <col min="4407" max="4407" width="9.140625" style="273" customWidth="1"/>
    <col min="4408" max="4408" width="9.5703125" style="273" customWidth="1"/>
    <col min="4409" max="4409" width="8.85546875" style="273" customWidth="1"/>
    <col min="4410" max="4410" width="8.5703125" style="273" customWidth="1"/>
    <col min="4411" max="4411" width="9.28515625" style="273" customWidth="1"/>
    <col min="4412" max="4412" width="9.42578125" style="273" customWidth="1"/>
    <col min="4413" max="4413" width="9" style="273" customWidth="1"/>
    <col min="4414" max="4414" width="8.7109375" style="273" customWidth="1"/>
    <col min="4415" max="4416" width="9.140625" style="273" customWidth="1"/>
    <col min="4417" max="4417" width="8.85546875" style="273" customWidth="1"/>
    <col min="4418" max="4418" width="9.42578125" style="273" customWidth="1"/>
    <col min="4419" max="4420" width="9.140625" style="273" customWidth="1"/>
    <col min="4421" max="4444" width="0" style="273" hidden="1" customWidth="1"/>
    <col min="4445" max="4644" width="12.5703125" style="273"/>
    <col min="4645" max="4645" width="33.5703125" style="273" customWidth="1"/>
    <col min="4646" max="4646" width="9" style="273" customWidth="1"/>
    <col min="4647" max="4647" width="8.42578125" style="273" customWidth="1"/>
    <col min="4648" max="4649" width="8.140625" style="273" customWidth="1"/>
    <col min="4650" max="4650" width="7.42578125" style="273" customWidth="1"/>
    <col min="4651" max="4651" width="8.28515625" style="273" customWidth="1"/>
    <col min="4652" max="4652" width="8.42578125" style="273" customWidth="1"/>
    <col min="4653" max="4653" width="8.85546875" style="273" customWidth="1"/>
    <col min="4654" max="4654" width="8.7109375" style="273" customWidth="1"/>
    <col min="4655" max="4655" width="8.140625" style="273" customWidth="1"/>
    <col min="4656" max="4656" width="9.42578125" style="273" customWidth="1"/>
    <col min="4657" max="4657" width="9.28515625" style="273" customWidth="1"/>
    <col min="4658" max="4658" width="9.42578125" style="273" customWidth="1"/>
    <col min="4659" max="4659" width="10.140625" style="273" customWidth="1"/>
    <col min="4660" max="4660" width="9.5703125" style="273" customWidth="1"/>
    <col min="4661" max="4661" width="8.85546875" style="273" customWidth="1"/>
    <col min="4662" max="4662" width="8.140625" style="273" customWidth="1"/>
    <col min="4663" max="4663" width="9.140625" style="273" customWidth="1"/>
    <col min="4664" max="4664" width="9.5703125" style="273" customWidth="1"/>
    <col min="4665" max="4665" width="8.85546875" style="273" customWidth="1"/>
    <col min="4666" max="4666" width="8.5703125" style="273" customWidth="1"/>
    <col min="4667" max="4667" width="9.28515625" style="273" customWidth="1"/>
    <col min="4668" max="4668" width="9.42578125" style="273" customWidth="1"/>
    <col min="4669" max="4669" width="9" style="273" customWidth="1"/>
    <col min="4670" max="4670" width="8.7109375" style="273" customWidth="1"/>
    <col min="4671" max="4672" width="9.140625" style="273" customWidth="1"/>
    <col min="4673" max="4673" width="8.85546875" style="273" customWidth="1"/>
    <col min="4674" max="4674" width="9.42578125" style="273" customWidth="1"/>
    <col min="4675" max="4676" width="9.140625" style="273" customWidth="1"/>
    <col min="4677" max="4700" width="0" style="273" hidden="1" customWidth="1"/>
    <col min="4701" max="4900" width="12.5703125" style="273"/>
    <col min="4901" max="4901" width="33.5703125" style="273" customWidth="1"/>
    <col min="4902" max="4902" width="9" style="273" customWidth="1"/>
    <col min="4903" max="4903" width="8.42578125" style="273" customWidth="1"/>
    <col min="4904" max="4905" width="8.140625" style="273" customWidth="1"/>
    <col min="4906" max="4906" width="7.42578125" style="273" customWidth="1"/>
    <col min="4907" max="4907" width="8.28515625" style="273" customWidth="1"/>
    <col min="4908" max="4908" width="8.42578125" style="273" customWidth="1"/>
    <col min="4909" max="4909" width="8.85546875" style="273" customWidth="1"/>
    <col min="4910" max="4910" width="8.7109375" style="273" customWidth="1"/>
    <col min="4911" max="4911" width="8.140625" style="273" customWidth="1"/>
    <col min="4912" max="4912" width="9.42578125" style="273" customWidth="1"/>
    <col min="4913" max="4913" width="9.28515625" style="273" customWidth="1"/>
    <col min="4914" max="4914" width="9.42578125" style="273" customWidth="1"/>
    <col min="4915" max="4915" width="10.140625" style="273" customWidth="1"/>
    <col min="4916" max="4916" width="9.5703125" style="273" customWidth="1"/>
    <col min="4917" max="4917" width="8.85546875" style="273" customWidth="1"/>
    <col min="4918" max="4918" width="8.140625" style="273" customWidth="1"/>
    <col min="4919" max="4919" width="9.140625" style="273" customWidth="1"/>
    <col min="4920" max="4920" width="9.5703125" style="273" customWidth="1"/>
    <col min="4921" max="4921" width="8.85546875" style="273" customWidth="1"/>
    <col min="4922" max="4922" width="8.5703125" style="273" customWidth="1"/>
    <col min="4923" max="4923" width="9.28515625" style="273" customWidth="1"/>
    <col min="4924" max="4924" width="9.42578125" style="273" customWidth="1"/>
    <col min="4925" max="4925" width="9" style="273" customWidth="1"/>
    <col min="4926" max="4926" width="8.7109375" style="273" customWidth="1"/>
    <col min="4927" max="4928" width="9.140625" style="273" customWidth="1"/>
    <col min="4929" max="4929" width="8.85546875" style="273" customWidth="1"/>
    <col min="4930" max="4930" width="9.42578125" style="273" customWidth="1"/>
    <col min="4931" max="4932" width="9.140625" style="273" customWidth="1"/>
    <col min="4933" max="4956" width="0" style="273" hidden="1" customWidth="1"/>
    <col min="4957" max="5156" width="12.5703125" style="273"/>
    <col min="5157" max="5157" width="33.5703125" style="273" customWidth="1"/>
    <col min="5158" max="5158" width="9" style="273" customWidth="1"/>
    <col min="5159" max="5159" width="8.42578125" style="273" customWidth="1"/>
    <col min="5160" max="5161" width="8.140625" style="273" customWidth="1"/>
    <col min="5162" max="5162" width="7.42578125" style="273" customWidth="1"/>
    <col min="5163" max="5163" width="8.28515625" style="273" customWidth="1"/>
    <col min="5164" max="5164" width="8.42578125" style="273" customWidth="1"/>
    <col min="5165" max="5165" width="8.85546875" style="273" customWidth="1"/>
    <col min="5166" max="5166" width="8.7109375" style="273" customWidth="1"/>
    <col min="5167" max="5167" width="8.140625" style="273" customWidth="1"/>
    <col min="5168" max="5168" width="9.42578125" style="273" customWidth="1"/>
    <col min="5169" max="5169" width="9.28515625" style="273" customWidth="1"/>
    <col min="5170" max="5170" width="9.42578125" style="273" customWidth="1"/>
    <col min="5171" max="5171" width="10.140625" style="273" customWidth="1"/>
    <col min="5172" max="5172" width="9.5703125" style="273" customWidth="1"/>
    <col min="5173" max="5173" width="8.85546875" style="273" customWidth="1"/>
    <col min="5174" max="5174" width="8.140625" style="273" customWidth="1"/>
    <col min="5175" max="5175" width="9.140625" style="273" customWidth="1"/>
    <col min="5176" max="5176" width="9.5703125" style="273" customWidth="1"/>
    <col min="5177" max="5177" width="8.85546875" style="273" customWidth="1"/>
    <col min="5178" max="5178" width="8.5703125" style="273" customWidth="1"/>
    <col min="5179" max="5179" width="9.28515625" style="273" customWidth="1"/>
    <col min="5180" max="5180" width="9.42578125" style="273" customWidth="1"/>
    <col min="5181" max="5181" width="9" style="273" customWidth="1"/>
    <col min="5182" max="5182" width="8.7109375" style="273" customWidth="1"/>
    <col min="5183" max="5184" width="9.140625" style="273" customWidth="1"/>
    <col min="5185" max="5185" width="8.85546875" style="273" customWidth="1"/>
    <col min="5186" max="5186" width="9.42578125" style="273" customWidth="1"/>
    <col min="5187" max="5188" width="9.140625" style="273" customWidth="1"/>
    <col min="5189" max="5212" width="0" style="273" hidden="1" customWidth="1"/>
    <col min="5213" max="5412" width="12.5703125" style="273"/>
    <col min="5413" max="5413" width="33.5703125" style="273" customWidth="1"/>
    <col min="5414" max="5414" width="9" style="273" customWidth="1"/>
    <col min="5415" max="5415" width="8.42578125" style="273" customWidth="1"/>
    <col min="5416" max="5417" width="8.140625" style="273" customWidth="1"/>
    <col min="5418" max="5418" width="7.42578125" style="273" customWidth="1"/>
    <col min="5419" max="5419" width="8.28515625" style="273" customWidth="1"/>
    <col min="5420" max="5420" width="8.42578125" style="273" customWidth="1"/>
    <col min="5421" max="5421" width="8.85546875" style="273" customWidth="1"/>
    <col min="5422" max="5422" width="8.7109375" style="273" customWidth="1"/>
    <col min="5423" max="5423" width="8.140625" style="273" customWidth="1"/>
    <col min="5424" max="5424" width="9.42578125" style="273" customWidth="1"/>
    <col min="5425" max="5425" width="9.28515625" style="273" customWidth="1"/>
    <col min="5426" max="5426" width="9.42578125" style="273" customWidth="1"/>
    <col min="5427" max="5427" width="10.140625" style="273" customWidth="1"/>
    <col min="5428" max="5428" width="9.5703125" style="273" customWidth="1"/>
    <col min="5429" max="5429" width="8.85546875" style="273" customWidth="1"/>
    <col min="5430" max="5430" width="8.140625" style="273" customWidth="1"/>
    <col min="5431" max="5431" width="9.140625" style="273" customWidth="1"/>
    <col min="5432" max="5432" width="9.5703125" style="273" customWidth="1"/>
    <col min="5433" max="5433" width="8.85546875" style="273" customWidth="1"/>
    <col min="5434" max="5434" width="8.5703125" style="273" customWidth="1"/>
    <col min="5435" max="5435" width="9.28515625" style="273" customWidth="1"/>
    <col min="5436" max="5436" width="9.42578125" style="273" customWidth="1"/>
    <col min="5437" max="5437" width="9" style="273" customWidth="1"/>
    <col min="5438" max="5438" width="8.7109375" style="273" customWidth="1"/>
    <col min="5439" max="5440" width="9.140625" style="273" customWidth="1"/>
    <col min="5441" max="5441" width="8.85546875" style="273" customWidth="1"/>
    <col min="5442" max="5442" width="9.42578125" style="273" customWidth="1"/>
    <col min="5443" max="5444" width="9.140625" style="273" customWidth="1"/>
    <col min="5445" max="5468" width="0" style="273" hidden="1" customWidth="1"/>
    <col min="5469" max="5668" width="12.5703125" style="273"/>
    <col min="5669" max="5669" width="33.5703125" style="273" customWidth="1"/>
    <col min="5670" max="5670" width="9" style="273" customWidth="1"/>
    <col min="5671" max="5671" width="8.42578125" style="273" customWidth="1"/>
    <col min="5672" max="5673" width="8.140625" style="273" customWidth="1"/>
    <col min="5674" max="5674" width="7.42578125" style="273" customWidth="1"/>
    <col min="5675" max="5675" width="8.28515625" style="273" customWidth="1"/>
    <col min="5676" max="5676" width="8.42578125" style="273" customWidth="1"/>
    <col min="5677" max="5677" width="8.85546875" style="273" customWidth="1"/>
    <col min="5678" max="5678" width="8.7109375" style="273" customWidth="1"/>
    <col min="5679" max="5679" width="8.140625" style="273" customWidth="1"/>
    <col min="5680" max="5680" width="9.42578125" style="273" customWidth="1"/>
    <col min="5681" max="5681" width="9.28515625" style="273" customWidth="1"/>
    <col min="5682" max="5682" width="9.42578125" style="273" customWidth="1"/>
    <col min="5683" max="5683" width="10.140625" style="273" customWidth="1"/>
    <col min="5684" max="5684" width="9.5703125" style="273" customWidth="1"/>
    <col min="5685" max="5685" width="8.85546875" style="273" customWidth="1"/>
    <col min="5686" max="5686" width="8.140625" style="273" customWidth="1"/>
    <col min="5687" max="5687" width="9.140625" style="273" customWidth="1"/>
    <col min="5688" max="5688" width="9.5703125" style="273" customWidth="1"/>
    <col min="5689" max="5689" width="8.85546875" style="273" customWidth="1"/>
    <col min="5690" max="5690" width="8.5703125" style="273" customWidth="1"/>
    <col min="5691" max="5691" width="9.28515625" style="273" customWidth="1"/>
    <col min="5692" max="5692" width="9.42578125" style="273" customWidth="1"/>
    <col min="5693" max="5693" width="9" style="273" customWidth="1"/>
    <col min="5694" max="5694" width="8.7109375" style="273" customWidth="1"/>
    <col min="5695" max="5696" width="9.140625" style="273" customWidth="1"/>
    <col min="5697" max="5697" width="8.85546875" style="273" customWidth="1"/>
    <col min="5698" max="5698" width="9.42578125" style="273" customWidth="1"/>
    <col min="5699" max="5700" width="9.140625" style="273" customWidth="1"/>
    <col min="5701" max="5724" width="0" style="273" hidden="1" customWidth="1"/>
    <col min="5725" max="5924" width="12.5703125" style="273"/>
    <col min="5925" max="5925" width="33.5703125" style="273" customWidth="1"/>
    <col min="5926" max="5926" width="9" style="273" customWidth="1"/>
    <col min="5927" max="5927" width="8.42578125" style="273" customWidth="1"/>
    <col min="5928" max="5929" width="8.140625" style="273" customWidth="1"/>
    <col min="5930" max="5930" width="7.42578125" style="273" customWidth="1"/>
    <col min="5931" max="5931" width="8.28515625" style="273" customWidth="1"/>
    <col min="5932" max="5932" width="8.42578125" style="273" customWidth="1"/>
    <col min="5933" max="5933" width="8.85546875" style="273" customWidth="1"/>
    <col min="5934" max="5934" width="8.7109375" style="273" customWidth="1"/>
    <col min="5935" max="5935" width="8.140625" style="273" customWidth="1"/>
    <col min="5936" max="5936" width="9.42578125" style="273" customWidth="1"/>
    <col min="5937" max="5937" width="9.28515625" style="273" customWidth="1"/>
    <col min="5938" max="5938" width="9.42578125" style="273" customWidth="1"/>
    <col min="5939" max="5939" width="10.140625" style="273" customWidth="1"/>
    <col min="5940" max="5940" width="9.5703125" style="273" customWidth="1"/>
    <col min="5941" max="5941" width="8.85546875" style="273" customWidth="1"/>
    <col min="5942" max="5942" width="8.140625" style="273" customWidth="1"/>
    <col min="5943" max="5943" width="9.140625" style="273" customWidth="1"/>
    <col min="5944" max="5944" width="9.5703125" style="273" customWidth="1"/>
    <col min="5945" max="5945" width="8.85546875" style="273" customWidth="1"/>
    <col min="5946" max="5946" width="8.5703125" style="273" customWidth="1"/>
    <col min="5947" max="5947" width="9.28515625" style="273" customWidth="1"/>
    <col min="5948" max="5948" width="9.42578125" style="273" customWidth="1"/>
    <col min="5949" max="5949" width="9" style="273" customWidth="1"/>
    <col min="5950" max="5950" width="8.7109375" style="273" customWidth="1"/>
    <col min="5951" max="5952" width="9.140625" style="273" customWidth="1"/>
    <col min="5953" max="5953" width="8.85546875" style="273" customWidth="1"/>
    <col min="5954" max="5954" width="9.42578125" style="273" customWidth="1"/>
    <col min="5955" max="5956" width="9.140625" style="273" customWidth="1"/>
    <col min="5957" max="5980" width="0" style="273" hidden="1" customWidth="1"/>
    <col min="5981" max="6180" width="12.5703125" style="273"/>
    <col min="6181" max="6181" width="33.5703125" style="273" customWidth="1"/>
    <col min="6182" max="6182" width="9" style="273" customWidth="1"/>
    <col min="6183" max="6183" width="8.42578125" style="273" customWidth="1"/>
    <col min="6184" max="6185" width="8.140625" style="273" customWidth="1"/>
    <col min="6186" max="6186" width="7.42578125" style="273" customWidth="1"/>
    <col min="6187" max="6187" width="8.28515625" style="273" customWidth="1"/>
    <col min="6188" max="6188" width="8.42578125" style="273" customWidth="1"/>
    <col min="6189" max="6189" width="8.85546875" style="273" customWidth="1"/>
    <col min="6190" max="6190" width="8.7109375" style="273" customWidth="1"/>
    <col min="6191" max="6191" width="8.140625" style="273" customWidth="1"/>
    <col min="6192" max="6192" width="9.42578125" style="273" customWidth="1"/>
    <col min="6193" max="6193" width="9.28515625" style="273" customWidth="1"/>
    <col min="6194" max="6194" width="9.42578125" style="273" customWidth="1"/>
    <col min="6195" max="6195" width="10.140625" style="273" customWidth="1"/>
    <col min="6196" max="6196" width="9.5703125" style="273" customWidth="1"/>
    <col min="6197" max="6197" width="8.85546875" style="273" customWidth="1"/>
    <col min="6198" max="6198" width="8.140625" style="273" customWidth="1"/>
    <col min="6199" max="6199" width="9.140625" style="273" customWidth="1"/>
    <col min="6200" max="6200" width="9.5703125" style="273" customWidth="1"/>
    <col min="6201" max="6201" width="8.85546875" style="273" customWidth="1"/>
    <col min="6202" max="6202" width="8.5703125" style="273" customWidth="1"/>
    <col min="6203" max="6203" width="9.28515625" style="273" customWidth="1"/>
    <col min="6204" max="6204" width="9.42578125" style="273" customWidth="1"/>
    <col min="6205" max="6205" width="9" style="273" customWidth="1"/>
    <col min="6206" max="6206" width="8.7109375" style="273" customWidth="1"/>
    <col min="6207" max="6208" width="9.140625" style="273" customWidth="1"/>
    <col min="6209" max="6209" width="8.85546875" style="273" customWidth="1"/>
    <col min="6210" max="6210" width="9.42578125" style="273" customWidth="1"/>
    <col min="6211" max="6212" width="9.140625" style="273" customWidth="1"/>
    <col min="6213" max="6236" width="0" style="273" hidden="1" customWidth="1"/>
    <col min="6237" max="6436" width="12.5703125" style="273"/>
    <col min="6437" max="6437" width="33.5703125" style="273" customWidth="1"/>
    <col min="6438" max="6438" width="9" style="273" customWidth="1"/>
    <col min="6439" max="6439" width="8.42578125" style="273" customWidth="1"/>
    <col min="6440" max="6441" width="8.140625" style="273" customWidth="1"/>
    <col min="6442" max="6442" width="7.42578125" style="273" customWidth="1"/>
    <col min="6443" max="6443" width="8.28515625" style="273" customWidth="1"/>
    <col min="6444" max="6444" width="8.42578125" style="273" customWidth="1"/>
    <col min="6445" max="6445" width="8.85546875" style="273" customWidth="1"/>
    <col min="6446" max="6446" width="8.7109375" style="273" customWidth="1"/>
    <col min="6447" max="6447" width="8.140625" style="273" customWidth="1"/>
    <col min="6448" max="6448" width="9.42578125" style="273" customWidth="1"/>
    <col min="6449" max="6449" width="9.28515625" style="273" customWidth="1"/>
    <col min="6450" max="6450" width="9.42578125" style="273" customWidth="1"/>
    <col min="6451" max="6451" width="10.140625" style="273" customWidth="1"/>
    <col min="6452" max="6452" width="9.5703125" style="273" customWidth="1"/>
    <col min="6453" max="6453" width="8.85546875" style="273" customWidth="1"/>
    <col min="6454" max="6454" width="8.140625" style="273" customWidth="1"/>
    <col min="6455" max="6455" width="9.140625" style="273" customWidth="1"/>
    <col min="6456" max="6456" width="9.5703125" style="273" customWidth="1"/>
    <col min="6457" max="6457" width="8.85546875" style="273" customWidth="1"/>
    <col min="6458" max="6458" width="8.5703125" style="273" customWidth="1"/>
    <col min="6459" max="6459" width="9.28515625" style="273" customWidth="1"/>
    <col min="6460" max="6460" width="9.42578125" style="273" customWidth="1"/>
    <col min="6461" max="6461" width="9" style="273" customWidth="1"/>
    <col min="6462" max="6462" width="8.7109375" style="273" customWidth="1"/>
    <col min="6463" max="6464" width="9.140625" style="273" customWidth="1"/>
    <col min="6465" max="6465" width="8.85546875" style="273" customWidth="1"/>
    <col min="6466" max="6466" width="9.42578125" style="273" customWidth="1"/>
    <col min="6467" max="6468" width="9.140625" style="273" customWidth="1"/>
    <col min="6469" max="6492" width="0" style="273" hidden="1" customWidth="1"/>
    <col min="6493" max="6692" width="12.5703125" style="273"/>
    <col min="6693" max="6693" width="33.5703125" style="273" customWidth="1"/>
    <col min="6694" max="6694" width="9" style="273" customWidth="1"/>
    <col min="6695" max="6695" width="8.42578125" style="273" customWidth="1"/>
    <col min="6696" max="6697" width="8.140625" style="273" customWidth="1"/>
    <col min="6698" max="6698" width="7.42578125" style="273" customWidth="1"/>
    <col min="6699" max="6699" width="8.28515625" style="273" customWidth="1"/>
    <col min="6700" max="6700" width="8.42578125" style="273" customWidth="1"/>
    <col min="6701" max="6701" width="8.85546875" style="273" customWidth="1"/>
    <col min="6702" max="6702" width="8.7109375" style="273" customWidth="1"/>
    <col min="6703" max="6703" width="8.140625" style="273" customWidth="1"/>
    <col min="6704" max="6704" width="9.42578125" style="273" customWidth="1"/>
    <col min="6705" max="6705" width="9.28515625" style="273" customWidth="1"/>
    <col min="6706" max="6706" width="9.42578125" style="273" customWidth="1"/>
    <col min="6707" max="6707" width="10.140625" style="273" customWidth="1"/>
    <col min="6708" max="6708" width="9.5703125" style="273" customWidth="1"/>
    <col min="6709" max="6709" width="8.85546875" style="273" customWidth="1"/>
    <col min="6710" max="6710" width="8.140625" style="273" customWidth="1"/>
    <col min="6711" max="6711" width="9.140625" style="273" customWidth="1"/>
    <col min="6712" max="6712" width="9.5703125" style="273" customWidth="1"/>
    <col min="6713" max="6713" width="8.85546875" style="273" customWidth="1"/>
    <col min="6714" max="6714" width="8.5703125" style="273" customWidth="1"/>
    <col min="6715" max="6715" width="9.28515625" style="273" customWidth="1"/>
    <col min="6716" max="6716" width="9.42578125" style="273" customWidth="1"/>
    <col min="6717" max="6717" width="9" style="273" customWidth="1"/>
    <col min="6718" max="6718" width="8.7109375" style="273" customWidth="1"/>
    <col min="6719" max="6720" width="9.140625" style="273" customWidth="1"/>
    <col min="6721" max="6721" width="8.85546875" style="273" customWidth="1"/>
    <col min="6722" max="6722" width="9.42578125" style="273" customWidth="1"/>
    <col min="6723" max="6724" width="9.140625" style="273" customWidth="1"/>
    <col min="6725" max="6748" width="0" style="273" hidden="1" customWidth="1"/>
    <col min="6749" max="6948" width="12.5703125" style="273"/>
    <col min="6949" max="6949" width="33.5703125" style="273" customWidth="1"/>
    <col min="6950" max="6950" width="9" style="273" customWidth="1"/>
    <col min="6951" max="6951" width="8.42578125" style="273" customWidth="1"/>
    <col min="6952" max="6953" width="8.140625" style="273" customWidth="1"/>
    <col min="6954" max="6954" width="7.42578125" style="273" customWidth="1"/>
    <col min="6955" max="6955" width="8.28515625" style="273" customWidth="1"/>
    <col min="6956" max="6956" width="8.42578125" style="273" customWidth="1"/>
    <col min="6957" max="6957" width="8.85546875" style="273" customWidth="1"/>
    <col min="6958" max="6958" width="8.7109375" style="273" customWidth="1"/>
    <col min="6959" max="6959" width="8.140625" style="273" customWidth="1"/>
    <col min="6960" max="6960" width="9.42578125" style="273" customWidth="1"/>
    <col min="6961" max="6961" width="9.28515625" style="273" customWidth="1"/>
    <col min="6962" max="6962" width="9.42578125" style="273" customWidth="1"/>
    <col min="6963" max="6963" width="10.140625" style="273" customWidth="1"/>
    <col min="6964" max="6964" width="9.5703125" style="273" customWidth="1"/>
    <col min="6965" max="6965" width="8.85546875" style="273" customWidth="1"/>
    <col min="6966" max="6966" width="8.140625" style="273" customWidth="1"/>
    <col min="6967" max="6967" width="9.140625" style="273" customWidth="1"/>
    <col min="6968" max="6968" width="9.5703125" style="273" customWidth="1"/>
    <col min="6969" max="6969" width="8.85546875" style="273" customWidth="1"/>
    <col min="6970" max="6970" width="8.5703125" style="273" customWidth="1"/>
    <col min="6971" max="6971" width="9.28515625" style="273" customWidth="1"/>
    <col min="6972" max="6972" width="9.42578125" style="273" customWidth="1"/>
    <col min="6973" max="6973" width="9" style="273" customWidth="1"/>
    <col min="6974" max="6974" width="8.7109375" style="273" customWidth="1"/>
    <col min="6975" max="6976" width="9.140625" style="273" customWidth="1"/>
    <col min="6977" max="6977" width="8.85546875" style="273" customWidth="1"/>
    <col min="6978" max="6978" width="9.42578125" style="273" customWidth="1"/>
    <col min="6979" max="6980" width="9.140625" style="273" customWidth="1"/>
    <col min="6981" max="7004" width="0" style="273" hidden="1" customWidth="1"/>
    <col min="7005" max="7204" width="12.5703125" style="273"/>
    <col min="7205" max="7205" width="33.5703125" style="273" customWidth="1"/>
    <col min="7206" max="7206" width="9" style="273" customWidth="1"/>
    <col min="7207" max="7207" width="8.42578125" style="273" customWidth="1"/>
    <col min="7208" max="7209" width="8.140625" style="273" customWidth="1"/>
    <col min="7210" max="7210" width="7.42578125" style="273" customWidth="1"/>
    <col min="7211" max="7211" width="8.28515625" style="273" customWidth="1"/>
    <col min="7212" max="7212" width="8.42578125" style="273" customWidth="1"/>
    <col min="7213" max="7213" width="8.85546875" style="273" customWidth="1"/>
    <col min="7214" max="7214" width="8.7109375" style="273" customWidth="1"/>
    <col min="7215" max="7215" width="8.140625" style="273" customWidth="1"/>
    <col min="7216" max="7216" width="9.42578125" style="273" customWidth="1"/>
    <col min="7217" max="7217" width="9.28515625" style="273" customWidth="1"/>
    <col min="7218" max="7218" width="9.42578125" style="273" customWidth="1"/>
    <col min="7219" max="7219" width="10.140625" style="273" customWidth="1"/>
    <col min="7220" max="7220" width="9.5703125" style="273" customWidth="1"/>
    <col min="7221" max="7221" width="8.85546875" style="273" customWidth="1"/>
    <col min="7222" max="7222" width="8.140625" style="273" customWidth="1"/>
    <col min="7223" max="7223" width="9.140625" style="273" customWidth="1"/>
    <col min="7224" max="7224" width="9.5703125" style="273" customWidth="1"/>
    <col min="7225" max="7225" width="8.85546875" style="273" customWidth="1"/>
    <col min="7226" max="7226" width="8.5703125" style="273" customWidth="1"/>
    <col min="7227" max="7227" width="9.28515625" style="273" customWidth="1"/>
    <col min="7228" max="7228" width="9.42578125" style="273" customWidth="1"/>
    <col min="7229" max="7229" width="9" style="273" customWidth="1"/>
    <col min="7230" max="7230" width="8.7109375" style="273" customWidth="1"/>
    <col min="7231" max="7232" width="9.140625" style="273" customWidth="1"/>
    <col min="7233" max="7233" width="8.85546875" style="273" customWidth="1"/>
    <col min="7234" max="7234" width="9.42578125" style="273" customWidth="1"/>
    <col min="7235" max="7236" width="9.140625" style="273" customWidth="1"/>
    <col min="7237" max="7260" width="0" style="273" hidden="1" customWidth="1"/>
    <col min="7261" max="7460" width="12.5703125" style="273"/>
    <col min="7461" max="7461" width="33.5703125" style="273" customWidth="1"/>
    <col min="7462" max="7462" width="9" style="273" customWidth="1"/>
    <col min="7463" max="7463" width="8.42578125" style="273" customWidth="1"/>
    <col min="7464" max="7465" width="8.140625" style="273" customWidth="1"/>
    <col min="7466" max="7466" width="7.42578125" style="273" customWidth="1"/>
    <col min="7467" max="7467" width="8.28515625" style="273" customWidth="1"/>
    <col min="7468" max="7468" width="8.42578125" style="273" customWidth="1"/>
    <col min="7469" max="7469" width="8.85546875" style="273" customWidth="1"/>
    <col min="7470" max="7470" width="8.7109375" style="273" customWidth="1"/>
    <col min="7471" max="7471" width="8.140625" style="273" customWidth="1"/>
    <col min="7472" max="7472" width="9.42578125" style="273" customWidth="1"/>
    <col min="7473" max="7473" width="9.28515625" style="273" customWidth="1"/>
    <col min="7474" max="7474" width="9.42578125" style="273" customWidth="1"/>
    <col min="7475" max="7475" width="10.140625" style="273" customWidth="1"/>
    <col min="7476" max="7476" width="9.5703125" style="273" customWidth="1"/>
    <col min="7477" max="7477" width="8.85546875" style="273" customWidth="1"/>
    <col min="7478" max="7478" width="8.140625" style="273" customWidth="1"/>
    <col min="7479" max="7479" width="9.140625" style="273" customWidth="1"/>
    <col min="7480" max="7480" width="9.5703125" style="273" customWidth="1"/>
    <col min="7481" max="7481" width="8.85546875" style="273" customWidth="1"/>
    <col min="7482" max="7482" width="8.5703125" style="273" customWidth="1"/>
    <col min="7483" max="7483" width="9.28515625" style="273" customWidth="1"/>
    <col min="7484" max="7484" width="9.42578125" style="273" customWidth="1"/>
    <col min="7485" max="7485" width="9" style="273" customWidth="1"/>
    <col min="7486" max="7486" width="8.7109375" style="273" customWidth="1"/>
    <col min="7487" max="7488" width="9.140625" style="273" customWidth="1"/>
    <col min="7489" max="7489" width="8.85546875" style="273" customWidth="1"/>
    <col min="7490" max="7490" width="9.42578125" style="273" customWidth="1"/>
    <col min="7491" max="7492" width="9.140625" style="273" customWidth="1"/>
    <col min="7493" max="7516" width="0" style="273" hidden="1" customWidth="1"/>
    <col min="7517" max="7716" width="12.5703125" style="273"/>
    <col min="7717" max="7717" width="33.5703125" style="273" customWidth="1"/>
    <col min="7718" max="7718" width="9" style="273" customWidth="1"/>
    <col min="7719" max="7719" width="8.42578125" style="273" customWidth="1"/>
    <col min="7720" max="7721" width="8.140625" style="273" customWidth="1"/>
    <col min="7722" max="7722" width="7.42578125" style="273" customWidth="1"/>
    <col min="7723" max="7723" width="8.28515625" style="273" customWidth="1"/>
    <col min="7724" max="7724" width="8.42578125" style="273" customWidth="1"/>
    <col min="7725" max="7725" width="8.85546875" style="273" customWidth="1"/>
    <col min="7726" max="7726" width="8.7109375" style="273" customWidth="1"/>
    <col min="7727" max="7727" width="8.140625" style="273" customWidth="1"/>
    <col min="7728" max="7728" width="9.42578125" style="273" customWidth="1"/>
    <col min="7729" max="7729" width="9.28515625" style="273" customWidth="1"/>
    <col min="7730" max="7730" width="9.42578125" style="273" customWidth="1"/>
    <col min="7731" max="7731" width="10.140625" style="273" customWidth="1"/>
    <col min="7732" max="7732" width="9.5703125" style="273" customWidth="1"/>
    <col min="7733" max="7733" width="8.85546875" style="273" customWidth="1"/>
    <col min="7734" max="7734" width="8.140625" style="273" customWidth="1"/>
    <col min="7735" max="7735" width="9.140625" style="273" customWidth="1"/>
    <col min="7736" max="7736" width="9.5703125" style="273" customWidth="1"/>
    <col min="7737" max="7737" width="8.85546875" style="273" customWidth="1"/>
    <col min="7738" max="7738" width="8.5703125" style="273" customWidth="1"/>
    <col min="7739" max="7739" width="9.28515625" style="273" customWidth="1"/>
    <col min="7740" max="7740" width="9.42578125" style="273" customWidth="1"/>
    <col min="7741" max="7741" width="9" style="273" customWidth="1"/>
    <col min="7742" max="7742" width="8.7109375" style="273" customWidth="1"/>
    <col min="7743" max="7744" width="9.140625" style="273" customWidth="1"/>
    <col min="7745" max="7745" width="8.85546875" style="273" customWidth="1"/>
    <col min="7746" max="7746" width="9.42578125" style="273" customWidth="1"/>
    <col min="7747" max="7748" width="9.140625" style="273" customWidth="1"/>
    <col min="7749" max="7772" width="0" style="273" hidden="1" customWidth="1"/>
    <col min="7773" max="7972" width="12.5703125" style="273"/>
    <col min="7973" max="7973" width="33.5703125" style="273" customWidth="1"/>
    <col min="7974" max="7974" width="9" style="273" customWidth="1"/>
    <col min="7975" max="7975" width="8.42578125" style="273" customWidth="1"/>
    <col min="7976" max="7977" width="8.140625" style="273" customWidth="1"/>
    <col min="7978" max="7978" width="7.42578125" style="273" customWidth="1"/>
    <col min="7979" max="7979" width="8.28515625" style="273" customWidth="1"/>
    <col min="7980" max="7980" width="8.42578125" style="273" customWidth="1"/>
    <col min="7981" max="7981" width="8.85546875" style="273" customWidth="1"/>
    <col min="7982" max="7982" width="8.7109375" style="273" customWidth="1"/>
    <col min="7983" max="7983" width="8.140625" style="273" customWidth="1"/>
    <col min="7984" max="7984" width="9.42578125" style="273" customWidth="1"/>
    <col min="7985" max="7985" width="9.28515625" style="273" customWidth="1"/>
    <col min="7986" max="7986" width="9.42578125" style="273" customWidth="1"/>
    <col min="7987" max="7987" width="10.140625" style="273" customWidth="1"/>
    <col min="7988" max="7988" width="9.5703125" style="273" customWidth="1"/>
    <col min="7989" max="7989" width="8.85546875" style="273" customWidth="1"/>
    <col min="7990" max="7990" width="8.140625" style="273" customWidth="1"/>
    <col min="7991" max="7991" width="9.140625" style="273" customWidth="1"/>
    <col min="7992" max="7992" width="9.5703125" style="273" customWidth="1"/>
    <col min="7993" max="7993" width="8.85546875" style="273" customWidth="1"/>
    <col min="7994" max="7994" width="8.5703125" style="273" customWidth="1"/>
    <col min="7995" max="7995" width="9.28515625" style="273" customWidth="1"/>
    <col min="7996" max="7996" width="9.42578125" style="273" customWidth="1"/>
    <col min="7997" max="7997" width="9" style="273" customWidth="1"/>
    <col min="7998" max="7998" width="8.7109375" style="273" customWidth="1"/>
    <col min="7999" max="8000" width="9.140625" style="273" customWidth="1"/>
    <col min="8001" max="8001" width="8.85546875" style="273" customWidth="1"/>
    <col min="8002" max="8002" width="9.42578125" style="273" customWidth="1"/>
    <col min="8003" max="8004" width="9.140625" style="273" customWidth="1"/>
    <col min="8005" max="8028" width="0" style="273" hidden="1" customWidth="1"/>
    <col min="8029" max="8228" width="12.5703125" style="273"/>
    <col min="8229" max="8229" width="33.5703125" style="273" customWidth="1"/>
    <col min="8230" max="8230" width="9" style="273" customWidth="1"/>
    <col min="8231" max="8231" width="8.42578125" style="273" customWidth="1"/>
    <col min="8232" max="8233" width="8.140625" style="273" customWidth="1"/>
    <col min="8234" max="8234" width="7.42578125" style="273" customWidth="1"/>
    <col min="8235" max="8235" width="8.28515625" style="273" customWidth="1"/>
    <col min="8236" max="8236" width="8.42578125" style="273" customWidth="1"/>
    <col min="8237" max="8237" width="8.85546875" style="273" customWidth="1"/>
    <col min="8238" max="8238" width="8.7109375" style="273" customWidth="1"/>
    <col min="8239" max="8239" width="8.140625" style="273" customWidth="1"/>
    <col min="8240" max="8240" width="9.42578125" style="273" customWidth="1"/>
    <col min="8241" max="8241" width="9.28515625" style="273" customWidth="1"/>
    <col min="8242" max="8242" width="9.42578125" style="273" customWidth="1"/>
    <col min="8243" max="8243" width="10.140625" style="273" customWidth="1"/>
    <col min="8244" max="8244" width="9.5703125" style="273" customWidth="1"/>
    <col min="8245" max="8245" width="8.85546875" style="273" customWidth="1"/>
    <col min="8246" max="8246" width="8.140625" style="273" customWidth="1"/>
    <col min="8247" max="8247" width="9.140625" style="273" customWidth="1"/>
    <col min="8248" max="8248" width="9.5703125" style="273" customWidth="1"/>
    <col min="8249" max="8249" width="8.85546875" style="273" customWidth="1"/>
    <col min="8250" max="8250" width="8.5703125" style="273" customWidth="1"/>
    <col min="8251" max="8251" width="9.28515625" style="273" customWidth="1"/>
    <col min="8252" max="8252" width="9.42578125" style="273" customWidth="1"/>
    <col min="8253" max="8253" width="9" style="273" customWidth="1"/>
    <col min="8254" max="8254" width="8.7109375" style="273" customWidth="1"/>
    <col min="8255" max="8256" width="9.140625" style="273" customWidth="1"/>
    <col min="8257" max="8257" width="8.85546875" style="273" customWidth="1"/>
    <col min="8258" max="8258" width="9.42578125" style="273" customWidth="1"/>
    <col min="8259" max="8260" width="9.140625" style="273" customWidth="1"/>
    <col min="8261" max="8284" width="0" style="273" hidden="1" customWidth="1"/>
    <col min="8285" max="8484" width="12.5703125" style="273"/>
    <col min="8485" max="8485" width="33.5703125" style="273" customWidth="1"/>
    <col min="8486" max="8486" width="9" style="273" customWidth="1"/>
    <col min="8487" max="8487" width="8.42578125" style="273" customWidth="1"/>
    <col min="8488" max="8489" width="8.140625" style="273" customWidth="1"/>
    <col min="8490" max="8490" width="7.42578125" style="273" customWidth="1"/>
    <col min="8491" max="8491" width="8.28515625" style="273" customWidth="1"/>
    <col min="8492" max="8492" width="8.42578125" style="273" customWidth="1"/>
    <col min="8493" max="8493" width="8.85546875" style="273" customWidth="1"/>
    <col min="8494" max="8494" width="8.7109375" style="273" customWidth="1"/>
    <col min="8495" max="8495" width="8.140625" style="273" customWidth="1"/>
    <col min="8496" max="8496" width="9.42578125" style="273" customWidth="1"/>
    <col min="8497" max="8497" width="9.28515625" style="273" customWidth="1"/>
    <col min="8498" max="8498" width="9.42578125" style="273" customWidth="1"/>
    <col min="8499" max="8499" width="10.140625" style="273" customWidth="1"/>
    <col min="8500" max="8500" width="9.5703125" style="273" customWidth="1"/>
    <col min="8501" max="8501" width="8.85546875" style="273" customWidth="1"/>
    <col min="8502" max="8502" width="8.140625" style="273" customWidth="1"/>
    <col min="8503" max="8503" width="9.140625" style="273" customWidth="1"/>
    <col min="8504" max="8504" width="9.5703125" style="273" customWidth="1"/>
    <col min="8505" max="8505" width="8.85546875" style="273" customWidth="1"/>
    <col min="8506" max="8506" width="8.5703125" style="273" customWidth="1"/>
    <col min="8507" max="8507" width="9.28515625" style="273" customWidth="1"/>
    <col min="8508" max="8508" width="9.42578125" style="273" customWidth="1"/>
    <col min="8509" max="8509" width="9" style="273" customWidth="1"/>
    <col min="8510" max="8510" width="8.7109375" style="273" customWidth="1"/>
    <col min="8511" max="8512" width="9.140625" style="273" customWidth="1"/>
    <col min="8513" max="8513" width="8.85546875" style="273" customWidth="1"/>
    <col min="8514" max="8514" width="9.42578125" style="273" customWidth="1"/>
    <col min="8515" max="8516" width="9.140625" style="273" customWidth="1"/>
    <col min="8517" max="8540" width="0" style="273" hidden="1" customWidth="1"/>
    <col min="8541" max="8740" width="12.5703125" style="273"/>
    <col min="8741" max="8741" width="33.5703125" style="273" customWidth="1"/>
    <col min="8742" max="8742" width="9" style="273" customWidth="1"/>
    <col min="8743" max="8743" width="8.42578125" style="273" customWidth="1"/>
    <col min="8744" max="8745" width="8.140625" style="273" customWidth="1"/>
    <col min="8746" max="8746" width="7.42578125" style="273" customWidth="1"/>
    <col min="8747" max="8747" width="8.28515625" style="273" customWidth="1"/>
    <col min="8748" max="8748" width="8.42578125" style="273" customWidth="1"/>
    <col min="8749" max="8749" width="8.85546875" style="273" customWidth="1"/>
    <col min="8750" max="8750" width="8.7109375" style="273" customWidth="1"/>
    <col min="8751" max="8751" width="8.140625" style="273" customWidth="1"/>
    <col min="8752" max="8752" width="9.42578125" style="273" customWidth="1"/>
    <col min="8753" max="8753" width="9.28515625" style="273" customWidth="1"/>
    <col min="8754" max="8754" width="9.42578125" style="273" customWidth="1"/>
    <col min="8755" max="8755" width="10.140625" style="273" customWidth="1"/>
    <col min="8756" max="8756" width="9.5703125" style="273" customWidth="1"/>
    <col min="8757" max="8757" width="8.85546875" style="273" customWidth="1"/>
    <col min="8758" max="8758" width="8.140625" style="273" customWidth="1"/>
    <col min="8759" max="8759" width="9.140625" style="273" customWidth="1"/>
    <col min="8760" max="8760" width="9.5703125" style="273" customWidth="1"/>
    <col min="8761" max="8761" width="8.85546875" style="273" customWidth="1"/>
    <col min="8762" max="8762" width="8.5703125" style="273" customWidth="1"/>
    <col min="8763" max="8763" width="9.28515625" style="273" customWidth="1"/>
    <col min="8764" max="8764" width="9.42578125" style="273" customWidth="1"/>
    <col min="8765" max="8765" width="9" style="273" customWidth="1"/>
    <col min="8766" max="8766" width="8.7109375" style="273" customWidth="1"/>
    <col min="8767" max="8768" width="9.140625" style="273" customWidth="1"/>
    <col min="8769" max="8769" width="8.85546875" style="273" customWidth="1"/>
    <col min="8770" max="8770" width="9.42578125" style="273" customWidth="1"/>
    <col min="8771" max="8772" width="9.140625" style="273" customWidth="1"/>
    <col min="8773" max="8796" width="0" style="273" hidden="1" customWidth="1"/>
    <col min="8797" max="8996" width="12.5703125" style="273"/>
    <col min="8997" max="8997" width="33.5703125" style="273" customWidth="1"/>
    <col min="8998" max="8998" width="9" style="273" customWidth="1"/>
    <col min="8999" max="8999" width="8.42578125" style="273" customWidth="1"/>
    <col min="9000" max="9001" width="8.140625" style="273" customWidth="1"/>
    <col min="9002" max="9002" width="7.42578125" style="273" customWidth="1"/>
    <col min="9003" max="9003" width="8.28515625" style="273" customWidth="1"/>
    <col min="9004" max="9004" width="8.42578125" style="273" customWidth="1"/>
    <col min="9005" max="9005" width="8.85546875" style="273" customWidth="1"/>
    <col min="9006" max="9006" width="8.7109375" style="273" customWidth="1"/>
    <col min="9007" max="9007" width="8.140625" style="273" customWidth="1"/>
    <col min="9008" max="9008" width="9.42578125" style="273" customWidth="1"/>
    <col min="9009" max="9009" width="9.28515625" style="273" customWidth="1"/>
    <col min="9010" max="9010" width="9.42578125" style="273" customWidth="1"/>
    <col min="9011" max="9011" width="10.140625" style="273" customWidth="1"/>
    <col min="9012" max="9012" width="9.5703125" style="273" customWidth="1"/>
    <col min="9013" max="9013" width="8.85546875" style="273" customWidth="1"/>
    <col min="9014" max="9014" width="8.140625" style="273" customWidth="1"/>
    <col min="9015" max="9015" width="9.140625" style="273" customWidth="1"/>
    <col min="9016" max="9016" width="9.5703125" style="273" customWidth="1"/>
    <col min="9017" max="9017" width="8.85546875" style="273" customWidth="1"/>
    <col min="9018" max="9018" width="8.5703125" style="273" customWidth="1"/>
    <col min="9019" max="9019" width="9.28515625" style="273" customWidth="1"/>
    <col min="9020" max="9020" width="9.42578125" style="273" customWidth="1"/>
    <col min="9021" max="9021" width="9" style="273" customWidth="1"/>
    <col min="9022" max="9022" width="8.7109375" style="273" customWidth="1"/>
    <col min="9023" max="9024" width="9.140625" style="273" customWidth="1"/>
    <col min="9025" max="9025" width="8.85546875" style="273" customWidth="1"/>
    <col min="9026" max="9026" width="9.42578125" style="273" customWidth="1"/>
    <col min="9027" max="9028" width="9.140625" style="273" customWidth="1"/>
    <col min="9029" max="9052" width="0" style="273" hidden="1" customWidth="1"/>
    <col min="9053" max="9252" width="12.5703125" style="273"/>
    <col min="9253" max="9253" width="33.5703125" style="273" customWidth="1"/>
    <col min="9254" max="9254" width="9" style="273" customWidth="1"/>
    <col min="9255" max="9255" width="8.42578125" style="273" customWidth="1"/>
    <col min="9256" max="9257" width="8.140625" style="273" customWidth="1"/>
    <col min="9258" max="9258" width="7.42578125" style="273" customWidth="1"/>
    <col min="9259" max="9259" width="8.28515625" style="273" customWidth="1"/>
    <col min="9260" max="9260" width="8.42578125" style="273" customWidth="1"/>
    <col min="9261" max="9261" width="8.85546875" style="273" customWidth="1"/>
    <col min="9262" max="9262" width="8.7109375" style="273" customWidth="1"/>
    <col min="9263" max="9263" width="8.140625" style="273" customWidth="1"/>
    <col min="9264" max="9264" width="9.42578125" style="273" customWidth="1"/>
    <col min="9265" max="9265" width="9.28515625" style="273" customWidth="1"/>
    <col min="9266" max="9266" width="9.42578125" style="273" customWidth="1"/>
    <col min="9267" max="9267" width="10.140625" style="273" customWidth="1"/>
    <col min="9268" max="9268" width="9.5703125" style="273" customWidth="1"/>
    <col min="9269" max="9269" width="8.85546875" style="273" customWidth="1"/>
    <col min="9270" max="9270" width="8.140625" style="273" customWidth="1"/>
    <col min="9271" max="9271" width="9.140625" style="273" customWidth="1"/>
    <col min="9272" max="9272" width="9.5703125" style="273" customWidth="1"/>
    <col min="9273" max="9273" width="8.85546875" style="273" customWidth="1"/>
    <col min="9274" max="9274" width="8.5703125" style="273" customWidth="1"/>
    <col min="9275" max="9275" width="9.28515625" style="273" customWidth="1"/>
    <col min="9276" max="9276" width="9.42578125" style="273" customWidth="1"/>
    <col min="9277" max="9277" width="9" style="273" customWidth="1"/>
    <col min="9278" max="9278" width="8.7109375" style="273" customWidth="1"/>
    <col min="9279" max="9280" width="9.140625" style="273" customWidth="1"/>
    <col min="9281" max="9281" width="8.85546875" style="273" customWidth="1"/>
    <col min="9282" max="9282" width="9.42578125" style="273" customWidth="1"/>
    <col min="9283" max="9284" width="9.140625" style="273" customWidth="1"/>
    <col min="9285" max="9308" width="0" style="273" hidden="1" customWidth="1"/>
    <col min="9309" max="9508" width="12.5703125" style="273"/>
    <col min="9509" max="9509" width="33.5703125" style="273" customWidth="1"/>
    <col min="9510" max="9510" width="9" style="273" customWidth="1"/>
    <col min="9511" max="9511" width="8.42578125" style="273" customWidth="1"/>
    <col min="9512" max="9513" width="8.140625" style="273" customWidth="1"/>
    <col min="9514" max="9514" width="7.42578125" style="273" customWidth="1"/>
    <col min="9515" max="9515" width="8.28515625" style="273" customWidth="1"/>
    <col min="9516" max="9516" width="8.42578125" style="273" customWidth="1"/>
    <col min="9517" max="9517" width="8.85546875" style="273" customWidth="1"/>
    <col min="9518" max="9518" width="8.7109375" style="273" customWidth="1"/>
    <col min="9519" max="9519" width="8.140625" style="273" customWidth="1"/>
    <col min="9520" max="9520" width="9.42578125" style="273" customWidth="1"/>
    <col min="9521" max="9521" width="9.28515625" style="273" customWidth="1"/>
    <col min="9522" max="9522" width="9.42578125" style="273" customWidth="1"/>
    <col min="9523" max="9523" width="10.140625" style="273" customWidth="1"/>
    <col min="9524" max="9524" width="9.5703125" style="273" customWidth="1"/>
    <col min="9525" max="9525" width="8.85546875" style="273" customWidth="1"/>
    <col min="9526" max="9526" width="8.140625" style="273" customWidth="1"/>
    <col min="9527" max="9527" width="9.140625" style="273" customWidth="1"/>
    <col min="9528" max="9528" width="9.5703125" style="273" customWidth="1"/>
    <col min="9529" max="9529" width="8.85546875" style="273" customWidth="1"/>
    <col min="9530" max="9530" width="8.5703125" style="273" customWidth="1"/>
    <col min="9531" max="9531" width="9.28515625" style="273" customWidth="1"/>
    <col min="9532" max="9532" width="9.42578125" style="273" customWidth="1"/>
    <col min="9533" max="9533" width="9" style="273" customWidth="1"/>
    <col min="9534" max="9534" width="8.7109375" style="273" customWidth="1"/>
    <col min="9535" max="9536" width="9.140625" style="273" customWidth="1"/>
    <col min="9537" max="9537" width="8.85546875" style="273" customWidth="1"/>
    <col min="9538" max="9538" width="9.42578125" style="273" customWidth="1"/>
    <col min="9539" max="9540" width="9.140625" style="273" customWidth="1"/>
    <col min="9541" max="9564" width="0" style="273" hidden="1" customWidth="1"/>
    <col min="9565" max="9764" width="12.5703125" style="273"/>
    <col min="9765" max="9765" width="33.5703125" style="273" customWidth="1"/>
    <col min="9766" max="9766" width="9" style="273" customWidth="1"/>
    <col min="9767" max="9767" width="8.42578125" style="273" customWidth="1"/>
    <col min="9768" max="9769" width="8.140625" style="273" customWidth="1"/>
    <col min="9770" max="9770" width="7.42578125" style="273" customWidth="1"/>
    <col min="9771" max="9771" width="8.28515625" style="273" customWidth="1"/>
    <col min="9772" max="9772" width="8.42578125" style="273" customWidth="1"/>
    <col min="9773" max="9773" width="8.85546875" style="273" customWidth="1"/>
    <col min="9774" max="9774" width="8.7109375" style="273" customWidth="1"/>
    <col min="9775" max="9775" width="8.140625" style="273" customWidth="1"/>
    <col min="9776" max="9776" width="9.42578125" style="273" customWidth="1"/>
    <col min="9777" max="9777" width="9.28515625" style="273" customWidth="1"/>
    <col min="9778" max="9778" width="9.42578125" style="273" customWidth="1"/>
    <col min="9779" max="9779" width="10.140625" style="273" customWidth="1"/>
    <col min="9780" max="9780" width="9.5703125" style="273" customWidth="1"/>
    <col min="9781" max="9781" width="8.85546875" style="273" customWidth="1"/>
    <col min="9782" max="9782" width="8.140625" style="273" customWidth="1"/>
    <col min="9783" max="9783" width="9.140625" style="273" customWidth="1"/>
    <col min="9784" max="9784" width="9.5703125" style="273" customWidth="1"/>
    <col min="9785" max="9785" width="8.85546875" style="273" customWidth="1"/>
    <col min="9786" max="9786" width="8.5703125" style="273" customWidth="1"/>
    <col min="9787" max="9787" width="9.28515625" style="273" customWidth="1"/>
    <col min="9788" max="9788" width="9.42578125" style="273" customWidth="1"/>
    <col min="9789" max="9789" width="9" style="273" customWidth="1"/>
    <col min="9790" max="9790" width="8.7109375" style="273" customWidth="1"/>
    <col min="9791" max="9792" width="9.140625" style="273" customWidth="1"/>
    <col min="9793" max="9793" width="8.85546875" style="273" customWidth="1"/>
    <col min="9794" max="9794" width="9.42578125" style="273" customWidth="1"/>
    <col min="9795" max="9796" width="9.140625" style="273" customWidth="1"/>
    <col min="9797" max="9820" width="0" style="273" hidden="1" customWidth="1"/>
    <col min="9821" max="10020" width="12.5703125" style="273"/>
    <col min="10021" max="10021" width="33.5703125" style="273" customWidth="1"/>
    <col min="10022" max="10022" width="9" style="273" customWidth="1"/>
    <col min="10023" max="10023" width="8.42578125" style="273" customWidth="1"/>
    <col min="10024" max="10025" width="8.140625" style="273" customWidth="1"/>
    <col min="10026" max="10026" width="7.42578125" style="273" customWidth="1"/>
    <col min="10027" max="10027" width="8.28515625" style="273" customWidth="1"/>
    <col min="10028" max="10028" width="8.42578125" style="273" customWidth="1"/>
    <col min="10029" max="10029" width="8.85546875" style="273" customWidth="1"/>
    <col min="10030" max="10030" width="8.7109375" style="273" customWidth="1"/>
    <col min="10031" max="10031" width="8.140625" style="273" customWidth="1"/>
    <col min="10032" max="10032" width="9.42578125" style="273" customWidth="1"/>
    <col min="10033" max="10033" width="9.28515625" style="273" customWidth="1"/>
    <col min="10034" max="10034" width="9.42578125" style="273" customWidth="1"/>
    <col min="10035" max="10035" width="10.140625" style="273" customWidth="1"/>
    <col min="10036" max="10036" width="9.5703125" style="273" customWidth="1"/>
    <col min="10037" max="10037" width="8.85546875" style="273" customWidth="1"/>
    <col min="10038" max="10038" width="8.140625" style="273" customWidth="1"/>
    <col min="10039" max="10039" width="9.140625" style="273" customWidth="1"/>
    <col min="10040" max="10040" width="9.5703125" style="273" customWidth="1"/>
    <col min="10041" max="10041" width="8.85546875" style="273" customWidth="1"/>
    <col min="10042" max="10042" width="8.5703125" style="273" customWidth="1"/>
    <col min="10043" max="10043" width="9.28515625" style="273" customWidth="1"/>
    <col min="10044" max="10044" width="9.42578125" style="273" customWidth="1"/>
    <col min="10045" max="10045" width="9" style="273" customWidth="1"/>
    <col min="10046" max="10046" width="8.7109375" style="273" customWidth="1"/>
    <col min="10047" max="10048" width="9.140625" style="273" customWidth="1"/>
    <col min="10049" max="10049" width="8.85546875" style="273" customWidth="1"/>
    <col min="10050" max="10050" width="9.42578125" style="273" customWidth="1"/>
    <col min="10051" max="10052" width="9.140625" style="273" customWidth="1"/>
    <col min="10053" max="10076" width="0" style="273" hidden="1" customWidth="1"/>
    <col min="10077" max="10276" width="12.5703125" style="273"/>
    <col min="10277" max="10277" width="33.5703125" style="273" customWidth="1"/>
    <col min="10278" max="10278" width="9" style="273" customWidth="1"/>
    <col min="10279" max="10279" width="8.42578125" style="273" customWidth="1"/>
    <col min="10280" max="10281" width="8.140625" style="273" customWidth="1"/>
    <col min="10282" max="10282" width="7.42578125" style="273" customWidth="1"/>
    <col min="10283" max="10283" width="8.28515625" style="273" customWidth="1"/>
    <col min="10284" max="10284" width="8.42578125" style="273" customWidth="1"/>
    <col min="10285" max="10285" width="8.85546875" style="273" customWidth="1"/>
    <col min="10286" max="10286" width="8.7109375" style="273" customWidth="1"/>
    <col min="10287" max="10287" width="8.140625" style="273" customWidth="1"/>
    <col min="10288" max="10288" width="9.42578125" style="273" customWidth="1"/>
    <col min="10289" max="10289" width="9.28515625" style="273" customWidth="1"/>
    <col min="10290" max="10290" width="9.42578125" style="273" customWidth="1"/>
    <col min="10291" max="10291" width="10.140625" style="273" customWidth="1"/>
    <col min="10292" max="10292" width="9.5703125" style="273" customWidth="1"/>
    <col min="10293" max="10293" width="8.85546875" style="273" customWidth="1"/>
    <col min="10294" max="10294" width="8.140625" style="273" customWidth="1"/>
    <col min="10295" max="10295" width="9.140625" style="273" customWidth="1"/>
    <col min="10296" max="10296" width="9.5703125" style="273" customWidth="1"/>
    <col min="10297" max="10297" width="8.85546875" style="273" customWidth="1"/>
    <col min="10298" max="10298" width="8.5703125" style="273" customWidth="1"/>
    <col min="10299" max="10299" width="9.28515625" style="273" customWidth="1"/>
    <col min="10300" max="10300" width="9.42578125" style="273" customWidth="1"/>
    <col min="10301" max="10301" width="9" style="273" customWidth="1"/>
    <col min="10302" max="10302" width="8.7109375" style="273" customWidth="1"/>
    <col min="10303" max="10304" width="9.140625" style="273" customWidth="1"/>
    <col min="10305" max="10305" width="8.85546875" style="273" customWidth="1"/>
    <col min="10306" max="10306" width="9.42578125" style="273" customWidth="1"/>
    <col min="10307" max="10308" width="9.140625" style="273" customWidth="1"/>
    <col min="10309" max="10332" width="0" style="273" hidden="1" customWidth="1"/>
    <col min="10333" max="10532" width="12.5703125" style="273"/>
    <col min="10533" max="10533" width="33.5703125" style="273" customWidth="1"/>
    <col min="10534" max="10534" width="9" style="273" customWidth="1"/>
    <col min="10535" max="10535" width="8.42578125" style="273" customWidth="1"/>
    <col min="10536" max="10537" width="8.140625" style="273" customWidth="1"/>
    <col min="10538" max="10538" width="7.42578125" style="273" customWidth="1"/>
    <col min="10539" max="10539" width="8.28515625" style="273" customWidth="1"/>
    <col min="10540" max="10540" width="8.42578125" style="273" customWidth="1"/>
    <col min="10541" max="10541" width="8.85546875" style="273" customWidth="1"/>
    <col min="10542" max="10542" width="8.7109375" style="273" customWidth="1"/>
    <col min="10543" max="10543" width="8.140625" style="273" customWidth="1"/>
    <col min="10544" max="10544" width="9.42578125" style="273" customWidth="1"/>
    <col min="10545" max="10545" width="9.28515625" style="273" customWidth="1"/>
    <col min="10546" max="10546" width="9.42578125" style="273" customWidth="1"/>
    <col min="10547" max="10547" width="10.140625" style="273" customWidth="1"/>
    <col min="10548" max="10548" width="9.5703125" style="273" customWidth="1"/>
    <col min="10549" max="10549" width="8.85546875" style="273" customWidth="1"/>
    <col min="10550" max="10550" width="8.140625" style="273" customWidth="1"/>
    <col min="10551" max="10551" width="9.140625" style="273" customWidth="1"/>
    <col min="10552" max="10552" width="9.5703125" style="273" customWidth="1"/>
    <col min="10553" max="10553" width="8.85546875" style="273" customWidth="1"/>
    <col min="10554" max="10554" width="8.5703125" style="273" customWidth="1"/>
    <col min="10555" max="10555" width="9.28515625" style="273" customWidth="1"/>
    <col min="10556" max="10556" width="9.42578125" style="273" customWidth="1"/>
    <col min="10557" max="10557" width="9" style="273" customWidth="1"/>
    <col min="10558" max="10558" width="8.7109375" style="273" customWidth="1"/>
    <col min="10559" max="10560" width="9.140625" style="273" customWidth="1"/>
    <col min="10561" max="10561" width="8.85546875" style="273" customWidth="1"/>
    <col min="10562" max="10562" width="9.42578125" style="273" customWidth="1"/>
    <col min="10563" max="10564" width="9.140625" style="273" customWidth="1"/>
    <col min="10565" max="10588" width="0" style="273" hidden="1" customWidth="1"/>
    <col min="10589" max="10788" width="12.5703125" style="273"/>
    <col min="10789" max="10789" width="33.5703125" style="273" customWidth="1"/>
    <col min="10790" max="10790" width="9" style="273" customWidth="1"/>
    <col min="10791" max="10791" width="8.42578125" style="273" customWidth="1"/>
    <col min="10792" max="10793" width="8.140625" style="273" customWidth="1"/>
    <col min="10794" max="10794" width="7.42578125" style="273" customWidth="1"/>
    <col min="10795" max="10795" width="8.28515625" style="273" customWidth="1"/>
    <col min="10796" max="10796" width="8.42578125" style="273" customWidth="1"/>
    <col min="10797" max="10797" width="8.85546875" style="273" customWidth="1"/>
    <col min="10798" max="10798" width="8.7109375" style="273" customWidth="1"/>
    <col min="10799" max="10799" width="8.140625" style="273" customWidth="1"/>
    <col min="10800" max="10800" width="9.42578125" style="273" customWidth="1"/>
    <col min="10801" max="10801" width="9.28515625" style="273" customWidth="1"/>
    <col min="10802" max="10802" width="9.42578125" style="273" customWidth="1"/>
    <col min="10803" max="10803" width="10.140625" style="273" customWidth="1"/>
    <col min="10804" max="10804" width="9.5703125" style="273" customWidth="1"/>
    <col min="10805" max="10805" width="8.85546875" style="273" customWidth="1"/>
    <col min="10806" max="10806" width="8.140625" style="273" customWidth="1"/>
    <col min="10807" max="10807" width="9.140625" style="273" customWidth="1"/>
    <col min="10808" max="10808" width="9.5703125" style="273" customWidth="1"/>
    <col min="10809" max="10809" width="8.85546875" style="273" customWidth="1"/>
    <col min="10810" max="10810" width="8.5703125" style="273" customWidth="1"/>
    <col min="10811" max="10811" width="9.28515625" style="273" customWidth="1"/>
    <col min="10812" max="10812" width="9.42578125" style="273" customWidth="1"/>
    <col min="10813" max="10813" width="9" style="273" customWidth="1"/>
    <col min="10814" max="10814" width="8.7109375" style="273" customWidth="1"/>
    <col min="10815" max="10816" width="9.140625" style="273" customWidth="1"/>
    <col min="10817" max="10817" width="8.85546875" style="273" customWidth="1"/>
    <col min="10818" max="10818" width="9.42578125" style="273" customWidth="1"/>
    <col min="10819" max="10820" width="9.140625" style="273" customWidth="1"/>
    <col min="10821" max="10844" width="0" style="273" hidden="1" customWidth="1"/>
    <col min="10845" max="11044" width="12.5703125" style="273"/>
    <col min="11045" max="11045" width="33.5703125" style="273" customWidth="1"/>
    <col min="11046" max="11046" width="9" style="273" customWidth="1"/>
    <col min="11047" max="11047" width="8.42578125" style="273" customWidth="1"/>
    <col min="11048" max="11049" width="8.140625" style="273" customWidth="1"/>
    <col min="11050" max="11050" width="7.42578125" style="273" customWidth="1"/>
    <col min="11051" max="11051" width="8.28515625" style="273" customWidth="1"/>
    <col min="11052" max="11052" width="8.42578125" style="273" customWidth="1"/>
    <col min="11053" max="11053" width="8.85546875" style="273" customWidth="1"/>
    <col min="11054" max="11054" width="8.7109375" style="273" customWidth="1"/>
    <col min="11055" max="11055" width="8.140625" style="273" customWidth="1"/>
    <col min="11056" max="11056" width="9.42578125" style="273" customWidth="1"/>
    <col min="11057" max="11057" width="9.28515625" style="273" customWidth="1"/>
    <col min="11058" max="11058" width="9.42578125" style="273" customWidth="1"/>
    <col min="11059" max="11059" width="10.140625" style="273" customWidth="1"/>
    <col min="11060" max="11060" width="9.5703125" style="273" customWidth="1"/>
    <col min="11061" max="11061" width="8.85546875" style="273" customWidth="1"/>
    <col min="11062" max="11062" width="8.140625" style="273" customWidth="1"/>
    <col min="11063" max="11063" width="9.140625" style="273" customWidth="1"/>
    <col min="11064" max="11064" width="9.5703125" style="273" customWidth="1"/>
    <col min="11065" max="11065" width="8.85546875" style="273" customWidth="1"/>
    <col min="11066" max="11066" width="8.5703125" style="273" customWidth="1"/>
    <col min="11067" max="11067" width="9.28515625" style="273" customWidth="1"/>
    <col min="11068" max="11068" width="9.42578125" style="273" customWidth="1"/>
    <col min="11069" max="11069" width="9" style="273" customWidth="1"/>
    <col min="11070" max="11070" width="8.7109375" style="273" customWidth="1"/>
    <col min="11071" max="11072" width="9.140625" style="273" customWidth="1"/>
    <col min="11073" max="11073" width="8.85546875" style="273" customWidth="1"/>
    <col min="11074" max="11074" width="9.42578125" style="273" customWidth="1"/>
    <col min="11075" max="11076" width="9.140625" style="273" customWidth="1"/>
    <col min="11077" max="11100" width="0" style="273" hidden="1" customWidth="1"/>
    <col min="11101" max="11300" width="12.5703125" style="273"/>
    <col min="11301" max="11301" width="33.5703125" style="273" customWidth="1"/>
    <col min="11302" max="11302" width="9" style="273" customWidth="1"/>
    <col min="11303" max="11303" width="8.42578125" style="273" customWidth="1"/>
    <col min="11304" max="11305" width="8.140625" style="273" customWidth="1"/>
    <col min="11306" max="11306" width="7.42578125" style="273" customWidth="1"/>
    <col min="11307" max="11307" width="8.28515625" style="273" customWidth="1"/>
    <col min="11308" max="11308" width="8.42578125" style="273" customWidth="1"/>
    <col min="11309" max="11309" width="8.85546875" style="273" customWidth="1"/>
    <col min="11310" max="11310" width="8.7109375" style="273" customWidth="1"/>
    <col min="11311" max="11311" width="8.140625" style="273" customWidth="1"/>
    <col min="11312" max="11312" width="9.42578125" style="273" customWidth="1"/>
    <col min="11313" max="11313" width="9.28515625" style="273" customWidth="1"/>
    <col min="11314" max="11314" width="9.42578125" style="273" customWidth="1"/>
    <col min="11315" max="11315" width="10.140625" style="273" customWidth="1"/>
    <col min="11316" max="11316" width="9.5703125" style="273" customWidth="1"/>
    <col min="11317" max="11317" width="8.85546875" style="273" customWidth="1"/>
    <col min="11318" max="11318" width="8.140625" style="273" customWidth="1"/>
    <col min="11319" max="11319" width="9.140625" style="273" customWidth="1"/>
    <col min="11320" max="11320" width="9.5703125" style="273" customWidth="1"/>
    <col min="11321" max="11321" width="8.85546875" style="273" customWidth="1"/>
    <col min="11322" max="11322" width="8.5703125" style="273" customWidth="1"/>
    <col min="11323" max="11323" width="9.28515625" style="273" customWidth="1"/>
    <col min="11324" max="11324" width="9.42578125" style="273" customWidth="1"/>
    <col min="11325" max="11325" width="9" style="273" customWidth="1"/>
    <col min="11326" max="11326" width="8.7109375" style="273" customWidth="1"/>
    <col min="11327" max="11328" width="9.140625" style="273" customWidth="1"/>
    <col min="11329" max="11329" width="8.85546875" style="273" customWidth="1"/>
    <col min="11330" max="11330" width="9.42578125" style="273" customWidth="1"/>
    <col min="11331" max="11332" width="9.140625" style="273" customWidth="1"/>
    <col min="11333" max="11356" width="0" style="273" hidden="1" customWidth="1"/>
    <col min="11357" max="11556" width="12.5703125" style="273"/>
    <col min="11557" max="11557" width="33.5703125" style="273" customWidth="1"/>
    <col min="11558" max="11558" width="9" style="273" customWidth="1"/>
    <col min="11559" max="11559" width="8.42578125" style="273" customWidth="1"/>
    <col min="11560" max="11561" width="8.140625" style="273" customWidth="1"/>
    <col min="11562" max="11562" width="7.42578125" style="273" customWidth="1"/>
    <col min="11563" max="11563" width="8.28515625" style="273" customWidth="1"/>
    <col min="11564" max="11564" width="8.42578125" style="273" customWidth="1"/>
    <col min="11565" max="11565" width="8.85546875" style="273" customWidth="1"/>
    <col min="11566" max="11566" width="8.7109375" style="273" customWidth="1"/>
    <col min="11567" max="11567" width="8.140625" style="273" customWidth="1"/>
    <col min="11568" max="11568" width="9.42578125" style="273" customWidth="1"/>
    <col min="11569" max="11569" width="9.28515625" style="273" customWidth="1"/>
    <col min="11570" max="11570" width="9.42578125" style="273" customWidth="1"/>
    <col min="11571" max="11571" width="10.140625" style="273" customWidth="1"/>
    <col min="11572" max="11572" width="9.5703125" style="273" customWidth="1"/>
    <col min="11573" max="11573" width="8.85546875" style="273" customWidth="1"/>
    <col min="11574" max="11574" width="8.140625" style="273" customWidth="1"/>
    <col min="11575" max="11575" width="9.140625" style="273" customWidth="1"/>
    <col min="11576" max="11576" width="9.5703125" style="273" customWidth="1"/>
    <col min="11577" max="11577" width="8.85546875" style="273" customWidth="1"/>
    <col min="11578" max="11578" width="8.5703125" style="273" customWidth="1"/>
    <col min="11579" max="11579" width="9.28515625" style="273" customWidth="1"/>
    <col min="11580" max="11580" width="9.42578125" style="273" customWidth="1"/>
    <col min="11581" max="11581" width="9" style="273" customWidth="1"/>
    <col min="11582" max="11582" width="8.7109375" style="273" customWidth="1"/>
    <col min="11583" max="11584" width="9.140625" style="273" customWidth="1"/>
    <col min="11585" max="11585" width="8.85546875" style="273" customWidth="1"/>
    <col min="11586" max="11586" width="9.42578125" style="273" customWidth="1"/>
    <col min="11587" max="11588" width="9.140625" style="273" customWidth="1"/>
    <col min="11589" max="11612" width="0" style="273" hidden="1" customWidth="1"/>
    <col min="11613" max="11812" width="12.5703125" style="273"/>
    <col min="11813" max="11813" width="33.5703125" style="273" customWidth="1"/>
    <col min="11814" max="11814" width="9" style="273" customWidth="1"/>
    <col min="11815" max="11815" width="8.42578125" style="273" customWidth="1"/>
    <col min="11816" max="11817" width="8.140625" style="273" customWidth="1"/>
    <col min="11818" max="11818" width="7.42578125" style="273" customWidth="1"/>
    <col min="11819" max="11819" width="8.28515625" style="273" customWidth="1"/>
    <col min="11820" max="11820" width="8.42578125" style="273" customWidth="1"/>
    <col min="11821" max="11821" width="8.85546875" style="273" customWidth="1"/>
    <col min="11822" max="11822" width="8.7109375" style="273" customWidth="1"/>
    <col min="11823" max="11823" width="8.140625" style="273" customWidth="1"/>
    <col min="11824" max="11824" width="9.42578125" style="273" customWidth="1"/>
    <col min="11825" max="11825" width="9.28515625" style="273" customWidth="1"/>
    <col min="11826" max="11826" width="9.42578125" style="273" customWidth="1"/>
    <col min="11827" max="11827" width="10.140625" style="273" customWidth="1"/>
    <col min="11828" max="11828" width="9.5703125" style="273" customWidth="1"/>
    <col min="11829" max="11829" width="8.85546875" style="273" customWidth="1"/>
    <col min="11830" max="11830" width="8.140625" style="273" customWidth="1"/>
    <col min="11831" max="11831" width="9.140625" style="273" customWidth="1"/>
    <col min="11832" max="11832" width="9.5703125" style="273" customWidth="1"/>
    <col min="11833" max="11833" width="8.85546875" style="273" customWidth="1"/>
    <col min="11834" max="11834" width="8.5703125" style="273" customWidth="1"/>
    <col min="11835" max="11835" width="9.28515625" style="273" customWidth="1"/>
    <col min="11836" max="11836" width="9.42578125" style="273" customWidth="1"/>
    <col min="11837" max="11837" width="9" style="273" customWidth="1"/>
    <col min="11838" max="11838" width="8.7109375" style="273" customWidth="1"/>
    <col min="11839" max="11840" width="9.140625" style="273" customWidth="1"/>
    <col min="11841" max="11841" width="8.85546875" style="273" customWidth="1"/>
    <col min="11842" max="11842" width="9.42578125" style="273" customWidth="1"/>
    <col min="11843" max="11844" width="9.140625" style="273" customWidth="1"/>
    <col min="11845" max="11868" width="0" style="273" hidden="1" customWidth="1"/>
    <col min="11869" max="12068" width="12.5703125" style="273"/>
    <col min="12069" max="12069" width="33.5703125" style="273" customWidth="1"/>
    <col min="12070" max="12070" width="9" style="273" customWidth="1"/>
    <col min="12071" max="12071" width="8.42578125" style="273" customWidth="1"/>
    <col min="12072" max="12073" width="8.140625" style="273" customWidth="1"/>
    <col min="12074" max="12074" width="7.42578125" style="273" customWidth="1"/>
    <col min="12075" max="12075" width="8.28515625" style="273" customWidth="1"/>
    <col min="12076" max="12076" width="8.42578125" style="273" customWidth="1"/>
    <col min="12077" max="12077" width="8.85546875" style="273" customWidth="1"/>
    <col min="12078" max="12078" width="8.7109375" style="273" customWidth="1"/>
    <col min="12079" max="12079" width="8.140625" style="273" customWidth="1"/>
    <col min="12080" max="12080" width="9.42578125" style="273" customWidth="1"/>
    <col min="12081" max="12081" width="9.28515625" style="273" customWidth="1"/>
    <col min="12082" max="12082" width="9.42578125" style="273" customWidth="1"/>
    <col min="12083" max="12083" width="10.140625" style="273" customWidth="1"/>
    <col min="12084" max="12084" width="9.5703125" style="273" customWidth="1"/>
    <col min="12085" max="12085" width="8.85546875" style="273" customWidth="1"/>
    <col min="12086" max="12086" width="8.140625" style="273" customWidth="1"/>
    <col min="12087" max="12087" width="9.140625" style="273" customWidth="1"/>
    <col min="12088" max="12088" width="9.5703125" style="273" customWidth="1"/>
    <col min="12089" max="12089" width="8.85546875" style="273" customWidth="1"/>
    <col min="12090" max="12090" width="8.5703125" style="273" customWidth="1"/>
    <col min="12091" max="12091" width="9.28515625" style="273" customWidth="1"/>
    <col min="12092" max="12092" width="9.42578125" style="273" customWidth="1"/>
    <col min="12093" max="12093" width="9" style="273" customWidth="1"/>
    <col min="12094" max="12094" width="8.7109375" style="273" customWidth="1"/>
    <col min="12095" max="12096" width="9.140625" style="273" customWidth="1"/>
    <col min="12097" max="12097" width="8.85546875" style="273" customWidth="1"/>
    <col min="12098" max="12098" width="9.42578125" style="273" customWidth="1"/>
    <col min="12099" max="12100" width="9.140625" style="273" customWidth="1"/>
    <col min="12101" max="12124" width="0" style="273" hidden="1" customWidth="1"/>
    <col min="12125" max="12324" width="12.5703125" style="273"/>
    <col min="12325" max="12325" width="33.5703125" style="273" customWidth="1"/>
    <col min="12326" max="12326" width="9" style="273" customWidth="1"/>
    <col min="12327" max="12327" width="8.42578125" style="273" customWidth="1"/>
    <col min="12328" max="12329" width="8.140625" style="273" customWidth="1"/>
    <col min="12330" max="12330" width="7.42578125" style="273" customWidth="1"/>
    <col min="12331" max="12331" width="8.28515625" style="273" customWidth="1"/>
    <col min="12332" max="12332" width="8.42578125" style="273" customWidth="1"/>
    <col min="12333" max="12333" width="8.85546875" style="273" customWidth="1"/>
    <col min="12334" max="12334" width="8.7109375" style="273" customWidth="1"/>
    <col min="12335" max="12335" width="8.140625" style="273" customWidth="1"/>
    <col min="12336" max="12336" width="9.42578125" style="273" customWidth="1"/>
    <col min="12337" max="12337" width="9.28515625" style="273" customWidth="1"/>
    <col min="12338" max="12338" width="9.42578125" style="273" customWidth="1"/>
    <col min="12339" max="12339" width="10.140625" style="273" customWidth="1"/>
    <col min="12340" max="12340" width="9.5703125" style="273" customWidth="1"/>
    <col min="12341" max="12341" width="8.85546875" style="273" customWidth="1"/>
    <col min="12342" max="12342" width="8.140625" style="273" customWidth="1"/>
    <col min="12343" max="12343" width="9.140625" style="273" customWidth="1"/>
    <col min="12344" max="12344" width="9.5703125" style="273" customWidth="1"/>
    <col min="12345" max="12345" width="8.85546875" style="273" customWidth="1"/>
    <col min="12346" max="12346" width="8.5703125" style="273" customWidth="1"/>
    <col min="12347" max="12347" width="9.28515625" style="273" customWidth="1"/>
    <col min="12348" max="12348" width="9.42578125" style="273" customWidth="1"/>
    <col min="12349" max="12349" width="9" style="273" customWidth="1"/>
    <col min="12350" max="12350" width="8.7109375" style="273" customWidth="1"/>
    <col min="12351" max="12352" width="9.140625" style="273" customWidth="1"/>
    <col min="12353" max="12353" width="8.85546875" style="273" customWidth="1"/>
    <col min="12354" max="12354" width="9.42578125" style="273" customWidth="1"/>
    <col min="12355" max="12356" width="9.140625" style="273" customWidth="1"/>
    <col min="12357" max="12380" width="0" style="273" hidden="1" customWidth="1"/>
    <col min="12381" max="12580" width="12.5703125" style="273"/>
    <col min="12581" max="12581" width="33.5703125" style="273" customWidth="1"/>
    <col min="12582" max="12582" width="9" style="273" customWidth="1"/>
    <col min="12583" max="12583" width="8.42578125" style="273" customWidth="1"/>
    <col min="12584" max="12585" width="8.140625" style="273" customWidth="1"/>
    <col min="12586" max="12586" width="7.42578125" style="273" customWidth="1"/>
    <col min="12587" max="12587" width="8.28515625" style="273" customWidth="1"/>
    <col min="12588" max="12588" width="8.42578125" style="273" customWidth="1"/>
    <col min="12589" max="12589" width="8.85546875" style="273" customWidth="1"/>
    <col min="12590" max="12590" width="8.7109375" style="273" customWidth="1"/>
    <col min="12591" max="12591" width="8.140625" style="273" customWidth="1"/>
    <col min="12592" max="12592" width="9.42578125" style="273" customWidth="1"/>
    <col min="12593" max="12593" width="9.28515625" style="273" customWidth="1"/>
    <col min="12594" max="12594" width="9.42578125" style="273" customWidth="1"/>
    <col min="12595" max="12595" width="10.140625" style="273" customWidth="1"/>
    <col min="12596" max="12596" width="9.5703125" style="273" customWidth="1"/>
    <col min="12597" max="12597" width="8.85546875" style="273" customWidth="1"/>
    <col min="12598" max="12598" width="8.140625" style="273" customWidth="1"/>
    <col min="12599" max="12599" width="9.140625" style="273" customWidth="1"/>
    <col min="12600" max="12600" width="9.5703125" style="273" customWidth="1"/>
    <col min="12601" max="12601" width="8.85546875" style="273" customWidth="1"/>
    <col min="12602" max="12602" width="8.5703125" style="273" customWidth="1"/>
    <col min="12603" max="12603" width="9.28515625" style="273" customWidth="1"/>
    <col min="12604" max="12604" width="9.42578125" style="273" customWidth="1"/>
    <col min="12605" max="12605" width="9" style="273" customWidth="1"/>
    <col min="12606" max="12606" width="8.7109375" style="273" customWidth="1"/>
    <col min="12607" max="12608" width="9.140625" style="273" customWidth="1"/>
    <col min="12609" max="12609" width="8.85546875" style="273" customWidth="1"/>
    <col min="12610" max="12610" width="9.42578125" style="273" customWidth="1"/>
    <col min="12611" max="12612" width="9.140625" style="273" customWidth="1"/>
    <col min="12613" max="12636" width="0" style="273" hidden="1" customWidth="1"/>
    <col min="12637" max="12836" width="12.5703125" style="273"/>
    <col min="12837" max="12837" width="33.5703125" style="273" customWidth="1"/>
    <col min="12838" max="12838" width="9" style="273" customWidth="1"/>
    <col min="12839" max="12839" width="8.42578125" style="273" customWidth="1"/>
    <col min="12840" max="12841" width="8.140625" style="273" customWidth="1"/>
    <col min="12842" max="12842" width="7.42578125" style="273" customWidth="1"/>
    <col min="12843" max="12843" width="8.28515625" style="273" customWidth="1"/>
    <col min="12844" max="12844" width="8.42578125" style="273" customWidth="1"/>
    <col min="12845" max="12845" width="8.85546875" style="273" customWidth="1"/>
    <col min="12846" max="12846" width="8.7109375" style="273" customWidth="1"/>
    <col min="12847" max="12847" width="8.140625" style="273" customWidth="1"/>
    <col min="12848" max="12848" width="9.42578125" style="273" customWidth="1"/>
    <col min="12849" max="12849" width="9.28515625" style="273" customWidth="1"/>
    <col min="12850" max="12850" width="9.42578125" style="273" customWidth="1"/>
    <col min="12851" max="12851" width="10.140625" style="273" customWidth="1"/>
    <col min="12852" max="12852" width="9.5703125" style="273" customWidth="1"/>
    <col min="12853" max="12853" width="8.85546875" style="273" customWidth="1"/>
    <col min="12854" max="12854" width="8.140625" style="273" customWidth="1"/>
    <col min="12855" max="12855" width="9.140625" style="273" customWidth="1"/>
    <col min="12856" max="12856" width="9.5703125" style="273" customWidth="1"/>
    <col min="12857" max="12857" width="8.85546875" style="273" customWidth="1"/>
    <col min="12858" max="12858" width="8.5703125" style="273" customWidth="1"/>
    <col min="12859" max="12859" width="9.28515625" style="273" customWidth="1"/>
    <col min="12860" max="12860" width="9.42578125" style="273" customWidth="1"/>
    <col min="12861" max="12861" width="9" style="273" customWidth="1"/>
    <col min="12862" max="12862" width="8.7109375" style="273" customWidth="1"/>
    <col min="12863" max="12864" width="9.140625" style="273" customWidth="1"/>
    <col min="12865" max="12865" width="8.85546875" style="273" customWidth="1"/>
    <col min="12866" max="12866" width="9.42578125" style="273" customWidth="1"/>
    <col min="12867" max="12868" width="9.140625" style="273" customWidth="1"/>
    <col min="12869" max="12892" width="0" style="273" hidden="1" customWidth="1"/>
    <col min="12893" max="13092" width="12.5703125" style="273"/>
    <col min="13093" max="13093" width="33.5703125" style="273" customWidth="1"/>
    <col min="13094" max="13094" width="9" style="273" customWidth="1"/>
    <col min="13095" max="13095" width="8.42578125" style="273" customWidth="1"/>
    <col min="13096" max="13097" width="8.140625" style="273" customWidth="1"/>
    <col min="13098" max="13098" width="7.42578125" style="273" customWidth="1"/>
    <col min="13099" max="13099" width="8.28515625" style="273" customWidth="1"/>
    <col min="13100" max="13100" width="8.42578125" style="273" customWidth="1"/>
    <col min="13101" max="13101" width="8.85546875" style="273" customWidth="1"/>
    <col min="13102" max="13102" width="8.7109375" style="273" customWidth="1"/>
    <col min="13103" max="13103" width="8.140625" style="273" customWidth="1"/>
    <col min="13104" max="13104" width="9.42578125" style="273" customWidth="1"/>
    <col min="13105" max="13105" width="9.28515625" style="273" customWidth="1"/>
    <col min="13106" max="13106" width="9.42578125" style="273" customWidth="1"/>
    <col min="13107" max="13107" width="10.140625" style="273" customWidth="1"/>
    <col min="13108" max="13108" width="9.5703125" style="273" customWidth="1"/>
    <col min="13109" max="13109" width="8.85546875" style="273" customWidth="1"/>
    <col min="13110" max="13110" width="8.140625" style="273" customWidth="1"/>
    <col min="13111" max="13111" width="9.140625" style="273" customWidth="1"/>
    <col min="13112" max="13112" width="9.5703125" style="273" customWidth="1"/>
    <col min="13113" max="13113" width="8.85546875" style="273" customWidth="1"/>
    <col min="13114" max="13114" width="8.5703125" style="273" customWidth="1"/>
    <col min="13115" max="13115" width="9.28515625" style="273" customWidth="1"/>
    <col min="13116" max="13116" width="9.42578125" style="273" customWidth="1"/>
    <col min="13117" max="13117" width="9" style="273" customWidth="1"/>
    <col min="13118" max="13118" width="8.7109375" style="273" customWidth="1"/>
    <col min="13119" max="13120" width="9.140625" style="273" customWidth="1"/>
    <col min="13121" max="13121" width="8.85546875" style="273" customWidth="1"/>
    <col min="13122" max="13122" width="9.42578125" style="273" customWidth="1"/>
    <col min="13123" max="13124" width="9.140625" style="273" customWidth="1"/>
    <col min="13125" max="13148" width="0" style="273" hidden="1" customWidth="1"/>
    <col min="13149" max="13348" width="12.5703125" style="273"/>
    <col min="13349" max="13349" width="33.5703125" style="273" customWidth="1"/>
    <col min="13350" max="13350" width="9" style="273" customWidth="1"/>
    <col min="13351" max="13351" width="8.42578125" style="273" customWidth="1"/>
    <col min="13352" max="13353" width="8.140625" style="273" customWidth="1"/>
    <col min="13354" max="13354" width="7.42578125" style="273" customWidth="1"/>
    <col min="13355" max="13355" width="8.28515625" style="273" customWidth="1"/>
    <col min="13356" max="13356" width="8.42578125" style="273" customWidth="1"/>
    <col min="13357" max="13357" width="8.85546875" style="273" customWidth="1"/>
    <col min="13358" max="13358" width="8.7109375" style="273" customWidth="1"/>
    <col min="13359" max="13359" width="8.140625" style="273" customWidth="1"/>
    <col min="13360" max="13360" width="9.42578125" style="273" customWidth="1"/>
    <col min="13361" max="13361" width="9.28515625" style="273" customWidth="1"/>
    <col min="13362" max="13362" width="9.42578125" style="273" customWidth="1"/>
    <col min="13363" max="13363" width="10.140625" style="273" customWidth="1"/>
    <col min="13364" max="13364" width="9.5703125" style="273" customWidth="1"/>
    <col min="13365" max="13365" width="8.85546875" style="273" customWidth="1"/>
    <col min="13366" max="13366" width="8.140625" style="273" customWidth="1"/>
    <col min="13367" max="13367" width="9.140625" style="273" customWidth="1"/>
    <col min="13368" max="13368" width="9.5703125" style="273" customWidth="1"/>
    <col min="13369" max="13369" width="8.85546875" style="273" customWidth="1"/>
    <col min="13370" max="13370" width="8.5703125" style="273" customWidth="1"/>
    <col min="13371" max="13371" width="9.28515625" style="273" customWidth="1"/>
    <col min="13372" max="13372" width="9.42578125" style="273" customWidth="1"/>
    <col min="13373" max="13373" width="9" style="273" customWidth="1"/>
    <col min="13374" max="13374" width="8.7109375" style="273" customWidth="1"/>
    <col min="13375" max="13376" width="9.140625" style="273" customWidth="1"/>
    <col min="13377" max="13377" width="8.85546875" style="273" customWidth="1"/>
    <col min="13378" max="13378" width="9.42578125" style="273" customWidth="1"/>
    <col min="13379" max="13380" width="9.140625" style="273" customWidth="1"/>
    <col min="13381" max="13404" width="0" style="273" hidden="1" customWidth="1"/>
    <col min="13405" max="13604" width="12.5703125" style="273"/>
    <col min="13605" max="13605" width="33.5703125" style="273" customWidth="1"/>
    <col min="13606" max="13606" width="9" style="273" customWidth="1"/>
    <col min="13607" max="13607" width="8.42578125" style="273" customWidth="1"/>
    <col min="13608" max="13609" width="8.140625" style="273" customWidth="1"/>
    <col min="13610" max="13610" width="7.42578125" style="273" customWidth="1"/>
    <col min="13611" max="13611" width="8.28515625" style="273" customWidth="1"/>
    <col min="13612" max="13612" width="8.42578125" style="273" customWidth="1"/>
    <col min="13613" max="13613" width="8.85546875" style="273" customWidth="1"/>
    <col min="13614" max="13614" width="8.7109375" style="273" customWidth="1"/>
    <col min="13615" max="13615" width="8.140625" style="273" customWidth="1"/>
    <col min="13616" max="13616" width="9.42578125" style="273" customWidth="1"/>
    <col min="13617" max="13617" width="9.28515625" style="273" customWidth="1"/>
    <col min="13618" max="13618" width="9.42578125" style="273" customWidth="1"/>
    <col min="13619" max="13619" width="10.140625" style="273" customWidth="1"/>
    <col min="13620" max="13620" width="9.5703125" style="273" customWidth="1"/>
    <col min="13621" max="13621" width="8.85546875" style="273" customWidth="1"/>
    <col min="13622" max="13622" width="8.140625" style="273" customWidth="1"/>
    <col min="13623" max="13623" width="9.140625" style="273" customWidth="1"/>
    <col min="13624" max="13624" width="9.5703125" style="273" customWidth="1"/>
    <col min="13625" max="13625" width="8.85546875" style="273" customWidth="1"/>
    <col min="13626" max="13626" width="8.5703125" style="273" customWidth="1"/>
    <col min="13627" max="13627" width="9.28515625" style="273" customWidth="1"/>
    <col min="13628" max="13628" width="9.42578125" style="273" customWidth="1"/>
    <col min="13629" max="13629" width="9" style="273" customWidth="1"/>
    <col min="13630" max="13630" width="8.7109375" style="273" customWidth="1"/>
    <col min="13631" max="13632" width="9.140625" style="273" customWidth="1"/>
    <col min="13633" max="13633" width="8.85546875" style="273" customWidth="1"/>
    <col min="13634" max="13634" width="9.42578125" style="273" customWidth="1"/>
    <col min="13635" max="13636" width="9.140625" style="273" customWidth="1"/>
    <col min="13637" max="13660" width="0" style="273" hidden="1" customWidth="1"/>
    <col min="13661" max="13860" width="12.5703125" style="273"/>
    <col min="13861" max="13861" width="33.5703125" style="273" customWidth="1"/>
    <col min="13862" max="13862" width="9" style="273" customWidth="1"/>
    <col min="13863" max="13863" width="8.42578125" style="273" customWidth="1"/>
    <col min="13864" max="13865" width="8.140625" style="273" customWidth="1"/>
    <col min="13866" max="13866" width="7.42578125" style="273" customWidth="1"/>
    <col min="13867" max="13867" width="8.28515625" style="273" customWidth="1"/>
    <col min="13868" max="13868" width="8.42578125" style="273" customWidth="1"/>
    <col min="13869" max="13869" width="8.85546875" style="273" customWidth="1"/>
    <col min="13870" max="13870" width="8.7109375" style="273" customWidth="1"/>
    <col min="13871" max="13871" width="8.140625" style="273" customWidth="1"/>
    <col min="13872" max="13872" width="9.42578125" style="273" customWidth="1"/>
    <col min="13873" max="13873" width="9.28515625" style="273" customWidth="1"/>
    <col min="13874" max="13874" width="9.42578125" style="273" customWidth="1"/>
    <col min="13875" max="13875" width="10.140625" style="273" customWidth="1"/>
    <col min="13876" max="13876" width="9.5703125" style="273" customWidth="1"/>
    <col min="13877" max="13877" width="8.85546875" style="273" customWidth="1"/>
    <col min="13878" max="13878" width="8.140625" style="273" customWidth="1"/>
    <col min="13879" max="13879" width="9.140625" style="273" customWidth="1"/>
    <col min="13880" max="13880" width="9.5703125" style="273" customWidth="1"/>
    <col min="13881" max="13881" width="8.85546875" style="273" customWidth="1"/>
    <col min="13882" max="13882" width="8.5703125" style="273" customWidth="1"/>
    <col min="13883" max="13883" width="9.28515625" style="273" customWidth="1"/>
    <col min="13884" max="13884" width="9.42578125" style="273" customWidth="1"/>
    <col min="13885" max="13885" width="9" style="273" customWidth="1"/>
    <col min="13886" max="13886" width="8.7109375" style="273" customWidth="1"/>
    <col min="13887" max="13888" width="9.140625" style="273" customWidth="1"/>
    <col min="13889" max="13889" width="8.85546875" style="273" customWidth="1"/>
    <col min="13890" max="13890" width="9.42578125" style="273" customWidth="1"/>
    <col min="13891" max="13892" width="9.140625" style="273" customWidth="1"/>
    <col min="13893" max="13916" width="0" style="273" hidden="1" customWidth="1"/>
    <col min="13917" max="14116" width="12.5703125" style="273"/>
    <col min="14117" max="14117" width="33.5703125" style="273" customWidth="1"/>
    <col min="14118" max="14118" width="9" style="273" customWidth="1"/>
    <col min="14119" max="14119" width="8.42578125" style="273" customWidth="1"/>
    <col min="14120" max="14121" width="8.140625" style="273" customWidth="1"/>
    <col min="14122" max="14122" width="7.42578125" style="273" customWidth="1"/>
    <col min="14123" max="14123" width="8.28515625" style="273" customWidth="1"/>
    <col min="14124" max="14124" width="8.42578125" style="273" customWidth="1"/>
    <col min="14125" max="14125" width="8.85546875" style="273" customWidth="1"/>
    <col min="14126" max="14126" width="8.7109375" style="273" customWidth="1"/>
    <col min="14127" max="14127" width="8.140625" style="273" customWidth="1"/>
    <col min="14128" max="14128" width="9.42578125" style="273" customWidth="1"/>
    <col min="14129" max="14129" width="9.28515625" style="273" customWidth="1"/>
    <col min="14130" max="14130" width="9.42578125" style="273" customWidth="1"/>
    <col min="14131" max="14131" width="10.140625" style="273" customWidth="1"/>
    <col min="14132" max="14132" width="9.5703125" style="273" customWidth="1"/>
    <col min="14133" max="14133" width="8.85546875" style="273" customWidth="1"/>
    <col min="14134" max="14134" width="8.140625" style="273" customWidth="1"/>
    <col min="14135" max="14135" width="9.140625" style="273" customWidth="1"/>
    <col min="14136" max="14136" width="9.5703125" style="273" customWidth="1"/>
    <col min="14137" max="14137" width="8.85546875" style="273" customWidth="1"/>
    <col min="14138" max="14138" width="8.5703125" style="273" customWidth="1"/>
    <col min="14139" max="14139" width="9.28515625" style="273" customWidth="1"/>
    <col min="14140" max="14140" width="9.42578125" style="273" customWidth="1"/>
    <col min="14141" max="14141" width="9" style="273" customWidth="1"/>
    <col min="14142" max="14142" width="8.7109375" style="273" customWidth="1"/>
    <col min="14143" max="14144" width="9.140625" style="273" customWidth="1"/>
    <col min="14145" max="14145" width="8.85546875" style="273" customWidth="1"/>
    <col min="14146" max="14146" width="9.42578125" style="273" customWidth="1"/>
    <col min="14147" max="14148" width="9.140625" style="273" customWidth="1"/>
    <col min="14149" max="14172" width="0" style="273" hidden="1" customWidth="1"/>
    <col min="14173" max="14372" width="12.5703125" style="273"/>
    <col min="14373" max="14373" width="33.5703125" style="273" customWidth="1"/>
    <col min="14374" max="14374" width="9" style="273" customWidth="1"/>
    <col min="14375" max="14375" width="8.42578125" style="273" customWidth="1"/>
    <col min="14376" max="14377" width="8.140625" style="273" customWidth="1"/>
    <col min="14378" max="14378" width="7.42578125" style="273" customWidth="1"/>
    <col min="14379" max="14379" width="8.28515625" style="273" customWidth="1"/>
    <col min="14380" max="14380" width="8.42578125" style="273" customWidth="1"/>
    <col min="14381" max="14381" width="8.85546875" style="273" customWidth="1"/>
    <col min="14382" max="14382" width="8.7109375" style="273" customWidth="1"/>
    <col min="14383" max="14383" width="8.140625" style="273" customWidth="1"/>
    <col min="14384" max="14384" width="9.42578125" style="273" customWidth="1"/>
    <col min="14385" max="14385" width="9.28515625" style="273" customWidth="1"/>
    <col min="14386" max="14386" width="9.42578125" style="273" customWidth="1"/>
    <col min="14387" max="14387" width="10.140625" style="273" customWidth="1"/>
    <col min="14388" max="14388" width="9.5703125" style="273" customWidth="1"/>
    <col min="14389" max="14389" width="8.85546875" style="273" customWidth="1"/>
    <col min="14390" max="14390" width="8.140625" style="273" customWidth="1"/>
    <col min="14391" max="14391" width="9.140625" style="273" customWidth="1"/>
    <col min="14392" max="14392" width="9.5703125" style="273" customWidth="1"/>
    <col min="14393" max="14393" width="8.85546875" style="273" customWidth="1"/>
    <col min="14394" max="14394" width="8.5703125" style="273" customWidth="1"/>
    <col min="14395" max="14395" width="9.28515625" style="273" customWidth="1"/>
    <col min="14396" max="14396" width="9.42578125" style="273" customWidth="1"/>
    <col min="14397" max="14397" width="9" style="273" customWidth="1"/>
    <col min="14398" max="14398" width="8.7109375" style="273" customWidth="1"/>
    <col min="14399" max="14400" width="9.140625" style="273" customWidth="1"/>
    <col min="14401" max="14401" width="8.85546875" style="273" customWidth="1"/>
    <col min="14402" max="14402" width="9.42578125" style="273" customWidth="1"/>
    <col min="14403" max="14404" width="9.140625" style="273" customWidth="1"/>
    <col min="14405" max="14428" width="0" style="273" hidden="1" customWidth="1"/>
    <col min="14429" max="14628" width="12.5703125" style="273"/>
    <col min="14629" max="14629" width="33.5703125" style="273" customWidth="1"/>
    <col min="14630" max="14630" width="9" style="273" customWidth="1"/>
    <col min="14631" max="14631" width="8.42578125" style="273" customWidth="1"/>
    <col min="14632" max="14633" width="8.140625" style="273" customWidth="1"/>
    <col min="14634" max="14634" width="7.42578125" style="273" customWidth="1"/>
    <col min="14635" max="14635" width="8.28515625" style="273" customWidth="1"/>
    <col min="14636" max="14636" width="8.42578125" style="273" customWidth="1"/>
    <col min="14637" max="14637" width="8.85546875" style="273" customWidth="1"/>
    <col min="14638" max="14638" width="8.7109375" style="273" customWidth="1"/>
    <col min="14639" max="14639" width="8.140625" style="273" customWidth="1"/>
    <col min="14640" max="14640" width="9.42578125" style="273" customWidth="1"/>
    <col min="14641" max="14641" width="9.28515625" style="273" customWidth="1"/>
    <col min="14642" max="14642" width="9.42578125" style="273" customWidth="1"/>
    <col min="14643" max="14643" width="10.140625" style="273" customWidth="1"/>
    <col min="14644" max="14644" width="9.5703125" style="273" customWidth="1"/>
    <col min="14645" max="14645" width="8.85546875" style="273" customWidth="1"/>
    <col min="14646" max="14646" width="8.140625" style="273" customWidth="1"/>
    <col min="14647" max="14647" width="9.140625" style="273" customWidth="1"/>
    <col min="14648" max="14648" width="9.5703125" style="273" customWidth="1"/>
    <col min="14649" max="14649" width="8.85546875" style="273" customWidth="1"/>
    <col min="14650" max="14650" width="8.5703125" style="273" customWidth="1"/>
    <col min="14651" max="14651" width="9.28515625" style="273" customWidth="1"/>
    <col min="14652" max="14652" width="9.42578125" style="273" customWidth="1"/>
    <col min="14653" max="14653" width="9" style="273" customWidth="1"/>
    <col min="14654" max="14654" width="8.7109375" style="273" customWidth="1"/>
    <col min="14655" max="14656" width="9.140625" style="273" customWidth="1"/>
    <col min="14657" max="14657" width="8.85546875" style="273" customWidth="1"/>
    <col min="14658" max="14658" width="9.42578125" style="273" customWidth="1"/>
    <col min="14659" max="14660" width="9.140625" style="273" customWidth="1"/>
    <col min="14661" max="14684" width="0" style="273" hidden="1" customWidth="1"/>
    <col min="14685" max="14884" width="12.5703125" style="273"/>
    <col min="14885" max="14885" width="33.5703125" style="273" customWidth="1"/>
    <col min="14886" max="14886" width="9" style="273" customWidth="1"/>
    <col min="14887" max="14887" width="8.42578125" style="273" customWidth="1"/>
    <col min="14888" max="14889" width="8.140625" style="273" customWidth="1"/>
    <col min="14890" max="14890" width="7.42578125" style="273" customWidth="1"/>
    <col min="14891" max="14891" width="8.28515625" style="273" customWidth="1"/>
    <col min="14892" max="14892" width="8.42578125" style="273" customWidth="1"/>
    <col min="14893" max="14893" width="8.85546875" style="273" customWidth="1"/>
    <col min="14894" max="14894" width="8.7109375" style="273" customWidth="1"/>
    <col min="14895" max="14895" width="8.140625" style="273" customWidth="1"/>
    <col min="14896" max="14896" width="9.42578125" style="273" customWidth="1"/>
    <col min="14897" max="14897" width="9.28515625" style="273" customWidth="1"/>
    <col min="14898" max="14898" width="9.42578125" style="273" customWidth="1"/>
    <col min="14899" max="14899" width="10.140625" style="273" customWidth="1"/>
    <col min="14900" max="14900" width="9.5703125" style="273" customWidth="1"/>
    <col min="14901" max="14901" width="8.85546875" style="273" customWidth="1"/>
    <col min="14902" max="14902" width="8.140625" style="273" customWidth="1"/>
    <col min="14903" max="14903" width="9.140625" style="273" customWidth="1"/>
    <col min="14904" max="14904" width="9.5703125" style="273" customWidth="1"/>
    <col min="14905" max="14905" width="8.85546875" style="273" customWidth="1"/>
    <col min="14906" max="14906" width="8.5703125" style="273" customWidth="1"/>
    <col min="14907" max="14907" width="9.28515625" style="273" customWidth="1"/>
    <col min="14908" max="14908" width="9.42578125" style="273" customWidth="1"/>
    <col min="14909" max="14909" width="9" style="273" customWidth="1"/>
    <col min="14910" max="14910" width="8.7109375" style="273" customWidth="1"/>
    <col min="14911" max="14912" width="9.140625" style="273" customWidth="1"/>
    <col min="14913" max="14913" width="8.85546875" style="273" customWidth="1"/>
    <col min="14914" max="14914" width="9.42578125" style="273" customWidth="1"/>
    <col min="14915" max="14916" width="9.140625" style="273" customWidth="1"/>
    <col min="14917" max="14940" width="0" style="273" hidden="1" customWidth="1"/>
    <col min="14941" max="15140" width="12.5703125" style="273"/>
    <col min="15141" max="15141" width="33.5703125" style="273" customWidth="1"/>
    <col min="15142" max="15142" width="9" style="273" customWidth="1"/>
    <col min="15143" max="15143" width="8.42578125" style="273" customWidth="1"/>
    <col min="15144" max="15145" width="8.140625" style="273" customWidth="1"/>
    <col min="15146" max="15146" width="7.42578125" style="273" customWidth="1"/>
    <col min="15147" max="15147" width="8.28515625" style="273" customWidth="1"/>
    <col min="15148" max="15148" width="8.42578125" style="273" customWidth="1"/>
    <col min="15149" max="15149" width="8.85546875" style="273" customWidth="1"/>
    <col min="15150" max="15150" width="8.7109375" style="273" customWidth="1"/>
    <col min="15151" max="15151" width="8.140625" style="273" customWidth="1"/>
    <col min="15152" max="15152" width="9.42578125" style="273" customWidth="1"/>
    <col min="15153" max="15153" width="9.28515625" style="273" customWidth="1"/>
    <col min="15154" max="15154" width="9.42578125" style="273" customWidth="1"/>
    <col min="15155" max="15155" width="10.140625" style="273" customWidth="1"/>
    <col min="15156" max="15156" width="9.5703125" style="273" customWidth="1"/>
    <col min="15157" max="15157" width="8.85546875" style="273" customWidth="1"/>
    <col min="15158" max="15158" width="8.140625" style="273" customWidth="1"/>
    <col min="15159" max="15159" width="9.140625" style="273" customWidth="1"/>
    <col min="15160" max="15160" width="9.5703125" style="273" customWidth="1"/>
    <col min="15161" max="15161" width="8.85546875" style="273" customWidth="1"/>
    <col min="15162" max="15162" width="8.5703125" style="273" customWidth="1"/>
    <col min="15163" max="15163" width="9.28515625" style="273" customWidth="1"/>
    <col min="15164" max="15164" width="9.42578125" style="273" customWidth="1"/>
    <col min="15165" max="15165" width="9" style="273" customWidth="1"/>
    <col min="15166" max="15166" width="8.7109375" style="273" customWidth="1"/>
    <col min="15167" max="15168" width="9.140625" style="273" customWidth="1"/>
    <col min="15169" max="15169" width="8.85546875" style="273" customWidth="1"/>
    <col min="15170" max="15170" width="9.42578125" style="273" customWidth="1"/>
    <col min="15171" max="15172" width="9.140625" style="273" customWidth="1"/>
    <col min="15173" max="15196" width="0" style="273" hidden="1" customWidth="1"/>
    <col min="15197" max="15396" width="12.5703125" style="273"/>
    <col min="15397" max="15397" width="33.5703125" style="273" customWidth="1"/>
    <col min="15398" max="15398" width="9" style="273" customWidth="1"/>
    <col min="15399" max="15399" width="8.42578125" style="273" customWidth="1"/>
    <col min="15400" max="15401" width="8.140625" style="273" customWidth="1"/>
    <col min="15402" max="15402" width="7.42578125" style="273" customWidth="1"/>
    <col min="15403" max="15403" width="8.28515625" style="273" customWidth="1"/>
    <col min="15404" max="15404" width="8.42578125" style="273" customWidth="1"/>
    <col min="15405" max="15405" width="8.85546875" style="273" customWidth="1"/>
    <col min="15406" max="15406" width="8.7109375" style="273" customWidth="1"/>
    <col min="15407" max="15407" width="8.140625" style="273" customWidth="1"/>
    <col min="15408" max="15408" width="9.42578125" style="273" customWidth="1"/>
    <col min="15409" max="15409" width="9.28515625" style="273" customWidth="1"/>
    <col min="15410" max="15410" width="9.42578125" style="273" customWidth="1"/>
    <col min="15411" max="15411" width="10.140625" style="273" customWidth="1"/>
    <col min="15412" max="15412" width="9.5703125" style="273" customWidth="1"/>
    <col min="15413" max="15413" width="8.85546875" style="273" customWidth="1"/>
    <col min="15414" max="15414" width="8.140625" style="273" customWidth="1"/>
    <col min="15415" max="15415" width="9.140625" style="273" customWidth="1"/>
    <col min="15416" max="15416" width="9.5703125" style="273" customWidth="1"/>
    <col min="15417" max="15417" width="8.85546875" style="273" customWidth="1"/>
    <col min="15418" max="15418" width="8.5703125" style="273" customWidth="1"/>
    <col min="15419" max="15419" width="9.28515625" style="273" customWidth="1"/>
    <col min="15420" max="15420" width="9.42578125" style="273" customWidth="1"/>
    <col min="15421" max="15421" width="9" style="273" customWidth="1"/>
    <col min="15422" max="15422" width="8.7109375" style="273" customWidth="1"/>
    <col min="15423" max="15424" width="9.140625" style="273" customWidth="1"/>
    <col min="15425" max="15425" width="8.85546875" style="273" customWidth="1"/>
    <col min="15426" max="15426" width="9.42578125" style="273" customWidth="1"/>
    <col min="15427" max="15428" width="9.140625" style="273" customWidth="1"/>
    <col min="15429" max="15452" width="0" style="273" hidden="1" customWidth="1"/>
    <col min="15453" max="15652" width="12.5703125" style="273"/>
    <col min="15653" max="15653" width="33.5703125" style="273" customWidth="1"/>
    <col min="15654" max="15654" width="9" style="273" customWidth="1"/>
    <col min="15655" max="15655" width="8.42578125" style="273" customWidth="1"/>
    <col min="15656" max="15657" width="8.140625" style="273" customWidth="1"/>
    <col min="15658" max="15658" width="7.42578125" style="273" customWidth="1"/>
    <col min="15659" max="15659" width="8.28515625" style="273" customWidth="1"/>
    <col min="15660" max="15660" width="8.42578125" style="273" customWidth="1"/>
    <col min="15661" max="15661" width="8.85546875" style="273" customWidth="1"/>
    <col min="15662" max="15662" width="8.7109375" style="273" customWidth="1"/>
    <col min="15663" max="15663" width="8.140625" style="273" customWidth="1"/>
    <col min="15664" max="15664" width="9.42578125" style="273" customWidth="1"/>
    <col min="15665" max="15665" width="9.28515625" style="273" customWidth="1"/>
    <col min="15666" max="15666" width="9.42578125" style="273" customWidth="1"/>
    <col min="15667" max="15667" width="10.140625" style="273" customWidth="1"/>
    <col min="15668" max="15668" width="9.5703125" style="273" customWidth="1"/>
    <col min="15669" max="15669" width="8.85546875" style="273" customWidth="1"/>
    <col min="15670" max="15670" width="8.140625" style="273" customWidth="1"/>
    <col min="15671" max="15671" width="9.140625" style="273" customWidth="1"/>
    <col min="15672" max="15672" width="9.5703125" style="273" customWidth="1"/>
    <col min="15673" max="15673" width="8.85546875" style="273" customWidth="1"/>
    <col min="15674" max="15674" width="8.5703125" style="273" customWidth="1"/>
    <col min="15675" max="15675" width="9.28515625" style="273" customWidth="1"/>
    <col min="15676" max="15676" width="9.42578125" style="273" customWidth="1"/>
    <col min="15677" max="15677" width="9" style="273" customWidth="1"/>
    <col min="15678" max="15678" width="8.7109375" style="273" customWidth="1"/>
    <col min="15679" max="15680" width="9.140625" style="273" customWidth="1"/>
    <col min="15681" max="15681" width="8.85546875" style="273" customWidth="1"/>
    <col min="15682" max="15682" width="9.42578125" style="273" customWidth="1"/>
    <col min="15683" max="15684" width="9.140625" style="273" customWidth="1"/>
    <col min="15685" max="15708" width="0" style="273" hidden="1" customWidth="1"/>
    <col min="15709" max="16384" width="12.5703125" style="273"/>
  </cols>
  <sheetData>
    <row r="1" spans="1:32">
      <c r="A1" s="312" t="s">
        <v>350</v>
      </c>
      <c r="B1" s="313"/>
      <c r="C1" s="313"/>
      <c r="D1" s="313"/>
      <c r="E1" s="313"/>
      <c r="F1" s="313"/>
      <c r="G1" s="313"/>
      <c r="H1" s="313"/>
      <c r="I1" s="313"/>
      <c r="J1" s="313"/>
      <c r="K1" s="313"/>
      <c r="L1" s="313"/>
      <c r="M1" s="313"/>
      <c r="N1" s="313"/>
      <c r="O1" s="313"/>
      <c r="P1" s="313"/>
      <c r="Q1" s="313"/>
      <c r="R1" s="313"/>
      <c r="S1" s="313"/>
      <c r="T1" s="313"/>
      <c r="U1" s="313"/>
      <c r="V1" s="313"/>
      <c r="W1" s="313"/>
      <c r="X1" s="313"/>
      <c r="Y1" s="313"/>
      <c r="Z1" s="313"/>
      <c r="AA1" s="313"/>
      <c r="AB1" s="313"/>
      <c r="AC1" s="313"/>
      <c r="AD1" s="313"/>
      <c r="AE1" s="313"/>
      <c r="AF1" s="313"/>
    </row>
    <row r="2" spans="1:32">
      <c r="A2" s="314" t="s">
        <v>335</v>
      </c>
      <c r="B2" s="314"/>
      <c r="C2" s="314"/>
      <c r="D2" s="314"/>
      <c r="E2" s="314"/>
      <c r="F2" s="314"/>
      <c r="G2" s="314"/>
      <c r="H2" s="314"/>
      <c r="I2" s="314"/>
      <c r="J2" s="314"/>
      <c r="K2" s="314"/>
      <c r="L2" s="314"/>
      <c r="M2" s="314"/>
      <c r="N2" s="314"/>
      <c r="O2" s="314"/>
      <c r="P2" s="314"/>
      <c r="Q2" s="314"/>
      <c r="R2" s="314"/>
      <c r="S2" s="314"/>
      <c r="T2" s="314"/>
      <c r="U2" s="314"/>
      <c r="V2" s="314"/>
      <c r="W2" s="314"/>
      <c r="X2" s="314"/>
      <c r="Y2" s="314"/>
      <c r="Z2" s="314"/>
      <c r="AA2" s="314"/>
      <c r="AB2" s="314"/>
      <c r="AC2" s="314"/>
      <c r="AD2" s="314"/>
      <c r="AE2" s="314"/>
      <c r="AF2" s="314"/>
    </row>
    <row r="3" spans="1:32">
      <c r="A3" s="274"/>
      <c r="B3" s="274"/>
      <c r="C3" s="274"/>
      <c r="D3" s="274"/>
      <c r="E3" s="274"/>
      <c r="F3" s="274"/>
      <c r="G3" s="274"/>
      <c r="H3" s="274"/>
      <c r="I3" s="274"/>
      <c r="J3" s="274"/>
      <c r="K3" s="274"/>
      <c r="L3" s="274"/>
      <c r="M3" s="274"/>
      <c r="N3" s="274"/>
      <c r="O3" s="274"/>
      <c r="P3" s="274"/>
      <c r="Q3" s="274"/>
      <c r="R3" s="274"/>
      <c r="S3" s="274"/>
      <c r="T3" s="274"/>
      <c r="U3" s="274"/>
      <c r="V3" s="274"/>
      <c r="W3" s="274"/>
      <c r="X3" s="274"/>
      <c r="Y3" s="274"/>
      <c r="Z3" s="274"/>
      <c r="AA3" s="274"/>
      <c r="AB3" s="274"/>
      <c r="AC3" s="274"/>
      <c r="AD3" s="274"/>
      <c r="AE3" s="274"/>
      <c r="AF3" s="274"/>
    </row>
    <row r="4" spans="1:32" s="279" customFormat="1" ht="19.5" customHeight="1">
      <c r="A4" s="275" t="s">
        <v>336</v>
      </c>
      <c r="B4" s="276" t="s">
        <v>14</v>
      </c>
      <c r="C4" s="276" t="s">
        <v>15</v>
      </c>
      <c r="D4" s="276" t="s">
        <v>16</v>
      </c>
      <c r="E4" s="276" t="s">
        <v>17</v>
      </c>
      <c r="F4" s="276" t="s">
        <v>18</v>
      </c>
      <c r="G4" s="276" t="s">
        <v>19</v>
      </c>
      <c r="H4" s="276" t="s">
        <v>20</v>
      </c>
      <c r="I4" s="276" t="s">
        <v>21</v>
      </c>
      <c r="J4" s="276" t="s">
        <v>22</v>
      </c>
      <c r="K4" s="276" t="s">
        <v>23</v>
      </c>
      <c r="L4" s="276" t="s">
        <v>24</v>
      </c>
      <c r="M4" s="276" t="s">
        <v>25</v>
      </c>
      <c r="N4" s="276" t="s">
        <v>26</v>
      </c>
      <c r="O4" s="276" t="s">
        <v>27</v>
      </c>
      <c r="P4" s="276" t="s">
        <v>28</v>
      </c>
      <c r="Q4" s="276" t="s">
        <v>29</v>
      </c>
      <c r="R4" s="276" t="s">
        <v>30</v>
      </c>
      <c r="S4" s="276" t="s">
        <v>31</v>
      </c>
      <c r="T4" s="276" t="s">
        <v>32</v>
      </c>
      <c r="U4" s="276" t="s">
        <v>33</v>
      </c>
      <c r="V4" s="276" t="s">
        <v>34</v>
      </c>
      <c r="W4" s="276" t="s">
        <v>35</v>
      </c>
      <c r="X4" s="276" t="s">
        <v>36</v>
      </c>
      <c r="Y4" s="277">
        <v>1993</v>
      </c>
      <c r="Z4" s="277">
        <v>1994</v>
      </c>
      <c r="AA4" s="277">
        <v>1995</v>
      </c>
      <c r="AB4" s="277">
        <v>1996</v>
      </c>
      <c r="AC4" s="277">
        <v>1997</v>
      </c>
      <c r="AD4" s="277">
        <v>1998</v>
      </c>
      <c r="AE4" s="277">
        <v>1999</v>
      </c>
      <c r="AF4" s="278">
        <v>2000</v>
      </c>
    </row>
    <row r="5" spans="1:32">
      <c r="A5" s="257"/>
      <c r="B5" s="280"/>
      <c r="C5" s="280"/>
      <c r="D5" s="280"/>
      <c r="E5" s="280"/>
      <c r="F5" s="280"/>
      <c r="G5" s="280"/>
      <c r="H5" s="280"/>
      <c r="I5" s="280"/>
      <c r="J5" s="280"/>
      <c r="K5" s="280"/>
      <c r="L5" s="280"/>
      <c r="M5" s="280"/>
      <c r="N5" s="280"/>
      <c r="O5" s="280"/>
      <c r="P5" s="280"/>
      <c r="Q5" s="280"/>
      <c r="R5" s="280"/>
      <c r="S5" s="280"/>
      <c r="T5" s="280"/>
      <c r="U5" s="280"/>
      <c r="V5" s="280"/>
      <c r="W5" s="280"/>
      <c r="X5" s="280"/>
      <c r="Y5" s="280"/>
      <c r="Z5" s="280"/>
      <c r="AA5" s="281"/>
      <c r="AB5" s="281"/>
      <c r="AC5" s="280"/>
      <c r="AD5" s="280"/>
      <c r="AE5" s="280"/>
      <c r="AF5" s="280"/>
    </row>
    <row r="6" spans="1:32">
      <c r="A6" s="282" t="s">
        <v>351</v>
      </c>
      <c r="B6" s="11">
        <v>-190.88148800000002</v>
      </c>
      <c r="C6" s="11">
        <v>-235.81078500000001</v>
      </c>
      <c r="D6" s="11">
        <v>-74.391718999999966</v>
      </c>
      <c r="E6" s="11">
        <v>-43.730360999999995</v>
      </c>
      <c r="F6" s="11">
        <v>-153.085195</v>
      </c>
      <c r="G6" s="11">
        <v>-436.62327799999991</v>
      </c>
      <c r="H6" s="11">
        <v>-282.4991950000001</v>
      </c>
      <c r="I6" s="11">
        <v>-389.47668600000009</v>
      </c>
      <c r="J6" s="11">
        <v>-946.33469400000001</v>
      </c>
      <c r="K6" s="11">
        <v>-861.08532799999955</v>
      </c>
      <c r="L6" s="11">
        <v>-889.43031800000028</v>
      </c>
      <c r="M6" s="11">
        <v>-1182.212385</v>
      </c>
      <c r="N6" s="11">
        <v>-1568.3992959999998</v>
      </c>
      <c r="O6" s="11">
        <v>-402.24889199999984</v>
      </c>
      <c r="P6" s="11">
        <v>-457.47729799999968</v>
      </c>
      <c r="Q6" s="11">
        <v>-13.340723000000111</v>
      </c>
      <c r="R6" s="11">
        <v>-595.27796999999987</v>
      </c>
      <c r="S6" s="11">
        <v>-1187.368328</v>
      </c>
      <c r="T6" s="11">
        <v>-682.69599599999992</v>
      </c>
      <c r="U6" s="11">
        <v>-716</v>
      </c>
      <c r="V6" s="11">
        <v>-359.82011899999998</v>
      </c>
      <c r="W6" s="11">
        <v>-706.88984100000005</v>
      </c>
      <c r="X6" s="11">
        <v>-121.97635799999999</v>
      </c>
      <c r="Y6" s="11">
        <v>-677.81750799999998</v>
      </c>
      <c r="Z6" s="11">
        <v>-681.22481399999981</v>
      </c>
      <c r="AA6" s="12">
        <v>-765.13770599999998</v>
      </c>
      <c r="AB6" s="12">
        <v>84.226867999999968</v>
      </c>
      <c r="AC6" s="12">
        <v>-713.63383320000003</v>
      </c>
      <c r="AD6" s="12">
        <v>-2168.9512399999994</v>
      </c>
      <c r="AE6" s="12">
        <v>934.5206489430002</v>
      </c>
      <c r="AF6" s="12">
        <v>1223.2388770668299</v>
      </c>
    </row>
    <row r="7" spans="1:32">
      <c r="A7" s="282" t="s">
        <v>352</v>
      </c>
      <c r="B7" s="11">
        <v>-93.071000000000026</v>
      </c>
      <c r="C7" s="11">
        <v>-148.92500000000001</v>
      </c>
      <c r="D7" s="11">
        <v>42.29200000000003</v>
      </c>
      <c r="E7" s="11">
        <v>134.048</v>
      </c>
      <c r="F7" s="11">
        <v>159.548</v>
      </c>
      <c r="G7" s="11">
        <v>-209.94499999999999</v>
      </c>
      <c r="H7" s="11">
        <v>-16.669000000000096</v>
      </c>
      <c r="I7" s="11">
        <v>-7.7260000000001128</v>
      </c>
      <c r="J7" s="11">
        <v>-420.24199999999996</v>
      </c>
      <c r="K7" s="11">
        <v>-182.29699999999957</v>
      </c>
      <c r="L7" s="11">
        <v>30.241999999999734</v>
      </c>
      <c r="M7" s="11">
        <v>-47.632000000000062</v>
      </c>
      <c r="N7" s="11">
        <v>-246.58399999999983</v>
      </c>
      <c r="O7" s="11">
        <v>639.64600000000019</v>
      </c>
      <c r="P7" s="11">
        <v>869.41900000000032</v>
      </c>
      <c r="Q7" s="11">
        <v>1204.7359999999999</v>
      </c>
      <c r="R7" s="11">
        <v>543.34</v>
      </c>
      <c r="S7" s="11">
        <v>-33</v>
      </c>
      <c r="T7" s="11">
        <v>619.13</v>
      </c>
      <c r="U7" s="11">
        <v>661</v>
      </c>
      <c r="V7" s="11">
        <v>1009</v>
      </c>
      <c r="W7" s="11">
        <v>644</v>
      </c>
      <c r="X7" s="11">
        <v>1018</v>
      </c>
      <c r="Y7" s="11">
        <v>592</v>
      </c>
      <c r="Z7" s="11">
        <v>560.79999999999995</v>
      </c>
      <c r="AA7" s="12">
        <v>324</v>
      </c>
      <c r="AB7" s="12">
        <v>1193</v>
      </c>
      <c r="AC7" s="12">
        <v>598</v>
      </c>
      <c r="AD7" s="12">
        <v>-994.95123999999942</v>
      </c>
      <c r="AE7" s="12">
        <v>1664.6822400000001</v>
      </c>
      <c r="AF7" s="12">
        <v>1457.4961751399997</v>
      </c>
    </row>
    <row r="8" spans="1:32">
      <c r="A8" s="282" t="s">
        <v>353</v>
      </c>
      <c r="B8" s="11">
        <v>189.92899999999997</v>
      </c>
      <c r="C8" s="11">
        <v>199.07499999999999</v>
      </c>
      <c r="D8" s="11">
        <v>326.29200000000003</v>
      </c>
      <c r="E8" s="11">
        <v>532.048</v>
      </c>
      <c r="F8" s="11">
        <v>1123.548</v>
      </c>
      <c r="G8" s="11">
        <v>897.05499999999995</v>
      </c>
      <c r="H8" s="11">
        <v>1127.3309999999999</v>
      </c>
      <c r="I8" s="11">
        <v>1436.2739999999999</v>
      </c>
      <c r="J8" s="11">
        <v>1493.758</v>
      </c>
      <c r="K8" s="11">
        <v>2172.7030000000004</v>
      </c>
      <c r="L8" s="11">
        <v>2506.2419999999997</v>
      </c>
      <c r="M8" s="11">
        <v>2541.3679999999999</v>
      </c>
      <c r="N8" s="11">
        <v>2237.4160000000002</v>
      </c>
      <c r="O8" s="11">
        <v>2225.6460000000002</v>
      </c>
      <c r="P8" s="11">
        <v>2620.4190000000003</v>
      </c>
      <c r="Q8" s="11">
        <v>2904.7359999999999</v>
      </c>
      <c r="R8" s="11">
        <v>2186.34</v>
      </c>
      <c r="S8" s="11">
        <v>2021</v>
      </c>
      <c r="T8" s="11">
        <v>2202</v>
      </c>
      <c r="U8" s="11">
        <v>2353</v>
      </c>
      <c r="V8" s="11">
        <v>2724</v>
      </c>
      <c r="W8" s="11">
        <v>2851</v>
      </c>
      <c r="X8" s="11">
        <v>3101</v>
      </c>
      <c r="Y8" s="11">
        <v>3066</v>
      </c>
      <c r="Z8" s="11">
        <v>3842.8</v>
      </c>
      <c r="AA8" s="12">
        <v>4381</v>
      </c>
      <c r="AB8" s="12">
        <v>4873</v>
      </c>
      <c r="AC8" s="12">
        <v>5264</v>
      </c>
      <c r="AD8" s="12">
        <v>4203.0487600000006</v>
      </c>
      <c r="AE8" s="12">
        <v>4451.0843999999997</v>
      </c>
      <c r="AF8" s="12">
        <v>4926.6265199999998</v>
      </c>
    </row>
    <row r="9" spans="1:32">
      <c r="A9" s="282" t="s">
        <v>354</v>
      </c>
      <c r="B9" s="11">
        <v>0.93500000000000005</v>
      </c>
      <c r="C9" s="11">
        <v>2.0430000000000001</v>
      </c>
      <c r="D9" s="11">
        <v>59.9</v>
      </c>
      <c r="E9" s="11">
        <v>282.74600000000004</v>
      </c>
      <c r="F9" s="11">
        <v>696.72</v>
      </c>
      <c r="G9" s="11">
        <v>587.11800000000005</v>
      </c>
      <c r="H9" s="11">
        <v>740.92699999999991</v>
      </c>
      <c r="I9" s="11">
        <v>718.10699999999997</v>
      </c>
      <c r="J9" s="11">
        <v>713.93499999999995</v>
      </c>
      <c r="K9" s="11">
        <v>1181.6300000000001</v>
      </c>
      <c r="L9" s="11">
        <v>1586.5859999999998</v>
      </c>
      <c r="M9" s="11">
        <v>1725.595</v>
      </c>
      <c r="N9" s="11">
        <v>1527.0820000000001</v>
      </c>
      <c r="O9" s="11">
        <v>1652.576</v>
      </c>
      <c r="P9" s="11">
        <v>1834.6370000000002</v>
      </c>
      <c r="Q9" s="11">
        <v>1926.579</v>
      </c>
      <c r="R9" s="11">
        <v>983</v>
      </c>
      <c r="S9" s="11">
        <v>817</v>
      </c>
      <c r="T9" s="11">
        <v>976</v>
      </c>
      <c r="U9" s="11">
        <v>1147</v>
      </c>
      <c r="V9" s="11">
        <v>1418</v>
      </c>
      <c r="W9" s="11">
        <v>1152</v>
      </c>
      <c r="X9" s="11">
        <v>1345</v>
      </c>
      <c r="Y9" s="11">
        <v>1257</v>
      </c>
      <c r="Z9" s="11">
        <v>1304.8</v>
      </c>
      <c r="AA9" s="12">
        <v>1530</v>
      </c>
      <c r="AB9" s="12">
        <v>1749</v>
      </c>
      <c r="AC9" s="12">
        <v>1558</v>
      </c>
      <c r="AD9" s="12">
        <v>922.9446999999999</v>
      </c>
      <c r="AE9" s="12">
        <v>1479.6824700000002</v>
      </c>
      <c r="AF9" s="12">
        <v>2442.4231299999997</v>
      </c>
    </row>
    <row r="10" spans="1:32">
      <c r="A10" s="282" t="s">
        <v>355</v>
      </c>
      <c r="B10" s="11">
        <v>188.99399999999997</v>
      </c>
      <c r="C10" s="11">
        <v>197.03199999999998</v>
      </c>
      <c r="D10" s="11">
        <v>266.39200000000005</v>
      </c>
      <c r="E10" s="11">
        <v>249.30199999999996</v>
      </c>
      <c r="F10" s="11">
        <v>426.82799999999997</v>
      </c>
      <c r="G10" s="11">
        <v>309.93699999999995</v>
      </c>
      <c r="H10" s="11">
        <v>386.40400000000005</v>
      </c>
      <c r="I10" s="11">
        <v>718.16700000000003</v>
      </c>
      <c r="J10" s="11">
        <v>779.82300000000009</v>
      </c>
      <c r="K10" s="11">
        <v>991.07300000000009</v>
      </c>
      <c r="L10" s="11">
        <v>919.65600000000006</v>
      </c>
      <c r="M10" s="11">
        <v>815.77300000000002</v>
      </c>
      <c r="N10" s="11">
        <v>710.33400000000006</v>
      </c>
      <c r="O10" s="11">
        <v>573.07000000000005</v>
      </c>
      <c r="P10" s="11">
        <v>785.78200000000004</v>
      </c>
      <c r="Q10" s="11">
        <v>978.15700000000004</v>
      </c>
      <c r="R10" s="11">
        <v>1203.3399999999999</v>
      </c>
      <c r="S10" s="11">
        <v>1204</v>
      </c>
      <c r="T10" s="11">
        <v>1226</v>
      </c>
      <c r="U10" s="11">
        <v>1206</v>
      </c>
      <c r="V10" s="11">
        <v>1306</v>
      </c>
      <c r="W10" s="11">
        <v>1699</v>
      </c>
      <c r="X10" s="11">
        <v>1756</v>
      </c>
      <c r="Y10" s="11">
        <v>1809</v>
      </c>
      <c r="Z10" s="11">
        <v>2538</v>
      </c>
      <c r="AA10" s="11">
        <v>2851</v>
      </c>
      <c r="AB10" s="11">
        <v>3124</v>
      </c>
      <c r="AC10" s="11">
        <v>3706</v>
      </c>
      <c r="AD10" s="11">
        <v>3280.1040600000006</v>
      </c>
      <c r="AE10" s="11">
        <v>2971.40193</v>
      </c>
      <c r="AF10" s="11">
        <v>2484.2033899999997</v>
      </c>
    </row>
    <row r="11" spans="1:32">
      <c r="A11" s="282" t="s">
        <v>356</v>
      </c>
      <c r="B11" s="11">
        <v>-283</v>
      </c>
      <c r="C11" s="11">
        <v>-348</v>
      </c>
      <c r="D11" s="11">
        <v>-284</v>
      </c>
      <c r="E11" s="11">
        <v>-398</v>
      </c>
      <c r="F11" s="11">
        <v>-964</v>
      </c>
      <c r="G11" s="11">
        <v>-1107</v>
      </c>
      <c r="H11" s="11">
        <v>-1144</v>
      </c>
      <c r="I11" s="11">
        <v>-1444</v>
      </c>
      <c r="J11" s="11">
        <v>-1914</v>
      </c>
      <c r="K11" s="11">
        <v>-2355</v>
      </c>
      <c r="L11" s="11">
        <v>-2476</v>
      </c>
      <c r="M11" s="11">
        <v>-2589</v>
      </c>
      <c r="N11" s="11">
        <v>-2484</v>
      </c>
      <c r="O11" s="11">
        <v>-1586</v>
      </c>
      <c r="P11" s="11">
        <v>-1751</v>
      </c>
      <c r="Q11" s="11">
        <v>-1700</v>
      </c>
      <c r="R11" s="11">
        <v>-1643</v>
      </c>
      <c r="S11" s="11">
        <v>-2054</v>
      </c>
      <c r="T11" s="11">
        <v>-1582.87</v>
      </c>
      <c r="U11" s="11">
        <v>-1692</v>
      </c>
      <c r="V11" s="11">
        <v>-1715</v>
      </c>
      <c r="W11" s="11">
        <v>-2207</v>
      </c>
      <c r="X11" s="11">
        <v>-2083</v>
      </c>
      <c r="Y11" s="11">
        <v>-2474</v>
      </c>
      <c r="Z11" s="11">
        <v>-3282</v>
      </c>
      <c r="AA11" s="11">
        <v>-4057</v>
      </c>
      <c r="AB11" s="11">
        <v>-3680</v>
      </c>
      <c r="AC11" s="11">
        <v>-4666</v>
      </c>
      <c r="AD11" s="11">
        <v>-5198</v>
      </c>
      <c r="AE11" s="11">
        <v>-2786.4021599999996</v>
      </c>
      <c r="AF11" s="11">
        <v>-3469.1303448600002</v>
      </c>
    </row>
    <row r="12" spans="1:32">
      <c r="A12" s="282" t="s">
        <v>357</v>
      </c>
      <c r="B12" s="11">
        <v>-67</v>
      </c>
      <c r="C12" s="11">
        <v>-76</v>
      </c>
      <c r="D12" s="11">
        <v>-42</v>
      </c>
      <c r="E12" s="11">
        <v>-64</v>
      </c>
      <c r="F12" s="11">
        <v>-218</v>
      </c>
      <c r="G12" s="11">
        <v>-231</v>
      </c>
      <c r="H12" s="11">
        <v>-212</v>
      </c>
      <c r="I12" s="11">
        <v>-244</v>
      </c>
      <c r="J12" s="11">
        <v>-739</v>
      </c>
      <c r="K12" s="11">
        <v>-751</v>
      </c>
      <c r="L12" s="11">
        <v>-641</v>
      </c>
      <c r="M12" s="11">
        <v>-657</v>
      </c>
      <c r="N12" s="11">
        <v>-754</v>
      </c>
      <c r="O12" s="11">
        <v>-426</v>
      </c>
      <c r="P12" s="11">
        <v>-490</v>
      </c>
      <c r="Q12" s="11">
        <v>-312</v>
      </c>
      <c r="R12" s="11">
        <v>-220</v>
      </c>
      <c r="S12" s="11">
        <v>-253</v>
      </c>
      <c r="T12" s="11">
        <v>-213.96899999999999</v>
      </c>
      <c r="U12" s="11">
        <v>-225</v>
      </c>
      <c r="V12" s="11">
        <v>-228</v>
      </c>
      <c r="W12" s="11">
        <v>-319</v>
      </c>
      <c r="X12" s="11">
        <v>-393</v>
      </c>
      <c r="Y12" s="11">
        <v>-581</v>
      </c>
      <c r="Z12" s="11">
        <v>-787</v>
      </c>
      <c r="AA12" s="11">
        <v>-1058</v>
      </c>
      <c r="AB12" s="11">
        <v>-888</v>
      </c>
      <c r="AC12" s="11">
        <v>-1094</v>
      </c>
      <c r="AD12" s="11">
        <v>-1168</v>
      </c>
      <c r="AE12" s="11">
        <v>-621.33392000000003</v>
      </c>
      <c r="AF12" s="11">
        <v>-830.06291486000009</v>
      </c>
    </row>
    <row r="13" spans="1:32">
      <c r="A13" s="282" t="s">
        <v>355</v>
      </c>
      <c r="B13" s="11">
        <v>-216</v>
      </c>
      <c r="C13" s="11">
        <v>-272</v>
      </c>
      <c r="D13" s="11">
        <v>-242</v>
      </c>
      <c r="E13" s="11">
        <v>-334</v>
      </c>
      <c r="F13" s="11">
        <v>-746</v>
      </c>
      <c r="G13" s="11">
        <v>-876</v>
      </c>
      <c r="H13" s="11">
        <v>-932</v>
      </c>
      <c r="I13" s="11">
        <v>-1200</v>
      </c>
      <c r="J13" s="11">
        <v>-1175</v>
      </c>
      <c r="K13" s="11">
        <v>-1604</v>
      </c>
      <c r="L13" s="11">
        <v>-1835</v>
      </c>
      <c r="M13" s="11">
        <v>-1932</v>
      </c>
      <c r="N13" s="11">
        <v>-1730</v>
      </c>
      <c r="O13" s="11">
        <v>-1160</v>
      </c>
      <c r="P13" s="11">
        <v>-1261</v>
      </c>
      <c r="Q13" s="11">
        <v>-1388</v>
      </c>
      <c r="R13" s="11">
        <v>-1423</v>
      </c>
      <c r="S13" s="11">
        <v>-1801</v>
      </c>
      <c r="T13" s="11">
        <v>-1368.9009999999998</v>
      </c>
      <c r="U13" s="11">
        <v>-1467</v>
      </c>
      <c r="V13" s="11">
        <v>-1487</v>
      </c>
      <c r="W13" s="11">
        <v>-1888</v>
      </c>
      <c r="X13" s="11">
        <v>-1690</v>
      </c>
      <c r="Y13" s="11">
        <v>-1893</v>
      </c>
      <c r="Z13" s="11">
        <v>-2495</v>
      </c>
      <c r="AA13" s="11">
        <v>-2999</v>
      </c>
      <c r="AB13" s="11">
        <v>-2792</v>
      </c>
      <c r="AC13" s="11">
        <v>-3572</v>
      </c>
      <c r="AD13" s="11">
        <v>-4030</v>
      </c>
      <c r="AE13" s="11">
        <v>-2164.5682399999996</v>
      </c>
      <c r="AF13" s="11">
        <v>-2638.5674300000001</v>
      </c>
    </row>
    <row r="14" spans="1:32">
      <c r="A14" s="282" t="s">
        <v>358</v>
      </c>
      <c r="B14" s="11">
        <v>-115</v>
      </c>
      <c r="C14" s="11">
        <v>-103</v>
      </c>
      <c r="D14" s="11">
        <v>-132</v>
      </c>
      <c r="E14" s="11">
        <v>-205</v>
      </c>
      <c r="F14" s="11">
        <v>-344</v>
      </c>
      <c r="G14" s="11">
        <v>-259</v>
      </c>
      <c r="H14" s="11">
        <v>-297</v>
      </c>
      <c r="I14" s="11">
        <v>-418</v>
      </c>
      <c r="J14" s="11">
        <v>-567</v>
      </c>
      <c r="K14" s="11">
        <v>-709</v>
      </c>
      <c r="L14" s="11">
        <v>-950</v>
      </c>
      <c r="M14" s="11">
        <v>-1160</v>
      </c>
      <c r="N14" s="11">
        <v>-1342</v>
      </c>
      <c r="O14" s="11">
        <v>-1066</v>
      </c>
      <c r="P14" s="11">
        <v>-1347</v>
      </c>
      <c r="Q14" s="11">
        <v>-1298</v>
      </c>
      <c r="R14" s="11">
        <v>-1184</v>
      </c>
      <c r="S14" s="11">
        <v>-1286</v>
      </c>
      <c r="T14" s="11">
        <v>-1399</v>
      </c>
      <c r="U14" s="11">
        <v>-1474</v>
      </c>
      <c r="V14" s="11">
        <v>-1476</v>
      </c>
      <c r="W14" s="11">
        <v>-1461</v>
      </c>
      <c r="X14" s="11">
        <v>-1260</v>
      </c>
      <c r="Y14" s="11">
        <v>-1400</v>
      </c>
      <c r="Z14" s="11">
        <v>-1387</v>
      </c>
      <c r="AA14" s="11">
        <v>-1320</v>
      </c>
      <c r="AB14" s="11">
        <v>-1399</v>
      </c>
      <c r="AC14" s="11">
        <v>-1703</v>
      </c>
      <c r="AD14" s="11">
        <v>-1950</v>
      </c>
      <c r="AE14" s="11">
        <v>-1830.6728570800001</v>
      </c>
      <c r="AF14" s="11">
        <v>-1594.1454534531699</v>
      </c>
    </row>
    <row r="15" spans="1:32">
      <c r="A15" s="282" t="s">
        <v>359</v>
      </c>
      <c r="B15" s="11">
        <v>24</v>
      </c>
      <c r="C15" s="11">
        <v>28</v>
      </c>
      <c r="D15" s="11">
        <v>44</v>
      </c>
      <c r="E15" s="11">
        <v>50</v>
      </c>
      <c r="F15" s="11">
        <v>107</v>
      </c>
      <c r="G15" s="11">
        <v>114</v>
      </c>
      <c r="H15" s="11">
        <v>125</v>
      </c>
      <c r="I15" s="11">
        <v>227</v>
      </c>
      <c r="J15" s="11">
        <v>211</v>
      </c>
      <c r="K15" s="11">
        <v>328</v>
      </c>
      <c r="L15" s="11">
        <v>446</v>
      </c>
      <c r="M15" s="11">
        <v>473</v>
      </c>
      <c r="N15" s="11">
        <v>407</v>
      </c>
      <c r="O15" s="11">
        <v>338</v>
      </c>
      <c r="P15" s="11">
        <v>350</v>
      </c>
      <c r="Q15" s="11">
        <v>426</v>
      </c>
      <c r="R15" s="11">
        <v>473</v>
      </c>
      <c r="S15" s="11">
        <v>449</v>
      </c>
      <c r="T15" s="11">
        <v>457</v>
      </c>
      <c r="U15" s="11">
        <v>536</v>
      </c>
      <c r="V15" s="11">
        <v>563</v>
      </c>
      <c r="W15" s="11">
        <v>587</v>
      </c>
      <c r="X15" s="11">
        <v>652</v>
      </c>
      <c r="Y15" s="11">
        <v>680</v>
      </c>
      <c r="Z15" s="11">
        <v>797</v>
      </c>
      <c r="AA15" s="11">
        <v>936</v>
      </c>
      <c r="AB15" s="11">
        <v>931</v>
      </c>
      <c r="AC15" s="11">
        <v>928</v>
      </c>
      <c r="AD15" s="11">
        <v>890</v>
      </c>
      <c r="AE15" s="11">
        <v>860.91614291999997</v>
      </c>
      <c r="AF15" s="11">
        <v>1029.1858889999999</v>
      </c>
    </row>
    <row r="16" spans="1:32">
      <c r="A16" s="282" t="s">
        <v>360</v>
      </c>
      <c r="B16" s="11">
        <v>10</v>
      </c>
      <c r="C16" s="11">
        <v>9</v>
      </c>
      <c r="D16" s="11">
        <v>12</v>
      </c>
      <c r="E16" s="11">
        <v>13</v>
      </c>
      <c r="F16" s="11">
        <v>21</v>
      </c>
      <c r="G16" s="11">
        <v>29</v>
      </c>
      <c r="H16" s="11">
        <v>31</v>
      </c>
      <c r="I16" s="11">
        <v>58</v>
      </c>
      <c r="J16" s="11">
        <v>55</v>
      </c>
      <c r="K16" s="11">
        <v>80</v>
      </c>
      <c r="L16" s="11">
        <v>130</v>
      </c>
      <c r="M16" s="11">
        <v>136</v>
      </c>
      <c r="N16" s="11">
        <v>131</v>
      </c>
      <c r="O16" s="11">
        <v>120</v>
      </c>
      <c r="P16" s="11">
        <v>139</v>
      </c>
      <c r="Q16" s="11">
        <v>133</v>
      </c>
      <c r="R16" s="11">
        <v>170</v>
      </c>
      <c r="S16" s="11">
        <v>167</v>
      </c>
      <c r="T16" s="11">
        <v>173</v>
      </c>
      <c r="U16" s="11">
        <v>187</v>
      </c>
      <c r="V16" s="11">
        <v>188</v>
      </c>
      <c r="W16" s="11">
        <v>189</v>
      </c>
      <c r="X16" s="11">
        <v>192</v>
      </c>
      <c r="Y16" s="11">
        <v>230</v>
      </c>
      <c r="Z16" s="11">
        <v>252</v>
      </c>
      <c r="AA16" s="11">
        <v>255</v>
      </c>
      <c r="AB16" s="11">
        <v>281</v>
      </c>
      <c r="AC16" s="11">
        <v>290</v>
      </c>
      <c r="AD16" s="11">
        <v>291</v>
      </c>
      <c r="AE16" s="11">
        <v>343</v>
      </c>
      <c r="AF16" s="11">
        <v>401.714</v>
      </c>
    </row>
    <row r="17" spans="1:32">
      <c r="A17" s="282" t="s">
        <v>361</v>
      </c>
      <c r="B17" s="11">
        <v>14</v>
      </c>
      <c r="C17" s="11">
        <v>19</v>
      </c>
      <c r="D17" s="11">
        <v>32</v>
      </c>
      <c r="E17" s="11">
        <v>37</v>
      </c>
      <c r="F17" s="11">
        <v>86</v>
      </c>
      <c r="G17" s="11">
        <v>85</v>
      </c>
      <c r="H17" s="11">
        <v>94</v>
      </c>
      <c r="I17" s="11">
        <v>169</v>
      </c>
      <c r="J17" s="11">
        <v>156</v>
      </c>
      <c r="K17" s="11">
        <v>248</v>
      </c>
      <c r="L17" s="11">
        <v>316</v>
      </c>
      <c r="M17" s="11">
        <v>337</v>
      </c>
      <c r="N17" s="11">
        <v>276</v>
      </c>
      <c r="O17" s="11">
        <v>218</v>
      </c>
      <c r="P17" s="11">
        <v>211</v>
      </c>
      <c r="Q17" s="11">
        <v>293</v>
      </c>
      <c r="R17" s="11">
        <v>303</v>
      </c>
      <c r="S17" s="11">
        <v>282</v>
      </c>
      <c r="T17" s="11">
        <v>284</v>
      </c>
      <c r="U17" s="11">
        <v>349</v>
      </c>
      <c r="V17" s="11">
        <v>375</v>
      </c>
      <c r="W17" s="11">
        <v>398</v>
      </c>
      <c r="X17" s="11">
        <v>460</v>
      </c>
      <c r="Y17" s="11">
        <v>450</v>
      </c>
      <c r="Z17" s="11">
        <v>545</v>
      </c>
      <c r="AA17" s="11">
        <v>681</v>
      </c>
      <c r="AB17" s="11">
        <v>650</v>
      </c>
      <c r="AC17" s="11">
        <v>638</v>
      </c>
      <c r="AD17" s="11">
        <v>599</v>
      </c>
      <c r="AE17" s="11">
        <v>517.91614291999997</v>
      </c>
      <c r="AF17" s="11">
        <v>627.47188899999992</v>
      </c>
    </row>
    <row r="18" spans="1:32">
      <c r="A18" s="282" t="s">
        <v>362</v>
      </c>
      <c r="B18" s="11">
        <v>-139</v>
      </c>
      <c r="C18" s="11">
        <v>-131</v>
      </c>
      <c r="D18" s="11">
        <v>-176</v>
      </c>
      <c r="E18" s="11">
        <v>-255</v>
      </c>
      <c r="F18" s="11">
        <v>-451</v>
      </c>
      <c r="G18" s="11">
        <v>-373</v>
      </c>
      <c r="H18" s="11">
        <v>-422</v>
      </c>
      <c r="I18" s="11">
        <v>-645</v>
      </c>
      <c r="J18" s="11">
        <v>-778</v>
      </c>
      <c r="K18" s="11">
        <v>-1037</v>
      </c>
      <c r="L18" s="11">
        <v>-1396</v>
      </c>
      <c r="M18" s="11">
        <v>-1633</v>
      </c>
      <c r="N18" s="11">
        <v>-1749</v>
      </c>
      <c r="O18" s="11">
        <v>-1404</v>
      </c>
      <c r="P18" s="11">
        <v>-1697</v>
      </c>
      <c r="Q18" s="11">
        <v>-1724</v>
      </c>
      <c r="R18" s="11">
        <v>-1657</v>
      </c>
      <c r="S18" s="11">
        <v>-1735</v>
      </c>
      <c r="T18" s="11">
        <v>-1856</v>
      </c>
      <c r="U18" s="11">
        <v>-2010</v>
      </c>
      <c r="V18" s="11">
        <v>-2039</v>
      </c>
      <c r="W18" s="11">
        <v>-2048</v>
      </c>
      <c r="X18" s="11">
        <v>-1912</v>
      </c>
      <c r="Y18" s="11">
        <v>-2080</v>
      </c>
      <c r="Z18" s="11">
        <v>-2184</v>
      </c>
      <c r="AA18" s="11">
        <v>-2256</v>
      </c>
      <c r="AB18" s="11">
        <v>-2330</v>
      </c>
      <c r="AC18" s="11">
        <v>-2631</v>
      </c>
      <c r="AD18" s="11">
        <v>-2840</v>
      </c>
      <c r="AE18" s="11">
        <v>-2691.5889999999999</v>
      </c>
      <c r="AF18" s="11">
        <v>-2623.3313424531698</v>
      </c>
    </row>
    <row r="19" spans="1:32" ht="26.25" customHeight="1">
      <c r="A19" s="282" t="s">
        <v>363</v>
      </c>
      <c r="B19" s="11">
        <v>-9</v>
      </c>
      <c r="C19" s="11">
        <v>-10</v>
      </c>
      <c r="D19" s="11">
        <v>-12</v>
      </c>
      <c r="E19" s="11">
        <v>-18</v>
      </c>
      <c r="F19" s="11">
        <v>-22</v>
      </c>
      <c r="G19" s="11">
        <v>-25</v>
      </c>
      <c r="H19" s="11">
        <v>-35</v>
      </c>
      <c r="I19" s="11">
        <v>-73</v>
      </c>
      <c r="J19" s="11">
        <v>-171</v>
      </c>
      <c r="K19" s="11">
        <v>-322</v>
      </c>
      <c r="L19" s="11">
        <v>-511</v>
      </c>
      <c r="M19" s="11">
        <v>-625</v>
      </c>
      <c r="N19" s="11">
        <v>-767</v>
      </c>
      <c r="O19" s="11">
        <v>-740</v>
      </c>
      <c r="P19" s="11">
        <v>-889</v>
      </c>
      <c r="Q19" s="11">
        <v>-808</v>
      </c>
      <c r="R19" s="11">
        <v>-728</v>
      </c>
      <c r="S19" s="11">
        <v>-753</v>
      </c>
      <c r="T19" s="11">
        <v>-874</v>
      </c>
      <c r="U19" s="11">
        <v>-1029</v>
      </c>
      <c r="V19" s="11">
        <v>-1048</v>
      </c>
      <c r="W19" s="11">
        <v>-980</v>
      </c>
      <c r="X19" s="11">
        <v>-828</v>
      </c>
      <c r="Y19" s="11">
        <v>-795</v>
      </c>
      <c r="Z19" s="11">
        <v>-866</v>
      </c>
      <c r="AA19" s="11">
        <v>-814</v>
      </c>
      <c r="AB19" s="11">
        <v>-907</v>
      </c>
      <c r="AC19" s="11">
        <v>-961</v>
      </c>
      <c r="AD19" s="11">
        <v>-1058</v>
      </c>
      <c r="AE19" s="11">
        <v>-1106</v>
      </c>
      <c r="AF19" s="11">
        <v>-949.37</v>
      </c>
    </row>
    <row r="20" spans="1:32" ht="26.25" customHeight="1">
      <c r="A20" s="282" t="s">
        <v>364</v>
      </c>
      <c r="B20" s="11">
        <v>0</v>
      </c>
      <c r="C20" s="11">
        <v>0</v>
      </c>
      <c r="D20" s="11">
        <v>0</v>
      </c>
      <c r="E20" s="11">
        <v>0</v>
      </c>
      <c r="F20" s="11">
        <v>0</v>
      </c>
      <c r="G20" s="11">
        <v>0</v>
      </c>
      <c r="H20" s="11">
        <v>0</v>
      </c>
      <c r="I20" s="11">
        <v>0</v>
      </c>
      <c r="J20" s="11">
        <v>0</v>
      </c>
      <c r="K20" s="11">
        <v>0</v>
      </c>
      <c r="L20" s="11">
        <v>0</v>
      </c>
      <c r="M20" s="11">
        <v>-1</v>
      </c>
      <c r="N20" s="11">
        <v>-54</v>
      </c>
      <c r="O20" s="11">
        <v>-27</v>
      </c>
      <c r="P20" s="11">
        <v>-81</v>
      </c>
      <c r="Q20" s="11">
        <v>-40</v>
      </c>
      <c r="R20" s="11">
        <v>-53</v>
      </c>
      <c r="S20" s="11">
        <v>-57</v>
      </c>
      <c r="T20" s="11">
        <v>-58</v>
      </c>
      <c r="U20" s="11">
        <v>-60</v>
      </c>
      <c r="V20" s="11">
        <v>-60</v>
      </c>
      <c r="W20" s="11">
        <v>-37</v>
      </c>
      <c r="X20" s="11">
        <v>-18</v>
      </c>
      <c r="Y20" s="11">
        <v>-9</v>
      </c>
      <c r="Z20" s="11">
        <v>-6</v>
      </c>
      <c r="AA20" s="11">
        <v>-12</v>
      </c>
      <c r="AB20" s="11">
        <v>-9</v>
      </c>
      <c r="AC20" s="11">
        <v>-7</v>
      </c>
      <c r="AD20" s="11">
        <v>-5</v>
      </c>
      <c r="AE20" s="11">
        <v>-28</v>
      </c>
      <c r="AF20" s="11">
        <v>-34.552999999999997</v>
      </c>
    </row>
    <row r="21" spans="1:32">
      <c r="A21" s="282" t="s">
        <v>360</v>
      </c>
      <c r="B21" s="11">
        <v>-18</v>
      </c>
      <c r="C21" s="11">
        <v>-12</v>
      </c>
      <c r="D21" s="11">
        <v>-16</v>
      </c>
      <c r="E21" s="11">
        <v>-19</v>
      </c>
      <c r="F21" s="11">
        <v>-28</v>
      </c>
      <c r="G21" s="11">
        <v>-42</v>
      </c>
      <c r="H21" s="11">
        <v>-44</v>
      </c>
      <c r="I21" s="11">
        <v>-82</v>
      </c>
      <c r="J21" s="11">
        <v>-97</v>
      </c>
      <c r="K21" s="11">
        <v>-151</v>
      </c>
      <c r="L21" s="11">
        <v>-228</v>
      </c>
      <c r="M21" s="11">
        <v>-260</v>
      </c>
      <c r="N21" s="11">
        <v>-250</v>
      </c>
      <c r="O21" s="11">
        <v>-152</v>
      </c>
      <c r="P21" s="11">
        <v>-163</v>
      </c>
      <c r="Q21" s="11">
        <v>-196</v>
      </c>
      <c r="R21" s="11">
        <v>-156</v>
      </c>
      <c r="S21" s="11">
        <v>-170</v>
      </c>
      <c r="T21" s="11">
        <v>-167</v>
      </c>
      <c r="U21" s="11">
        <v>-169</v>
      </c>
      <c r="V21" s="11">
        <v>-175</v>
      </c>
      <c r="W21" s="11">
        <v>-177</v>
      </c>
      <c r="X21" s="11">
        <v>-178</v>
      </c>
      <c r="Y21" s="11">
        <v>-190</v>
      </c>
      <c r="Z21" s="11">
        <v>-203</v>
      </c>
      <c r="AA21" s="11">
        <v>-235</v>
      </c>
      <c r="AB21" s="11">
        <v>-219</v>
      </c>
      <c r="AC21" s="11">
        <v>-227</v>
      </c>
      <c r="AD21" s="11">
        <v>-241</v>
      </c>
      <c r="AE21" s="11">
        <v>-271</v>
      </c>
      <c r="AF21" s="11">
        <v>-299</v>
      </c>
    </row>
    <row r="22" spans="1:32">
      <c r="A22" s="282" t="s">
        <v>361</v>
      </c>
      <c r="B22" s="11">
        <v>-112</v>
      </c>
      <c r="C22" s="11">
        <v>-109</v>
      </c>
      <c r="D22" s="11">
        <v>-148</v>
      </c>
      <c r="E22" s="11">
        <v>-218</v>
      </c>
      <c r="F22" s="11">
        <v>-401</v>
      </c>
      <c r="G22" s="11">
        <v>-306</v>
      </c>
      <c r="H22" s="11">
        <v>-343</v>
      </c>
      <c r="I22" s="11">
        <v>-490</v>
      </c>
      <c r="J22" s="11">
        <v>-510</v>
      </c>
      <c r="K22" s="11">
        <v>-564</v>
      </c>
      <c r="L22" s="11">
        <v>-657</v>
      </c>
      <c r="M22" s="11">
        <v>-747</v>
      </c>
      <c r="N22" s="11">
        <v>-678</v>
      </c>
      <c r="O22" s="11">
        <v>-485</v>
      </c>
      <c r="P22" s="11">
        <v>-564</v>
      </c>
      <c r="Q22" s="11">
        <v>-680</v>
      </c>
      <c r="R22" s="11">
        <v>-720</v>
      </c>
      <c r="S22" s="11">
        <v>-755</v>
      </c>
      <c r="T22" s="11">
        <v>-757</v>
      </c>
      <c r="U22" s="11">
        <v>-752</v>
      </c>
      <c r="V22" s="11">
        <v>-756</v>
      </c>
      <c r="W22" s="11">
        <v>-854</v>
      </c>
      <c r="X22" s="11">
        <v>-888</v>
      </c>
      <c r="Y22" s="11">
        <v>-1086</v>
      </c>
      <c r="Z22" s="11">
        <v>-1109</v>
      </c>
      <c r="AA22" s="11">
        <v>-1195</v>
      </c>
      <c r="AB22" s="11">
        <v>-1195</v>
      </c>
      <c r="AC22" s="11">
        <v>-1436</v>
      </c>
      <c r="AD22" s="11">
        <v>-1536</v>
      </c>
      <c r="AE22" s="11">
        <v>-1286.5889999999999</v>
      </c>
      <c r="AF22" s="11">
        <v>-1340.4083424531696</v>
      </c>
    </row>
    <row r="23" spans="1:32">
      <c r="A23" s="282" t="s">
        <v>365</v>
      </c>
      <c r="B23" s="11">
        <v>17.189512000000001</v>
      </c>
      <c r="C23" s="11">
        <v>16.114215000000002</v>
      </c>
      <c r="D23" s="11">
        <v>15.316281</v>
      </c>
      <c r="E23" s="11">
        <v>27.221639000000003</v>
      </c>
      <c r="F23" s="11">
        <v>31.366805000000003</v>
      </c>
      <c r="G23" s="11">
        <v>32.321721999999994</v>
      </c>
      <c r="H23" s="11">
        <v>31.169804999999997</v>
      </c>
      <c r="I23" s="11">
        <v>36.249314000000005</v>
      </c>
      <c r="J23" s="11">
        <v>40.907305999999998</v>
      </c>
      <c r="K23" s="11">
        <v>30.211672</v>
      </c>
      <c r="L23" s="11">
        <v>30.327682000000003</v>
      </c>
      <c r="M23" s="11">
        <v>25.419615</v>
      </c>
      <c r="N23" s="11">
        <v>20.184703999999996</v>
      </c>
      <c r="O23" s="11">
        <v>24.105108000000001</v>
      </c>
      <c r="P23" s="11">
        <v>20.103701999999998</v>
      </c>
      <c r="Q23" s="11">
        <v>79.923277000000013</v>
      </c>
      <c r="R23" s="11">
        <v>45.38203</v>
      </c>
      <c r="S23" s="11">
        <v>131.63167199999998</v>
      </c>
      <c r="T23" s="11">
        <v>97.174004000000011</v>
      </c>
      <c r="U23" s="11">
        <v>97</v>
      </c>
      <c r="V23" s="11">
        <v>107.17988100000002</v>
      </c>
      <c r="W23" s="11">
        <v>110.110159</v>
      </c>
      <c r="X23" s="11">
        <v>120.02364200000001</v>
      </c>
      <c r="Y23" s="11">
        <v>130.18249200000002</v>
      </c>
      <c r="Z23" s="11">
        <v>144.97518599999998</v>
      </c>
      <c r="AA23" s="11">
        <v>230.86229399999999</v>
      </c>
      <c r="AB23" s="11">
        <v>290.22686799999997</v>
      </c>
      <c r="AC23" s="11">
        <v>391.36616679999997</v>
      </c>
      <c r="AD23" s="11">
        <v>776</v>
      </c>
      <c r="AE23" s="11">
        <v>1100.5112660230002</v>
      </c>
      <c r="AF23" s="11">
        <v>1359.8881553800002</v>
      </c>
    </row>
    <row r="24" spans="1:32">
      <c r="A24" s="283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</row>
    <row r="25" spans="1:32">
      <c r="A25" s="282" t="s">
        <v>366</v>
      </c>
      <c r="B25" s="11">
        <v>200.88148800000002</v>
      </c>
      <c r="C25" s="11">
        <v>203.81078500000001</v>
      </c>
      <c r="D25" s="11">
        <v>185.39171899999997</v>
      </c>
      <c r="E25" s="11">
        <v>141.73036099999999</v>
      </c>
      <c r="F25" s="11">
        <v>266.085195</v>
      </c>
      <c r="G25" s="11">
        <v>342.62327799999991</v>
      </c>
      <c r="H25" s="11">
        <v>471.4991950000001</v>
      </c>
      <c r="I25" s="11">
        <v>525.47668600000009</v>
      </c>
      <c r="J25" s="11">
        <v>977.33469400000001</v>
      </c>
      <c r="K25" s="11">
        <v>891.08532799999955</v>
      </c>
      <c r="L25" s="11">
        <v>1115.4303180000002</v>
      </c>
      <c r="M25" s="11">
        <v>888.21238500000004</v>
      </c>
      <c r="N25" s="11">
        <v>1215.3992959999998</v>
      </c>
      <c r="O25" s="11">
        <v>343.24889199999984</v>
      </c>
      <c r="P25" s="11">
        <v>477.47729799999968</v>
      </c>
      <c r="Q25" s="11">
        <v>38.340723000000139</v>
      </c>
      <c r="R25" s="11">
        <v>324</v>
      </c>
      <c r="S25" s="11">
        <v>1111.4009999999998</v>
      </c>
      <c r="T25" s="11">
        <v>657.71500000000003</v>
      </c>
      <c r="U25" s="11">
        <v>1095</v>
      </c>
      <c r="V25" s="11">
        <v>759.53</v>
      </c>
      <c r="W25" s="11">
        <v>863.77800000000002</v>
      </c>
      <c r="X25" s="11">
        <v>143.77599999999978</v>
      </c>
      <c r="Y25" s="11">
        <v>1149.4880000000001</v>
      </c>
      <c r="Z25" s="11">
        <v>1139.402</v>
      </c>
      <c r="AA25" s="11">
        <v>610.14</v>
      </c>
      <c r="AB25" s="11">
        <v>190.06799999999976</v>
      </c>
      <c r="AC25" s="11">
        <v>976.05399999999963</v>
      </c>
      <c r="AD25" s="11">
        <v>1774.2490000000003</v>
      </c>
      <c r="AE25" s="11">
        <v>-1376.520648943</v>
      </c>
      <c r="AF25" s="11">
        <v>-915.34093088116333</v>
      </c>
    </row>
    <row r="26" spans="1:32">
      <c r="A26" s="282" t="s">
        <v>367</v>
      </c>
      <c r="B26" s="11">
        <v>89</v>
      </c>
      <c r="C26" s="11">
        <v>162</v>
      </c>
      <c r="D26" s="11">
        <v>81</v>
      </c>
      <c r="E26" s="11">
        <v>52</v>
      </c>
      <c r="F26" s="11">
        <v>77</v>
      </c>
      <c r="G26" s="11">
        <v>95</v>
      </c>
      <c r="H26" s="11">
        <v>-20</v>
      </c>
      <c r="I26" s="11">
        <v>34</v>
      </c>
      <c r="J26" s="11">
        <v>49</v>
      </c>
      <c r="K26" s="11">
        <v>63</v>
      </c>
      <c r="L26" s="11">
        <v>70</v>
      </c>
      <c r="M26" s="11">
        <v>60</v>
      </c>
      <c r="N26" s="11">
        <v>40</v>
      </c>
      <c r="O26" s="11">
        <v>50</v>
      </c>
      <c r="P26" s="11">
        <v>50</v>
      </c>
      <c r="Q26" s="11">
        <v>62</v>
      </c>
      <c r="R26" s="11">
        <v>81</v>
      </c>
      <c r="S26" s="11">
        <v>123</v>
      </c>
      <c r="T26" s="11">
        <v>155</v>
      </c>
      <c r="U26" s="11">
        <v>160</v>
      </c>
      <c r="V26" s="11">
        <v>126</v>
      </c>
      <c r="W26" s="11">
        <v>160</v>
      </c>
      <c r="X26" s="11">
        <v>178</v>
      </c>
      <c r="Y26" s="11">
        <v>474</v>
      </c>
      <c r="Z26" s="11">
        <v>576</v>
      </c>
      <c r="AA26" s="11">
        <v>452</v>
      </c>
      <c r="AB26" s="11">
        <v>500</v>
      </c>
      <c r="AC26" s="11">
        <v>724</v>
      </c>
      <c r="AD26" s="11">
        <v>870</v>
      </c>
      <c r="AE26" s="11">
        <v>648.41561958363741</v>
      </c>
      <c r="AF26" s="11">
        <v>720.02706911883683</v>
      </c>
    </row>
    <row r="27" spans="1:32">
      <c r="A27" s="282" t="s">
        <v>368</v>
      </c>
      <c r="B27" s="11">
        <v>28</v>
      </c>
      <c r="C27" s="11">
        <v>19</v>
      </c>
      <c r="D27" s="11">
        <v>83</v>
      </c>
      <c r="E27" s="11">
        <v>28</v>
      </c>
      <c r="F27" s="11">
        <v>31</v>
      </c>
      <c r="G27" s="11">
        <v>107</v>
      </c>
      <c r="H27" s="11">
        <v>179</v>
      </c>
      <c r="I27" s="11">
        <v>562</v>
      </c>
      <c r="J27" s="11">
        <v>715</v>
      </c>
      <c r="K27" s="11">
        <v>573</v>
      </c>
      <c r="L27" s="11">
        <v>1051</v>
      </c>
      <c r="M27" s="11">
        <v>1255</v>
      </c>
      <c r="N27" s="11">
        <v>655</v>
      </c>
      <c r="O27" s="11">
        <v>561</v>
      </c>
      <c r="P27" s="11">
        <v>298</v>
      </c>
      <c r="Q27" s="11">
        <v>433</v>
      </c>
      <c r="R27" s="11">
        <v>592</v>
      </c>
      <c r="S27" s="11">
        <v>576.18599999999992</v>
      </c>
      <c r="T27" s="11">
        <v>128.715</v>
      </c>
      <c r="U27" s="11">
        <v>509</v>
      </c>
      <c r="V27" s="11">
        <v>65.530000000000172</v>
      </c>
      <c r="W27" s="11">
        <v>71.778000000000063</v>
      </c>
      <c r="X27" s="11">
        <v>-122.76900000000022</v>
      </c>
      <c r="Y27" s="11">
        <v>299.572</v>
      </c>
      <c r="Z27" s="11">
        <v>471.40199999999993</v>
      </c>
      <c r="AA27" s="11">
        <v>1565.3759999999997</v>
      </c>
      <c r="AB27" s="11">
        <v>971.20399999999984</v>
      </c>
      <c r="AC27" s="11">
        <v>858.11399999999958</v>
      </c>
      <c r="AD27" s="11">
        <v>1275.059</v>
      </c>
      <c r="AE27" s="11">
        <v>-214.68</v>
      </c>
      <c r="AF27" s="11">
        <v>14.477999999999838</v>
      </c>
    </row>
    <row r="28" spans="1:32">
      <c r="A28" s="282" t="s">
        <v>369</v>
      </c>
      <c r="B28" s="11">
        <v>28</v>
      </c>
      <c r="C28" s="11">
        <v>19</v>
      </c>
      <c r="D28" s="11">
        <v>76</v>
      </c>
      <c r="E28" s="11">
        <v>28</v>
      </c>
      <c r="F28" s="11">
        <v>10</v>
      </c>
      <c r="G28" s="11">
        <v>82</v>
      </c>
      <c r="H28" s="11">
        <v>178</v>
      </c>
      <c r="I28" s="11">
        <v>529</v>
      </c>
      <c r="J28" s="11">
        <v>371</v>
      </c>
      <c r="K28" s="11">
        <v>363</v>
      </c>
      <c r="L28" s="11">
        <v>686</v>
      </c>
      <c r="M28" s="11">
        <v>924</v>
      </c>
      <c r="N28" s="11">
        <v>479</v>
      </c>
      <c r="O28" s="11">
        <v>1052</v>
      </c>
      <c r="P28" s="11">
        <v>1209</v>
      </c>
      <c r="Q28" s="11">
        <v>505</v>
      </c>
      <c r="R28" s="11">
        <v>662</v>
      </c>
      <c r="S28" s="11">
        <v>576.18599999999992</v>
      </c>
      <c r="T28" s="11">
        <v>129</v>
      </c>
      <c r="U28" s="11">
        <v>466</v>
      </c>
      <c r="V28" s="11">
        <v>54.608000000000175</v>
      </c>
      <c r="W28" s="11">
        <v>68.978000000000065</v>
      </c>
      <c r="X28" s="11">
        <v>-225.57700000000023</v>
      </c>
      <c r="Y28" s="11">
        <v>-48.427999999999997</v>
      </c>
      <c r="Z28" s="11">
        <v>246.197</v>
      </c>
      <c r="AA28" s="11">
        <v>829.13599999999997</v>
      </c>
      <c r="AB28" s="11">
        <v>567.78300000000002</v>
      </c>
      <c r="AC28" s="11">
        <v>296.10399999999981</v>
      </c>
      <c r="AD28" s="11">
        <v>634.76900000000001</v>
      </c>
      <c r="AE28" s="11">
        <v>406.20400000000006</v>
      </c>
      <c r="AF28" s="11">
        <v>319.55</v>
      </c>
    </row>
    <row r="29" spans="1:32">
      <c r="A29" s="282" t="s">
        <v>370</v>
      </c>
      <c r="B29" s="11">
        <v>47</v>
      </c>
      <c r="C29" s="11">
        <v>48</v>
      </c>
      <c r="D29" s="11">
        <v>105</v>
      </c>
      <c r="E29" s="11">
        <v>60</v>
      </c>
      <c r="F29" s="11">
        <v>91</v>
      </c>
      <c r="G29" s="11">
        <v>117</v>
      </c>
      <c r="H29" s="11">
        <v>228</v>
      </c>
      <c r="I29" s="11">
        <v>591</v>
      </c>
      <c r="J29" s="11">
        <v>615</v>
      </c>
      <c r="K29" s="11">
        <v>1269</v>
      </c>
      <c r="L29" s="11">
        <v>1103</v>
      </c>
      <c r="M29" s="11">
        <v>1522</v>
      </c>
      <c r="N29" s="11">
        <v>1067</v>
      </c>
      <c r="O29" s="11">
        <v>696</v>
      </c>
      <c r="P29" s="11">
        <v>425</v>
      </c>
      <c r="Q29" s="11">
        <v>650</v>
      </c>
      <c r="R29" s="11">
        <v>968</v>
      </c>
      <c r="S29" s="11">
        <v>1061</v>
      </c>
      <c r="T29" s="11">
        <v>821</v>
      </c>
      <c r="U29" s="11">
        <v>909</v>
      </c>
      <c r="V29" s="11">
        <v>535</v>
      </c>
      <c r="W29" s="11">
        <v>722.98400000000004</v>
      </c>
      <c r="X29" s="11">
        <v>500.13099999999997</v>
      </c>
      <c r="Y29" s="11">
        <v>481.91800000000001</v>
      </c>
      <c r="Z29" s="11">
        <v>549</v>
      </c>
      <c r="AA29" s="11">
        <v>1064</v>
      </c>
      <c r="AB29" s="11">
        <v>1012.87</v>
      </c>
      <c r="AC29" s="11">
        <v>1262.6569999999999</v>
      </c>
      <c r="AD29" s="11">
        <v>1092.3630000000001</v>
      </c>
      <c r="AE29" s="11">
        <v>788.48800000000006</v>
      </c>
      <c r="AF29" s="11">
        <v>898.553</v>
      </c>
    </row>
    <row r="30" spans="1:32" ht="25.5">
      <c r="A30" s="282" t="s">
        <v>371</v>
      </c>
      <c r="B30" s="11">
        <v>0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  <c r="J30" s="11">
        <v>0</v>
      </c>
      <c r="K30" s="11">
        <v>0</v>
      </c>
      <c r="L30" s="11">
        <v>0</v>
      </c>
      <c r="M30" s="11">
        <v>0</v>
      </c>
      <c r="N30" s="11">
        <v>131</v>
      </c>
      <c r="O30" s="11">
        <v>1523</v>
      </c>
      <c r="P30" s="11">
        <v>1366</v>
      </c>
      <c r="Q30" s="11">
        <v>1154</v>
      </c>
      <c r="R30" s="11">
        <v>1854</v>
      </c>
      <c r="S30" s="11">
        <v>650</v>
      </c>
      <c r="T30" s="11">
        <v>941</v>
      </c>
      <c r="U30" s="11">
        <v>673</v>
      </c>
      <c r="V30" s="11">
        <v>227</v>
      </c>
      <c r="W30" s="11">
        <v>6.9939999999999998</v>
      </c>
      <c r="X30" s="11">
        <v>303.69900000000001</v>
      </c>
      <c r="Y30" s="11">
        <v>36</v>
      </c>
      <c r="Z30" s="11">
        <v>213.34100000000001</v>
      </c>
      <c r="AA30" s="11">
        <v>405</v>
      </c>
      <c r="AB30" s="11">
        <v>83.721999999999994</v>
      </c>
      <c r="AC30" s="11">
        <v>88.069000000000003</v>
      </c>
      <c r="AD30" s="11">
        <v>199.03800000000001</v>
      </c>
      <c r="AE30" s="11">
        <v>75.725999999999999</v>
      </c>
      <c r="AF30" s="11">
        <v>45.106999999999999</v>
      </c>
    </row>
    <row r="31" spans="1:32">
      <c r="A31" s="282" t="s">
        <v>372</v>
      </c>
      <c r="B31" s="11">
        <v>0</v>
      </c>
      <c r="C31" s="11">
        <v>0</v>
      </c>
      <c r="D31" s="11">
        <v>0</v>
      </c>
      <c r="E31" s="11">
        <v>0</v>
      </c>
      <c r="F31" s="11">
        <v>0</v>
      </c>
      <c r="G31" s="11">
        <v>0</v>
      </c>
      <c r="H31" s="11">
        <v>0</v>
      </c>
      <c r="I31" s="11">
        <v>0</v>
      </c>
      <c r="J31" s="11">
        <v>0</v>
      </c>
      <c r="K31" s="11">
        <v>0</v>
      </c>
      <c r="L31" s="11">
        <v>0</v>
      </c>
      <c r="M31" s="11">
        <v>0</v>
      </c>
      <c r="N31" s="11">
        <v>131</v>
      </c>
      <c r="O31" s="11">
        <v>1471</v>
      </c>
      <c r="P31" s="11">
        <v>1281</v>
      </c>
      <c r="Q31" s="11">
        <v>1115</v>
      </c>
      <c r="R31" s="11">
        <v>1841</v>
      </c>
      <c r="S31" s="11">
        <v>647</v>
      </c>
      <c r="T31" s="11">
        <v>792</v>
      </c>
      <c r="U31" s="11">
        <v>603</v>
      </c>
      <c r="V31" s="11">
        <v>154</v>
      </c>
      <c r="W31" s="11">
        <v>6.9939999999999998</v>
      </c>
      <c r="X31" s="11">
        <v>179</v>
      </c>
      <c r="Y31" s="11">
        <v>26</v>
      </c>
      <c r="Z31" s="11">
        <v>6</v>
      </c>
      <c r="AA31" s="11">
        <v>232</v>
      </c>
      <c r="AB31" s="11">
        <v>0</v>
      </c>
      <c r="AC31" s="11">
        <v>0</v>
      </c>
      <c r="AD31" s="11">
        <v>109.166</v>
      </c>
      <c r="AE31" s="11">
        <v>0</v>
      </c>
      <c r="AF31" s="11">
        <v>0</v>
      </c>
    </row>
    <row r="32" spans="1:32">
      <c r="A32" s="282" t="s">
        <v>373</v>
      </c>
      <c r="B32" s="11">
        <v>0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  <c r="J32" s="11">
        <v>0</v>
      </c>
      <c r="K32" s="11">
        <v>0</v>
      </c>
      <c r="L32" s="11">
        <v>0</v>
      </c>
      <c r="M32" s="11">
        <v>0</v>
      </c>
      <c r="N32" s="11">
        <v>0</v>
      </c>
      <c r="O32" s="11">
        <v>52</v>
      </c>
      <c r="P32" s="11">
        <v>85</v>
      </c>
      <c r="Q32" s="11">
        <v>39</v>
      </c>
      <c r="R32" s="11">
        <v>13</v>
      </c>
      <c r="S32" s="11">
        <v>3</v>
      </c>
      <c r="T32" s="11">
        <v>149</v>
      </c>
      <c r="U32" s="11">
        <v>70</v>
      </c>
      <c r="V32" s="11">
        <v>73</v>
      </c>
      <c r="W32" s="11">
        <v>0</v>
      </c>
      <c r="X32" s="11">
        <v>124.699</v>
      </c>
      <c r="Y32" s="11">
        <v>10</v>
      </c>
      <c r="Z32" s="11">
        <v>207.34100000000001</v>
      </c>
      <c r="AA32" s="11">
        <v>173</v>
      </c>
      <c r="AB32" s="11">
        <v>83.721999999999994</v>
      </c>
      <c r="AC32" s="11">
        <v>88.069000000000003</v>
      </c>
      <c r="AD32" s="11">
        <v>89.872</v>
      </c>
      <c r="AE32" s="11">
        <v>75.725999999999999</v>
      </c>
      <c r="AF32" s="11">
        <v>45.106999999999999</v>
      </c>
    </row>
    <row r="33" spans="1:32">
      <c r="A33" s="282" t="s">
        <v>374</v>
      </c>
      <c r="B33" s="11">
        <v>-19</v>
      </c>
      <c r="C33" s="11">
        <v>-29</v>
      </c>
      <c r="D33" s="11">
        <v>-29</v>
      </c>
      <c r="E33" s="11">
        <v>-32</v>
      </c>
      <c r="F33" s="11">
        <v>-81</v>
      </c>
      <c r="G33" s="11">
        <v>-35</v>
      </c>
      <c r="H33" s="11">
        <v>-50</v>
      </c>
      <c r="I33" s="11">
        <v>-62</v>
      </c>
      <c r="J33" s="11">
        <v>-244</v>
      </c>
      <c r="K33" s="11">
        <v>-906</v>
      </c>
      <c r="L33" s="11">
        <v>-417</v>
      </c>
      <c r="M33" s="11">
        <v>-598</v>
      </c>
      <c r="N33" s="11">
        <v>-719</v>
      </c>
      <c r="O33" s="11">
        <v>-1167</v>
      </c>
      <c r="P33" s="11">
        <v>-582</v>
      </c>
      <c r="Q33" s="11">
        <v>-1299</v>
      </c>
      <c r="R33" s="11">
        <v>-2160</v>
      </c>
      <c r="S33" s="11">
        <v>-1134.8140000000001</v>
      </c>
      <c r="T33" s="11">
        <v>-1633</v>
      </c>
      <c r="U33" s="11">
        <v>-1116</v>
      </c>
      <c r="V33" s="11">
        <v>-707.39199999999983</v>
      </c>
      <c r="W33" s="11">
        <v>-661</v>
      </c>
      <c r="X33" s="11">
        <v>-1029.4070000000002</v>
      </c>
      <c r="Y33" s="11">
        <v>-566.346</v>
      </c>
      <c r="Z33" s="11">
        <v>-516.14400000000001</v>
      </c>
      <c r="AA33" s="11">
        <v>-639.86400000000003</v>
      </c>
      <c r="AB33" s="11">
        <v>-528.80900000000008</v>
      </c>
      <c r="AC33" s="11">
        <v>-1054.6220000000001</v>
      </c>
      <c r="AD33" s="11">
        <v>-656.63200000000006</v>
      </c>
      <c r="AE33" s="11">
        <v>-458.01</v>
      </c>
      <c r="AF33" s="11">
        <v>-624.11</v>
      </c>
    </row>
    <row r="34" spans="1:32">
      <c r="A34" s="282" t="s">
        <v>375</v>
      </c>
      <c r="B34" s="11">
        <v>-19</v>
      </c>
      <c r="C34" s="11">
        <v>-29</v>
      </c>
      <c r="D34" s="11">
        <v>-29</v>
      </c>
      <c r="E34" s="11">
        <v>-32</v>
      </c>
      <c r="F34" s="11">
        <v>-81</v>
      </c>
      <c r="G34" s="11">
        <v>-35</v>
      </c>
      <c r="H34" s="11">
        <v>-50</v>
      </c>
      <c r="I34" s="11">
        <v>-62</v>
      </c>
      <c r="J34" s="11">
        <v>-244</v>
      </c>
      <c r="K34" s="11">
        <v>-906</v>
      </c>
      <c r="L34" s="11">
        <v>-417</v>
      </c>
      <c r="M34" s="11">
        <v>-598</v>
      </c>
      <c r="N34" s="11">
        <v>-588</v>
      </c>
      <c r="O34" s="11">
        <v>-122</v>
      </c>
      <c r="P34" s="11">
        <v>-183</v>
      </c>
      <c r="Q34" s="11">
        <v>-199</v>
      </c>
      <c r="R34" s="11">
        <v>-353</v>
      </c>
      <c r="S34" s="11">
        <v>-501</v>
      </c>
      <c r="T34" s="11">
        <v>-859</v>
      </c>
      <c r="U34" s="11">
        <v>-471</v>
      </c>
      <c r="V34" s="11">
        <v>-537.39199999999994</v>
      </c>
      <c r="W34" s="11">
        <v>-623</v>
      </c>
      <c r="X34" s="11">
        <v>-783.89700000000005</v>
      </c>
      <c r="Y34" s="11">
        <v>-509</v>
      </c>
      <c r="Z34" s="11">
        <v>-473</v>
      </c>
      <c r="AA34" s="11">
        <v>-639.86400000000003</v>
      </c>
      <c r="AB34" s="11">
        <v>-521.48400000000004</v>
      </c>
      <c r="AC34" s="11">
        <v>-916.65700000000004</v>
      </c>
      <c r="AD34" s="11">
        <v>-532.87800000000004</v>
      </c>
      <c r="AE34" s="11">
        <v>-441.78</v>
      </c>
      <c r="AF34" s="11">
        <v>-624.11</v>
      </c>
    </row>
    <row r="35" spans="1:32">
      <c r="A35" s="282" t="s">
        <v>376</v>
      </c>
      <c r="B35" s="11">
        <v>0</v>
      </c>
      <c r="C35" s="11">
        <v>0</v>
      </c>
      <c r="D35" s="11">
        <v>0</v>
      </c>
      <c r="E35" s="11">
        <v>0</v>
      </c>
      <c r="F35" s="11">
        <v>0</v>
      </c>
      <c r="G35" s="11">
        <v>0</v>
      </c>
      <c r="H35" s="11">
        <v>0</v>
      </c>
      <c r="I35" s="11">
        <v>0</v>
      </c>
      <c r="J35" s="11">
        <v>0</v>
      </c>
      <c r="K35" s="11">
        <v>0</v>
      </c>
      <c r="L35" s="11">
        <v>0</v>
      </c>
      <c r="M35" s="11">
        <v>0</v>
      </c>
      <c r="N35" s="11">
        <v>-131</v>
      </c>
      <c r="O35" s="11">
        <v>-1045</v>
      </c>
      <c r="P35" s="11">
        <v>-399</v>
      </c>
      <c r="Q35" s="11">
        <v>-1100</v>
      </c>
      <c r="R35" s="11">
        <v>-1807</v>
      </c>
      <c r="S35" s="11">
        <v>-916.81400000000008</v>
      </c>
      <c r="T35" s="11">
        <v>-818</v>
      </c>
      <c r="U35" s="11">
        <v>-864</v>
      </c>
      <c r="V35" s="11">
        <v>-733</v>
      </c>
      <c r="W35" s="11">
        <v>-692</v>
      </c>
      <c r="X35" s="11">
        <v>-697.51</v>
      </c>
      <c r="Y35" s="11">
        <v>-693.346</v>
      </c>
      <c r="Z35" s="11">
        <v>-770</v>
      </c>
      <c r="AA35" s="11">
        <v>-20</v>
      </c>
      <c r="AB35" s="11">
        <v>-202</v>
      </c>
      <c r="AC35" s="11">
        <v>-120.215</v>
      </c>
      <c r="AD35" s="11">
        <v>-229.71600000000001</v>
      </c>
      <c r="AE35" s="11">
        <v>-136.19399999999999</v>
      </c>
      <c r="AF35" s="11">
        <v>-117.447</v>
      </c>
    </row>
    <row r="36" spans="1:32">
      <c r="A36" s="282" t="s">
        <v>377</v>
      </c>
      <c r="B36" s="11">
        <v>0</v>
      </c>
      <c r="C36" s="11">
        <v>0</v>
      </c>
      <c r="D36" s="11">
        <v>0</v>
      </c>
      <c r="E36" s="11">
        <v>0</v>
      </c>
      <c r="F36" s="11">
        <v>0</v>
      </c>
      <c r="G36" s="11">
        <v>0</v>
      </c>
      <c r="H36" s="11">
        <v>0</v>
      </c>
      <c r="I36" s="11">
        <v>0</v>
      </c>
      <c r="J36" s="11">
        <v>0</v>
      </c>
      <c r="K36" s="11">
        <v>0</v>
      </c>
      <c r="L36" s="11">
        <v>0</v>
      </c>
      <c r="M36" s="11">
        <v>0</v>
      </c>
      <c r="N36" s="11">
        <v>0</v>
      </c>
      <c r="O36" s="11">
        <v>0</v>
      </c>
      <c r="P36" s="11">
        <v>0</v>
      </c>
      <c r="Q36" s="11">
        <v>0</v>
      </c>
      <c r="R36" s="11">
        <v>0</v>
      </c>
      <c r="S36" s="11">
        <v>283</v>
      </c>
      <c r="T36" s="11">
        <v>44</v>
      </c>
      <c r="U36" s="11">
        <v>219</v>
      </c>
      <c r="V36" s="11">
        <v>563</v>
      </c>
      <c r="W36" s="11">
        <v>654</v>
      </c>
      <c r="X36" s="11">
        <v>452</v>
      </c>
      <c r="Y36" s="11">
        <v>636</v>
      </c>
      <c r="Z36" s="11">
        <v>770</v>
      </c>
      <c r="AA36" s="11">
        <v>20</v>
      </c>
      <c r="AB36" s="11">
        <v>202</v>
      </c>
      <c r="AC36" s="11">
        <v>120.215</v>
      </c>
      <c r="AD36" s="11">
        <v>120.55</v>
      </c>
      <c r="AE36" s="11">
        <v>136.19399999999999</v>
      </c>
      <c r="AF36" s="11">
        <v>117.447</v>
      </c>
    </row>
    <row r="37" spans="1:32">
      <c r="A37" s="282" t="s">
        <v>378</v>
      </c>
      <c r="B37" s="11">
        <v>0</v>
      </c>
      <c r="C37" s="11">
        <v>0</v>
      </c>
      <c r="D37" s="11">
        <v>0</v>
      </c>
      <c r="E37" s="11">
        <v>0</v>
      </c>
      <c r="F37" s="11">
        <v>0</v>
      </c>
      <c r="G37" s="11">
        <v>0</v>
      </c>
      <c r="H37" s="11">
        <v>0</v>
      </c>
      <c r="I37" s="11">
        <v>0</v>
      </c>
      <c r="J37" s="11">
        <v>0</v>
      </c>
      <c r="K37" s="11">
        <v>0</v>
      </c>
      <c r="L37" s="11">
        <v>0</v>
      </c>
      <c r="M37" s="11">
        <v>0</v>
      </c>
      <c r="N37" s="11">
        <v>0</v>
      </c>
      <c r="O37" s="11">
        <v>0</v>
      </c>
      <c r="P37" s="11">
        <v>0</v>
      </c>
      <c r="Q37" s="11">
        <v>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11">
        <v>0</v>
      </c>
      <c r="X37" s="11">
        <v>0</v>
      </c>
      <c r="Y37" s="11">
        <v>0</v>
      </c>
      <c r="Z37" s="11">
        <v>-43.143999999999998</v>
      </c>
      <c r="AA37" s="11">
        <v>0</v>
      </c>
      <c r="AB37" s="11">
        <v>-7.3250000000000002</v>
      </c>
      <c r="AC37" s="11">
        <v>-137.965</v>
      </c>
      <c r="AD37" s="11">
        <v>-14.587999999999999</v>
      </c>
      <c r="AE37" s="11">
        <v>-16.23</v>
      </c>
      <c r="AF37" s="11">
        <v>0</v>
      </c>
    </row>
    <row r="38" spans="1:32">
      <c r="A38" s="282" t="s">
        <v>379</v>
      </c>
      <c r="B38" s="11">
        <v>0</v>
      </c>
      <c r="C38" s="11">
        <v>0</v>
      </c>
      <c r="D38" s="11">
        <v>7</v>
      </c>
      <c r="E38" s="11">
        <v>0</v>
      </c>
      <c r="F38" s="11">
        <v>21</v>
      </c>
      <c r="G38" s="11">
        <v>25</v>
      </c>
      <c r="H38" s="11">
        <v>1</v>
      </c>
      <c r="I38" s="11">
        <v>33</v>
      </c>
      <c r="J38" s="11">
        <v>344</v>
      </c>
      <c r="K38" s="11">
        <v>210</v>
      </c>
      <c r="L38" s="11">
        <v>365</v>
      </c>
      <c r="M38" s="11">
        <v>331</v>
      </c>
      <c r="N38" s="11">
        <v>176</v>
      </c>
      <c r="O38" s="11">
        <v>-491</v>
      </c>
      <c r="P38" s="11">
        <v>-911</v>
      </c>
      <c r="Q38" s="11">
        <v>-72</v>
      </c>
      <c r="R38" s="11">
        <v>-70</v>
      </c>
      <c r="S38" s="11">
        <v>0</v>
      </c>
      <c r="T38" s="11">
        <v>-0.28499999999999659</v>
      </c>
      <c r="U38" s="11">
        <v>43</v>
      </c>
      <c r="V38" s="11">
        <v>10.921999999999997</v>
      </c>
      <c r="W38" s="11">
        <v>2.8</v>
      </c>
      <c r="X38" s="11">
        <v>102.80800000000001</v>
      </c>
      <c r="Y38" s="11">
        <v>348</v>
      </c>
      <c r="Z38" s="11">
        <v>225.20500000000001</v>
      </c>
      <c r="AA38" s="11">
        <v>736.24</v>
      </c>
      <c r="AB38" s="11">
        <v>403.42099999999982</v>
      </c>
      <c r="AC38" s="11">
        <v>562.01</v>
      </c>
      <c r="AD38" s="11">
        <v>640.29</v>
      </c>
      <c r="AE38" s="11">
        <v>-620.88400000000001</v>
      </c>
      <c r="AF38" s="11">
        <v>-305.07200000000012</v>
      </c>
    </row>
    <row r="39" spans="1:32">
      <c r="A39" s="282" t="s">
        <v>380</v>
      </c>
      <c r="B39" s="11">
        <v>1</v>
      </c>
      <c r="C39" s="11">
        <v>1</v>
      </c>
      <c r="D39" s="11">
        <v>8</v>
      </c>
      <c r="E39" s="11">
        <v>1</v>
      </c>
      <c r="F39" s="11">
        <v>36</v>
      </c>
      <c r="G39" s="11">
        <v>32</v>
      </c>
      <c r="H39" s="11">
        <v>37</v>
      </c>
      <c r="I39" s="11">
        <v>72</v>
      </c>
      <c r="J39" s="11">
        <v>502</v>
      </c>
      <c r="K39" s="11">
        <v>582</v>
      </c>
      <c r="L39" s="11">
        <v>847</v>
      </c>
      <c r="M39" s="11">
        <v>1246</v>
      </c>
      <c r="N39" s="11">
        <v>1342</v>
      </c>
      <c r="O39" s="11">
        <v>112</v>
      </c>
      <c r="P39" s="11">
        <v>32</v>
      </c>
      <c r="Q39" s="11">
        <v>38</v>
      </c>
      <c r="R39" s="11">
        <v>13</v>
      </c>
      <c r="S39" s="11">
        <v>20</v>
      </c>
      <c r="T39" s="11">
        <v>57</v>
      </c>
      <c r="U39" s="11">
        <v>64</v>
      </c>
      <c r="V39" s="11">
        <v>30</v>
      </c>
      <c r="W39" s="11">
        <v>27</v>
      </c>
      <c r="X39" s="11">
        <v>146.852</v>
      </c>
      <c r="Y39" s="11">
        <v>486</v>
      </c>
      <c r="Z39" s="11">
        <v>1240.146</v>
      </c>
      <c r="AA39" s="11">
        <v>3190.3029999999999</v>
      </c>
      <c r="AB39" s="11">
        <v>3869.1389999999997</v>
      </c>
      <c r="AC39" s="11">
        <v>4429.62</v>
      </c>
      <c r="AD39" s="11">
        <v>6482.9539999999997</v>
      </c>
      <c r="AE39" s="11">
        <v>4493.7690000000002</v>
      </c>
      <c r="AF39" s="11">
        <v>3437.4979999999996</v>
      </c>
    </row>
    <row r="40" spans="1:32">
      <c r="A40" s="282" t="s">
        <v>374</v>
      </c>
      <c r="B40" s="11">
        <v>-1</v>
      </c>
      <c r="C40" s="11">
        <v>-1</v>
      </c>
      <c r="D40" s="11">
        <v>-1</v>
      </c>
      <c r="E40" s="11">
        <v>-1</v>
      </c>
      <c r="F40" s="11">
        <v>-15</v>
      </c>
      <c r="G40" s="11">
        <v>-7</v>
      </c>
      <c r="H40" s="11">
        <v>-36</v>
      </c>
      <c r="I40" s="11">
        <v>-39</v>
      </c>
      <c r="J40" s="11">
        <v>-158</v>
      </c>
      <c r="K40" s="11">
        <v>-372</v>
      </c>
      <c r="L40" s="11">
        <v>-482</v>
      </c>
      <c r="M40" s="11">
        <v>-915</v>
      </c>
      <c r="N40" s="11">
        <v>-1166</v>
      </c>
      <c r="O40" s="11">
        <v>-603</v>
      </c>
      <c r="P40" s="11">
        <v>-943</v>
      </c>
      <c r="Q40" s="11">
        <v>-110</v>
      </c>
      <c r="R40" s="11">
        <v>-83</v>
      </c>
      <c r="S40" s="11">
        <v>-20</v>
      </c>
      <c r="T40" s="11">
        <v>-57.284999999999997</v>
      </c>
      <c r="U40" s="11">
        <v>-21</v>
      </c>
      <c r="V40" s="11">
        <v>-19.078000000000003</v>
      </c>
      <c r="W40" s="11">
        <v>-24.2</v>
      </c>
      <c r="X40" s="11">
        <v>-44.043999999999997</v>
      </c>
      <c r="Y40" s="11">
        <v>-138</v>
      </c>
      <c r="Z40" s="11">
        <v>-1014.941</v>
      </c>
      <c r="AA40" s="11">
        <v>-2454.0630000000001</v>
      </c>
      <c r="AB40" s="11">
        <v>-3465.7179999999998</v>
      </c>
      <c r="AC40" s="11">
        <v>-3867.61</v>
      </c>
      <c r="AD40" s="11">
        <v>-5842.6639999999998</v>
      </c>
      <c r="AE40" s="11">
        <v>-5114.6530000000002</v>
      </c>
      <c r="AF40" s="11">
        <v>-3742.57</v>
      </c>
    </row>
    <row r="41" spans="1:32">
      <c r="A41" s="282" t="s">
        <v>375</v>
      </c>
      <c r="B41" s="11">
        <v>-1</v>
      </c>
      <c r="C41" s="11">
        <v>-1</v>
      </c>
      <c r="D41" s="11">
        <v>-1</v>
      </c>
      <c r="E41" s="11">
        <v>-1</v>
      </c>
      <c r="F41" s="11">
        <v>-15</v>
      </c>
      <c r="G41" s="11">
        <v>-7</v>
      </c>
      <c r="H41" s="11">
        <v>-36</v>
      </c>
      <c r="I41" s="11">
        <v>-39</v>
      </c>
      <c r="J41" s="11">
        <v>-158</v>
      </c>
      <c r="K41" s="11">
        <v>-372</v>
      </c>
      <c r="L41" s="11">
        <v>-482</v>
      </c>
      <c r="M41" s="11">
        <v>-915</v>
      </c>
      <c r="N41" s="11">
        <v>-630</v>
      </c>
      <c r="O41" s="11">
        <v>-82</v>
      </c>
      <c r="P41" s="11">
        <v>-22</v>
      </c>
      <c r="Q41" s="11">
        <v>-38</v>
      </c>
      <c r="R41" s="11">
        <v>-46</v>
      </c>
      <c r="S41" s="11">
        <v>-7</v>
      </c>
      <c r="T41" s="11">
        <v>-12</v>
      </c>
      <c r="U41" s="11">
        <v>-8</v>
      </c>
      <c r="V41" s="11">
        <v>-13.739000000000001</v>
      </c>
      <c r="W41" s="11">
        <v>-24.2</v>
      </c>
      <c r="X41" s="11">
        <v>-42.113</v>
      </c>
      <c r="Y41" s="11">
        <v>-138</v>
      </c>
      <c r="Z41" s="11">
        <v>-866.21100000000001</v>
      </c>
      <c r="AA41" s="11">
        <v>-1732.7270000000001</v>
      </c>
      <c r="AB41" s="11">
        <v>-2960</v>
      </c>
      <c r="AC41" s="11">
        <v>-3641.3969999999999</v>
      </c>
      <c r="AD41" s="11">
        <v>-5477.4740000000002</v>
      </c>
      <c r="AE41" s="11">
        <v>-4044.6120000000001</v>
      </c>
      <c r="AF41" s="11">
        <v>-2590.107</v>
      </c>
    </row>
    <row r="42" spans="1:32">
      <c r="A42" s="282" t="s">
        <v>381</v>
      </c>
      <c r="B42" s="11">
        <v>0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  <c r="J42" s="11">
        <v>0</v>
      </c>
      <c r="K42" s="11">
        <v>0</v>
      </c>
      <c r="L42" s="11">
        <v>0</v>
      </c>
      <c r="M42" s="11">
        <v>0</v>
      </c>
      <c r="N42" s="11">
        <v>-536</v>
      </c>
      <c r="O42" s="11">
        <v>-521</v>
      </c>
      <c r="P42" s="11">
        <v>-921</v>
      </c>
      <c r="Q42" s="11">
        <v>-72</v>
      </c>
      <c r="R42" s="11">
        <v>-37</v>
      </c>
      <c r="S42" s="11">
        <v>-13</v>
      </c>
      <c r="T42" s="11">
        <v>-45.284999999999997</v>
      </c>
      <c r="U42" s="11">
        <v>-13</v>
      </c>
      <c r="V42" s="11">
        <v>-5.3390000000000004</v>
      </c>
      <c r="W42" s="11">
        <v>0</v>
      </c>
      <c r="X42" s="11">
        <v>-1.931</v>
      </c>
      <c r="Y42" s="11">
        <v>0</v>
      </c>
      <c r="Z42" s="11">
        <v>-148.72999999999999</v>
      </c>
      <c r="AA42" s="11">
        <v>-721.33600000000001</v>
      </c>
      <c r="AB42" s="11">
        <v>-505.71800000000002</v>
      </c>
      <c r="AC42" s="11">
        <v>-226.21299999999999</v>
      </c>
      <c r="AD42" s="11">
        <v>-365.19</v>
      </c>
      <c r="AE42" s="11">
        <v>-1070.0409999999999</v>
      </c>
      <c r="AF42" s="11">
        <v>-1152.463</v>
      </c>
    </row>
    <row r="43" spans="1:32">
      <c r="A43" s="282" t="s">
        <v>382</v>
      </c>
      <c r="B43" s="11">
        <v>0</v>
      </c>
      <c r="C43" s="11">
        <v>0</v>
      </c>
      <c r="D43" s="11">
        <v>0</v>
      </c>
      <c r="E43" s="11">
        <v>0</v>
      </c>
      <c r="F43" s="11">
        <v>0</v>
      </c>
      <c r="G43" s="11">
        <v>0</v>
      </c>
      <c r="H43" s="11">
        <v>0</v>
      </c>
      <c r="I43" s="11">
        <v>0</v>
      </c>
      <c r="J43" s="11">
        <v>0</v>
      </c>
      <c r="K43" s="11">
        <v>0</v>
      </c>
      <c r="L43" s="11">
        <v>0</v>
      </c>
      <c r="M43" s="11">
        <v>0</v>
      </c>
      <c r="N43" s="11">
        <v>0</v>
      </c>
      <c r="O43" s="11">
        <v>0</v>
      </c>
      <c r="P43" s="11">
        <v>0</v>
      </c>
      <c r="Q43" s="11">
        <v>0</v>
      </c>
      <c r="R43" s="11">
        <v>-17</v>
      </c>
      <c r="S43" s="11">
        <v>641.21500000000003</v>
      </c>
      <c r="T43" s="11">
        <v>334</v>
      </c>
      <c r="U43" s="11">
        <v>411</v>
      </c>
      <c r="V43" s="11">
        <v>441</v>
      </c>
      <c r="W43" s="11">
        <v>506</v>
      </c>
      <c r="X43" s="11">
        <v>309.54500000000002</v>
      </c>
      <c r="Y43" s="11">
        <v>470.916</v>
      </c>
      <c r="Z43" s="11">
        <v>114</v>
      </c>
      <c r="AA43" s="11">
        <v>-110.23600000000006</v>
      </c>
      <c r="AB43" s="11">
        <v>65.864000000000004</v>
      </c>
      <c r="AC43" s="11">
        <v>-13.06</v>
      </c>
      <c r="AD43" s="11">
        <v>40.19</v>
      </c>
      <c r="AE43" s="11">
        <v>170.78200000000001</v>
      </c>
      <c r="AF43" s="11">
        <v>-69.846000000000004</v>
      </c>
    </row>
    <row r="44" spans="1:32">
      <c r="A44" s="282" t="s">
        <v>383</v>
      </c>
      <c r="B44" s="11">
        <v>0</v>
      </c>
      <c r="C44" s="11">
        <v>0</v>
      </c>
      <c r="D44" s="11">
        <v>0</v>
      </c>
      <c r="E44" s="11">
        <v>0</v>
      </c>
      <c r="F44" s="11">
        <v>0</v>
      </c>
      <c r="G44" s="11">
        <v>0</v>
      </c>
      <c r="H44" s="11">
        <v>0</v>
      </c>
      <c r="I44" s="11">
        <v>0</v>
      </c>
      <c r="J44" s="11">
        <v>0</v>
      </c>
      <c r="K44" s="11">
        <v>0</v>
      </c>
      <c r="L44" s="11">
        <v>0</v>
      </c>
      <c r="M44" s="11">
        <v>0</v>
      </c>
      <c r="N44" s="11">
        <v>0</v>
      </c>
      <c r="O44" s="11">
        <v>0</v>
      </c>
      <c r="P44" s="11">
        <v>0</v>
      </c>
      <c r="Q44" s="11">
        <v>0</v>
      </c>
      <c r="R44" s="11">
        <v>0</v>
      </c>
      <c r="S44" s="11">
        <v>477.21499999999997</v>
      </c>
      <c r="T44" s="11">
        <v>446</v>
      </c>
      <c r="U44" s="11">
        <v>542</v>
      </c>
      <c r="V44" s="11">
        <v>461</v>
      </c>
      <c r="W44" s="11">
        <v>506</v>
      </c>
      <c r="X44" s="11">
        <v>309.54500000000002</v>
      </c>
      <c r="Y44" s="11">
        <v>470.916</v>
      </c>
      <c r="Z44" s="11">
        <v>114</v>
      </c>
      <c r="AA44" s="11">
        <v>-110.23600000000006</v>
      </c>
      <c r="AB44" s="11">
        <v>65.864000000000004</v>
      </c>
      <c r="AC44" s="11">
        <v>-13.06</v>
      </c>
      <c r="AD44" s="11">
        <v>40.19</v>
      </c>
      <c r="AE44" s="11">
        <v>170.78200000000001</v>
      </c>
      <c r="AF44" s="11">
        <v>-69.846000000000004</v>
      </c>
    </row>
    <row r="45" spans="1:32" ht="15.75" customHeight="1">
      <c r="A45" s="282" t="s">
        <v>384</v>
      </c>
      <c r="B45" s="11">
        <v>0</v>
      </c>
      <c r="C45" s="11">
        <v>0</v>
      </c>
      <c r="D45" s="11">
        <v>0</v>
      </c>
      <c r="E45" s="11">
        <v>0</v>
      </c>
      <c r="F45" s="11">
        <v>0</v>
      </c>
      <c r="G45" s="11">
        <v>0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-17</v>
      </c>
      <c r="S45" s="11">
        <v>164</v>
      </c>
      <c r="T45" s="11">
        <v>-112</v>
      </c>
      <c r="U45" s="11">
        <v>-131</v>
      </c>
      <c r="V45" s="11">
        <v>-20</v>
      </c>
      <c r="W45" s="11">
        <v>0</v>
      </c>
      <c r="X45" s="11">
        <v>0</v>
      </c>
      <c r="Y45" s="11">
        <v>0</v>
      </c>
      <c r="Z45" s="11">
        <v>0</v>
      </c>
      <c r="AA45" s="11">
        <v>0</v>
      </c>
      <c r="AB45" s="11">
        <v>0</v>
      </c>
      <c r="AC45" s="11">
        <v>0</v>
      </c>
      <c r="AD45" s="11">
        <v>0</v>
      </c>
      <c r="AE45" s="11">
        <v>0</v>
      </c>
      <c r="AF45" s="11">
        <v>0</v>
      </c>
    </row>
    <row r="46" spans="1:32">
      <c r="A46" s="282" t="s">
        <v>385</v>
      </c>
      <c r="B46" s="11">
        <v>83.881488000000019</v>
      </c>
      <c r="C46" s="11">
        <v>22.81078500000001</v>
      </c>
      <c r="D46" s="11">
        <v>21.391718999999966</v>
      </c>
      <c r="E46" s="11">
        <v>61.730360999999988</v>
      </c>
      <c r="F46" s="11">
        <v>158.085195</v>
      </c>
      <c r="G46" s="11">
        <v>140.62327799999991</v>
      </c>
      <c r="H46" s="11">
        <v>312.4991950000001</v>
      </c>
      <c r="I46" s="11">
        <v>-70.523313999999914</v>
      </c>
      <c r="J46" s="11">
        <v>213.33469400000001</v>
      </c>
      <c r="K46" s="11">
        <v>255.08532799999955</v>
      </c>
      <c r="L46" s="11">
        <v>-5.5696819999998297</v>
      </c>
      <c r="M46" s="11">
        <v>-426.78761499999996</v>
      </c>
      <c r="N46" s="11">
        <v>520.39929599999982</v>
      </c>
      <c r="O46" s="11">
        <v>-267.75110800000016</v>
      </c>
      <c r="P46" s="11">
        <v>129.47729799999968</v>
      </c>
      <c r="Q46" s="11">
        <v>-456.65927699999986</v>
      </c>
      <c r="R46" s="11">
        <v>-332</v>
      </c>
      <c r="S46" s="11">
        <v>-229</v>
      </c>
      <c r="T46" s="11">
        <v>40</v>
      </c>
      <c r="U46" s="11">
        <v>15</v>
      </c>
      <c r="V46" s="11">
        <v>127</v>
      </c>
      <c r="W46" s="11">
        <v>126</v>
      </c>
      <c r="X46" s="11">
        <v>-221</v>
      </c>
      <c r="Y46" s="11">
        <v>-95</v>
      </c>
      <c r="Z46" s="11">
        <v>-22</v>
      </c>
      <c r="AA46" s="11">
        <v>-1297</v>
      </c>
      <c r="AB46" s="11">
        <v>-1347</v>
      </c>
      <c r="AC46" s="11">
        <v>-593</v>
      </c>
      <c r="AD46" s="11">
        <v>-411</v>
      </c>
      <c r="AE46" s="11">
        <v>-1981.0382685266375</v>
      </c>
      <c r="AF46" s="11">
        <v>-1580</v>
      </c>
    </row>
    <row r="47" spans="1:32">
      <c r="A47" s="283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</row>
    <row r="48" spans="1:32">
      <c r="A48" s="284" t="s">
        <v>386</v>
      </c>
      <c r="B48" s="69">
        <v>-10</v>
      </c>
      <c r="C48" s="69">
        <v>32</v>
      </c>
      <c r="D48" s="69">
        <v>-111</v>
      </c>
      <c r="E48" s="69">
        <v>-98</v>
      </c>
      <c r="F48" s="69">
        <v>-113</v>
      </c>
      <c r="G48" s="69">
        <v>94</v>
      </c>
      <c r="H48" s="69">
        <v>-189</v>
      </c>
      <c r="I48" s="69">
        <v>-136</v>
      </c>
      <c r="J48" s="69">
        <v>-31</v>
      </c>
      <c r="K48" s="69">
        <v>-30</v>
      </c>
      <c r="L48" s="69">
        <v>-226</v>
      </c>
      <c r="M48" s="69">
        <v>294</v>
      </c>
      <c r="N48" s="69">
        <v>353</v>
      </c>
      <c r="O48" s="69">
        <v>59</v>
      </c>
      <c r="P48" s="69">
        <v>-20</v>
      </c>
      <c r="Q48" s="69">
        <v>-25</v>
      </c>
      <c r="R48" s="69">
        <v>271.27796999999987</v>
      </c>
      <c r="S48" s="69">
        <v>75.96732800000018</v>
      </c>
      <c r="T48" s="69">
        <v>24.980995999999891</v>
      </c>
      <c r="U48" s="69">
        <v>-379</v>
      </c>
      <c r="V48" s="69">
        <v>-399.70988100000022</v>
      </c>
      <c r="W48" s="69">
        <v>-156.88815899999997</v>
      </c>
      <c r="X48" s="69">
        <v>-21.799641999999793</v>
      </c>
      <c r="Y48" s="69">
        <v>-471.67049200000008</v>
      </c>
      <c r="Z48" s="69">
        <v>-458.17718600000023</v>
      </c>
      <c r="AA48" s="69">
        <v>154.99770600000033</v>
      </c>
      <c r="AB48" s="69">
        <v>-274.29486799999972</v>
      </c>
      <c r="AC48" s="69">
        <v>-262.42016679999961</v>
      </c>
      <c r="AD48" s="69">
        <v>394.70223999999916</v>
      </c>
      <c r="AE48" s="69">
        <v>442</v>
      </c>
      <c r="AF48" s="69">
        <v>-307.89794618566657</v>
      </c>
    </row>
    <row r="49" spans="1:32">
      <c r="A49" s="285"/>
      <c r="B49" s="285"/>
      <c r="C49" s="285"/>
      <c r="D49" s="285"/>
      <c r="E49" s="285"/>
      <c r="F49" s="285"/>
      <c r="G49" s="285"/>
      <c r="H49" s="285"/>
      <c r="I49" s="285"/>
      <c r="J49" s="285"/>
      <c r="K49" s="285"/>
      <c r="L49" s="285"/>
      <c r="M49" s="285"/>
      <c r="N49" s="285"/>
      <c r="O49" s="285"/>
      <c r="P49" s="285"/>
      <c r="Q49" s="285"/>
      <c r="R49" s="285"/>
      <c r="S49" s="285"/>
      <c r="T49" s="285"/>
      <c r="U49" s="285"/>
      <c r="V49" s="285"/>
      <c r="W49" s="285"/>
      <c r="X49" s="285"/>
      <c r="Y49" s="285"/>
      <c r="Z49" s="285"/>
      <c r="AA49" s="285"/>
      <c r="AB49" s="285"/>
      <c r="AC49" s="285"/>
      <c r="AD49" s="285"/>
      <c r="AE49" s="285"/>
      <c r="AF49" s="285"/>
    </row>
    <row r="50" spans="1:32">
      <c r="A50" s="257"/>
      <c r="B50" s="257"/>
      <c r="C50" s="257"/>
      <c r="D50" s="257"/>
      <c r="E50" s="257"/>
      <c r="F50" s="257"/>
      <c r="G50" s="257"/>
      <c r="H50" s="257"/>
      <c r="K50" s="257"/>
      <c r="L50" s="272"/>
      <c r="M50" s="272"/>
      <c r="N50" s="272"/>
      <c r="O50" s="272"/>
      <c r="P50" s="272"/>
      <c r="Q50" s="272"/>
      <c r="R50" s="257"/>
      <c r="S50" s="257"/>
      <c r="T50" s="257"/>
      <c r="U50" s="257"/>
      <c r="V50" s="257"/>
      <c r="W50" s="257"/>
      <c r="X50" s="257"/>
      <c r="Y50" s="257"/>
      <c r="Z50" s="257"/>
      <c r="AA50" s="257"/>
      <c r="AB50" s="257"/>
      <c r="AC50" s="257"/>
      <c r="AD50" s="257"/>
      <c r="AE50" s="257"/>
      <c r="AF50" s="257"/>
    </row>
    <row r="51" spans="1:32">
      <c r="A51" s="257"/>
      <c r="B51" s="257"/>
      <c r="C51" s="257"/>
      <c r="D51" s="257"/>
      <c r="E51" s="257"/>
      <c r="F51" s="257"/>
      <c r="G51" s="257"/>
      <c r="H51" s="257"/>
      <c r="K51" s="257"/>
      <c r="L51" s="272"/>
      <c r="M51" s="272"/>
      <c r="N51" s="272"/>
      <c r="O51" s="272"/>
      <c r="P51" s="272"/>
      <c r="Q51" s="272"/>
      <c r="R51" s="257"/>
      <c r="S51" s="257"/>
      <c r="T51" s="257"/>
      <c r="U51" s="257"/>
      <c r="V51" s="257"/>
      <c r="W51" s="257"/>
      <c r="X51" s="257"/>
      <c r="Y51" s="257"/>
      <c r="Z51" s="257"/>
      <c r="AA51" s="257"/>
      <c r="AB51" s="257"/>
      <c r="AC51" s="257"/>
      <c r="AD51" s="257"/>
      <c r="AE51" s="257"/>
      <c r="AF51" s="257"/>
    </row>
    <row r="52" spans="1:32">
      <c r="A52" s="197" t="s">
        <v>234</v>
      </c>
      <c r="B52" s="257"/>
      <c r="C52" s="257"/>
      <c r="D52" s="257"/>
      <c r="E52" s="257"/>
      <c r="F52" s="257"/>
      <c r="G52" s="257"/>
      <c r="H52" s="257"/>
      <c r="I52" s="257"/>
      <c r="J52" s="257"/>
      <c r="K52" s="257"/>
      <c r="L52" s="272"/>
      <c r="M52" s="272"/>
      <c r="N52" s="272"/>
      <c r="O52" s="272"/>
      <c r="P52" s="272"/>
      <c r="Q52" s="272"/>
      <c r="R52" s="257"/>
      <c r="S52" s="257"/>
      <c r="T52" s="257"/>
      <c r="U52" s="257"/>
      <c r="V52" s="257"/>
      <c r="W52" s="257"/>
      <c r="X52" s="257"/>
      <c r="Y52" s="257"/>
      <c r="Z52" s="257"/>
      <c r="AA52" s="257"/>
      <c r="AB52" s="257"/>
      <c r="AC52" s="257"/>
      <c r="AD52" s="257"/>
      <c r="AE52" s="257"/>
      <c r="AF52" s="257"/>
    </row>
    <row r="53" spans="1:32">
      <c r="A53" s="9" t="s">
        <v>222</v>
      </c>
      <c r="B53" s="257"/>
      <c r="C53" s="257"/>
      <c r="D53" s="257"/>
      <c r="E53" s="257"/>
      <c r="F53" s="257"/>
      <c r="G53" s="257"/>
      <c r="H53" s="257"/>
      <c r="I53" s="257"/>
      <c r="J53" s="257"/>
      <c r="K53" s="257"/>
      <c r="L53" s="272"/>
      <c r="M53" s="272"/>
      <c r="N53" s="272"/>
      <c r="O53" s="272"/>
      <c r="P53" s="272"/>
      <c r="Q53" s="272"/>
      <c r="R53" s="257"/>
      <c r="S53" s="257"/>
      <c r="T53" s="257"/>
      <c r="U53" s="257"/>
      <c r="V53" s="257"/>
      <c r="W53" s="257"/>
      <c r="X53" s="257"/>
      <c r="Y53" s="257"/>
      <c r="Z53" s="257"/>
      <c r="AA53" s="257"/>
      <c r="AB53" s="257"/>
      <c r="AC53" s="257"/>
      <c r="AD53" s="257"/>
      <c r="AE53" s="257"/>
      <c r="AF53" s="257"/>
    </row>
    <row r="54" spans="1:32">
      <c r="A54" s="272"/>
      <c r="B54" s="257"/>
      <c r="C54" s="257"/>
      <c r="D54" s="257"/>
      <c r="E54" s="257"/>
      <c r="F54" s="257"/>
      <c r="G54" s="257"/>
      <c r="H54" s="257"/>
      <c r="I54" s="257"/>
      <c r="J54" s="257"/>
      <c r="K54" s="257"/>
      <c r="L54" s="272"/>
      <c r="M54" s="272"/>
      <c r="N54" s="272"/>
      <c r="O54" s="272"/>
      <c r="P54" s="272"/>
      <c r="Q54" s="272"/>
      <c r="R54" s="257"/>
      <c r="S54" s="257"/>
      <c r="T54" s="257"/>
      <c r="U54" s="257"/>
      <c r="V54" s="257"/>
      <c r="W54" s="257"/>
      <c r="X54" s="257"/>
      <c r="Y54" s="257"/>
      <c r="Z54" s="257"/>
      <c r="AA54" s="257"/>
      <c r="AB54" s="257"/>
      <c r="AC54" s="257"/>
      <c r="AD54" s="257"/>
      <c r="AE54" s="257"/>
      <c r="AF54" s="257"/>
    </row>
    <row r="55" spans="1:32">
      <c r="A55" s="272"/>
      <c r="B55" s="257"/>
      <c r="C55" s="257"/>
      <c r="D55" s="257"/>
      <c r="E55" s="257"/>
      <c r="F55" s="257"/>
      <c r="G55" s="257"/>
      <c r="H55" s="257"/>
      <c r="I55" s="257"/>
      <c r="J55" s="257"/>
      <c r="K55" s="257"/>
      <c r="L55" s="272"/>
      <c r="M55" s="272"/>
      <c r="N55" s="272"/>
      <c r="O55" s="272"/>
      <c r="P55" s="272"/>
      <c r="Q55" s="272"/>
      <c r="R55" s="257"/>
      <c r="S55" s="257"/>
      <c r="T55" s="257"/>
      <c r="U55" s="257"/>
      <c r="V55" s="257"/>
      <c r="W55" s="257"/>
      <c r="X55" s="257"/>
      <c r="Y55" s="257"/>
      <c r="Z55" s="257"/>
      <c r="AA55" s="257"/>
      <c r="AB55" s="257"/>
      <c r="AC55" s="257"/>
      <c r="AD55" s="257"/>
      <c r="AE55" s="257"/>
      <c r="AF55" s="257"/>
    </row>
    <row r="56" spans="1:32">
      <c r="A56" s="272"/>
      <c r="B56" s="257"/>
      <c r="C56" s="257"/>
      <c r="D56" s="257"/>
      <c r="E56" s="257"/>
      <c r="F56" s="257"/>
      <c r="G56" s="257"/>
      <c r="H56" s="257"/>
      <c r="I56" s="257"/>
      <c r="J56" s="257"/>
      <c r="K56" s="257"/>
      <c r="L56" s="272"/>
      <c r="M56" s="272"/>
      <c r="N56" s="272"/>
      <c r="O56" s="272"/>
      <c r="P56" s="272"/>
      <c r="Q56" s="272"/>
      <c r="R56" s="257"/>
      <c r="S56" s="257"/>
      <c r="T56" s="257"/>
      <c r="U56" s="257"/>
      <c r="V56" s="257"/>
      <c r="W56" s="257"/>
      <c r="X56" s="257"/>
      <c r="Y56" s="257"/>
      <c r="Z56" s="257"/>
      <c r="AA56" s="257"/>
      <c r="AB56" s="257"/>
      <c r="AC56" s="257"/>
      <c r="AD56" s="257"/>
      <c r="AE56" s="257"/>
      <c r="AF56" s="257"/>
    </row>
    <row r="57" spans="1:32">
      <c r="A57" s="272"/>
      <c r="B57" s="257"/>
      <c r="C57" s="257"/>
      <c r="D57" s="257"/>
      <c r="E57" s="257"/>
      <c r="F57" s="257"/>
      <c r="G57" s="257"/>
      <c r="H57" s="257"/>
      <c r="I57" s="257"/>
      <c r="J57" s="257"/>
      <c r="K57" s="257"/>
      <c r="L57" s="272"/>
      <c r="M57" s="272"/>
      <c r="N57" s="272"/>
      <c r="O57" s="272"/>
      <c r="P57" s="272"/>
      <c r="Q57" s="272"/>
      <c r="R57" s="257"/>
      <c r="S57" s="257"/>
      <c r="T57" s="257"/>
      <c r="U57" s="257"/>
      <c r="V57" s="257"/>
      <c r="W57" s="257"/>
      <c r="X57" s="257"/>
      <c r="Y57" s="257"/>
      <c r="Z57" s="257"/>
      <c r="AA57" s="257"/>
      <c r="AB57" s="257"/>
      <c r="AC57" s="257"/>
      <c r="AD57" s="257"/>
      <c r="AE57" s="257"/>
      <c r="AF57" s="257"/>
    </row>
    <row r="58" spans="1:32">
      <c r="A58" s="272"/>
      <c r="B58" s="257"/>
      <c r="C58" s="257"/>
      <c r="D58" s="257"/>
      <c r="E58" s="257"/>
      <c r="F58" s="257"/>
      <c r="G58" s="257"/>
      <c r="H58" s="257"/>
      <c r="I58" s="257"/>
      <c r="J58" s="257"/>
      <c r="K58" s="257"/>
      <c r="R58" s="257"/>
      <c r="S58" s="257"/>
      <c r="T58" s="257"/>
      <c r="U58" s="257"/>
      <c r="V58" s="257"/>
      <c r="W58" s="257"/>
      <c r="X58" s="257"/>
      <c r="Y58" s="257"/>
      <c r="Z58" s="257"/>
      <c r="AA58" s="257"/>
      <c r="AB58" s="257"/>
      <c r="AC58" s="257"/>
      <c r="AD58" s="257"/>
      <c r="AE58" s="257"/>
      <c r="AF58" s="257"/>
    </row>
    <row r="59" spans="1:32">
      <c r="R59" s="257"/>
      <c r="S59" s="257"/>
      <c r="T59" s="257"/>
      <c r="U59" s="257"/>
      <c r="V59" s="257"/>
      <c r="W59" s="257"/>
      <c r="X59" s="257"/>
      <c r="Y59" s="257"/>
      <c r="Z59" s="257"/>
      <c r="AA59" s="257"/>
      <c r="AB59" s="257"/>
      <c r="AC59" s="257"/>
      <c r="AD59" s="257"/>
      <c r="AE59" s="257"/>
      <c r="AF59" s="257"/>
    </row>
    <row r="60" spans="1:32">
      <c r="R60" s="257"/>
      <c r="S60" s="257"/>
      <c r="T60" s="257"/>
      <c r="U60" s="257"/>
      <c r="V60" s="257"/>
      <c r="W60" s="257"/>
      <c r="X60" s="257"/>
      <c r="Y60" s="257"/>
      <c r="Z60" s="257"/>
      <c r="AA60" s="257"/>
      <c r="AB60" s="257"/>
      <c r="AC60" s="257"/>
      <c r="AD60" s="257"/>
      <c r="AE60" s="257"/>
      <c r="AF60" s="257"/>
    </row>
    <row r="61" spans="1:32">
      <c r="R61" s="257"/>
      <c r="S61" s="257"/>
      <c r="T61" s="257"/>
      <c r="U61" s="257"/>
      <c r="V61" s="257"/>
      <c r="W61" s="257"/>
      <c r="X61" s="257"/>
      <c r="Y61" s="257"/>
      <c r="Z61" s="257"/>
      <c r="AA61" s="257"/>
      <c r="AB61" s="257"/>
      <c r="AC61" s="257"/>
      <c r="AD61" s="257"/>
      <c r="AE61" s="257"/>
      <c r="AF61" s="257"/>
    </row>
    <row r="62" spans="1:32">
      <c r="R62" s="257"/>
      <c r="S62" s="257"/>
      <c r="T62" s="257"/>
      <c r="U62" s="257"/>
      <c r="V62" s="257"/>
      <c r="W62" s="257"/>
      <c r="X62" s="257"/>
      <c r="Y62" s="257"/>
      <c r="Z62" s="257"/>
      <c r="AA62" s="257"/>
      <c r="AB62" s="257"/>
      <c r="AC62" s="257"/>
      <c r="AD62" s="257"/>
      <c r="AE62" s="257"/>
      <c r="AF62" s="257"/>
    </row>
    <row r="63" spans="1:32">
      <c r="R63" s="257"/>
      <c r="S63" s="257"/>
      <c r="T63" s="257"/>
      <c r="U63" s="257"/>
      <c r="V63" s="257"/>
      <c r="W63" s="257"/>
      <c r="X63" s="257"/>
      <c r="Y63" s="257"/>
      <c r="Z63" s="257"/>
      <c r="AA63" s="257"/>
      <c r="AB63" s="257"/>
      <c r="AC63" s="257"/>
      <c r="AD63" s="257"/>
      <c r="AE63" s="257"/>
      <c r="AF63" s="257"/>
    </row>
    <row r="64" spans="1:32">
      <c r="R64" s="257"/>
      <c r="S64" s="257"/>
      <c r="T64" s="257"/>
      <c r="U64" s="257"/>
      <c r="V64" s="257"/>
      <c r="W64" s="257"/>
      <c r="X64" s="257"/>
      <c r="Y64" s="257"/>
      <c r="Z64" s="257"/>
      <c r="AA64" s="257"/>
      <c r="AB64" s="257"/>
      <c r="AC64" s="257"/>
      <c r="AD64" s="257"/>
      <c r="AE64" s="257"/>
      <c r="AF64" s="257"/>
    </row>
    <row r="65" spans="18:32">
      <c r="R65" s="257"/>
      <c r="S65" s="257"/>
      <c r="T65" s="257"/>
      <c r="U65" s="257"/>
      <c r="V65" s="257"/>
      <c r="W65" s="257"/>
      <c r="X65" s="257"/>
      <c r="Y65" s="257"/>
      <c r="Z65" s="257"/>
      <c r="AA65" s="257"/>
      <c r="AB65" s="257"/>
      <c r="AC65" s="257"/>
      <c r="AD65" s="257"/>
      <c r="AE65" s="257"/>
      <c r="AF65" s="257"/>
    </row>
    <row r="66" spans="18:32">
      <c r="R66" s="257"/>
      <c r="S66" s="257"/>
      <c r="T66" s="257"/>
      <c r="U66" s="257"/>
      <c r="V66" s="257"/>
      <c r="W66" s="257"/>
      <c r="X66" s="257"/>
      <c r="Y66" s="257"/>
      <c r="Z66" s="257"/>
      <c r="AA66" s="257"/>
      <c r="AB66" s="257"/>
      <c r="AC66" s="257"/>
      <c r="AD66" s="257"/>
      <c r="AE66" s="257"/>
      <c r="AF66" s="257"/>
    </row>
    <row r="67" spans="18:32">
      <c r="R67" s="257"/>
      <c r="S67" s="257"/>
      <c r="T67" s="257"/>
      <c r="U67" s="257"/>
      <c r="V67" s="257"/>
      <c r="W67" s="257"/>
      <c r="X67" s="257"/>
      <c r="Y67" s="257"/>
      <c r="Z67" s="257"/>
      <c r="AA67" s="257"/>
      <c r="AB67" s="257"/>
      <c r="AC67" s="257"/>
      <c r="AD67" s="257"/>
      <c r="AE67" s="257"/>
      <c r="AF67" s="257"/>
    </row>
    <row r="68" spans="18:32">
      <c r="R68" s="257"/>
      <c r="S68" s="257"/>
      <c r="T68" s="257"/>
      <c r="U68" s="257"/>
      <c r="V68" s="257"/>
      <c r="W68" s="257"/>
      <c r="X68" s="257"/>
      <c r="Y68" s="257"/>
      <c r="Z68" s="257"/>
      <c r="AA68" s="257"/>
      <c r="AB68" s="257"/>
      <c r="AC68" s="257"/>
      <c r="AD68" s="257"/>
      <c r="AE68" s="257"/>
      <c r="AF68" s="257"/>
    </row>
  </sheetData>
  <mergeCells count="2">
    <mergeCell ref="A1:AF1"/>
    <mergeCell ref="A2:AF2"/>
  </mergeCells>
  <hyperlinks>
    <hyperlink ref="A53" location="'indice cap.2'!A1" display="regresar al índice"/>
    <hyperlink ref="A52" location="'indice cap.2'!A1" display="Notas"/>
  </hyperlinks>
  <pageMargins left="0.70866141732283472" right="0.70866141732283472" top="0.74803149606299213" bottom="0.74803149606299213" header="0.31496062992125984" footer="0.31496062992125984"/>
  <pageSetup paperSize="9" scale="4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Y95"/>
  <sheetViews>
    <sheetView showGridLines="0" workbookViewId="0">
      <pane xSplit="1" ySplit="5" topLeftCell="K6" activePane="bottomRight" state="frozen"/>
      <selection activeCell="T16" sqref="T16"/>
      <selection pane="topRight" activeCell="T16" sqref="T16"/>
      <selection pane="bottomLeft" activeCell="T16" sqref="T16"/>
      <selection pane="bottomRight" activeCell="Q53" sqref="A53:Q85"/>
    </sheetView>
  </sheetViews>
  <sheetFormatPr baseColWidth="10" defaultRowHeight="12.75"/>
  <cols>
    <col min="1" max="1" width="52.140625" style="287" customWidth="1"/>
    <col min="2" max="9" width="19.7109375" style="287" hidden="1" customWidth="1"/>
    <col min="10" max="25" width="19.7109375" style="287" customWidth="1"/>
    <col min="26" max="16384" width="11.42578125" style="287"/>
  </cols>
  <sheetData>
    <row r="1" spans="1:25">
      <c r="A1" s="315" t="s">
        <v>387</v>
      </c>
      <c r="B1" s="315"/>
      <c r="C1" s="315"/>
      <c r="D1" s="315"/>
      <c r="E1" s="315"/>
      <c r="F1" s="315"/>
      <c r="G1" s="315"/>
      <c r="H1" s="315"/>
      <c r="I1" s="315"/>
      <c r="J1" s="315"/>
      <c r="K1" s="315"/>
      <c r="L1" s="315"/>
      <c r="M1" s="315"/>
      <c r="N1" s="315"/>
      <c r="O1" s="315"/>
      <c r="P1" s="315"/>
      <c r="Q1" s="315"/>
      <c r="R1" s="315"/>
      <c r="S1" s="315"/>
      <c r="T1" s="315"/>
      <c r="U1" s="315"/>
      <c r="V1" s="315"/>
      <c r="W1" s="315"/>
      <c r="X1" s="315"/>
      <c r="Y1" s="315"/>
    </row>
    <row r="2" spans="1:25">
      <c r="A2" s="316" t="s">
        <v>335</v>
      </c>
      <c r="B2" s="316"/>
      <c r="C2" s="316"/>
      <c r="D2" s="316"/>
      <c r="E2" s="316"/>
      <c r="F2" s="316"/>
      <c r="G2" s="316"/>
      <c r="H2" s="316"/>
      <c r="I2" s="316"/>
      <c r="J2" s="316"/>
      <c r="K2" s="316"/>
      <c r="L2" s="316"/>
      <c r="M2" s="316"/>
      <c r="N2" s="316"/>
      <c r="O2" s="316"/>
      <c r="P2" s="316"/>
      <c r="Q2" s="316"/>
      <c r="R2" s="316"/>
      <c r="S2" s="316"/>
      <c r="T2" s="316"/>
      <c r="U2" s="316"/>
      <c r="V2" s="316"/>
      <c r="W2" s="316"/>
      <c r="X2" s="316"/>
      <c r="Y2" s="316"/>
    </row>
    <row r="3" spans="1:25">
      <c r="A3" s="288"/>
      <c r="B3" s="288"/>
      <c r="C3" s="288"/>
      <c r="D3" s="288"/>
      <c r="E3" s="288"/>
      <c r="F3" s="288"/>
      <c r="G3" s="288"/>
      <c r="H3" s="288"/>
      <c r="I3" s="288"/>
      <c r="J3" s="288"/>
      <c r="K3" s="288"/>
      <c r="L3" s="288"/>
      <c r="M3" s="288"/>
      <c r="N3" s="288"/>
      <c r="O3" s="288"/>
      <c r="P3" s="288"/>
      <c r="Q3" s="288"/>
      <c r="R3" s="288"/>
      <c r="S3" s="288"/>
      <c r="T3" s="288"/>
      <c r="U3" s="288"/>
      <c r="V3" s="288"/>
      <c r="W3" s="288"/>
      <c r="X3" s="288"/>
      <c r="Y3" s="288"/>
    </row>
    <row r="4" spans="1:25" s="297" customFormat="1" ht="21.75" customHeight="1">
      <c r="A4" s="294" t="s">
        <v>388</v>
      </c>
      <c r="B4" s="295">
        <v>1993</v>
      </c>
      <c r="C4" s="295">
        <v>1994</v>
      </c>
      <c r="D4" s="295">
        <v>1995</v>
      </c>
      <c r="E4" s="295">
        <v>1996</v>
      </c>
      <c r="F4" s="295">
        <v>1997</v>
      </c>
      <c r="G4" s="295">
        <v>1998</v>
      </c>
      <c r="H4" s="295">
        <v>1999</v>
      </c>
      <c r="I4" s="295">
        <v>2000</v>
      </c>
      <c r="J4" s="295">
        <v>2001</v>
      </c>
      <c r="K4" s="295">
        <v>2002</v>
      </c>
      <c r="L4" s="295">
        <v>2003</v>
      </c>
      <c r="M4" s="295">
        <v>2004</v>
      </c>
      <c r="N4" s="295">
        <v>2005</v>
      </c>
      <c r="O4" s="295">
        <v>2006</v>
      </c>
      <c r="P4" s="295">
        <v>2007</v>
      </c>
      <c r="Q4" s="295">
        <v>2008</v>
      </c>
      <c r="R4" s="295">
        <v>2009</v>
      </c>
      <c r="S4" s="295">
        <v>2010</v>
      </c>
      <c r="T4" s="296">
        <v>2011</v>
      </c>
      <c r="U4" s="295">
        <v>2012</v>
      </c>
      <c r="V4" s="296">
        <v>2013</v>
      </c>
      <c r="W4" s="295">
        <v>2014</v>
      </c>
      <c r="X4" s="296">
        <v>2015</v>
      </c>
      <c r="Y4" s="295">
        <v>2016</v>
      </c>
    </row>
    <row r="5" spans="1:25">
      <c r="A5" s="289"/>
      <c r="B5" s="289"/>
      <c r="C5" s="289"/>
      <c r="D5" s="289"/>
      <c r="E5" s="289"/>
      <c r="F5" s="289"/>
      <c r="G5" s="289"/>
      <c r="H5" s="289"/>
      <c r="I5" s="289"/>
      <c r="J5" s="289"/>
      <c r="K5" s="289"/>
      <c r="L5" s="289"/>
      <c r="M5" s="289"/>
      <c r="N5" s="289"/>
      <c r="O5" s="289"/>
      <c r="P5" s="289"/>
      <c r="Q5" s="289"/>
      <c r="R5" s="289"/>
      <c r="S5" s="289"/>
      <c r="T5" s="289"/>
      <c r="U5" s="289"/>
      <c r="V5" s="289"/>
      <c r="W5" s="289"/>
      <c r="X5" s="289"/>
      <c r="Y5" s="289"/>
    </row>
    <row r="6" spans="1:25" s="15" customFormat="1">
      <c r="A6" s="298" t="s">
        <v>389</v>
      </c>
      <c r="B6" s="299">
        <v>-845.00485838814188</v>
      </c>
      <c r="C6" s="299">
        <v>-911.55138781070514</v>
      </c>
      <c r="D6" s="299">
        <v>-993.84688974111464</v>
      </c>
      <c r="E6" s="299">
        <v>3.4983383257749665</v>
      </c>
      <c r="F6" s="299">
        <v>-426.66506729839398</v>
      </c>
      <c r="G6" s="299">
        <v>-2001.3202993028035</v>
      </c>
      <c r="H6" s="299">
        <v>876.81692604193086</v>
      </c>
      <c r="I6" s="299">
        <v>1107.5058078985562</v>
      </c>
      <c r="J6" s="299">
        <v>-521.77676933233579</v>
      </c>
      <c r="K6" s="299">
        <v>-1218.2618753427585</v>
      </c>
      <c r="L6" s="299">
        <v>-386.87449830152627</v>
      </c>
      <c r="M6" s="299">
        <v>-479.18215069743587</v>
      </c>
      <c r="N6" s="299">
        <v>474.48862845021586</v>
      </c>
      <c r="O6" s="299">
        <v>1739.0659043017279</v>
      </c>
      <c r="P6" s="299">
        <v>1886.5417987156784</v>
      </c>
      <c r="Q6" s="299">
        <v>1769.2196702678038</v>
      </c>
      <c r="R6" s="299">
        <v>312.62036556602379</v>
      </c>
      <c r="S6" s="299">
        <v>-1590.8785777906132</v>
      </c>
      <c r="T6" s="299">
        <v>-390.540164359144</v>
      </c>
      <c r="U6" s="299">
        <v>-165.69607542929498</v>
      </c>
      <c r="V6" s="299">
        <v>-923.25500661797196</v>
      </c>
      <c r="W6" s="299">
        <v>-522.8776109761302</v>
      </c>
      <c r="X6" s="299">
        <v>-2113.9814998368929</v>
      </c>
      <c r="Y6" s="299">
        <v>1418.5941157082666</v>
      </c>
    </row>
    <row r="7" spans="1:25" s="15" customFormat="1">
      <c r="A7" s="298"/>
      <c r="B7" s="299"/>
      <c r="C7" s="299"/>
      <c r="D7" s="299"/>
      <c r="E7" s="299"/>
      <c r="F7" s="299"/>
      <c r="G7" s="299"/>
      <c r="H7" s="299"/>
      <c r="I7" s="299"/>
      <c r="J7" s="299"/>
      <c r="K7" s="299"/>
      <c r="L7" s="299"/>
      <c r="M7" s="299"/>
      <c r="N7" s="299"/>
      <c r="O7" s="299"/>
      <c r="P7" s="299"/>
      <c r="Q7" s="299"/>
      <c r="R7" s="299"/>
      <c r="S7" s="299"/>
      <c r="T7" s="299"/>
      <c r="U7" s="299"/>
      <c r="V7" s="299"/>
      <c r="W7" s="299"/>
      <c r="X7" s="299"/>
      <c r="Y7" s="299"/>
    </row>
    <row r="8" spans="1:25" s="15" customFormat="1">
      <c r="A8" s="298" t="s">
        <v>390</v>
      </c>
      <c r="B8" s="299">
        <v>213.64068648075454</v>
      </c>
      <c r="C8" s="299">
        <v>137.64546576676457</v>
      </c>
      <c r="D8" s="299">
        <v>-66.252105382685841</v>
      </c>
      <c r="E8" s="299">
        <v>962.12761199999932</v>
      </c>
      <c r="F8" s="299">
        <v>522.75482999999895</v>
      </c>
      <c r="G8" s="299">
        <v>-1034.5765499999998</v>
      </c>
      <c r="H8" s="299">
        <v>1545.2212399999999</v>
      </c>
      <c r="I8" s="299">
        <v>1399.3021751399997</v>
      </c>
      <c r="J8" s="299">
        <v>-356.2509190671999</v>
      </c>
      <c r="K8" s="299">
        <v>-902.00059470999986</v>
      </c>
      <c r="L8" s="299">
        <v>79.500231999999414</v>
      </c>
      <c r="M8" s="299">
        <v>284.0061557366671</v>
      </c>
      <c r="N8" s="299">
        <v>758.34070899266226</v>
      </c>
      <c r="O8" s="299">
        <v>1768.4061483552214</v>
      </c>
      <c r="P8" s="299">
        <v>1823.0250496261851</v>
      </c>
      <c r="Q8" s="299">
        <v>1548.664669993399</v>
      </c>
      <c r="R8" s="299">
        <v>143.58037667390454</v>
      </c>
      <c r="S8" s="299">
        <v>-1503.9816882554915</v>
      </c>
      <c r="T8" s="299">
        <v>-302.61416866656873</v>
      </c>
      <c r="U8" s="299">
        <v>49.949414054626686</v>
      </c>
      <c r="V8" s="299">
        <v>-528.5540474550653</v>
      </c>
      <c r="W8" s="299">
        <v>-63.493107798560231</v>
      </c>
      <c r="X8" s="299">
        <v>-1649.7939967927341</v>
      </c>
      <c r="Y8" s="299">
        <v>1569.9172323821076</v>
      </c>
    </row>
    <row r="9" spans="1:25" s="15" customFormat="1">
      <c r="A9" s="17" t="s">
        <v>391</v>
      </c>
      <c r="B9" s="299">
        <v>3135.8366552346533</v>
      </c>
      <c r="C9" s="299">
        <v>3924.6286799999998</v>
      </c>
      <c r="D9" s="299">
        <v>4468.311746300792</v>
      </c>
      <c r="E9" s="299">
        <v>4939.9930319999994</v>
      </c>
      <c r="F9" s="299">
        <v>5371.3539999999994</v>
      </c>
      <c r="G9" s="299">
        <v>4318.80476</v>
      </c>
      <c r="H9" s="299">
        <v>4516.4843999999994</v>
      </c>
      <c r="I9" s="299">
        <v>5056.6845199999998</v>
      </c>
      <c r="J9" s="299">
        <v>4821.29587085</v>
      </c>
      <c r="K9" s="299">
        <v>5257.6826818000009</v>
      </c>
      <c r="L9" s="299">
        <v>6445.8269119999995</v>
      </c>
      <c r="M9" s="299">
        <v>7967.7536406666668</v>
      </c>
      <c r="N9" s="299">
        <v>10467.690880672662</v>
      </c>
      <c r="O9" s="299">
        <v>13176.091670245221</v>
      </c>
      <c r="P9" s="299">
        <v>14870.155481626187</v>
      </c>
      <c r="Q9" s="299">
        <v>19460.767463422373</v>
      </c>
      <c r="R9" s="299">
        <v>14412.025923631834</v>
      </c>
      <c r="S9" s="299">
        <v>18137.092037819835</v>
      </c>
      <c r="T9" s="299">
        <v>23082.323024175854</v>
      </c>
      <c r="U9" s="299">
        <v>24568.898323109035</v>
      </c>
      <c r="V9" s="299">
        <v>25586.775039446195</v>
      </c>
      <c r="W9" s="299">
        <v>26596.481217951867</v>
      </c>
      <c r="X9" s="299">
        <v>19048.747801764159</v>
      </c>
      <c r="Y9" s="299">
        <v>17427.968369107195</v>
      </c>
    </row>
    <row r="10" spans="1:25" s="15" customFormat="1">
      <c r="A10" s="17" t="s">
        <v>392</v>
      </c>
      <c r="B10" s="299">
        <v>3133.8366552346533</v>
      </c>
      <c r="C10" s="299">
        <v>3920.6286799999998</v>
      </c>
      <c r="D10" s="299">
        <v>4453.311746300792</v>
      </c>
      <c r="E10" s="299">
        <v>4923.9930319999994</v>
      </c>
      <c r="F10" s="299">
        <v>5310.4539999999997</v>
      </c>
      <c r="G10" s="299">
        <v>4265.7047599999996</v>
      </c>
      <c r="H10" s="299">
        <v>4451.0843999999997</v>
      </c>
      <c r="I10" s="299">
        <v>4941.0845199999994</v>
      </c>
      <c r="J10" s="299">
        <v>4729.5564599999998</v>
      </c>
      <c r="K10" s="299">
        <v>5115.5822100000005</v>
      </c>
      <c r="L10" s="299">
        <v>6305.6046999999999</v>
      </c>
      <c r="M10" s="299">
        <v>7831.8795700000001</v>
      </c>
      <c r="N10" s="299">
        <v>10247.22782</v>
      </c>
      <c r="O10" s="299">
        <v>12903.928</v>
      </c>
      <c r="P10" s="299">
        <v>14556.15344</v>
      </c>
      <c r="Q10" s="299">
        <v>19069.539827113473</v>
      </c>
      <c r="R10" s="299">
        <v>14126.592147493895</v>
      </c>
      <c r="S10" s="299">
        <v>17766.387425475787</v>
      </c>
      <c r="T10" s="299">
        <v>22612.372771701437</v>
      </c>
      <c r="U10" s="299">
        <v>24069.006070606854</v>
      </c>
      <c r="V10" s="299">
        <v>25070.099791726454</v>
      </c>
      <c r="W10" s="299">
        <v>26059.253374494994</v>
      </c>
      <c r="X10" s="299">
        <v>18662.560869639681</v>
      </c>
      <c r="Y10" s="299">
        <v>17103.348568404945</v>
      </c>
    </row>
    <row r="11" spans="1:25" s="15" customFormat="1">
      <c r="A11" s="17" t="s">
        <v>393</v>
      </c>
      <c r="B11" s="299">
        <v>3065.61537</v>
      </c>
      <c r="C11" s="299">
        <v>3842.6826799999999</v>
      </c>
      <c r="D11" s="299">
        <v>4380.7061370000001</v>
      </c>
      <c r="E11" s="299">
        <v>4872.6310319999993</v>
      </c>
      <c r="F11" s="299">
        <v>5264.3629999999994</v>
      </c>
      <c r="G11" s="299">
        <v>4203.0487599999997</v>
      </c>
      <c r="H11" s="299">
        <v>4451.0843999999997</v>
      </c>
      <c r="I11" s="299">
        <v>4926.6265199999998</v>
      </c>
      <c r="J11" s="299">
        <v>4678.4364599999999</v>
      </c>
      <c r="K11" s="299">
        <v>5036.1212100000002</v>
      </c>
      <c r="L11" s="299">
        <v>6222.6926999999996</v>
      </c>
      <c r="M11" s="299">
        <v>7752.8915699999998</v>
      </c>
      <c r="N11" s="299">
        <v>10100.03082</v>
      </c>
      <c r="O11" s="299">
        <v>12728.16</v>
      </c>
      <c r="P11" s="299">
        <v>14321.31544</v>
      </c>
      <c r="Q11" s="299">
        <v>18818.326850000001</v>
      </c>
      <c r="R11" s="299">
        <v>13863.057849999999</v>
      </c>
      <c r="S11" s="299">
        <v>17489.927479999998</v>
      </c>
      <c r="T11" s="299">
        <v>22322.353210000001</v>
      </c>
      <c r="U11" s="299">
        <v>23764.761829999999</v>
      </c>
      <c r="V11" s="299">
        <v>24750.933190000003</v>
      </c>
      <c r="W11" s="299">
        <v>25724.432510000002</v>
      </c>
      <c r="X11" s="299">
        <v>18330.6077</v>
      </c>
      <c r="Y11" s="299">
        <v>16797.666332412999</v>
      </c>
    </row>
    <row r="12" spans="1:25" s="15" customFormat="1">
      <c r="A12" s="17" t="s">
        <v>394</v>
      </c>
      <c r="B12" s="299">
        <v>1256.6530600000001</v>
      </c>
      <c r="C12" s="299">
        <v>1304.8271900000002</v>
      </c>
      <c r="D12" s="299">
        <v>1529.936672</v>
      </c>
      <c r="E12" s="299">
        <v>1748.6555519999997</v>
      </c>
      <c r="F12" s="299">
        <v>1557.2656000000002</v>
      </c>
      <c r="G12" s="299">
        <v>922.94470000000001</v>
      </c>
      <c r="H12" s="299">
        <v>1479.6824699999997</v>
      </c>
      <c r="I12" s="299">
        <v>2442.4231299999997</v>
      </c>
      <c r="J12" s="299">
        <v>1899.99377</v>
      </c>
      <c r="K12" s="299">
        <v>2054.9882400000001</v>
      </c>
      <c r="L12" s="299">
        <v>2606.8189499999999</v>
      </c>
      <c r="M12" s="299">
        <v>4233.9928299999992</v>
      </c>
      <c r="N12" s="299">
        <v>5869.8498600000003</v>
      </c>
      <c r="O12" s="299">
        <v>7544.5103299999992</v>
      </c>
      <c r="P12" s="299">
        <v>8328.5658800000001</v>
      </c>
      <c r="Q12" s="299">
        <v>11720.589310000001</v>
      </c>
      <c r="R12" s="299">
        <v>6964.6384799999996</v>
      </c>
      <c r="S12" s="299">
        <v>9673.2276000000002</v>
      </c>
      <c r="T12" s="299">
        <v>12944.868130000001</v>
      </c>
      <c r="U12" s="299">
        <v>13791.95738</v>
      </c>
      <c r="V12" s="299">
        <v>14107.20962</v>
      </c>
      <c r="W12" s="299">
        <v>13275.49524</v>
      </c>
      <c r="X12" s="299">
        <v>6660.0517600000012</v>
      </c>
      <c r="Y12" s="299">
        <v>5459.1693136400008</v>
      </c>
    </row>
    <row r="13" spans="1:25" s="15" customFormat="1">
      <c r="A13" s="17" t="s">
        <v>395</v>
      </c>
      <c r="B13" s="299">
        <v>1808.9623099999999</v>
      </c>
      <c r="C13" s="299">
        <v>2537.8554899999999</v>
      </c>
      <c r="D13" s="299">
        <v>2850.7694649999999</v>
      </c>
      <c r="E13" s="299">
        <v>3123.9754800000001</v>
      </c>
      <c r="F13" s="299">
        <v>3707.0973999999997</v>
      </c>
      <c r="G13" s="299">
        <v>3280.1040600000001</v>
      </c>
      <c r="H13" s="299">
        <v>2971.40193</v>
      </c>
      <c r="I13" s="299">
        <v>2484.2033899999997</v>
      </c>
      <c r="J13" s="299">
        <v>2778.4426899999999</v>
      </c>
      <c r="K13" s="299">
        <v>2981.1329700000001</v>
      </c>
      <c r="L13" s="299">
        <v>3615.8737500000002</v>
      </c>
      <c r="M13" s="299">
        <v>3518.8987400000001</v>
      </c>
      <c r="N13" s="299">
        <v>4230.1809599999997</v>
      </c>
      <c r="O13" s="299">
        <v>5183.6496699999998</v>
      </c>
      <c r="P13" s="299">
        <v>5992.7495600000002</v>
      </c>
      <c r="Q13" s="299">
        <v>7097.7375400000001</v>
      </c>
      <c r="R13" s="299">
        <v>6898.4193699999996</v>
      </c>
      <c r="S13" s="299">
        <v>7816.6998800000001</v>
      </c>
      <c r="T13" s="299">
        <v>9377.4850800000004</v>
      </c>
      <c r="U13" s="299">
        <v>9972.8044499999996</v>
      </c>
      <c r="V13" s="299">
        <v>10643.723570000002</v>
      </c>
      <c r="W13" s="299">
        <v>12448.937270000002</v>
      </c>
      <c r="X13" s="299">
        <v>11670.55594</v>
      </c>
      <c r="Y13" s="299">
        <v>11338.497018773</v>
      </c>
    </row>
    <row r="14" spans="1:25" s="15" customFormat="1">
      <c r="A14" s="17" t="s">
        <v>396</v>
      </c>
      <c r="B14" s="299">
        <v>68.221285234653564</v>
      </c>
      <c r="C14" s="299">
        <v>77.945999999999998</v>
      </c>
      <c r="D14" s="299">
        <v>72.605609300792139</v>
      </c>
      <c r="E14" s="299">
        <v>51.362000000000002</v>
      </c>
      <c r="F14" s="299">
        <v>46.091000000000001</v>
      </c>
      <c r="G14" s="299">
        <v>62.655999999999999</v>
      </c>
      <c r="H14" s="299">
        <v>0</v>
      </c>
      <c r="I14" s="299">
        <v>14.458</v>
      </c>
      <c r="J14" s="299">
        <v>51.12</v>
      </c>
      <c r="K14" s="299">
        <v>79.460999999999999</v>
      </c>
      <c r="L14" s="299">
        <v>82.912000000000006</v>
      </c>
      <c r="M14" s="299">
        <v>78.988</v>
      </c>
      <c r="N14" s="299">
        <v>147.197</v>
      </c>
      <c r="O14" s="299">
        <v>175.768</v>
      </c>
      <c r="P14" s="299">
        <v>234.83799999999999</v>
      </c>
      <c r="Q14" s="299">
        <v>251.2129771134729</v>
      </c>
      <c r="R14" s="299">
        <v>263.53429749389579</v>
      </c>
      <c r="S14" s="299">
        <v>276.45994547578823</v>
      </c>
      <c r="T14" s="299">
        <v>290.01956170143717</v>
      </c>
      <c r="U14" s="299">
        <v>304.2442406068551</v>
      </c>
      <c r="V14" s="299">
        <v>319.16660172644913</v>
      </c>
      <c r="W14" s="299">
        <v>334.82086449499286</v>
      </c>
      <c r="X14" s="299">
        <v>331.95316963967991</v>
      </c>
      <c r="Y14" s="299">
        <v>305.68223599194596</v>
      </c>
    </row>
    <row r="15" spans="1:25" s="15" customFormat="1">
      <c r="A15" s="17" t="s">
        <v>397</v>
      </c>
      <c r="B15" s="299">
        <v>2</v>
      </c>
      <c r="C15" s="299">
        <v>4</v>
      </c>
      <c r="D15" s="299">
        <v>15</v>
      </c>
      <c r="E15" s="299">
        <v>16</v>
      </c>
      <c r="F15" s="299">
        <v>60.9</v>
      </c>
      <c r="G15" s="299">
        <v>53.1</v>
      </c>
      <c r="H15" s="299">
        <v>65.400000000000006</v>
      </c>
      <c r="I15" s="299">
        <v>115.6</v>
      </c>
      <c r="J15" s="299">
        <v>91.739410849999999</v>
      </c>
      <c r="K15" s="299">
        <v>142.10047180000001</v>
      </c>
      <c r="L15" s="299">
        <v>140.22221200000001</v>
      </c>
      <c r="M15" s="299">
        <v>135.87407066666668</v>
      </c>
      <c r="N15" s="299">
        <v>220.46306067266229</v>
      </c>
      <c r="O15" s="299">
        <v>272.16367024522134</v>
      </c>
      <c r="P15" s="299">
        <v>314.00204162618604</v>
      </c>
      <c r="Q15" s="299">
        <v>391.22763630890154</v>
      </c>
      <c r="R15" s="299">
        <v>285.43377613793837</v>
      </c>
      <c r="S15" s="299">
        <v>370.70461234404701</v>
      </c>
      <c r="T15" s="299">
        <v>469.95025247441754</v>
      </c>
      <c r="U15" s="299">
        <v>499.89225250217919</v>
      </c>
      <c r="V15" s="299">
        <v>516.67524771974183</v>
      </c>
      <c r="W15" s="299">
        <v>537.22784345687205</v>
      </c>
      <c r="X15" s="299">
        <v>386.18693212447636</v>
      </c>
      <c r="Y15" s="299">
        <v>324.61980070225172</v>
      </c>
    </row>
    <row r="16" spans="1:25" s="15" customFormat="1">
      <c r="A16" s="17"/>
      <c r="B16" s="299"/>
      <c r="C16" s="299"/>
      <c r="D16" s="299"/>
      <c r="E16" s="299"/>
      <c r="F16" s="299"/>
      <c r="G16" s="299"/>
      <c r="H16" s="299"/>
      <c r="I16" s="299"/>
      <c r="J16" s="299"/>
      <c r="K16" s="299"/>
      <c r="L16" s="299"/>
      <c r="M16" s="299"/>
      <c r="N16" s="299"/>
      <c r="O16" s="299"/>
      <c r="P16" s="299"/>
      <c r="Q16" s="299"/>
      <c r="R16" s="299"/>
      <c r="S16" s="299"/>
      <c r="T16" s="299"/>
      <c r="U16" s="299"/>
      <c r="V16" s="299"/>
      <c r="W16" s="299"/>
      <c r="X16" s="299"/>
      <c r="Y16" s="299"/>
    </row>
    <row r="17" spans="1:25" s="15" customFormat="1">
      <c r="A17" s="17" t="s">
        <v>398</v>
      </c>
      <c r="B17" s="299">
        <v>-2922.1959687538988</v>
      </c>
      <c r="C17" s="299">
        <v>-3786.9832142332352</v>
      </c>
      <c r="D17" s="299">
        <v>-4534.5638516834779</v>
      </c>
      <c r="E17" s="299">
        <v>-3977.8654200000001</v>
      </c>
      <c r="F17" s="299">
        <v>-4848.5991700000004</v>
      </c>
      <c r="G17" s="299">
        <v>-5353.3813099999998</v>
      </c>
      <c r="H17" s="299">
        <v>-2971.2631599999995</v>
      </c>
      <c r="I17" s="299">
        <v>-3657.3823448600001</v>
      </c>
      <c r="J17" s="299">
        <v>-5177.5467899171999</v>
      </c>
      <c r="K17" s="299">
        <v>-6159.6832765100007</v>
      </c>
      <c r="L17" s="299">
        <v>-6366.3266800000001</v>
      </c>
      <c r="M17" s="299">
        <v>-7683.7474849299997</v>
      </c>
      <c r="N17" s="299">
        <v>-9709.3501716800001</v>
      </c>
      <c r="O17" s="299">
        <v>-11407.68552189</v>
      </c>
      <c r="P17" s="299">
        <v>-13047.130432000002</v>
      </c>
      <c r="Q17" s="299">
        <v>-17912.102793428974</v>
      </c>
      <c r="R17" s="299">
        <v>-14268.44554695793</v>
      </c>
      <c r="S17" s="299">
        <v>-19641.073726075327</v>
      </c>
      <c r="T17" s="299">
        <v>-23384.937192842423</v>
      </c>
      <c r="U17" s="299">
        <v>-24518.948909054408</v>
      </c>
      <c r="V17" s="299">
        <v>-26115.32908690126</v>
      </c>
      <c r="W17" s="299">
        <v>-26659.974325750427</v>
      </c>
      <c r="X17" s="299">
        <v>-20698.541798556893</v>
      </c>
      <c r="Y17" s="299">
        <v>-15858.051136725087</v>
      </c>
    </row>
    <row r="18" spans="1:25" s="15" customFormat="1">
      <c r="A18" s="17" t="s">
        <v>392</v>
      </c>
      <c r="B18" s="299">
        <v>-2897.1959687538988</v>
      </c>
      <c r="C18" s="299">
        <v>-3746.9832142332352</v>
      </c>
      <c r="D18" s="299">
        <v>-4508.5638516834779</v>
      </c>
      <c r="E18" s="299">
        <v>-3955.8654200000001</v>
      </c>
      <c r="F18" s="299">
        <v>-4821.5991700000004</v>
      </c>
      <c r="G18" s="299">
        <v>-5339.3813099999998</v>
      </c>
      <c r="H18" s="299">
        <v>-2957.2631599999995</v>
      </c>
      <c r="I18" s="299">
        <v>-3637.3823448600001</v>
      </c>
      <c r="J18" s="299">
        <v>-5148.0467899171999</v>
      </c>
      <c r="K18" s="299">
        <v>-6135.1832765100007</v>
      </c>
      <c r="L18" s="299">
        <v>-6344.2066800000002</v>
      </c>
      <c r="M18" s="299">
        <v>-7656.5907550599995</v>
      </c>
      <c r="N18" s="299">
        <v>-9686.5501716800009</v>
      </c>
      <c r="O18" s="299">
        <v>-11384.885521890001</v>
      </c>
      <c r="P18" s="299">
        <v>-13024.330432000002</v>
      </c>
      <c r="Q18" s="299">
        <v>-17889.302793428975</v>
      </c>
      <c r="R18" s="299">
        <v>-14245.64554695793</v>
      </c>
      <c r="S18" s="299">
        <v>-19618.273726075327</v>
      </c>
      <c r="T18" s="299">
        <v>-23362.137192842423</v>
      </c>
      <c r="U18" s="299">
        <v>-24496.148909054409</v>
      </c>
      <c r="V18" s="299">
        <v>-26092.529086901261</v>
      </c>
      <c r="W18" s="299">
        <v>-26637.174325750428</v>
      </c>
      <c r="X18" s="299">
        <v>-20675.741798556894</v>
      </c>
      <c r="Y18" s="299">
        <v>-15835.251136725088</v>
      </c>
    </row>
    <row r="19" spans="1:25" s="15" customFormat="1">
      <c r="A19" s="17" t="s">
        <v>393</v>
      </c>
      <c r="B19" s="299">
        <v>-2474.0904799999998</v>
      </c>
      <c r="C19" s="299">
        <v>-3282.4247300000002</v>
      </c>
      <c r="D19" s="299">
        <v>-4057.2095120000004</v>
      </c>
      <c r="E19" s="299">
        <v>-3679.88742</v>
      </c>
      <c r="F19" s="299">
        <v>-4666.0511700000006</v>
      </c>
      <c r="G19" s="299">
        <v>-5197.9303099999997</v>
      </c>
      <c r="H19" s="299">
        <v>-2785.9021599999996</v>
      </c>
      <c r="I19" s="299">
        <v>-3468.6303448600002</v>
      </c>
      <c r="J19" s="299">
        <v>-4980.5577899172004</v>
      </c>
      <c r="K19" s="299">
        <v>-6005.5902765100009</v>
      </c>
      <c r="L19" s="299">
        <v>-6254.2406799999999</v>
      </c>
      <c r="M19" s="299">
        <v>-7575.1667550599996</v>
      </c>
      <c r="N19" s="299">
        <v>-9565.899171680001</v>
      </c>
      <c r="O19" s="299">
        <v>-11279.457521890001</v>
      </c>
      <c r="P19" s="299">
        <v>-12917.452432000002</v>
      </c>
      <c r="Q19" s="299">
        <v>-17737.302460689996</v>
      </c>
      <c r="R19" s="299">
        <v>-14096.904362429999</v>
      </c>
      <c r="S19" s="299">
        <v>-19468.654506409999</v>
      </c>
      <c r="T19" s="299">
        <v>-23151.85749296</v>
      </c>
      <c r="U19" s="299">
        <v>-24205.367303955005</v>
      </c>
      <c r="V19" s="299">
        <v>-25825.940271457999</v>
      </c>
      <c r="W19" s="299">
        <v>-26447.595963004002</v>
      </c>
      <c r="X19" s="299">
        <v>-20460.228631829999</v>
      </c>
      <c r="Y19" s="299">
        <v>-15550.622696121001</v>
      </c>
    </row>
    <row r="20" spans="1:25" s="15" customFormat="1">
      <c r="A20" s="17" t="s">
        <v>399</v>
      </c>
      <c r="B20" s="299">
        <v>-580.97762</v>
      </c>
      <c r="C20" s="299">
        <v>-788.07241999999997</v>
      </c>
      <c r="D20" s="299">
        <v>-1058.1783379999999</v>
      </c>
      <c r="E20" s="299">
        <v>-887.87687000000005</v>
      </c>
      <c r="F20" s="299">
        <v>-1094.0243599999999</v>
      </c>
      <c r="G20" s="299">
        <v>-1167.7427499999999</v>
      </c>
      <c r="H20" s="299">
        <v>-621.33392000000003</v>
      </c>
      <c r="I20" s="299">
        <v>-830.06291486000009</v>
      </c>
      <c r="J20" s="299">
        <v>-1366.2220499171999</v>
      </c>
      <c r="K20" s="299">
        <v>-1739.1036265099999</v>
      </c>
      <c r="L20" s="299">
        <v>-1790.6331</v>
      </c>
      <c r="M20" s="299">
        <v>-2068.88145506</v>
      </c>
      <c r="N20" s="299">
        <v>-2353.8060716800001</v>
      </c>
      <c r="O20" s="299">
        <v>-2598.4343018899999</v>
      </c>
      <c r="P20" s="299">
        <v>-2923.542042</v>
      </c>
      <c r="Q20" s="299">
        <v>-4037.4119006899996</v>
      </c>
      <c r="R20" s="299">
        <v>-3119.4843324299995</v>
      </c>
      <c r="S20" s="299">
        <v>-4306.41048641</v>
      </c>
      <c r="T20" s="299">
        <v>-4948.97129296</v>
      </c>
      <c r="U20" s="299">
        <v>-5012.9105439550021</v>
      </c>
      <c r="V20" s="299">
        <v>-5247.4680914580003</v>
      </c>
      <c r="W20" s="299">
        <v>-5214.0703730039995</v>
      </c>
      <c r="X20" s="299">
        <v>-4232.1726318299998</v>
      </c>
      <c r="Y20" s="299">
        <v>-3375.0908716590002</v>
      </c>
    </row>
    <row r="21" spans="1:25" s="15" customFormat="1">
      <c r="A21" s="17" t="s">
        <v>400</v>
      </c>
      <c r="B21" s="299">
        <v>-1893.11286</v>
      </c>
      <c r="C21" s="299">
        <v>-2494.3523100000002</v>
      </c>
      <c r="D21" s="299">
        <v>-2999.0311740000002</v>
      </c>
      <c r="E21" s="299">
        <v>-2792.01055</v>
      </c>
      <c r="F21" s="299">
        <v>-3572.0268100000003</v>
      </c>
      <c r="G21" s="299">
        <v>-4030.1875600000003</v>
      </c>
      <c r="H21" s="299">
        <v>-2164.5682399999996</v>
      </c>
      <c r="I21" s="299">
        <v>-2638.5674300000001</v>
      </c>
      <c r="J21" s="299">
        <v>-3614.33574</v>
      </c>
      <c r="K21" s="299">
        <v>-4266.4866500000007</v>
      </c>
      <c r="L21" s="299">
        <v>-4463.6075799999999</v>
      </c>
      <c r="M21" s="299">
        <v>-5506.2852999999996</v>
      </c>
      <c r="N21" s="299">
        <v>-7212.0931</v>
      </c>
      <c r="O21" s="299">
        <v>-8681.0232200000009</v>
      </c>
      <c r="P21" s="299">
        <v>-9993.9103900000009</v>
      </c>
      <c r="Q21" s="299">
        <v>-13699.890559999998</v>
      </c>
      <c r="R21" s="299">
        <v>-10977.420029999999</v>
      </c>
      <c r="S21" s="299">
        <v>-15162.24402</v>
      </c>
      <c r="T21" s="299">
        <v>-18202.886200000001</v>
      </c>
      <c r="U21" s="299">
        <v>-19192.456760000001</v>
      </c>
      <c r="V21" s="299">
        <v>-20578.472180000001</v>
      </c>
      <c r="W21" s="299">
        <v>-21233.525590000001</v>
      </c>
      <c r="X21" s="299">
        <v>-16228.056</v>
      </c>
      <c r="Y21" s="299">
        <v>-12175.531824462001</v>
      </c>
    </row>
    <row r="22" spans="1:25" s="15" customFormat="1">
      <c r="A22" s="17" t="s">
        <v>396</v>
      </c>
      <c r="B22" s="299">
        <v>-423.10548875389878</v>
      </c>
      <c r="C22" s="299">
        <v>-464.55848423323488</v>
      </c>
      <c r="D22" s="299">
        <v>-451.35433968347763</v>
      </c>
      <c r="E22" s="299">
        <v>-275.97800000000001</v>
      </c>
      <c r="F22" s="299">
        <v>-155.54800000000003</v>
      </c>
      <c r="G22" s="299">
        <v>-141.45099999999999</v>
      </c>
      <c r="H22" s="299">
        <v>-171.36099999999996</v>
      </c>
      <c r="I22" s="299">
        <v>-168.75200000000001</v>
      </c>
      <c r="J22" s="299">
        <v>-167.489</v>
      </c>
      <c r="K22" s="299">
        <v>-129.59299999999999</v>
      </c>
      <c r="L22" s="299">
        <v>-89.965999999999994</v>
      </c>
      <c r="M22" s="299">
        <v>-81.424000000000007</v>
      </c>
      <c r="N22" s="299">
        <v>-120.65100000000002</v>
      </c>
      <c r="O22" s="299">
        <v>-105.428</v>
      </c>
      <c r="P22" s="299">
        <v>-106.878</v>
      </c>
      <c r="Q22" s="299">
        <v>-152.00033273897861</v>
      </c>
      <c r="R22" s="299">
        <v>-148.74118452793135</v>
      </c>
      <c r="S22" s="299">
        <v>-149.61921966532691</v>
      </c>
      <c r="T22" s="299">
        <v>-210.27969988242396</v>
      </c>
      <c r="U22" s="299">
        <v>-290.78160509940597</v>
      </c>
      <c r="V22" s="299">
        <v>-266.5888154432609</v>
      </c>
      <c r="W22" s="299">
        <v>-189.57836274642608</v>
      </c>
      <c r="X22" s="299">
        <v>-215.51316672689387</v>
      </c>
      <c r="Y22" s="299">
        <v>-284.62844060408736</v>
      </c>
    </row>
    <row r="23" spans="1:25" s="15" customFormat="1">
      <c r="A23" s="17" t="s">
        <v>401</v>
      </c>
      <c r="B23" s="299">
        <v>-25</v>
      </c>
      <c r="C23" s="299">
        <v>-40</v>
      </c>
      <c r="D23" s="299">
        <v>-26</v>
      </c>
      <c r="E23" s="299">
        <v>-22</v>
      </c>
      <c r="F23" s="299">
        <v>-27</v>
      </c>
      <c r="G23" s="299">
        <v>-14</v>
      </c>
      <c r="H23" s="299">
        <v>-14</v>
      </c>
      <c r="I23" s="299">
        <v>-20</v>
      </c>
      <c r="J23" s="299">
        <v>-29.5</v>
      </c>
      <c r="K23" s="299">
        <v>-24.5</v>
      </c>
      <c r="L23" s="299">
        <v>-22.12</v>
      </c>
      <c r="M23" s="299">
        <v>-27.156729869999999</v>
      </c>
      <c r="N23" s="299">
        <v>-22.8</v>
      </c>
      <c r="O23" s="299">
        <v>-22.8</v>
      </c>
      <c r="P23" s="299">
        <v>-22.8</v>
      </c>
      <c r="Q23" s="299">
        <v>-22.8</v>
      </c>
      <c r="R23" s="299">
        <v>-22.8</v>
      </c>
      <c r="S23" s="299">
        <v>-22.8</v>
      </c>
      <c r="T23" s="299">
        <v>-22.8</v>
      </c>
      <c r="U23" s="299">
        <v>-22.8</v>
      </c>
      <c r="V23" s="299">
        <v>-22.8</v>
      </c>
      <c r="W23" s="299">
        <v>-22.8</v>
      </c>
      <c r="X23" s="299">
        <v>-22.8</v>
      </c>
      <c r="Y23" s="299">
        <v>-22.8</v>
      </c>
    </row>
    <row r="24" spans="1:25" s="15" customFormat="1">
      <c r="A24" s="17"/>
      <c r="B24" s="299"/>
      <c r="C24" s="299"/>
      <c r="D24" s="299"/>
      <c r="E24" s="299"/>
      <c r="F24" s="299"/>
      <c r="G24" s="299"/>
      <c r="H24" s="299"/>
      <c r="I24" s="299"/>
      <c r="J24" s="299"/>
      <c r="K24" s="299"/>
      <c r="L24" s="299"/>
      <c r="M24" s="299"/>
      <c r="N24" s="299"/>
      <c r="O24" s="299"/>
      <c r="P24" s="299"/>
      <c r="Q24" s="299"/>
      <c r="R24" s="299"/>
      <c r="S24" s="299"/>
      <c r="T24" s="299"/>
      <c r="U24" s="299"/>
      <c r="V24" s="299"/>
      <c r="W24" s="299"/>
      <c r="X24" s="299"/>
      <c r="Y24" s="299"/>
    </row>
    <row r="25" spans="1:25" s="15" customFormat="1">
      <c r="A25" s="298" t="s">
        <v>402</v>
      </c>
      <c r="B25" s="299">
        <v>-453.80773716134672</v>
      </c>
      <c r="C25" s="299">
        <v>-431.60923972895557</v>
      </c>
      <c r="D25" s="299">
        <v>-445.47650453114227</v>
      </c>
      <c r="E25" s="299">
        <v>-427.41761384425263</v>
      </c>
      <c r="F25" s="299">
        <v>-543.49830915987036</v>
      </c>
      <c r="G25" s="299">
        <v>-563.14009144269232</v>
      </c>
      <c r="H25" s="299">
        <v>-451.13619838061175</v>
      </c>
      <c r="I25" s="299">
        <v>-419.98963600000002</v>
      </c>
      <c r="J25" s="299">
        <v>-571.9221990499999</v>
      </c>
      <c r="K25" s="299">
        <v>-715.93733347764794</v>
      </c>
      <c r="L25" s="299">
        <v>-743.59144773458183</v>
      </c>
      <c r="M25" s="299">
        <v>-953.73742016838287</v>
      </c>
      <c r="N25" s="299">
        <v>-1129.8945306564547</v>
      </c>
      <c r="O25" s="299">
        <v>-1304.7393665388001</v>
      </c>
      <c r="P25" s="299">
        <v>-1371.4850086500628</v>
      </c>
      <c r="Q25" s="299">
        <v>-1571.4032448380763</v>
      </c>
      <c r="R25" s="299">
        <v>-1281.7868609180052</v>
      </c>
      <c r="S25" s="299">
        <v>-1522.4497396256947</v>
      </c>
      <c r="T25" s="299">
        <v>-1562.7012132637346</v>
      </c>
      <c r="U25" s="299">
        <v>-1394.3394384461358</v>
      </c>
      <c r="V25" s="299">
        <v>-1419.5674431937452</v>
      </c>
      <c r="W25" s="299">
        <v>-1170.6771143240535</v>
      </c>
      <c r="X25" s="299">
        <v>-805.24624558439336</v>
      </c>
      <c r="Y25" s="299">
        <v>-1054.2241638578694</v>
      </c>
    </row>
    <row r="26" spans="1:25" s="15" customFormat="1">
      <c r="A26" s="17" t="s">
        <v>403</v>
      </c>
      <c r="B26" s="299">
        <v>635.69571588933036</v>
      </c>
      <c r="C26" s="299">
        <v>675.83313097888868</v>
      </c>
      <c r="D26" s="299">
        <v>727.8099654610636</v>
      </c>
      <c r="E26" s="299">
        <v>683.03464168477285</v>
      </c>
      <c r="F26" s="299">
        <v>686.05803336918734</v>
      </c>
      <c r="G26" s="299">
        <v>678.30366419778682</v>
      </c>
      <c r="H26" s="299">
        <v>729.50872380563908</v>
      </c>
      <c r="I26" s="299">
        <v>849.31304999999998</v>
      </c>
      <c r="J26" s="299">
        <v>862.16692999999998</v>
      </c>
      <c r="K26" s="299">
        <v>883.92221026027494</v>
      </c>
      <c r="L26" s="299">
        <v>881.1520033518234</v>
      </c>
      <c r="M26" s="299">
        <v>1013.9498841863838</v>
      </c>
      <c r="N26" s="299">
        <v>1012.121359135273</v>
      </c>
      <c r="O26" s="299">
        <v>1036.5308208587574</v>
      </c>
      <c r="P26" s="299">
        <v>1200.089926871301</v>
      </c>
      <c r="Q26" s="299">
        <v>1441.6162055197228</v>
      </c>
      <c r="R26" s="299">
        <v>1336.524061955052</v>
      </c>
      <c r="S26" s="299">
        <v>1472.2216395347987</v>
      </c>
      <c r="T26" s="299">
        <v>1587.4700941825959</v>
      </c>
      <c r="U26" s="299">
        <v>1804.0126332165437</v>
      </c>
      <c r="V26" s="299">
        <v>2041.3680263601798</v>
      </c>
      <c r="W26" s="299">
        <v>2346.2880067942992</v>
      </c>
      <c r="X26" s="299">
        <v>2391.3127373768566</v>
      </c>
      <c r="Y26" s="299">
        <v>2139.8502629233976</v>
      </c>
    </row>
    <row r="27" spans="1:25" s="15" customFormat="1">
      <c r="A27" s="17" t="s">
        <v>404</v>
      </c>
      <c r="B27" s="299">
        <v>285.44792126151788</v>
      </c>
      <c r="C27" s="299">
        <v>307.52526631182428</v>
      </c>
      <c r="D27" s="299">
        <v>321.63172416056511</v>
      </c>
      <c r="E27" s="299">
        <v>262</v>
      </c>
      <c r="F27" s="299">
        <v>239</v>
      </c>
      <c r="G27" s="299">
        <v>227.76743799016995</v>
      </c>
      <c r="H27" s="299">
        <v>261</v>
      </c>
      <c r="I27" s="299">
        <v>290</v>
      </c>
      <c r="J27" s="299">
        <v>248.33199999999999</v>
      </c>
      <c r="K27" s="299">
        <v>243.36066006204962</v>
      </c>
      <c r="L27" s="299">
        <v>268.60067424464569</v>
      </c>
      <c r="M27" s="299">
        <v>340.48230892337244</v>
      </c>
      <c r="N27" s="299">
        <v>335.17509975882427</v>
      </c>
      <c r="O27" s="299">
        <v>352.23983011523649</v>
      </c>
      <c r="P27" s="299">
        <v>347.6096042982349</v>
      </c>
      <c r="Q27" s="299">
        <v>366.79379825611306</v>
      </c>
      <c r="R27" s="299">
        <v>345.46083026778342</v>
      </c>
      <c r="S27" s="299">
        <v>359.7818589722682</v>
      </c>
      <c r="T27" s="299">
        <v>398.91837928775772</v>
      </c>
      <c r="U27" s="299">
        <v>408.71525395960452</v>
      </c>
      <c r="V27" s="299">
        <v>435.82932417435688</v>
      </c>
      <c r="W27" s="299">
        <v>437.04605127713859</v>
      </c>
      <c r="X27" s="299">
        <v>444.26388803931599</v>
      </c>
      <c r="Y27" s="299">
        <v>409.80601490193078</v>
      </c>
    </row>
    <row r="28" spans="1:25" s="15" customFormat="1">
      <c r="A28" s="17" t="s">
        <v>405</v>
      </c>
      <c r="B28" s="299">
        <v>230</v>
      </c>
      <c r="C28" s="299">
        <v>252</v>
      </c>
      <c r="D28" s="299">
        <v>255</v>
      </c>
      <c r="E28" s="299">
        <v>281</v>
      </c>
      <c r="F28" s="299">
        <v>290</v>
      </c>
      <c r="G28" s="299">
        <v>291</v>
      </c>
      <c r="H28" s="299">
        <v>343</v>
      </c>
      <c r="I28" s="299">
        <v>402</v>
      </c>
      <c r="J28" s="299">
        <v>430</v>
      </c>
      <c r="K28" s="299">
        <v>447.19386618458282</v>
      </c>
      <c r="L28" s="299">
        <v>406.36137580711153</v>
      </c>
      <c r="M28" s="299">
        <v>462.48039491813108</v>
      </c>
      <c r="N28" s="299">
        <v>485.79134926196542</v>
      </c>
      <c r="O28" s="299">
        <v>489.9</v>
      </c>
      <c r="P28" s="299">
        <v>623.42894711781116</v>
      </c>
      <c r="Q28" s="299">
        <v>741.8014134536329</v>
      </c>
      <c r="R28" s="299">
        <v>670.14001739143566</v>
      </c>
      <c r="S28" s="299">
        <v>781.34859217316603</v>
      </c>
      <c r="T28" s="299">
        <v>843.37223156578909</v>
      </c>
      <c r="U28" s="299">
        <v>1032.5241222545039</v>
      </c>
      <c r="V28" s="299">
        <v>1246.1774098800752</v>
      </c>
      <c r="W28" s="299">
        <v>1482.1297931093313</v>
      </c>
      <c r="X28" s="299">
        <v>1551.3879819447334</v>
      </c>
      <c r="Y28" s="299">
        <v>1443.5959478689856</v>
      </c>
    </row>
    <row r="29" spans="1:25" s="15" customFormat="1">
      <c r="A29" s="17" t="s">
        <v>406</v>
      </c>
      <c r="B29" s="299">
        <v>120.24779462781247</v>
      </c>
      <c r="C29" s="299">
        <v>116.30786466706441</v>
      </c>
      <c r="D29" s="299">
        <v>151.17824130049846</v>
      </c>
      <c r="E29" s="299">
        <v>140.03464168477291</v>
      </c>
      <c r="F29" s="299">
        <v>157.05803336918729</v>
      </c>
      <c r="G29" s="299">
        <v>159.53622620761689</v>
      </c>
      <c r="H29" s="299">
        <v>125.50872380563912</v>
      </c>
      <c r="I29" s="299">
        <v>157.31305</v>
      </c>
      <c r="J29" s="299">
        <v>183.83492999999999</v>
      </c>
      <c r="K29" s="299">
        <v>193.36768401364245</v>
      </c>
      <c r="L29" s="299">
        <v>206.18995330006629</v>
      </c>
      <c r="M29" s="299">
        <v>210.9871803448803</v>
      </c>
      <c r="N29" s="299">
        <v>191.15491011448333</v>
      </c>
      <c r="O29" s="299">
        <v>194.39099074352092</v>
      </c>
      <c r="P29" s="299">
        <v>229.05137545525508</v>
      </c>
      <c r="Q29" s="299">
        <v>333.02099380997709</v>
      </c>
      <c r="R29" s="299">
        <v>320.92321429583291</v>
      </c>
      <c r="S29" s="299">
        <v>331.0911883893645</v>
      </c>
      <c r="T29" s="299">
        <v>345.17948332904905</v>
      </c>
      <c r="U29" s="299">
        <v>362.77325700243534</v>
      </c>
      <c r="V29" s="299">
        <v>359.36129230574784</v>
      </c>
      <c r="W29" s="299">
        <v>427.11216240782949</v>
      </c>
      <c r="X29" s="299">
        <v>395.66086739280706</v>
      </c>
      <c r="Y29" s="299">
        <v>286.44830015248147</v>
      </c>
    </row>
    <row r="30" spans="1:25" s="15" customFormat="1">
      <c r="A30" s="17" t="s">
        <v>407</v>
      </c>
      <c r="B30" s="299">
        <v>-1089.5034530506771</v>
      </c>
      <c r="C30" s="299">
        <v>-1107.4423707078442</v>
      </c>
      <c r="D30" s="299">
        <v>-1173.2864699922059</v>
      </c>
      <c r="E30" s="299">
        <v>-1110.4522555290255</v>
      </c>
      <c r="F30" s="299">
        <v>-1229.5563425290577</v>
      </c>
      <c r="G30" s="299">
        <v>-1241.4437556404791</v>
      </c>
      <c r="H30" s="299">
        <v>-1180.6449221862508</v>
      </c>
      <c r="I30" s="299">
        <v>-1269.302686</v>
      </c>
      <c r="J30" s="299">
        <v>-1434.0891290499999</v>
      </c>
      <c r="K30" s="299">
        <v>-1599.8595437379229</v>
      </c>
      <c r="L30" s="299">
        <v>-1624.7434510864052</v>
      </c>
      <c r="M30" s="299">
        <v>-1967.6873043547666</v>
      </c>
      <c r="N30" s="299">
        <v>-2142.0158897917277</v>
      </c>
      <c r="O30" s="299">
        <v>-2341.2701873975575</v>
      </c>
      <c r="P30" s="299">
        <v>-2571.5749355213638</v>
      </c>
      <c r="Q30" s="299">
        <v>-3013.0194503577991</v>
      </c>
      <c r="R30" s="299">
        <v>-2618.3109228730573</v>
      </c>
      <c r="S30" s="299">
        <v>-2994.6713791604934</v>
      </c>
      <c r="T30" s="299">
        <v>-3150.1713074463305</v>
      </c>
      <c r="U30" s="299">
        <v>-3198.3520716626795</v>
      </c>
      <c r="V30" s="299">
        <v>-3460.935469553925</v>
      </c>
      <c r="W30" s="299">
        <v>-3516.9651211183527</v>
      </c>
      <c r="X30" s="299">
        <v>-3196.55898296125</v>
      </c>
      <c r="Y30" s="299">
        <v>-3194.074426781267</v>
      </c>
    </row>
    <row r="31" spans="1:25" s="15" customFormat="1">
      <c r="A31" s="17" t="s">
        <v>404</v>
      </c>
      <c r="B31" s="299">
        <v>-407</v>
      </c>
      <c r="C31" s="299">
        <v>-509.17912869999998</v>
      </c>
      <c r="D31" s="299">
        <v>-484.09300000000002</v>
      </c>
      <c r="E31" s="299">
        <v>-442.60900000000004</v>
      </c>
      <c r="F31" s="299">
        <v>-511.62100000000004</v>
      </c>
      <c r="G31" s="299">
        <v>-503.53899999999999</v>
      </c>
      <c r="H31" s="299">
        <v>-367.58918249999999</v>
      </c>
      <c r="I31" s="299">
        <v>-438.79987</v>
      </c>
      <c r="J31" s="299">
        <v>-557.33411905000003</v>
      </c>
      <c r="K31" s="299">
        <v>-674.8402038240605</v>
      </c>
      <c r="L31" s="299">
        <v>-667.90649011471533</v>
      </c>
      <c r="M31" s="299">
        <v>-910.6879877309824</v>
      </c>
      <c r="N31" s="299">
        <v>-1042.5034883408466</v>
      </c>
      <c r="O31" s="299">
        <v>-1170.9174416649603</v>
      </c>
      <c r="P31" s="299">
        <v>-1327.0009133646215</v>
      </c>
      <c r="Q31" s="299">
        <v>-1669.2917329340935</v>
      </c>
      <c r="R31" s="299">
        <v>-1369.1562300800726</v>
      </c>
      <c r="S31" s="299">
        <v>-1716.1710259682932</v>
      </c>
      <c r="T31" s="299">
        <v>-1761.6560152196012</v>
      </c>
      <c r="U31" s="299">
        <v>-1708.3881942110966</v>
      </c>
      <c r="V31" s="299">
        <v>-1708.9446872936783</v>
      </c>
      <c r="W31" s="299">
        <v>-1743.9244492006339</v>
      </c>
      <c r="X31" s="299">
        <v>-1510.0993967824866</v>
      </c>
      <c r="Y31" s="299">
        <v>-1238.3451266960753</v>
      </c>
    </row>
    <row r="32" spans="1:25" s="15" customFormat="1">
      <c r="A32" s="17" t="s">
        <v>405</v>
      </c>
      <c r="B32" s="299">
        <v>-190</v>
      </c>
      <c r="C32" s="299">
        <v>-203</v>
      </c>
      <c r="D32" s="299">
        <v>-235</v>
      </c>
      <c r="E32" s="299">
        <v>-219</v>
      </c>
      <c r="F32" s="299">
        <v>-227</v>
      </c>
      <c r="G32" s="299">
        <v>-241</v>
      </c>
      <c r="H32" s="299">
        <v>-271</v>
      </c>
      <c r="I32" s="299">
        <v>-299</v>
      </c>
      <c r="J32" s="299">
        <v>-340</v>
      </c>
      <c r="K32" s="299">
        <v>-363.91251864313404</v>
      </c>
      <c r="L32" s="299">
        <v>-354.37166926478614</v>
      </c>
      <c r="M32" s="299">
        <v>-390.95889483893222</v>
      </c>
      <c r="N32" s="299">
        <v>-428.6291193707475</v>
      </c>
      <c r="O32" s="299">
        <v>-466.29934390256278</v>
      </c>
      <c r="P32" s="299">
        <v>-503.96956843437806</v>
      </c>
      <c r="Q32" s="299">
        <v>-541.63979296619345</v>
      </c>
      <c r="R32" s="299">
        <v>-548.7021309916247</v>
      </c>
      <c r="S32" s="299">
        <v>-568.09436882682394</v>
      </c>
      <c r="T32" s="299">
        <v>-593.65861542403104</v>
      </c>
      <c r="U32" s="299">
        <v>-610.59047555153143</v>
      </c>
      <c r="V32" s="299">
        <v>-622.47129018881151</v>
      </c>
      <c r="W32" s="299">
        <v>-634.55116520760259</v>
      </c>
      <c r="X32" s="299">
        <v>-638.61275374137495</v>
      </c>
      <c r="Y32" s="299">
        <v>-660.6992593627208</v>
      </c>
    </row>
    <row r="33" spans="1:25" s="15" customFormat="1">
      <c r="A33" s="17" t="s">
        <v>406</v>
      </c>
      <c r="B33" s="299">
        <v>-492.50345305067702</v>
      </c>
      <c r="C33" s="299">
        <v>-395.26324200784427</v>
      </c>
      <c r="D33" s="299">
        <v>-454.19346999220579</v>
      </c>
      <c r="E33" s="299">
        <v>-448.84325552902544</v>
      </c>
      <c r="F33" s="299">
        <v>-490.93534252905755</v>
      </c>
      <c r="G33" s="299">
        <v>-496.90475564047915</v>
      </c>
      <c r="H33" s="299">
        <v>-542.05573968625094</v>
      </c>
      <c r="I33" s="299">
        <v>-531.50281599999994</v>
      </c>
      <c r="J33" s="299">
        <v>-536.75500999999997</v>
      </c>
      <c r="K33" s="299">
        <v>-561.10682127072846</v>
      </c>
      <c r="L33" s="299">
        <v>-602.46529170690383</v>
      </c>
      <c r="M33" s="299">
        <v>-666.0404217848519</v>
      </c>
      <c r="N33" s="299">
        <v>-670.88328208013365</v>
      </c>
      <c r="O33" s="299">
        <v>-704.05340183003455</v>
      </c>
      <c r="P33" s="299">
        <v>-740.60445372236438</v>
      </c>
      <c r="Q33" s="299">
        <v>-802.08792445751214</v>
      </c>
      <c r="R33" s="299">
        <v>-700.45256180135971</v>
      </c>
      <c r="S33" s="299">
        <v>-710.40598436537641</v>
      </c>
      <c r="T33" s="299">
        <v>-794.85667680269842</v>
      </c>
      <c r="U33" s="299">
        <v>-879.3734019000517</v>
      </c>
      <c r="V33" s="299">
        <v>-1129.5194920714355</v>
      </c>
      <c r="W33" s="299">
        <v>-1138.4895067101161</v>
      </c>
      <c r="X33" s="299">
        <v>-1047.8468324373887</v>
      </c>
      <c r="Y33" s="299">
        <v>-1295.0300407224711</v>
      </c>
    </row>
    <row r="34" spans="1:25" s="15" customFormat="1">
      <c r="A34" s="17"/>
      <c r="B34" s="299"/>
      <c r="C34" s="299"/>
      <c r="D34" s="299"/>
      <c r="E34" s="299"/>
      <c r="F34" s="299"/>
      <c r="G34" s="299"/>
      <c r="H34" s="299"/>
      <c r="I34" s="299"/>
      <c r="J34" s="299"/>
      <c r="K34" s="299"/>
      <c r="L34" s="299"/>
      <c r="M34" s="299"/>
      <c r="N34" s="299"/>
      <c r="O34" s="299"/>
      <c r="P34" s="299"/>
      <c r="Q34" s="299"/>
      <c r="R34" s="299"/>
      <c r="S34" s="299"/>
      <c r="T34" s="299"/>
      <c r="U34" s="299"/>
      <c r="V34" s="299"/>
      <c r="W34" s="299"/>
      <c r="X34" s="299"/>
      <c r="Y34" s="299"/>
    </row>
    <row r="35" spans="1:25" s="15" customFormat="1">
      <c r="A35" s="298" t="s">
        <v>408</v>
      </c>
      <c r="B35" s="299">
        <v>-860.31793360171991</v>
      </c>
      <c r="C35" s="299">
        <v>-939.91036043950237</v>
      </c>
      <c r="D35" s="299">
        <v>-924.00485509799205</v>
      </c>
      <c r="E35" s="299">
        <v>-1022.9488448299717</v>
      </c>
      <c r="F35" s="299">
        <v>-1026.8509393575</v>
      </c>
      <c r="G35" s="299">
        <v>-1170.5426881101116</v>
      </c>
      <c r="H35" s="299">
        <v>-1306.7462656004573</v>
      </c>
      <c r="I35" s="299">
        <v>-1223.5884520214433</v>
      </c>
      <c r="J35" s="299">
        <v>-1232.4238383614486</v>
      </c>
      <c r="K35" s="299">
        <v>-1251.9991943165066</v>
      </c>
      <c r="L35" s="299">
        <v>-1492.2090978021956</v>
      </c>
      <c r="M35" s="299">
        <v>-1839.6710320274999</v>
      </c>
      <c r="N35" s="299">
        <v>-1814.8969827999999</v>
      </c>
      <c r="O35" s="299">
        <v>-1828.4653804583331</v>
      </c>
      <c r="P35" s="299">
        <v>-1968.0502257064441</v>
      </c>
      <c r="Q35" s="299">
        <v>-1429.0161793211191</v>
      </c>
      <c r="R35" s="299">
        <v>-1270.8098899369043</v>
      </c>
      <c r="S35" s="299">
        <v>-1045.4415720894272</v>
      </c>
      <c r="T35" s="299">
        <v>-1247.6554989212409</v>
      </c>
      <c r="U35" s="299">
        <v>-1301.4871137228861</v>
      </c>
      <c r="V35" s="299">
        <v>-1373.978064965162</v>
      </c>
      <c r="W35" s="299">
        <v>-1552.8131533985459</v>
      </c>
      <c r="X35" s="299">
        <v>-1736.7364874334442</v>
      </c>
      <c r="Y35" s="299">
        <v>-1877.4199678825971</v>
      </c>
    </row>
    <row r="36" spans="1:25" s="15" customFormat="1">
      <c r="A36" s="17" t="s">
        <v>409</v>
      </c>
      <c r="B36" s="299">
        <v>31.798258190682034</v>
      </c>
      <c r="C36" s="299">
        <v>61.289877368982239</v>
      </c>
      <c r="D36" s="299">
        <v>98.410437825101141</v>
      </c>
      <c r="E36" s="299">
        <v>80.293628321176527</v>
      </c>
      <c r="F36" s="299">
        <v>128.36453756371293</v>
      </c>
      <c r="G36" s="299">
        <v>119.37696745556934</v>
      </c>
      <c r="H36" s="299">
        <v>75.192611025121508</v>
      </c>
      <c r="I36" s="299">
        <v>257.44628998999997</v>
      </c>
      <c r="J36" s="299">
        <v>150.09021878333337</v>
      </c>
      <c r="K36" s="299">
        <v>82.715571858523333</v>
      </c>
      <c r="L36" s="299">
        <v>62.570494763333336</v>
      </c>
      <c r="M36" s="299">
        <v>100.12413121</v>
      </c>
      <c r="N36" s="299">
        <v>213.15896244000001</v>
      </c>
      <c r="O36" s="299">
        <v>286.56807683190476</v>
      </c>
      <c r="P36" s="299">
        <v>337.44241926265306</v>
      </c>
      <c r="Q36" s="299">
        <v>333.50815992766513</v>
      </c>
      <c r="R36" s="299">
        <v>199.06700286606238</v>
      </c>
      <c r="S36" s="299">
        <v>77.718696475781144</v>
      </c>
      <c r="T36" s="299">
        <v>84.464861435999524</v>
      </c>
      <c r="U36" s="299">
        <v>104.92551966574025</v>
      </c>
      <c r="V36" s="299">
        <v>112.62649722691773</v>
      </c>
      <c r="W36" s="299">
        <v>120.71256286448562</v>
      </c>
      <c r="X36" s="299">
        <v>140.32921296684682</v>
      </c>
      <c r="Y36" s="299">
        <v>161.44376867698469</v>
      </c>
    </row>
    <row r="37" spans="1:25" s="15" customFormat="1">
      <c r="A37" s="17" t="s">
        <v>410</v>
      </c>
      <c r="B37" s="299">
        <v>-892.11619179240199</v>
      </c>
      <c r="C37" s="299">
        <v>-1001.2002378084846</v>
      </c>
      <c r="D37" s="299">
        <v>-1022.4152929230931</v>
      </c>
      <c r="E37" s="299">
        <v>-1103.2424731511483</v>
      </c>
      <c r="F37" s="299">
        <v>-1155.2154769212129</v>
      </c>
      <c r="G37" s="299">
        <v>-1289.9196555656811</v>
      </c>
      <c r="H37" s="299">
        <v>-1381.9388766255788</v>
      </c>
      <c r="I37" s="299">
        <v>-1481.0347420114433</v>
      </c>
      <c r="J37" s="299">
        <v>-1382.5140571447819</v>
      </c>
      <c r="K37" s="299">
        <v>-1334.71476617503</v>
      </c>
      <c r="L37" s="299">
        <v>-1554.7795925655289</v>
      </c>
      <c r="M37" s="299">
        <v>-1939.7951632375</v>
      </c>
      <c r="N37" s="299">
        <v>-2028.05594524</v>
      </c>
      <c r="O37" s="299">
        <v>-2115.0334572902379</v>
      </c>
      <c r="P37" s="299">
        <v>-2305.492644969097</v>
      </c>
      <c r="Q37" s="299">
        <v>-1762.5243392487844</v>
      </c>
      <c r="R37" s="299">
        <v>-1469.8768928029667</v>
      </c>
      <c r="S37" s="299">
        <v>-1123.1602685652083</v>
      </c>
      <c r="T37" s="299">
        <v>-1332.1203603572405</v>
      </c>
      <c r="U37" s="299">
        <v>-1406.4126333886263</v>
      </c>
      <c r="V37" s="299">
        <v>-1486.6045621920798</v>
      </c>
      <c r="W37" s="299">
        <v>-1673.5257162630314</v>
      </c>
      <c r="X37" s="299">
        <v>-1877.065700400291</v>
      </c>
      <c r="Y37" s="299">
        <v>-2038.8637365595819</v>
      </c>
    </row>
    <row r="38" spans="1:25" s="15" customFormat="1">
      <c r="A38" s="17" t="s">
        <v>411</v>
      </c>
      <c r="B38" s="299">
        <v>-3</v>
      </c>
      <c r="C38" s="299">
        <v>-5</v>
      </c>
      <c r="D38" s="299">
        <v>-4</v>
      </c>
      <c r="E38" s="299">
        <v>-9</v>
      </c>
      <c r="F38" s="299">
        <v>-4.4000000000000004</v>
      </c>
      <c r="G38" s="299">
        <v>-5</v>
      </c>
      <c r="H38" s="299">
        <v>-5</v>
      </c>
      <c r="I38" s="299">
        <v>-6</v>
      </c>
      <c r="J38" s="299">
        <v>-6.9326999999999996</v>
      </c>
      <c r="K38" s="299">
        <v>-7.2812530673899998</v>
      </c>
      <c r="L38" s="299">
        <v>-6.5046941728399998</v>
      </c>
      <c r="M38" s="299">
        <v>-6.5</v>
      </c>
      <c r="N38" s="299">
        <v>-5.8</v>
      </c>
      <c r="O38" s="299">
        <v>-5.2377530952380802</v>
      </c>
      <c r="P38" s="299">
        <v>-5.3060697023809498</v>
      </c>
      <c r="Q38" s="299">
        <v>-5.6556282539682803</v>
      </c>
      <c r="R38" s="299">
        <v>-6.3914060882936683</v>
      </c>
      <c r="S38" s="299">
        <v>-6.9239028899206669</v>
      </c>
      <c r="T38" s="299">
        <v>-7.6152095476999353</v>
      </c>
      <c r="U38" s="299">
        <v>-8.3592660468468836</v>
      </c>
      <c r="V38" s="299">
        <v>-9.7918204781589218</v>
      </c>
      <c r="W38" s="299">
        <v>-11.426435532134375</v>
      </c>
      <c r="X38" s="299">
        <v>-13.456724900659086</v>
      </c>
      <c r="Y38" s="299">
        <v>-14.365960786292067</v>
      </c>
    </row>
    <row r="39" spans="1:25" s="15" customFormat="1">
      <c r="A39" s="17" t="s">
        <v>412</v>
      </c>
      <c r="B39" s="299">
        <v>-93.143471228084834</v>
      </c>
      <c r="C39" s="299">
        <v>-140.81300671036962</v>
      </c>
      <c r="D39" s="299">
        <v>-144.05227970901041</v>
      </c>
      <c r="E39" s="299">
        <v>-189.11033815729758</v>
      </c>
      <c r="F39" s="299">
        <v>-194.21405214261509</v>
      </c>
      <c r="G39" s="299">
        <v>-230.46520500637618</v>
      </c>
      <c r="H39" s="299">
        <v>-249.01992380518709</v>
      </c>
      <c r="I39" s="299">
        <v>-329.30674201144325</v>
      </c>
      <c r="J39" s="299">
        <v>-381.79035714478186</v>
      </c>
      <c r="K39" s="299">
        <v>-405.79451310764006</v>
      </c>
      <c r="L39" s="299">
        <v>-594.87789839268896</v>
      </c>
      <c r="M39" s="299">
        <v>-963.96816323749999</v>
      </c>
      <c r="N39" s="299">
        <v>-1003.9389452400001</v>
      </c>
      <c r="O39" s="299">
        <v>-977.36270419500011</v>
      </c>
      <c r="P39" s="299">
        <v>-1160.0155752667163</v>
      </c>
      <c r="Q39" s="299">
        <v>-789.78771099481605</v>
      </c>
      <c r="R39" s="299">
        <v>-834.75710724674411</v>
      </c>
      <c r="S39" s="299">
        <v>-543.35655564363969</v>
      </c>
      <c r="T39" s="299">
        <v>-698.06363509540324</v>
      </c>
      <c r="U39" s="299">
        <v>-674.40136734177941</v>
      </c>
      <c r="V39" s="299">
        <v>-680.52807698341667</v>
      </c>
      <c r="W39" s="299">
        <v>-663.23362519111834</v>
      </c>
      <c r="X39" s="299">
        <v>-598.0564726074773</v>
      </c>
      <c r="Y39" s="299">
        <v>-458.07708210799649</v>
      </c>
    </row>
    <row r="40" spans="1:25" s="15" customFormat="1">
      <c r="A40" s="17" t="s">
        <v>413</v>
      </c>
      <c r="B40" s="299">
        <v>-0.17072056431717256</v>
      </c>
      <c r="C40" s="299">
        <v>-0.68723109811496796</v>
      </c>
      <c r="D40" s="299">
        <v>-199.76901321408275</v>
      </c>
      <c r="E40" s="299">
        <v>-324.59713499385083</v>
      </c>
      <c r="F40" s="299">
        <v>-367.83442477859791</v>
      </c>
      <c r="G40" s="299">
        <v>-395.60045055930487</v>
      </c>
      <c r="H40" s="299">
        <v>-390.37995282039185</v>
      </c>
      <c r="I40" s="299">
        <v>-462.87299999999999</v>
      </c>
      <c r="J40" s="299">
        <v>-300.54199999999997</v>
      </c>
      <c r="K40" s="299">
        <v>-291.83999999999997</v>
      </c>
      <c r="L40" s="299">
        <v>-317.49099999999999</v>
      </c>
      <c r="M40" s="299">
        <v>-344.09500000000003</v>
      </c>
      <c r="N40" s="299">
        <v>-372.25099999999998</v>
      </c>
      <c r="O40" s="299">
        <v>-416.42599999999999</v>
      </c>
      <c r="P40" s="299">
        <v>-399.00099999999998</v>
      </c>
      <c r="Q40" s="299">
        <v>-336.93799999999999</v>
      </c>
      <c r="R40" s="299">
        <v>-65.451999999999998</v>
      </c>
      <c r="S40" s="299">
        <v>-64.253</v>
      </c>
      <c r="T40" s="299">
        <v>-61.515999999999998</v>
      </c>
      <c r="U40" s="299">
        <v>-64.042000000000002</v>
      </c>
      <c r="V40" s="299">
        <v>-63.731999999999999</v>
      </c>
      <c r="W40" s="299">
        <v>-143.23400000000001</v>
      </c>
      <c r="X40" s="299">
        <v>-230.92824999999999</v>
      </c>
      <c r="Y40" s="299">
        <v>-300.69400000000002</v>
      </c>
    </row>
    <row r="41" spans="1:25" s="15" customFormat="1">
      <c r="A41" s="17" t="s">
        <v>414</v>
      </c>
      <c r="B41" s="299">
        <v>-795.80200000000002</v>
      </c>
      <c r="C41" s="299">
        <v>-854.7</v>
      </c>
      <c r="D41" s="299">
        <v>-674.59399999999994</v>
      </c>
      <c r="E41" s="299">
        <v>-580.53499999999997</v>
      </c>
      <c r="F41" s="299">
        <v>-588.76700000000005</v>
      </c>
      <c r="G41" s="299">
        <v>-658.85400000000004</v>
      </c>
      <c r="H41" s="299">
        <v>-737.53899999999999</v>
      </c>
      <c r="I41" s="299">
        <v>-682.85500000000002</v>
      </c>
      <c r="J41" s="299">
        <v>-693.24900000000002</v>
      </c>
      <c r="K41" s="299">
        <v>-629.79899999999998</v>
      </c>
      <c r="L41" s="299">
        <v>-635.90599999999995</v>
      </c>
      <c r="M41" s="299">
        <v>-625.23199999999997</v>
      </c>
      <c r="N41" s="299">
        <v>-646.06600000000003</v>
      </c>
      <c r="O41" s="299">
        <v>-716.00699999999995</v>
      </c>
      <c r="P41" s="299">
        <v>-741.17</v>
      </c>
      <c r="Q41" s="299">
        <v>-630.14300000000003</v>
      </c>
      <c r="R41" s="299">
        <v>-563.2763794679289</v>
      </c>
      <c r="S41" s="299">
        <v>-508.62681003164778</v>
      </c>
      <c r="T41" s="299">
        <v>-564.92551571413742</v>
      </c>
      <c r="U41" s="299">
        <v>-659.61</v>
      </c>
      <c r="V41" s="299">
        <v>-732.55266473050426</v>
      </c>
      <c r="W41" s="299">
        <v>-855.63165553977876</v>
      </c>
      <c r="X41" s="299">
        <v>-1034.6242528921546</v>
      </c>
      <c r="Y41" s="299">
        <v>-1265.7266936652932</v>
      </c>
    </row>
    <row r="42" spans="1:25" s="15" customFormat="1">
      <c r="A42" s="17"/>
      <c r="B42" s="299"/>
      <c r="C42" s="299"/>
      <c r="D42" s="299"/>
      <c r="E42" s="299"/>
      <c r="F42" s="299"/>
      <c r="G42" s="299"/>
      <c r="H42" s="299"/>
      <c r="I42" s="299"/>
      <c r="J42" s="299"/>
      <c r="K42" s="299"/>
      <c r="L42" s="299"/>
      <c r="M42" s="299"/>
      <c r="N42" s="299"/>
      <c r="O42" s="299"/>
      <c r="P42" s="299"/>
      <c r="Q42" s="299"/>
      <c r="R42" s="299"/>
      <c r="S42" s="299"/>
      <c r="T42" s="299"/>
      <c r="U42" s="299"/>
      <c r="V42" s="299"/>
      <c r="W42" s="299"/>
      <c r="X42" s="299"/>
      <c r="Y42" s="299"/>
    </row>
    <row r="43" spans="1:25" s="15" customFormat="1">
      <c r="A43" s="298" t="s">
        <v>415</v>
      </c>
      <c r="B43" s="299">
        <v>255.48012589417027</v>
      </c>
      <c r="C43" s="299">
        <v>322.32274659098834</v>
      </c>
      <c r="D43" s="299">
        <v>441.88657527070541</v>
      </c>
      <c r="E43" s="299">
        <v>491.73718499999995</v>
      </c>
      <c r="F43" s="299">
        <v>620.92935121897744</v>
      </c>
      <c r="G43" s="299">
        <v>766.93903025000009</v>
      </c>
      <c r="H43" s="299">
        <v>1089.4781500230001</v>
      </c>
      <c r="I43" s="299">
        <v>1351.7817207799999</v>
      </c>
      <c r="J43" s="299">
        <v>1638.8201871463125</v>
      </c>
      <c r="K43" s="299">
        <v>1651.6752471613956</v>
      </c>
      <c r="L43" s="299">
        <v>1769.4258152352518</v>
      </c>
      <c r="M43" s="299">
        <v>2030.22014576178</v>
      </c>
      <c r="N43" s="299">
        <v>2660.9394329140082</v>
      </c>
      <c r="O43" s="299">
        <v>3103.8645029436398</v>
      </c>
      <c r="P43" s="299">
        <v>3403.0519834460001</v>
      </c>
      <c r="Q43" s="299">
        <v>3220.9744244336002</v>
      </c>
      <c r="R43" s="299">
        <v>2721.6367397470285</v>
      </c>
      <c r="S43" s="299">
        <v>2480.9944221800001</v>
      </c>
      <c r="T43" s="299">
        <v>2722.4307164924003</v>
      </c>
      <c r="U43" s="299">
        <v>2480.1810626851002</v>
      </c>
      <c r="V43" s="299">
        <v>2398.8445489960004</v>
      </c>
      <c r="W43" s="299">
        <v>2264.1057645450292</v>
      </c>
      <c r="X43" s="299">
        <v>2077.7952299736789</v>
      </c>
      <c r="Y43" s="299">
        <v>2780.3210150666255</v>
      </c>
    </row>
    <row r="44" spans="1:25" s="15" customFormat="1">
      <c r="A44" s="17" t="s">
        <v>416</v>
      </c>
      <c r="B44" s="299">
        <v>317.78081966750079</v>
      </c>
      <c r="C44" s="299">
        <v>391.07482262504897</v>
      </c>
      <c r="D44" s="299">
        <v>506.08752593101502</v>
      </c>
      <c r="E44" s="299">
        <v>615.93000786685752</v>
      </c>
      <c r="F44" s="299">
        <v>738.18608479626187</v>
      </c>
      <c r="G44" s="299">
        <v>933.01166257963393</v>
      </c>
      <c r="H44" s="299">
        <v>1188.1416007637288</v>
      </c>
      <c r="I44" s="299">
        <v>1436.78890172</v>
      </c>
      <c r="J44" s="299">
        <v>1685.8920391663123</v>
      </c>
      <c r="K44" s="299">
        <v>1709.4971759982957</v>
      </c>
      <c r="L44" s="299">
        <v>1791.2772911950001</v>
      </c>
      <c r="M44" s="299">
        <v>2048.6973990639526</v>
      </c>
      <c r="N44" s="299">
        <v>2781.3500727400001</v>
      </c>
      <c r="O44" s="299">
        <v>3233.8003861799998</v>
      </c>
      <c r="P44" s="299">
        <v>3552.3892868600001</v>
      </c>
      <c r="Q44" s="299">
        <v>3382.7346078800001</v>
      </c>
      <c r="R44" s="299">
        <v>3033.1427600899997</v>
      </c>
      <c r="S44" s="299">
        <v>2927.6949811600002</v>
      </c>
      <c r="T44" s="299">
        <v>2984.7731791400001</v>
      </c>
      <c r="U44" s="299">
        <v>2756.5724270400001</v>
      </c>
      <c r="V44" s="299">
        <v>2702.5454903900004</v>
      </c>
      <c r="W44" s="299">
        <v>2726.9807462250292</v>
      </c>
      <c r="X44" s="299">
        <v>2643.6486523046792</v>
      </c>
      <c r="Y44" s="299">
        <v>3461.2420779466256</v>
      </c>
    </row>
    <row r="45" spans="1:25" s="15" customFormat="1">
      <c r="A45" s="17" t="s">
        <v>417</v>
      </c>
      <c r="B45" s="299">
        <v>41.536465014170254</v>
      </c>
      <c r="C45" s="299">
        <v>45.112195291150492</v>
      </c>
      <c r="D45" s="299">
        <v>56.01931878785355</v>
      </c>
      <c r="E45" s="299">
        <v>63.102704000000003</v>
      </c>
      <c r="F45" s="299">
        <v>19.434628869093828</v>
      </c>
      <c r="G45" s="299">
        <v>30.710206299999996</v>
      </c>
      <c r="H45" s="299">
        <v>46.256772089999998</v>
      </c>
      <c r="I45" s="299">
        <v>72.947167550000003</v>
      </c>
      <c r="J45" s="299">
        <v>200.46211664999998</v>
      </c>
      <c r="K45" s="299">
        <v>186.38917795920003</v>
      </c>
      <c r="L45" s="299">
        <v>129.54285955</v>
      </c>
      <c r="M45" s="299">
        <v>134.58990732000001</v>
      </c>
      <c r="N45" s="299">
        <v>194.37723545</v>
      </c>
      <c r="O45" s="299">
        <v>221.23268082999999</v>
      </c>
      <c r="P45" s="299">
        <v>159.79041598999999</v>
      </c>
      <c r="Q45" s="299">
        <v>228.54189579999999</v>
      </c>
      <c r="R45" s="299">
        <v>193.12317619999999</v>
      </c>
      <c r="S45" s="299">
        <v>233.11600338</v>
      </c>
      <c r="T45" s="299">
        <v>225.27544579000002</v>
      </c>
      <c r="U45" s="299">
        <v>207.03944383000001</v>
      </c>
      <c r="V45" s="299">
        <v>177.33131427000001</v>
      </c>
      <c r="W45" s="299">
        <v>189.14592064142872</v>
      </c>
      <c r="X45" s="299">
        <v>187.92300981634295</v>
      </c>
      <c r="Y45" s="299">
        <v>225.54621437750637</v>
      </c>
    </row>
    <row r="46" spans="1:25" s="15" customFormat="1">
      <c r="A46" s="17" t="s">
        <v>418</v>
      </c>
      <c r="B46" s="299">
        <v>276.24435465333056</v>
      </c>
      <c r="C46" s="299">
        <v>345.96262733389847</v>
      </c>
      <c r="D46" s="299">
        <v>450.06820714316149</v>
      </c>
      <c r="E46" s="299">
        <v>552.82730386685751</v>
      </c>
      <c r="F46" s="299">
        <v>718.75145592716808</v>
      </c>
      <c r="G46" s="299">
        <v>902.30145627963395</v>
      </c>
      <c r="H46" s="299">
        <v>1141.8848286737289</v>
      </c>
      <c r="I46" s="299">
        <v>1363.8417341700001</v>
      </c>
      <c r="J46" s="299">
        <v>1485.4299225163124</v>
      </c>
      <c r="K46" s="299">
        <v>1523.1079980390957</v>
      </c>
      <c r="L46" s="299">
        <v>1661.7344316450001</v>
      </c>
      <c r="M46" s="299">
        <v>1914.1074917439526</v>
      </c>
      <c r="N46" s="299">
        <v>2586.9728372899999</v>
      </c>
      <c r="O46" s="299">
        <v>3012.5677053499999</v>
      </c>
      <c r="P46" s="299">
        <v>3392.5988708700002</v>
      </c>
      <c r="Q46" s="299">
        <v>3154.1927120800001</v>
      </c>
      <c r="R46" s="299">
        <v>2840.0195838899999</v>
      </c>
      <c r="S46" s="299">
        <v>2694.5789777800001</v>
      </c>
      <c r="T46" s="299">
        <v>2759.4977333500001</v>
      </c>
      <c r="U46" s="299">
        <v>2549.5329832100001</v>
      </c>
      <c r="V46" s="299">
        <v>2525.2141761200005</v>
      </c>
      <c r="W46" s="299">
        <v>2537.8348255836004</v>
      </c>
      <c r="X46" s="299">
        <v>2455.7256424883362</v>
      </c>
      <c r="Y46" s="299">
        <v>3235.6958635691194</v>
      </c>
    </row>
    <row r="47" spans="1:25" s="15" customFormat="1">
      <c r="A47" s="17" t="s">
        <v>419</v>
      </c>
      <c r="B47" s="299">
        <v>200.92320000000004</v>
      </c>
      <c r="C47" s="299">
        <v>273.22158000000002</v>
      </c>
      <c r="D47" s="299">
        <v>382.11498</v>
      </c>
      <c r="E47" s="299">
        <v>484.96215999999998</v>
      </c>
      <c r="F47" s="299">
        <v>643.71216000000004</v>
      </c>
      <c r="G47" s="299">
        <v>793.71066000000008</v>
      </c>
      <c r="H47" s="299">
        <v>1084.3040000000001</v>
      </c>
      <c r="I47" s="299">
        <v>1316.721</v>
      </c>
      <c r="J47" s="299">
        <v>1414.5081465163125</v>
      </c>
      <c r="K47" s="299">
        <v>1432.0228692821956</v>
      </c>
      <c r="L47" s="299">
        <v>1627.427047615</v>
      </c>
      <c r="M47" s="299">
        <v>1832.0417709039525</v>
      </c>
      <c r="N47" s="299">
        <v>2453.5</v>
      </c>
      <c r="O47" s="299">
        <v>2927.6</v>
      </c>
      <c r="P47" s="299">
        <v>3335.3784909200003</v>
      </c>
      <c r="Q47" s="299">
        <v>3082.6154893100002</v>
      </c>
      <c r="R47" s="299">
        <v>2735.5285750200001</v>
      </c>
      <c r="S47" s="299">
        <v>2591.48411648</v>
      </c>
      <c r="T47" s="299">
        <v>2672.4305134400001</v>
      </c>
      <c r="U47" s="299">
        <v>2466.89284</v>
      </c>
      <c r="V47" s="299">
        <v>2449.5122303000003</v>
      </c>
      <c r="W47" s="299">
        <v>2461.7421513800005</v>
      </c>
      <c r="X47" s="299">
        <v>2377.8188890900001</v>
      </c>
      <c r="Y47" s="299">
        <v>2601.9646489767001</v>
      </c>
    </row>
    <row r="48" spans="1:25" s="15" customFormat="1">
      <c r="A48" s="17" t="s">
        <v>420</v>
      </c>
      <c r="B48" s="299">
        <v>75.32115465333051</v>
      </c>
      <c r="C48" s="299">
        <v>72.741047333898422</v>
      </c>
      <c r="D48" s="299">
        <v>67.95322714316147</v>
      </c>
      <c r="E48" s="299">
        <v>67.865143866857494</v>
      </c>
      <c r="F48" s="299">
        <v>75.03929592716807</v>
      </c>
      <c r="G48" s="299">
        <v>108.59079627963389</v>
      </c>
      <c r="H48" s="299">
        <v>57.580828673728718</v>
      </c>
      <c r="I48" s="299">
        <v>47.120734169999999</v>
      </c>
      <c r="J48" s="299">
        <v>70.921776000000008</v>
      </c>
      <c r="K48" s="299">
        <v>91.085128756900005</v>
      </c>
      <c r="L48" s="299">
        <v>34.307384030000001</v>
      </c>
      <c r="M48" s="299">
        <v>82.065720840000012</v>
      </c>
      <c r="N48" s="299">
        <v>133.47283729</v>
      </c>
      <c r="O48" s="299">
        <v>84.967705350000003</v>
      </c>
      <c r="P48" s="299">
        <v>57.220379950000002</v>
      </c>
      <c r="Q48" s="299">
        <v>71.577222769999992</v>
      </c>
      <c r="R48" s="299">
        <v>104.49100887</v>
      </c>
      <c r="S48" s="299">
        <v>103.09486130000001</v>
      </c>
      <c r="T48" s="299">
        <v>87.067219910000006</v>
      </c>
      <c r="U48" s="299">
        <v>82.640143210000005</v>
      </c>
      <c r="V48" s="299">
        <v>75.701945820000006</v>
      </c>
      <c r="W48" s="299">
        <v>76.092674203599998</v>
      </c>
      <c r="X48" s="299">
        <v>77.906753398336008</v>
      </c>
      <c r="Y48" s="299">
        <v>633.73121459241941</v>
      </c>
    </row>
    <row r="49" spans="1:25" s="15" customFormat="1">
      <c r="A49" s="17" t="s">
        <v>421</v>
      </c>
      <c r="B49" s="299">
        <v>-62.300693773330508</v>
      </c>
      <c r="C49" s="299">
        <v>-68.752076034060607</v>
      </c>
      <c r="D49" s="299">
        <v>-64.20095066030963</v>
      </c>
      <c r="E49" s="299">
        <v>-124.19282286685751</v>
      </c>
      <c r="F49" s="299">
        <v>-117.25673357728444</v>
      </c>
      <c r="G49" s="299">
        <v>-166.07263232963388</v>
      </c>
      <c r="H49" s="299">
        <v>-98.663450740728706</v>
      </c>
      <c r="I49" s="299">
        <v>-85.007180940000012</v>
      </c>
      <c r="J49" s="299">
        <v>-47.071852020000009</v>
      </c>
      <c r="K49" s="299">
        <v>-57.821928836900007</v>
      </c>
      <c r="L49" s="299">
        <v>-21.851475959748207</v>
      </c>
      <c r="M49" s="299">
        <v>-18.477253302172596</v>
      </c>
      <c r="N49" s="299">
        <v>-120.41063982599167</v>
      </c>
      <c r="O49" s="299">
        <v>-129.93588323635996</v>
      </c>
      <c r="P49" s="299">
        <v>-149.33730341400002</v>
      </c>
      <c r="Q49" s="299">
        <v>-161.76018344639999</v>
      </c>
      <c r="R49" s="299">
        <v>-311.50602034297157</v>
      </c>
      <c r="S49" s="299">
        <v>-446.70055897999998</v>
      </c>
      <c r="T49" s="299">
        <v>-262.34246264759997</v>
      </c>
      <c r="U49" s="299">
        <v>-276.39136435489996</v>
      </c>
      <c r="V49" s="299">
        <v>-303.70094139400004</v>
      </c>
      <c r="W49" s="299">
        <v>-462.87498168000002</v>
      </c>
      <c r="X49" s="299">
        <v>-565.85342233100016</v>
      </c>
      <c r="Y49" s="299">
        <v>-680.92106288000014</v>
      </c>
    </row>
    <row r="50" spans="1:25" s="15" customFormat="1">
      <c r="A50" s="17" t="s">
        <v>417</v>
      </c>
      <c r="B50" s="299">
        <v>-14.759893399999997</v>
      </c>
      <c r="C50" s="299">
        <v>-19.4235367</v>
      </c>
      <c r="D50" s="299">
        <v>-19.34359482660911</v>
      </c>
      <c r="E50" s="299">
        <v>-34.189242999999998</v>
      </c>
      <c r="F50" s="299">
        <v>-3.1224596162000005</v>
      </c>
      <c r="G50" s="299">
        <v>-11.255176050000001</v>
      </c>
      <c r="H50" s="299">
        <v>-16.35249357</v>
      </c>
      <c r="I50" s="299">
        <v>-15.066260939999999</v>
      </c>
      <c r="J50" s="299">
        <v>-4.0668480199999992</v>
      </c>
      <c r="K50" s="299">
        <v>-3.0437800800000003</v>
      </c>
      <c r="L50" s="299">
        <v>-20.726209455650135</v>
      </c>
      <c r="M50" s="299">
        <v>-17.672642709999998</v>
      </c>
      <c r="N50" s="299">
        <v>-32.458539843220102</v>
      </c>
      <c r="O50" s="299">
        <v>-21.552911418000001</v>
      </c>
      <c r="P50" s="299">
        <v>-13.187729099999999</v>
      </c>
      <c r="Q50" s="299">
        <v>-10.133076690000001</v>
      </c>
      <c r="R50" s="299">
        <v>-8.4513336499999987</v>
      </c>
      <c r="S50" s="299">
        <v>-36.375782389999998</v>
      </c>
      <c r="T50" s="299">
        <v>-3.7086818899999994</v>
      </c>
      <c r="U50" s="299">
        <v>-4.2015218999999995</v>
      </c>
      <c r="V50" s="299">
        <v>-10.756777454</v>
      </c>
      <c r="W50" s="299">
        <v>-47.046177440000001</v>
      </c>
      <c r="X50" s="299">
        <v>-46.753468259999998</v>
      </c>
      <c r="Y50" s="299">
        <v>-175.46676044999998</v>
      </c>
    </row>
    <row r="51" spans="1:25" s="15" customFormat="1">
      <c r="A51" s="17" t="s">
        <v>418</v>
      </c>
      <c r="B51" s="299">
        <v>-47.540800373330512</v>
      </c>
      <c r="C51" s="299">
        <v>-49.328539334060608</v>
      </c>
      <c r="D51" s="299">
        <v>-44.857355833700517</v>
      </c>
      <c r="E51" s="299">
        <v>-90.003579866857507</v>
      </c>
      <c r="F51" s="299">
        <v>-114.13427396108443</v>
      </c>
      <c r="G51" s="299">
        <v>-154.81745627963389</v>
      </c>
      <c r="H51" s="299">
        <v>-82.310957170728713</v>
      </c>
      <c r="I51" s="299">
        <v>-69.940920000000006</v>
      </c>
      <c r="J51" s="299">
        <v>-43.005004000000007</v>
      </c>
      <c r="K51" s="299">
        <v>-54.778148756900009</v>
      </c>
      <c r="L51" s="299">
        <v>-1.1252665040980705</v>
      </c>
      <c r="M51" s="299">
        <v>-0.80461059217259678</v>
      </c>
      <c r="N51" s="299">
        <v>-87.952099982771571</v>
      </c>
      <c r="O51" s="299">
        <v>-108.38297181835995</v>
      </c>
      <c r="P51" s="299">
        <v>-136.14957431400001</v>
      </c>
      <c r="Q51" s="299">
        <v>-151.6271067564</v>
      </c>
      <c r="R51" s="299">
        <v>-303.05468669297159</v>
      </c>
      <c r="S51" s="299">
        <v>-410.32477659</v>
      </c>
      <c r="T51" s="299">
        <v>-258.63378075759999</v>
      </c>
      <c r="U51" s="299">
        <v>-272.18984245489997</v>
      </c>
      <c r="V51" s="299">
        <v>-292.94416394000007</v>
      </c>
      <c r="W51" s="299">
        <v>-415.82880424000001</v>
      </c>
      <c r="X51" s="299">
        <v>-519.09995407100018</v>
      </c>
      <c r="Y51" s="299">
        <v>-505.4543024300001</v>
      </c>
    </row>
    <row r="52" spans="1:25" s="15" customFormat="1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</row>
    <row r="53" spans="1:25" s="15" customFormat="1">
      <c r="A53" s="298" t="s">
        <v>422</v>
      </c>
      <c r="B53" s="299">
        <v>-34.299911437712289</v>
      </c>
      <c r="C53" s="299">
        <v>194.14629770267268</v>
      </c>
      <c r="D53" s="299">
        <v>-15.089717292506748</v>
      </c>
      <c r="E53" s="299">
        <v>149.71417688761264</v>
      </c>
      <c r="F53" s="299">
        <v>-2.0025615069321496</v>
      </c>
      <c r="G53" s="299">
        <v>1459.3566442718773</v>
      </c>
      <c r="H53" s="299">
        <v>-1342.1868904282712</v>
      </c>
      <c r="I53" s="299">
        <v>-6292.6377613260265</v>
      </c>
      <c r="J53" s="299">
        <v>779.12550353374854</v>
      </c>
      <c r="K53" s="299">
        <v>1275.4092270039603</v>
      </c>
      <c r="L53" s="299">
        <v>343.13992024053044</v>
      </c>
      <c r="M53" s="299">
        <v>104.11300335030938</v>
      </c>
      <c r="N53" s="299">
        <v>-229.58659957641416</v>
      </c>
      <c r="O53" s="299">
        <v>-2188.0309329745096</v>
      </c>
      <c r="P53" s="299">
        <v>-560.93690930763466</v>
      </c>
      <c r="Q53" s="299">
        <v>-655.46462654920811</v>
      </c>
      <c r="R53" s="299">
        <v>-2715.5547024091052</v>
      </c>
      <c r="S53" s="299">
        <v>483.82967724251057</v>
      </c>
      <c r="T53" s="299">
        <v>441.39408175804749</v>
      </c>
      <c r="U53" s="299">
        <v>-513.64476080868178</v>
      </c>
      <c r="V53" s="299">
        <v>2914.4761689077486</v>
      </c>
      <c r="W53" s="299">
        <v>323.01264127732327</v>
      </c>
      <c r="X53" s="299">
        <v>590.31992089035055</v>
      </c>
      <c r="Y53" s="299">
        <v>-121.58022034586338</v>
      </c>
    </row>
    <row r="54" spans="1:25" s="15" customFormat="1">
      <c r="A54" s="298"/>
      <c r="B54" s="299"/>
      <c r="C54" s="299"/>
      <c r="D54" s="299"/>
      <c r="E54" s="299"/>
      <c r="F54" s="299"/>
      <c r="G54" s="299"/>
      <c r="H54" s="299"/>
      <c r="I54" s="299"/>
      <c r="J54" s="299"/>
      <c r="K54" s="299"/>
      <c r="L54" s="299"/>
      <c r="M54" s="299"/>
      <c r="N54" s="299"/>
      <c r="O54" s="299"/>
      <c r="P54" s="299"/>
      <c r="Q54" s="299"/>
      <c r="R54" s="299"/>
      <c r="S54" s="299"/>
      <c r="T54" s="299"/>
      <c r="U54" s="299"/>
      <c r="V54" s="299"/>
      <c r="W54" s="299"/>
      <c r="X54" s="299"/>
      <c r="Y54" s="299"/>
    </row>
    <row r="55" spans="1:25" s="15" customFormat="1">
      <c r="A55" s="298" t="s">
        <v>423</v>
      </c>
      <c r="B55" s="299">
        <v>5.242077419593393</v>
      </c>
      <c r="C55" s="299">
        <v>17.842324632498471</v>
      </c>
      <c r="D55" s="299">
        <v>17.316715228903149</v>
      </c>
      <c r="E55" s="299">
        <v>14.351752000000001</v>
      </c>
      <c r="F55" s="299">
        <v>11.022598999999989</v>
      </c>
      <c r="G55" s="299">
        <v>14.115227999999998</v>
      </c>
      <c r="H55" s="299">
        <v>2.1031160000000018</v>
      </c>
      <c r="I55" s="299">
        <v>-1.3935653999996269</v>
      </c>
      <c r="J55" s="299">
        <v>14.9041</v>
      </c>
      <c r="K55" s="299">
        <v>15.565499999999997</v>
      </c>
      <c r="L55" s="299">
        <v>7.5118775882731939</v>
      </c>
      <c r="M55" s="299">
        <v>8.1385492218494733</v>
      </c>
      <c r="N55" s="299">
        <v>15.910000000000007</v>
      </c>
      <c r="O55" s="299">
        <v>18.573999999999998</v>
      </c>
      <c r="P55" s="299">
        <v>52.703936959999993</v>
      </c>
      <c r="Q55" s="299">
        <v>80.25354759999999</v>
      </c>
      <c r="R55" s="299">
        <v>73.65375248000008</v>
      </c>
      <c r="S55" s="299">
        <v>85.89671104</v>
      </c>
      <c r="T55" s="299">
        <v>82.34654703999999</v>
      </c>
      <c r="U55" s="299">
        <v>121.46363992000001</v>
      </c>
      <c r="V55" s="299">
        <v>66.124599119999999</v>
      </c>
      <c r="W55" s="299">
        <v>66.762649252114343</v>
      </c>
      <c r="X55" s="299">
        <v>-69.124860405364544</v>
      </c>
      <c r="Y55" s="299">
        <v>-813.84091440791826</v>
      </c>
    </row>
    <row r="56" spans="1:25" s="15" customFormat="1">
      <c r="A56" s="298" t="s">
        <v>424</v>
      </c>
      <c r="B56" s="299">
        <v>-39.541988857305682</v>
      </c>
      <c r="C56" s="299">
        <v>176.30397307017421</v>
      </c>
      <c r="D56" s="299">
        <v>-32.406432521409897</v>
      </c>
      <c r="E56" s="299">
        <v>135.36242488761263</v>
      </c>
      <c r="F56" s="299">
        <v>-13.025160506932139</v>
      </c>
      <c r="G56" s="299">
        <v>1445.2414162718774</v>
      </c>
      <c r="H56" s="299">
        <v>-1344.2900064282712</v>
      </c>
      <c r="I56" s="299">
        <v>-6291.2441959260268</v>
      </c>
      <c r="J56" s="299">
        <v>764.22140353374857</v>
      </c>
      <c r="K56" s="299">
        <v>1259.8437270039603</v>
      </c>
      <c r="L56" s="299">
        <v>335.62804265225725</v>
      </c>
      <c r="M56" s="299">
        <v>95.974454128459911</v>
      </c>
      <c r="N56" s="299">
        <v>-245.49659957641416</v>
      </c>
      <c r="O56" s="299">
        <v>-2206.6049329745097</v>
      </c>
      <c r="P56" s="299">
        <v>-613.64084626763463</v>
      </c>
      <c r="Q56" s="299">
        <v>-735.71817414920815</v>
      </c>
      <c r="R56" s="299">
        <v>-2789.2084548891053</v>
      </c>
      <c r="S56" s="299">
        <v>397.93296620251056</v>
      </c>
      <c r="T56" s="299">
        <v>359.04753471804747</v>
      </c>
      <c r="U56" s="299">
        <v>-635.10840072868177</v>
      </c>
      <c r="V56" s="299">
        <v>2848.3515697877488</v>
      </c>
      <c r="W56" s="299">
        <v>256.24999202520894</v>
      </c>
      <c r="X56" s="299">
        <v>659.44478129571507</v>
      </c>
      <c r="Y56" s="299">
        <v>692.26069406205488</v>
      </c>
    </row>
    <row r="57" spans="1:25" s="15" customFormat="1">
      <c r="A57" s="17" t="s">
        <v>425</v>
      </c>
      <c r="B57" s="299">
        <v>473.72495072651623</v>
      </c>
      <c r="C57" s="299">
        <v>576.32633084892859</v>
      </c>
      <c r="D57" s="299">
        <v>452.4600429454336</v>
      </c>
      <c r="E57" s="299">
        <v>499.65337498157834</v>
      </c>
      <c r="F57" s="299">
        <v>723.9359056177027</v>
      </c>
      <c r="G57" s="299">
        <v>870.03912425784472</v>
      </c>
      <c r="H57" s="299">
        <v>648.41561958363798</v>
      </c>
      <c r="I57" s="299">
        <v>-23.439367913998069</v>
      </c>
      <c r="J57" s="299">
        <v>538.56857517000003</v>
      </c>
      <c r="K57" s="299">
        <v>783.26100954999993</v>
      </c>
      <c r="L57" s="299">
        <v>871.51341402361891</v>
      </c>
      <c r="M57" s="299">
        <v>836.93959389564452</v>
      </c>
      <c r="N57" s="299">
        <v>493.41383554564436</v>
      </c>
      <c r="O57" s="299">
        <v>271.4288525300002</v>
      </c>
      <c r="P57" s="299">
        <v>193.87252692999994</v>
      </c>
      <c r="Q57" s="299">
        <v>1057.3480201548159</v>
      </c>
      <c r="R57" s="299">
        <v>308.68289010899991</v>
      </c>
      <c r="S57" s="299">
        <v>165.98632036363972</v>
      </c>
      <c r="T57" s="299">
        <v>644.19835868790324</v>
      </c>
      <c r="U57" s="299">
        <v>567.52430085637934</v>
      </c>
      <c r="V57" s="299">
        <v>727.12720626341672</v>
      </c>
      <c r="W57" s="299">
        <v>772.3179460911183</v>
      </c>
      <c r="X57" s="299">
        <v>1322.0383373074774</v>
      </c>
      <c r="Y57" s="299">
        <v>744.04128200799664</v>
      </c>
    </row>
    <row r="58" spans="1:25" s="15" customFormat="1">
      <c r="A58" s="17" t="s">
        <v>426</v>
      </c>
      <c r="B58" s="299">
        <v>1.2964670569419885</v>
      </c>
      <c r="C58" s="299">
        <v>6.4446544192660866</v>
      </c>
      <c r="D58" s="299">
        <v>3.0291996568801309</v>
      </c>
      <c r="E58" s="299">
        <v>-3.6449433815819345</v>
      </c>
      <c r="F58" s="299">
        <v>-241.7054620674979</v>
      </c>
      <c r="G58" s="299">
        <v>-34.404358950286721</v>
      </c>
      <c r="H58" s="299">
        <v>-45.837149960561881</v>
      </c>
      <c r="I58" s="299">
        <v>-5582.6489134260255</v>
      </c>
      <c r="J58" s="299">
        <v>39.506997399999996</v>
      </c>
      <c r="K58" s="299">
        <v>0.22542616999999976</v>
      </c>
      <c r="L58" s="299">
        <v>-303.54249423999994</v>
      </c>
      <c r="M58" s="299">
        <v>-190.31468419999996</v>
      </c>
      <c r="N58" s="299">
        <v>365.85451615000005</v>
      </c>
      <c r="O58" s="299">
        <v>-1383.8737751400001</v>
      </c>
      <c r="P58" s="299">
        <v>-118.27443180000023</v>
      </c>
      <c r="Q58" s="299">
        <v>213.1466903000001</v>
      </c>
      <c r="R58" s="299">
        <v>-3141.5075753299993</v>
      </c>
      <c r="S58" s="299">
        <v>-731.10359967999989</v>
      </c>
      <c r="T58" s="299">
        <v>40.978724639999911</v>
      </c>
      <c r="U58" s="299">
        <v>66.699536130000013</v>
      </c>
      <c r="V58" s="299">
        <v>-909.84658786000023</v>
      </c>
      <c r="W58" s="299">
        <v>1500.3698016799999</v>
      </c>
      <c r="X58" s="299">
        <v>1473.3779902399974</v>
      </c>
      <c r="Y58" s="299">
        <v>2200.9426009800027</v>
      </c>
    </row>
    <row r="59" spans="1:25" s="15" customFormat="1">
      <c r="A59" s="17" t="s">
        <v>427</v>
      </c>
      <c r="B59" s="299">
        <v>1.2964670569419885</v>
      </c>
      <c r="C59" s="299">
        <v>6.4446544192660866</v>
      </c>
      <c r="D59" s="299">
        <v>12.57319965688</v>
      </c>
      <c r="E59" s="299">
        <v>5.8930566184180657</v>
      </c>
      <c r="F59" s="299">
        <v>21.915537932502076</v>
      </c>
      <c r="G59" s="299">
        <v>5.1336410497132778</v>
      </c>
      <c r="H59" s="299">
        <v>0.73685003943811567</v>
      </c>
      <c r="I59" s="299">
        <v>0.12108657397418054</v>
      </c>
      <c r="J59" s="299">
        <v>0.92699739999999997</v>
      </c>
      <c r="K59" s="299">
        <v>1.3014261699999998</v>
      </c>
      <c r="L59" s="299">
        <v>10.659901449999996</v>
      </c>
      <c r="M59" s="299">
        <v>-22.565684199999996</v>
      </c>
      <c r="N59" s="299">
        <v>-20.855483849999988</v>
      </c>
      <c r="O59" s="299">
        <v>-60.567775140000016</v>
      </c>
      <c r="P59" s="299">
        <v>-39.608431800000005</v>
      </c>
      <c r="Q59" s="299">
        <v>6.310690300000017</v>
      </c>
      <c r="R59" s="299">
        <v>-107.66157532999999</v>
      </c>
      <c r="S59" s="299">
        <v>-533.88359967999997</v>
      </c>
      <c r="T59" s="299">
        <v>-139.02927536000001</v>
      </c>
      <c r="U59" s="299">
        <v>-455.62046387000004</v>
      </c>
      <c r="V59" s="299">
        <v>-480.53458785999999</v>
      </c>
      <c r="W59" s="299">
        <v>-408.58819832000012</v>
      </c>
      <c r="X59" s="299">
        <v>1415.4469902399971</v>
      </c>
      <c r="Y59" s="299">
        <v>-59.907399019997086</v>
      </c>
    </row>
    <row r="60" spans="1:25" s="15" customFormat="1">
      <c r="A60" s="17" t="s">
        <v>428</v>
      </c>
      <c r="B60" s="299">
        <v>0</v>
      </c>
      <c r="C60" s="299">
        <v>0</v>
      </c>
      <c r="D60" s="299">
        <v>-9.543999999999869</v>
      </c>
      <c r="E60" s="299">
        <v>-9.5380000000000003</v>
      </c>
      <c r="F60" s="299">
        <v>-263.62099999999998</v>
      </c>
      <c r="G60" s="299">
        <v>-39.537999999999997</v>
      </c>
      <c r="H60" s="299">
        <v>-46.573999999999998</v>
      </c>
      <c r="I60" s="299">
        <v>-5582.7699999999995</v>
      </c>
      <c r="J60" s="299">
        <v>38.58</v>
      </c>
      <c r="K60" s="299">
        <v>-1.0760000000000001</v>
      </c>
      <c r="L60" s="299">
        <v>-314.20239568999995</v>
      </c>
      <c r="M60" s="299">
        <v>-167.74899999999997</v>
      </c>
      <c r="N60" s="299">
        <v>386.71000000000004</v>
      </c>
      <c r="O60" s="299">
        <v>-1323.306</v>
      </c>
      <c r="P60" s="299">
        <v>-78.666000000000224</v>
      </c>
      <c r="Q60" s="299">
        <v>206.8360000000001</v>
      </c>
      <c r="R60" s="299">
        <v>-3033.8459999999995</v>
      </c>
      <c r="S60" s="299">
        <v>-197.21999999999989</v>
      </c>
      <c r="T60" s="299">
        <v>180.00799999999992</v>
      </c>
      <c r="U60" s="299">
        <v>522.32000000000005</v>
      </c>
      <c r="V60" s="299">
        <v>-429.31200000000024</v>
      </c>
      <c r="W60" s="299">
        <v>1908.9580000000001</v>
      </c>
      <c r="X60" s="299">
        <v>57.931000000000154</v>
      </c>
      <c r="Y60" s="299">
        <v>2260.85</v>
      </c>
    </row>
    <row r="61" spans="1:25" s="15" customFormat="1">
      <c r="A61" s="17" t="s">
        <v>429</v>
      </c>
      <c r="B61" s="299">
        <v>-514.5634066407639</v>
      </c>
      <c r="C61" s="299">
        <v>-406.46701219802043</v>
      </c>
      <c r="D61" s="299">
        <v>-487.89567512372361</v>
      </c>
      <c r="E61" s="299">
        <v>-360.64600671238378</v>
      </c>
      <c r="F61" s="299">
        <v>-495.25560405713691</v>
      </c>
      <c r="G61" s="299">
        <v>609.60665096431944</v>
      </c>
      <c r="H61" s="299">
        <v>-1946.8684760513474</v>
      </c>
      <c r="I61" s="299">
        <v>-685.15591458600295</v>
      </c>
      <c r="J61" s="299">
        <v>186.14583096374844</v>
      </c>
      <c r="K61" s="299">
        <v>476.35729128396042</v>
      </c>
      <c r="L61" s="299">
        <v>-232.34287713136163</v>
      </c>
      <c r="M61" s="299">
        <v>-550.65045556718462</v>
      </c>
      <c r="N61" s="299">
        <v>-1104.7649512720586</v>
      </c>
      <c r="O61" s="299">
        <v>-1094.1600103645096</v>
      </c>
      <c r="P61" s="299">
        <v>-689.23894139763433</v>
      </c>
      <c r="Q61" s="299">
        <v>-2006.2128846040241</v>
      </c>
      <c r="R61" s="299">
        <v>43.616230331894258</v>
      </c>
      <c r="S61" s="299">
        <v>963.05024551887072</v>
      </c>
      <c r="T61" s="299">
        <v>-326.12954860985565</v>
      </c>
      <c r="U61" s="299">
        <v>-1269.3322377150612</v>
      </c>
      <c r="V61" s="299">
        <v>3031.0709513843321</v>
      </c>
      <c r="W61" s="299">
        <v>-2016.4377557459093</v>
      </c>
      <c r="X61" s="299">
        <v>-2135.9715462517597</v>
      </c>
      <c r="Y61" s="299">
        <v>-2252.7231889259442</v>
      </c>
    </row>
    <row r="62" spans="1:25" s="15" customFormat="1">
      <c r="A62" s="17" t="s">
        <v>430</v>
      </c>
      <c r="B62" s="299">
        <v>-139.52691164076415</v>
      </c>
      <c r="C62" s="299">
        <v>-176.69456419802009</v>
      </c>
      <c r="D62" s="299">
        <v>-668.35989812372384</v>
      </c>
      <c r="E62" s="299">
        <v>-301.88316671238374</v>
      </c>
      <c r="F62" s="299">
        <v>-560.35354205713668</v>
      </c>
      <c r="G62" s="299">
        <v>-53.608063035680573</v>
      </c>
      <c r="H62" s="299">
        <v>-724.95700655134726</v>
      </c>
      <c r="I62" s="299">
        <v>-401.10452158600276</v>
      </c>
      <c r="J62" s="299">
        <v>-195.58181503625144</v>
      </c>
      <c r="K62" s="299">
        <v>-606.34175271603954</v>
      </c>
      <c r="L62" s="299">
        <v>-251.36399936136246</v>
      </c>
      <c r="M62" s="299">
        <v>-1034.3467955671842</v>
      </c>
      <c r="N62" s="299">
        <v>-976.01016427205764</v>
      </c>
      <c r="O62" s="299">
        <v>-2182.0797013645101</v>
      </c>
      <c r="P62" s="299">
        <v>-1938.9916433126759</v>
      </c>
      <c r="Q62" s="299">
        <v>-1776.8000141759978</v>
      </c>
      <c r="R62" s="299">
        <v>-1455.4793136945489</v>
      </c>
      <c r="S62" s="299">
        <v>253.40537401527956</v>
      </c>
      <c r="T62" s="299">
        <v>-2511.8630262891679</v>
      </c>
      <c r="U62" s="299">
        <v>-1573.0804470146804</v>
      </c>
      <c r="V62" s="299">
        <v>-1131.2414957331484</v>
      </c>
      <c r="W62" s="299">
        <v>-5500.4789247459103</v>
      </c>
      <c r="X62" s="299">
        <v>-5308.2535438217601</v>
      </c>
      <c r="Y62" s="299">
        <v>-6132.7155549259442</v>
      </c>
    </row>
    <row r="63" spans="1:25" s="15" customFormat="1">
      <c r="A63" s="17" t="s">
        <v>431</v>
      </c>
      <c r="B63" s="299">
        <v>0</v>
      </c>
      <c r="C63" s="299">
        <v>0</v>
      </c>
      <c r="D63" s="299">
        <v>0</v>
      </c>
      <c r="E63" s="299">
        <v>-202.85595599999999</v>
      </c>
      <c r="F63" s="299">
        <v>-144.83712199999999</v>
      </c>
      <c r="G63" s="299">
        <v>-148.98093999999998</v>
      </c>
      <c r="H63" s="299">
        <v>-168.59312299999999</v>
      </c>
      <c r="I63" s="299">
        <v>-186.5957619999997</v>
      </c>
      <c r="J63" s="299">
        <v>-226.38731299999998</v>
      </c>
      <c r="K63" s="299">
        <v>-270.51424700000001</v>
      </c>
      <c r="L63" s="299">
        <v>-277.33557000000002</v>
      </c>
      <c r="M63" s="299">
        <v>-311.99363</v>
      </c>
      <c r="N63" s="299">
        <v>-308.79581999999999</v>
      </c>
      <c r="O63" s="299">
        <v>-390.634952</v>
      </c>
      <c r="P63" s="299">
        <v>-540.99422487318407</v>
      </c>
      <c r="Q63" s="299">
        <v>-537.18849880854987</v>
      </c>
      <c r="R63" s="299">
        <v>-552.46238648377914</v>
      </c>
      <c r="S63" s="299">
        <v>-618.34517132045607</v>
      </c>
      <c r="T63" s="299">
        <v>-711.43235201278367</v>
      </c>
      <c r="U63" s="299">
        <v>-778.68689587013887</v>
      </c>
      <c r="V63" s="299">
        <v>-1485.8581972836785</v>
      </c>
      <c r="W63" s="299">
        <v>-1575.576864239338</v>
      </c>
      <c r="X63" s="299">
        <v>-1528.7440976910095</v>
      </c>
      <c r="Y63" s="299">
        <v>-1395.4870668678636</v>
      </c>
    </row>
    <row r="64" spans="1:25" s="15" customFormat="1">
      <c r="A64" s="17" t="s">
        <v>432</v>
      </c>
      <c r="B64" s="299">
        <v>-139.52691164076415</v>
      </c>
      <c r="C64" s="299">
        <v>-176.69456419802009</v>
      </c>
      <c r="D64" s="299">
        <v>-668.35989812372384</v>
      </c>
      <c r="E64" s="299">
        <v>-99.027210712383749</v>
      </c>
      <c r="F64" s="299">
        <v>-415.51642005713666</v>
      </c>
      <c r="G64" s="299">
        <v>95.372876964319403</v>
      </c>
      <c r="H64" s="299">
        <v>-556.36388355134727</v>
      </c>
      <c r="I64" s="299">
        <v>-115.50875958600307</v>
      </c>
      <c r="J64" s="299">
        <v>-253.19450203625149</v>
      </c>
      <c r="K64" s="299">
        <v>-580.82750571603958</v>
      </c>
      <c r="L64" s="299">
        <v>704.15409203863737</v>
      </c>
      <c r="M64" s="299">
        <v>-267.0878525671842</v>
      </c>
      <c r="N64" s="299">
        <v>-189.286270272058</v>
      </c>
      <c r="O64" s="299">
        <v>-312.46632136451035</v>
      </c>
      <c r="P64" s="299">
        <v>24.523091266735037</v>
      </c>
      <c r="Q64" s="299">
        <v>-184.30321448183395</v>
      </c>
      <c r="R64" s="299">
        <v>-378.47578921077206</v>
      </c>
      <c r="S64" s="299">
        <v>780.62937233573666</v>
      </c>
      <c r="T64" s="299">
        <v>-1118.9496174858205</v>
      </c>
      <c r="U64" s="299">
        <v>-401.16163001982295</v>
      </c>
      <c r="V64" s="299">
        <v>-1905.5970220214067</v>
      </c>
      <c r="W64" s="299">
        <v>-4297.1356181680731</v>
      </c>
      <c r="X64" s="299">
        <v>-2619.2230085086453</v>
      </c>
      <c r="Y64" s="299">
        <v>-5148.050016715144</v>
      </c>
    </row>
    <row r="65" spans="1:25" s="15" customFormat="1">
      <c r="A65" s="17" t="s">
        <v>433</v>
      </c>
      <c r="B65" s="299">
        <v>0</v>
      </c>
      <c r="C65" s="299">
        <v>0</v>
      </c>
      <c r="D65" s="299">
        <v>0</v>
      </c>
      <c r="E65" s="299">
        <v>0</v>
      </c>
      <c r="F65" s="299">
        <v>0</v>
      </c>
      <c r="G65" s="299">
        <v>0</v>
      </c>
      <c r="H65" s="299">
        <v>0</v>
      </c>
      <c r="I65" s="299">
        <v>-99</v>
      </c>
      <c r="J65" s="299">
        <v>284</v>
      </c>
      <c r="K65" s="299">
        <v>245</v>
      </c>
      <c r="L65" s="299">
        <v>-678.18252139999981</v>
      </c>
      <c r="M65" s="299">
        <v>-455.26531300000011</v>
      </c>
      <c r="N65" s="299">
        <v>-477.9280739999997</v>
      </c>
      <c r="O65" s="299">
        <v>-1478.9784279999999</v>
      </c>
      <c r="P65" s="299">
        <v>-1422.5205097062269</v>
      </c>
      <c r="Q65" s="299">
        <v>-1055.308300885614</v>
      </c>
      <c r="R65" s="299">
        <v>-524.54113799999766</v>
      </c>
      <c r="S65" s="299">
        <v>91.121172999998976</v>
      </c>
      <c r="T65" s="299">
        <v>-681.4810567905638</v>
      </c>
      <c r="U65" s="299">
        <v>-393.23192112471872</v>
      </c>
      <c r="V65" s="299">
        <v>2260.2137235719365</v>
      </c>
      <c r="W65" s="299">
        <v>372.23355766150053</v>
      </c>
      <c r="X65" s="299">
        <v>-1160.2864376221046</v>
      </c>
      <c r="Y65" s="299">
        <v>410.82152865706325</v>
      </c>
    </row>
    <row r="66" spans="1:25" s="15" customFormat="1">
      <c r="A66" s="17" t="s">
        <v>434</v>
      </c>
      <c r="B66" s="299">
        <v>-375.03649499999972</v>
      </c>
      <c r="C66" s="299">
        <v>-229.77244800000034</v>
      </c>
      <c r="D66" s="299">
        <v>180.46422300000023</v>
      </c>
      <c r="E66" s="299">
        <v>-58.76284000000004</v>
      </c>
      <c r="F66" s="299">
        <v>65.097937999999772</v>
      </c>
      <c r="G66" s="299">
        <v>663.21471399999996</v>
      </c>
      <c r="H66" s="299">
        <v>-1221.9114695000001</v>
      </c>
      <c r="I66" s="299">
        <v>-284.05139300000019</v>
      </c>
      <c r="J66" s="299">
        <v>381.72764599999988</v>
      </c>
      <c r="K66" s="299">
        <v>1082.699044</v>
      </c>
      <c r="L66" s="299">
        <v>19.02112223000082</v>
      </c>
      <c r="M66" s="299">
        <v>483.69633999999962</v>
      </c>
      <c r="N66" s="299">
        <v>-128.75478700000096</v>
      </c>
      <c r="O66" s="299">
        <v>1087.9196910000005</v>
      </c>
      <c r="P66" s="299">
        <v>1249.7527019150416</v>
      </c>
      <c r="Q66" s="299">
        <v>-229.41287042802639</v>
      </c>
      <c r="R66" s="299">
        <v>1499.0955440264431</v>
      </c>
      <c r="S66" s="299">
        <v>709.64487150359116</v>
      </c>
      <c r="T66" s="299">
        <v>2185.7334776793123</v>
      </c>
      <c r="U66" s="299">
        <v>303.74820929961925</v>
      </c>
      <c r="V66" s="299">
        <v>4162.3124471174806</v>
      </c>
      <c r="W66" s="299">
        <v>3484.041169000001</v>
      </c>
      <c r="X66" s="299">
        <v>3172.2819975700004</v>
      </c>
      <c r="Y66" s="299">
        <v>3879.9923659999999</v>
      </c>
    </row>
    <row r="67" spans="1:25" s="15" customFormat="1">
      <c r="A67" s="17" t="s">
        <v>435</v>
      </c>
      <c r="B67" s="299">
        <v>-67.832000000000008</v>
      </c>
      <c r="C67" s="299">
        <v>-47.730000000000004</v>
      </c>
      <c r="D67" s="299">
        <v>-56.83</v>
      </c>
      <c r="E67" s="299">
        <v>-691.39855799999987</v>
      </c>
      <c r="F67" s="299">
        <v>-608.06757300000004</v>
      </c>
      <c r="G67" s="299">
        <v>-382.40758799999992</v>
      </c>
      <c r="H67" s="299">
        <v>-276.558289</v>
      </c>
      <c r="I67" s="299">
        <v>-11.11639299999996</v>
      </c>
      <c r="J67" s="299">
        <v>-182.95235399999999</v>
      </c>
      <c r="K67" s="299">
        <v>-22.485955999999987</v>
      </c>
      <c r="L67" s="299">
        <v>106.26194999999997</v>
      </c>
      <c r="M67" s="299">
        <v>342.38150000000002</v>
      </c>
      <c r="N67" s="299">
        <v>311.78842199999997</v>
      </c>
      <c r="O67" s="299">
        <v>361.86549000000002</v>
      </c>
      <c r="P67" s="299">
        <v>515.59586691504171</v>
      </c>
      <c r="Q67" s="299">
        <v>782.42667157197241</v>
      </c>
      <c r="R67" s="299">
        <v>1310.978214486443</v>
      </c>
      <c r="S67" s="299">
        <v>0.40489050359138901</v>
      </c>
      <c r="T67" s="299">
        <v>583.0843406793125</v>
      </c>
      <c r="U67" s="299">
        <v>-428.0133387003807</v>
      </c>
      <c r="V67" s="299">
        <v>1412.3708581174803</v>
      </c>
      <c r="W67" s="299">
        <v>657.0390000000001</v>
      </c>
      <c r="X67" s="299">
        <v>202.88645357000013</v>
      </c>
      <c r="Y67" s="299">
        <v>276.38449099999991</v>
      </c>
    </row>
    <row r="68" spans="1:25" s="15" customFormat="1">
      <c r="A68" s="17" t="s">
        <v>436</v>
      </c>
      <c r="B68" s="299">
        <v>-24.347000000000001</v>
      </c>
      <c r="C68" s="299">
        <v>-23.895</v>
      </c>
      <c r="D68" s="299">
        <v>-18.756999999999998</v>
      </c>
      <c r="E68" s="299">
        <v>-12.054000000000002</v>
      </c>
      <c r="F68" s="299">
        <v>-18.484000000000002</v>
      </c>
      <c r="G68" s="299">
        <v>13.004999999999999</v>
      </c>
      <c r="H68" s="299">
        <v>3.7629999999999999</v>
      </c>
      <c r="I68" s="299">
        <v>98.131</v>
      </c>
      <c r="J68" s="299">
        <v>-113.858</v>
      </c>
      <c r="K68" s="299">
        <v>-1.6899999999999995</v>
      </c>
      <c r="L68" s="299">
        <v>0.74100000000000144</v>
      </c>
      <c r="M68" s="299">
        <v>0.81900000000000084</v>
      </c>
      <c r="N68" s="299">
        <v>-10.381</v>
      </c>
      <c r="O68" s="299">
        <v>-7.548</v>
      </c>
      <c r="P68" s="299">
        <v>-8.2870000000000008</v>
      </c>
      <c r="Q68" s="299">
        <v>-3.2549999999999999</v>
      </c>
      <c r="R68" s="299">
        <v>799.28300000000002</v>
      </c>
      <c r="S68" s="299">
        <v>-499.32251799999995</v>
      </c>
      <c r="T68" s="299">
        <v>532.40411516581253</v>
      </c>
      <c r="U68" s="299">
        <v>-495.07095444714207</v>
      </c>
      <c r="V68" s="299">
        <v>1362.7179307248143</v>
      </c>
      <c r="W68" s="299">
        <v>662.73800000000006</v>
      </c>
      <c r="X68" s="299">
        <v>419.49445357000013</v>
      </c>
      <c r="Y68" s="299">
        <v>493.39849099999992</v>
      </c>
    </row>
    <row r="69" spans="1:25" s="15" customFormat="1">
      <c r="A69" s="17" t="s">
        <v>437</v>
      </c>
      <c r="B69" s="299">
        <v>-43.485000000000007</v>
      </c>
      <c r="C69" s="299">
        <v>-23.835000000000001</v>
      </c>
      <c r="D69" s="299">
        <v>-38.073</v>
      </c>
      <c r="E69" s="299">
        <v>-679.34455799999989</v>
      </c>
      <c r="F69" s="299">
        <v>-589.583573</v>
      </c>
      <c r="G69" s="299">
        <v>-395.41258799999991</v>
      </c>
      <c r="H69" s="299">
        <v>-280.32128899999998</v>
      </c>
      <c r="I69" s="299">
        <v>-109.24739299999996</v>
      </c>
      <c r="J69" s="299">
        <v>-69.094353999999981</v>
      </c>
      <c r="K69" s="299">
        <v>-20.79595599999999</v>
      </c>
      <c r="L69" s="299">
        <v>105.52094999999997</v>
      </c>
      <c r="M69" s="299">
        <v>341.5625</v>
      </c>
      <c r="N69" s="299">
        <v>322.16942199999994</v>
      </c>
      <c r="O69" s="299">
        <v>369.41349000000002</v>
      </c>
      <c r="P69" s="299">
        <v>523.88286691504175</v>
      </c>
      <c r="Q69" s="299">
        <v>785.6816715719724</v>
      </c>
      <c r="R69" s="299">
        <v>511.69521448644298</v>
      </c>
      <c r="S69" s="299">
        <v>499.72740850359133</v>
      </c>
      <c r="T69" s="299">
        <v>50.680225513499991</v>
      </c>
      <c r="U69" s="299">
        <v>67.0576157467614</v>
      </c>
      <c r="V69" s="299">
        <v>49.652927392666001</v>
      </c>
      <c r="W69" s="299">
        <v>-5.6989999999999998</v>
      </c>
      <c r="X69" s="299">
        <v>-216.608</v>
      </c>
      <c r="Y69" s="299">
        <v>-217.01400000000001</v>
      </c>
    </row>
    <row r="70" spans="1:25" s="15" customFormat="1">
      <c r="A70" s="17" t="s">
        <v>438</v>
      </c>
      <c r="B70" s="299">
        <v>-332.70899999999978</v>
      </c>
      <c r="C70" s="299">
        <v>-470.45400000000029</v>
      </c>
      <c r="D70" s="299">
        <v>14.194000000000869</v>
      </c>
      <c r="E70" s="299">
        <v>711.48699999999985</v>
      </c>
      <c r="F70" s="299">
        <v>450.33799999999979</v>
      </c>
      <c r="G70" s="299">
        <v>815.22199999999987</v>
      </c>
      <c r="H70" s="299">
        <v>-644.93500000000006</v>
      </c>
      <c r="I70" s="299">
        <v>-272.93500000000023</v>
      </c>
      <c r="J70" s="299">
        <v>564.68000000000006</v>
      </c>
      <c r="K70" s="299">
        <v>1105.1849999999999</v>
      </c>
      <c r="L70" s="299">
        <v>-133.36999999999927</v>
      </c>
      <c r="M70" s="299">
        <v>83.421999999999684</v>
      </c>
      <c r="N70" s="299">
        <v>-382.12000000000091</v>
      </c>
      <c r="O70" s="299">
        <v>646.85200000000032</v>
      </c>
      <c r="P70" s="299">
        <v>685.30500000000075</v>
      </c>
      <c r="Q70" s="299">
        <v>-1077.3089999999997</v>
      </c>
      <c r="R70" s="299">
        <v>255.01005754000022</v>
      </c>
      <c r="S70" s="299">
        <v>732.86499999999978</v>
      </c>
      <c r="T70" s="299">
        <v>1603.384</v>
      </c>
      <c r="U70" s="299">
        <v>658.577</v>
      </c>
      <c r="V70" s="299">
        <v>2773.4570000000003</v>
      </c>
      <c r="W70" s="299">
        <v>2799.6650000000009</v>
      </c>
      <c r="X70" s="299">
        <v>3022.7180000000003</v>
      </c>
      <c r="Y70" s="299">
        <v>3657.4092989999999</v>
      </c>
    </row>
    <row r="71" spans="1:25" s="15" customFormat="1">
      <c r="A71" s="17" t="s">
        <v>439</v>
      </c>
      <c r="B71" s="299">
        <v>-118.541</v>
      </c>
      <c r="C71" s="299">
        <v>-57.02200000000002</v>
      </c>
      <c r="D71" s="299">
        <v>-47.601999999999997</v>
      </c>
      <c r="E71" s="299">
        <v>-40.031999999999996</v>
      </c>
      <c r="F71" s="299">
        <v>-17.835999999999999</v>
      </c>
      <c r="G71" s="299">
        <v>229.10100000000003</v>
      </c>
      <c r="H71" s="299">
        <v>-83.660000000000011</v>
      </c>
      <c r="I71" s="299">
        <v>-135.15899999999999</v>
      </c>
      <c r="J71" s="299">
        <v>-144.05399999999997</v>
      </c>
      <c r="K71" s="299">
        <v>-140.95500000000001</v>
      </c>
      <c r="L71" s="299">
        <v>-47.573</v>
      </c>
      <c r="M71" s="299">
        <v>-64.622</v>
      </c>
      <c r="N71" s="299">
        <v>-33.878</v>
      </c>
      <c r="O71" s="299">
        <v>-0.54500000000000004</v>
      </c>
      <c r="P71" s="299">
        <v>-0.56799999999999995</v>
      </c>
      <c r="Q71" s="299">
        <v>-0.58399999999999996</v>
      </c>
      <c r="R71" s="299">
        <v>-0.58799999999999997</v>
      </c>
      <c r="S71" s="299">
        <v>-0.59699999999999998</v>
      </c>
      <c r="T71" s="299">
        <v>-0.28499999999999998</v>
      </c>
      <c r="U71" s="299">
        <v>-0.28399999999999997</v>
      </c>
      <c r="V71" s="299">
        <v>-0.28799999999999998</v>
      </c>
      <c r="W71" s="299">
        <v>-0.29199999999999998</v>
      </c>
      <c r="X71" s="299">
        <v>-0.26200000000000001</v>
      </c>
      <c r="Y71" s="299">
        <v>-156.72570099999999</v>
      </c>
    </row>
    <row r="72" spans="1:25" s="15" customFormat="1">
      <c r="A72" s="17" t="s">
        <v>436</v>
      </c>
      <c r="B72" s="299">
        <v>-612.87499999999977</v>
      </c>
      <c r="C72" s="299">
        <v>-719.44900000000007</v>
      </c>
      <c r="D72" s="299">
        <v>-667.79299999999967</v>
      </c>
      <c r="E72" s="299">
        <v>151.4620000000001</v>
      </c>
      <c r="F72" s="299">
        <v>-169.05699999999979</v>
      </c>
      <c r="G72" s="299">
        <v>-50.629000000000133</v>
      </c>
      <c r="H72" s="299">
        <v>120.767</v>
      </c>
      <c r="I72" s="299">
        <v>117.90700000000004</v>
      </c>
      <c r="J72" s="299">
        <v>301.87799999999987</v>
      </c>
      <c r="K72" s="299">
        <v>-13.165000000000077</v>
      </c>
      <c r="L72" s="299">
        <v>8.9770000000000891</v>
      </c>
      <c r="M72" s="299">
        <v>-424.4919999999999</v>
      </c>
      <c r="N72" s="299">
        <v>-572.75699999999995</v>
      </c>
      <c r="O72" s="299">
        <v>2.2940000000000964</v>
      </c>
      <c r="P72" s="299">
        <v>239.51300000000015</v>
      </c>
      <c r="Q72" s="299">
        <v>-588.14699999999993</v>
      </c>
      <c r="R72" s="299">
        <v>683.11105754000005</v>
      </c>
      <c r="S72" s="299">
        <v>1175.2649999999999</v>
      </c>
      <c r="T72" s="299">
        <v>1405.3910000000001</v>
      </c>
      <c r="U72" s="299">
        <v>794.31600000000003</v>
      </c>
      <c r="V72" s="299">
        <v>2129.3140000000003</v>
      </c>
      <c r="W72" s="299">
        <v>1745.6270000000002</v>
      </c>
      <c r="X72" s="299">
        <v>2072.9430000000002</v>
      </c>
      <c r="Y72" s="299">
        <v>2278.6220000000003</v>
      </c>
    </row>
    <row r="73" spans="1:25" s="15" customFormat="1">
      <c r="A73" s="17" t="s">
        <v>440</v>
      </c>
      <c r="B73" s="299">
        <v>27.044000000000008</v>
      </c>
      <c r="C73" s="299">
        <v>26.5</v>
      </c>
      <c r="D73" s="299">
        <v>30.883000000000003</v>
      </c>
      <c r="E73" s="299">
        <v>98.943000000000012</v>
      </c>
      <c r="F73" s="299">
        <v>25.954000000000008</v>
      </c>
      <c r="G73" s="299">
        <v>-23.997</v>
      </c>
      <c r="H73" s="299">
        <v>-72.989000000000004</v>
      </c>
      <c r="I73" s="299">
        <v>-47.558000000000007</v>
      </c>
      <c r="J73" s="299">
        <v>-107.75700000000001</v>
      </c>
      <c r="K73" s="299">
        <v>-25.970000000000002</v>
      </c>
      <c r="L73" s="299">
        <v>-26.059000000000001</v>
      </c>
      <c r="M73" s="299">
        <v>-21.047999999999998</v>
      </c>
      <c r="N73" s="299">
        <v>-25.716000000000001</v>
      </c>
      <c r="O73" s="299">
        <v>-12.946</v>
      </c>
      <c r="P73" s="299">
        <v>-7.157</v>
      </c>
      <c r="Q73" s="299">
        <v>-2.3050000000000002</v>
      </c>
      <c r="R73" s="299">
        <v>-2.016</v>
      </c>
      <c r="S73" s="299">
        <v>87.63</v>
      </c>
      <c r="T73" s="299">
        <v>-65.423000000000002</v>
      </c>
      <c r="U73" s="299">
        <v>29.716000000000001</v>
      </c>
      <c r="V73" s="299">
        <v>-75.16</v>
      </c>
      <c r="W73" s="299">
        <v>-18.507999999999999</v>
      </c>
      <c r="X73" s="299">
        <v>-9.9169999999999998</v>
      </c>
      <c r="Y73" s="299">
        <v>-1.542</v>
      </c>
    </row>
    <row r="74" spans="1:25" s="15" customFormat="1">
      <c r="A74" s="17" t="s">
        <v>441</v>
      </c>
      <c r="B74" s="299">
        <v>371.66299999999995</v>
      </c>
      <c r="C74" s="299">
        <v>279.51699999999983</v>
      </c>
      <c r="D74" s="299">
        <v>698.70600000000047</v>
      </c>
      <c r="E74" s="299">
        <v>501.11399999999969</v>
      </c>
      <c r="F74" s="299">
        <v>611.27699999999959</v>
      </c>
      <c r="G74" s="299">
        <v>660.74699999999996</v>
      </c>
      <c r="H74" s="299">
        <v>-609.053</v>
      </c>
      <c r="I74" s="299">
        <v>-208.12500000000026</v>
      </c>
      <c r="J74" s="299">
        <v>514.61300000000017</v>
      </c>
      <c r="K74" s="299">
        <v>1285.2750000000001</v>
      </c>
      <c r="L74" s="299">
        <v>-68.714999999999364</v>
      </c>
      <c r="M74" s="299">
        <v>593.58399999999961</v>
      </c>
      <c r="N74" s="299">
        <v>250.23099999999906</v>
      </c>
      <c r="O74" s="299">
        <v>658.04900000000021</v>
      </c>
      <c r="P74" s="299">
        <v>453.51700000000068</v>
      </c>
      <c r="Q74" s="299">
        <v>-486.27299999999985</v>
      </c>
      <c r="R74" s="299">
        <v>-425.4969999999999</v>
      </c>
      <c r="S74" s="299">
        <v>-529.43299999999999</v>
      </c>
      <c r="T74" s="299">
        <v>263.70100000000014</v>
      </c>
      <c r="U74" s="299">
        <v>-165.17100000000005</v>
      </c>
      <c r="V74" s="299">
        <v>719.59100000000001</v>
      </c>
      <c r="W74" s="299">
        <v>1072.8380000000004</v>
      </c>
      <c r="X74" s="299">
        <v>959.95400000000029</v>
      </c>
      <c r="Y74" s="299">
        <v>1537.0549999999994</v>
      </c>
    </row>
    <row r="75" spans="1:25" s="15" customFormat="1">
      <c r="A75" s="300" t="s">
        <v>442</v>
      </c>
      <c r="B75" s="299">
        <v>577.61199999999997</v>
      </c>
      <c r="C75" s="299">
        <v>1370.75</v>
      </c>
      <c r="D75" s="299">
        <v>3233.0700000000006</v>
      </c>
      <c r="E75" s="299">
        <v>4047.1289999999995</v>
      </c>
      <c r="F75" s="299">
        <v>4552.4339999999993</v>
      </c>
      <c r="G75" s="299">
        <v>6522.6779999999999</v>
      </c>
      <c r="H75" s="299">
        <v>4528.2719999999999</v>
      </c>
      <c r="I75" s="299">
        <v>4493.0640000000003</v>
      </c>
      <c r="J75" s="299">
        <v>4150.1410000000005</v>
      </c>
      <c r="K75" s="299">
        <v>5226.8100000000004</v>
      </c>
      <c r="L75" s="299">
        <v>4229.2350000000006</v>
      </c>
      <c r="M75" s="299">
        <v>5516.7320000000009</v>
      </c>
      <c r="N75" s="299">
        <v>6797.741</v>
      </c>
      <c r="O75" s="299">
        <v>7455.9510000000009</v>
      </c>
      <c r="P75" s="299">
        <v>8123.2280000000001</v>
      </c>
      <c r="Q75" s="299">
        <v>5587.6710000000003</v>
      </c>
      <c r="R75" s="299">
        <v>5430.3779999999997</v>
      </c>
      <c r="S75" s="299">
        <v>5345.7969999999996</v>
      </c>
      <c r="T75" s="299">
        <v>6193.3029999999999</v>
      </c>
      <c r="U75" s="299">
        <v>5280.2529999999997</v>
      </c>
      <c r="V75" s="299">
        <v>5754.2380000000003</v>
      </c>
      <c r="W75" s="299">
        <v>5873.7049999999999</v>
      </c>
      <c r="X75" s="299">
        <v>6265.8360000000002</v>
      </c>
      <c r="Y75" s="299">
        <v>6961.5339999999997</v>
      </c>
    </row>
    <row r="76" spans="1:25" s="15" customFormat="1">
      <c r="A76" s="300" t="s">
        <v>443</v>
      </c>
      <c r="B76" s="299">
        <v>-205.94900000000001</v>
      </c>
      <c r="C76" s="299">
        <v>-1091.2330000000002</v>
      </c>
      <c r="D76" s="299">
        <v>-2534.364</v>
      </c>
      <c r="E76" s="299">
        <v>-3546.0149999999994</v>
      </c>
      <c r="F76" s="299">
        <v>-3941.1570000000002</v>
      </c>
      <c r="G76" s="299">
        <v>-5861.9309999999996</v>
      </c>
      <c r="H76" s="299">
        <v>-5137.3249999999998</v>
      </c>
      <c r="I76" s="299">
        <v>-4701.1890000000003</v>
      </c>
      <c r="J76" s="299">
        <v>-3635.5280000000007</v>
      </c>
      <c r="K76" s="299">
        <v>-3941.5349999999999</v>
      </c>
      <c r="L76" s="299">
        <v>-4297.95</v>
      </c>
      <c r="M76" s="299">
        <v>-4923.148000000001</v>
      </c>
      <c r="N76" s="299">
        <v>-6547.5100000000011</v>
      </c>
      <c r="O76" s="299">
        <v>-6797.902</v>
      </c>
      <c r="P76" s="299">
        <v>-7669.7109999999993</v>
      </c>
      <c r="Q76" s="299">
        <v>-6073.9440000000004</v>
      </c>
      <c r="R76" s="299">
        <v>-5855.875</v>
      </c>
      <c r="S76" s="299">
        <v>-5875.23</v>
      </c>
      <c r="T76" s="299">
        <v>-5929.6019999999999</v>
      </c>
      <c r="U76" s="299">
        <v>-5445.424</v>
      </c>
      <c r="V76" s="299">
        <v>-5034.6469999999999</v>
      </c>
      <c r="W76" s="299">
        <v>-4800.8670000000002</v>
      </c>
      <c r="X76" s="299">
        <v>-5305.8820000000005</v>
      </c>
      <c r="Y76" s="299">
        <v>-5424.4790000000003</v>
      </c>
    </row>
    <row r="77" spans="1:25" s="15" customFormat="1">
      <c r="A77" s="17" t="s">
        <v>444</v>
      </c>
      <c r="B77" s="299">
        <v>26.057504999999999</v>
      </c>
      <c r="C77" s="299">
        <v>288.41155200000003</v>
      </c>
      <c r="D77" s="299">
        <v>240.03622300000001</v>
      </c>
      <c r="E77" s="299">
        <v>-78.851281999999998</v>
      </c>
      <c r="F77" s="299">
        <v>222.82751099999999</v>
      </c>
      <c r="G77" s="299">
        <v>230.40030200000001</v>
      </c>
      <c r="H77" s="299">
        <v>-300.41818050000001</v>
      </c>
      <c r="I77" s="299">
        <v>0</v>
      </c>
      <c r="J77" s="299">
        <v>0</v>
      </c>
      <c r="K77" s="299">
        <v>0</v>
      </c>
      <c r="L77" s="299">
        <v>46.129172230000123</v>
      </c>
      <c r="M77" s="299">
        <v>57.892839999999893</v>
      </c>
      <c r="N77" s="299">
        <v>-58.423209000000014</v>
      </c>
      <c r="O77" s="299">
        <v>79.202201000000073</v>
      </c>
      <c r="P77" s="299">
        <v>48.851834999999006</v>
      </c>
      <c r="Q77" s="299">
        <v>65.469458000000955</v>
      </c>
      <c r="R77" s="299">
        <v>-66.89272800000002</v>
      </c>
      <c r="S77" s="299">
        <v>-23.62501899999998</v>
      </c>
      <c r="T77" s="299">
        <v>-0.73486300000001847</v>
      </c>
      <c r="U77" s="299">
        <v>73.18454799999995</v>
      </c>
      <c r="V77" s="299">
        <v>-23.515410999999958</v>
      </c>
      <c r="W77" s="299">
        <v>27.337169000000003</v>
      </c>
      <c r="X77" s="299">
        <v>-53.322455999999967</v>
      </c>
      <c r="Y77" s="299">
        <v>-53.801423999999976</v>
      </c>
    </row>
    <row r="78" spans="1:25" s="15" customFormat="1">
      <c r="A78" s="17" t="s">
        <v>445</v>
      </c>
      <c r="B78" s="299">
        <v>-0.55299999999993932</v>
      </c>
      <c r="C78" s="299">
        <v>-5.4289905904170155E-14</v>
      </c>
      <c r="D78" s="299">
        <v>-16.936000000000668</v>
      </c>
      <c r="E78" s="299">
        <v>-2.6034729927459921E-14</v>
      </c>
      <c r="F78" s="299">
        <v>2.1732615707037439E-14</v>
      </c>
      <c r="G78" s="299">
        <v>-8.7707618945387367E-15</v>
      </c>
      <c r="H78" s="299">
        <v>-5.3267286415081827E-14</v>
      </c>
      <c r="I78" s="299">
        <v>9.0205620750793969E-16</v>
      </c>
      <c r="J78" s="299">
        <v>-1.7155027398629841E-13</v>
      </c>
      <c r="K78" s="299">
        <v>-3.3480163086352377E-15</v>
      </c>
      <c r="L78" s="299">
        <v>-7.2129802131115639E-15</v>
      </c>
      <c r="M78" s="299">
        <v>3.5527136788005009E-15</v>
      </c>
      <c r="N78" s="299">
        <v>1.5543122344752192E-15</v>
      </c>
      <c r="O78" s="299">
        <v>2.8622937353617317E-17</v>
      </c>
      <c r="P78" s="299">
        <v>-3.6663380664769818E-15</v>
      </c>
      <c r="Q78" s="299">
        <v>3.5527136788005009E-15</v>
      </c>
      <c r="R78" s="299">
        <v>-3.5527136788005009E-15</v>
      </c>
      <c r="S78" s="299">
        <v>-1.1587952819525071E-15</v>
      </c>
      <c r="T78" s="299">
        <v>2.6610658121484221E-15</v>
      </c>
      <c r="U78" s="299">
        <v>0</v>
      </c>
      <c r="V78" s="299">
        <v>1.7763568394002505E-15</v>
      </c>
      <c r="W78" s="299">
        <v>-1.7763568394002505E-15</v>
      </c>
      <c r="X78" s="299">
        <v>9.3675067702747583E-16</v>
      </c>
      <c r="Y78" s="299">
        <v>-5.8980598183211441E-17</v>
      </c>
    </row>
    <row r="79" spans="1:25" s="15" customFormat="1">
      <c r="A79" s="17"/>
      <c r="B79" s="299"/>
      <c r="C79" s="299"/>
      <c r="D79" s="299"/>
      <c r="E79" s="299"/>
      <c r="F79" s="299"/>
      <c r="G79" s="299"/>
      <c r="H79" s="299"/>
      <c r="I79" s="299"/>
      <c r="J79" s="299"/>
      <c r="K79" s="299"/>
      <c r="L79" s="299"/>
      <c r="M79" s="299"/>
      <c r="N79" s="299"/>
      <c r="O79" s="299"/>
      <c r="P79" s="299"/>
      <c r="Q79" s="299"/>
      <c r="R79" s="299"/>
      <c r="S79" s="299"/>
      <c r="T79" s="299"/>
      <c r="U79" s="299"/>
      <c r="V79" s="299"/>
      <c r="W79" s="299"/>
      <c r="X79" s="299"/>
      <c r="Y79" s="299"/>
    </row>
    <row r="80" spans="1:25" s="15" customFormat="1">
      <c r="A80" s="298" t="s">
        <v>446</v>
      </c>
      <c r="B80" s="299">
        <v>206.73554641783483</v>
      </c>
      <c r="C80" s="299">
        <v>-56.373453275638553</v>
      </c>
      <c r="D80" s="299">
        <v>-443.29644036783816</v>
      </c>
      <c r="E80" s="299">
        <v>-224.0939994762619</v>
      </c>
      <c r="F80" s="299">
        <v>-86.76263029205802</v>
      </c>
      <c r="G80" s="299">
        <v>-243.32857675288051</v>
      </c>
      <c r="H80" s="299">
        <v>-479.70798055824025</v>
      </c>
      <c r="I80" s="299">
        <v>-522.14804657253057</v>
      </c>
      <c r="J80" s="299">
        <v>-487.4890882014123</v>
      </c>
      <c r="K80" s="299">
        <v>-184.62580766120232</v>
      </c>
      <c r="L80" s="299">
        <v>179.4818660609956</v>
      </c>
      <c r="M80" s="299">
        <v>656.09966934712634</v>
      </c>
      <c r="N80" s="299">
        <v>421.2253491261979</v>
      </c>
      <c r="O80" s="299">
        <v>318.35167267278098</v>
      </c>
      <c r="P80" s="299">
        <v>61.00290259195549</v>
      </c>
      <c r="Q80" s="299">
        <v>-179.80683471859538</v>
      </c>
      <c r="R80" s="299">
        <v>-244.23674215691722</v>
      </c>
      <c r="S80" s="299">
        <v>-105.21333545189714</v>
      </c>
      <c r="T80" s="299">
        <v>221.14165860109662</v>
      </c>
      <c r="U80" s="299">
        <v>97.412621237976964</v>
      </c>
      <c r="V80" s="299">
        <v>-145.27957328977709</v>
      </c>
      <c r="W80" s="299">
        <v>-224.60411230119178</v>
      </c>
      <c r="X80" s="299">
        <v>35.216628946543096</v>
      </c>
      <c r="Y80" s="299">
        <v>-90.271046362402558</v>
      </c>
    </row>
    <row r="81" spans="1:25" s="15" customFormat="1">
      <c r="A81" s="298" t="s">
        <v>447</v>
      </c>
      <c r="B81" s="299">
        <v>-672.5692234080193</v>
      </c>
      <c r="C81" s="299">
        <v>-773.77854338367104</v>
      </c>
      <c r="D81" s="299">
        <v>-1452.2330474014595</v>
      </c>
      <c r="E81" s="299">
        <v>-70.881484262874295</v>
      </c>
      <c r="F81" s="299">
        <v>-515.43025909738412</v>
      </c>
      <c r="G81" s="299">
        <v>-785.29223178380676</v>
      </c>
      <c r="H81" s="299">
        <v>-945.07794494458062</v>
      </c>
      <c r="I81" s="299">
        <v>-5707.2800000000007</v>
      </c>
      <c r="J81" s="299">
        <v>-230.14035399999955</v>
      </c>
      <c r="K81" s="299">
        <v>-127.47845600000051</v>
      </c>
      <c r="L81" s="299">
        <v>135.74728799999977</v>
      </c>
      <c r="M81" s="299">
        <v>281.03052199999985</v>
      </c>
      <c r="N81" s="299">
        <v>666.12737799999957</v>
      </c>
      <c r="O81" s="299">
        <v>-130.61335600000075</v>
      </c>
      <c r="P81" s="299">
        <v>1386.6077919999991</v>
      </c>
      <c r="Q81" s="299">
        <v>933.94820900000036</v>
      </c>
      <c r="R81" s="299">
        <v>-2647.1710789999988</v>
      </c>
      <c r="S81" s="299">
        <v>-1212.2622359999998</v>
      </c>
      <c r="T81" s="299">
        <v>271.99557600000014</v>
      </c>
      <c r="U81" s="299">
        <v>-581.9282149999998</v>
      </c>
      <c r="V81" s="299">
        <v>1845.9415889999996</v>
      </c>
      <c r="W81" s="299">
        <v>-424.46908199999871</v>
      </c>
      <c r="X81" s="299">
        <v>-1488.4449499999992</v>
      </c>
      <c r="Y81" s="299">
        <v>1206.7428490000007</v>
      </c>
    </row>
    <row r="82" spans="1:25" s="15" customFormat="1">
      <c r="A82" s="298" t="s">
        <v>448</v>
      </c>
      <c r="B82" s="299">
        <v>672.56922340801952</v>
      </c>
      <c r="C82" s="299">
        <v>773.77854338367069</v>
      </c>
      <c r="D82" s="299">
        <v>1452.23304740146</v>
      </c>
      <c r="E82" s="299">
        <v>70.881484262874324</v>
      </c>
      <c r="F82" s="299">
        <v>515.43025909738344</v>
      </c>
      <c r="G82" s="299">
        <v>785.29223178380619</v>
      </c>
      <c r="H82" s="299">
        <v>945.07794494458039</v>
      </c>
      <c r="I82" s="299">
        <v>5707.28</v>
      </c>
      <c r="J82" s="299">
        <v>230.14035399999995</v>
      </c>
      <c r="K82" s="299">
        <v>127.47845599999994</v>
      </c>
      <c r="L82" s="299">
        <v>-135.74728799999991</v>
      </c>
      <c r="M82" s="299">
        <v>-281.03052199999996</v>
      </c>
      <c r="N82" s="299">
        <v>-666.12737799999991</v>
      </c>
      <c r="O82" s="299">
        <v>130.61335599999987</v>
      </c>
      <c r="P82" s="299">
        <v>-1386.6077919999998</v>
      </c>
      <c r="Q82" s="299">
        <v>-933.94820899999991</v>
      </c>
      <c r="R82" s="299">
        <v>2647.1710789999997</v>
      </c>
      <c r="S82" s="299">
        <v>1212.2622360000003</v>
      </c>
      <c r="T82" s="299">
        <v>-271.99557600000003</v>
      </c>
      <c r="U82" s="299">
        <v>581.92821500000002</v>
      </c>
      <c r="V82" s="299">
        <v>-1845.9415889999996</v>
      </c>
      <c r="W82" s="299">
        <v>424.46908199999967</v>
      </c>
      <c r="X82" s="299">
        <v>1488.4449499999996</v>
      </c>
      <c r="Y82" s="299">
        <v>-1206.7428489999998</v>
      </c>
    </row>
    <row r="83" spans="1:25" s="15" customFormat="1">
      <c r="A83" s="298" t="s">
        <v>449</v>
      </c>
      <c r="B83" s="299">
        <v>-443.65728444466401</v>
      </c>
      <c r="C83" s="299">
        <v>-582.81985111554161</v>
      </c>
      <c r="D83" s="299">
        <v>178.1599807555599</v>
      </c>
      <c r="E83" s="299">
        <v>-246.11472073712565</v>
      </c>
      <c r="F83" s="299">
        <v>-251.11782890261648</v>
      </c>
      <c r="G83" s="299">
        <v>459.59736978380613</v>
      </c>
      <c r="H83" s="299">
        <v>491.99984494458056</v>
      </c>
      <c r="I83" s="299">
        <v>-307.00000000000006</v>
      </c>
      <c r="J83" s="299">
        <v>105.89335400000002</v>
      </c>
      <c r="K83" s="299">
        <v>65.819455999999931</v>
      </c>
      <c r="L83" s="299">
        <v>-152.41528799999992</v>
      </c>
      <c r="M83" s="299">
        <v>-276.91752199999996</v>
      </c>
      <c r="N83" s="299">
        <v>-709.57737799999995</v>
      </c>
      <c r="O83" s="299">
        <v>123.55135599999986</v>
      </c>
      <c r="P83" s="299">
        <v>-1497.4937919999998</v>
      </c>
      <c r="Q83" s="299">
        <v>-952.22920899999986</v>
      </c>
      <c r="R83" s="299">
        <v>681.01807899999972</v>
      </c>
      <c r="S83" s="299">
        <v>1169.9972360000002</v>
      </c>
      <c r="T83" s="299">
        <v>-335.56657600000005</v>
      </c>
      <c r="U83" s="299">
        <v>475.09221500000001</v>
      </c>
      <c r="V83" s="299">
        <v>-1877.9935889999995</v>
      </c>
      <c r="W83" s="299">
        <v>411.45208199999968</v>
      </c>
      <c r="X83" s="299">
        <v>1453.1129499999997</v>
      </c>
      <c r="Y83" s="299">
        <v>-1762.8933199999997</v>
      </c>
    </row>
    <row r="84" spans="1:25" s="15" customFormat="1">
      <c r="A84" s="298" t="s">
        <v>450</v>
      </c>
      <c r="B84" s="299">
        <v>-28.288492147316305</v>
      </c>
      <c r="C84" s="299">
        <v>124.88439449921238</v>
      </c>
      <c r="D84" s="299">
        <v>-23.035933354100223</v>
      </c>
      <c r="E84" s="299">
        <v>-28.731795000000005</v>
      </c>
      <c r="F84" s="299">
        <v>-10.790911999999992</v>
      </c>
      <c r="G84" s="299">
        <v>-64.543138000000013</v>
      </c>
      <c r="H84" s="299">
        <v>-69.507899999999992</v>
      </c>
      <c r="I84" s="299">
        <v>151.19300000000001</v>
      </c>
      <c r="J84" s="299">
        <v>47.47</v>
      </c>
      <c r="K84" s="299">
        <v>0</v>
      </c>
      <c r="L84" s="299">
        <v>0</v>
      </c>
      <c r="M84" s="299">
        <v>0</v>
      </c>
      <c r="N84" s="299">
        <v>0</v>
      </c>
      <c r="O84" s="299">
        <v>0</v>
      </c>
      <c r="P84" s="299">
        <v>0</v>
      </c>
      <c r="Q84" s="299">
        <v>0</v>
      </c>
      <c r="R84" s="299">
        <v>0</v>
      </c>
      <c r="S84" s="299">
        <v>0</v>
      </c>
      <c r="T84" s="299">
        <v>0</v>
      </c>
      <c r="U84" s="299">
        <v>0</v>
      </c>
      <c r="V84" s="299">
        <v>0</v>
      </c>
      <c r="W84" s="299">
        <v>0</v>
      </c>
      <c r="X84" s="299">
        <v>0</v>
      </c>
      <c r="Y84" s="299">
        <v>365.18576999999999</v>
      </c>
    </row>
    <row r="85" spans="1:25" s="15" customFormat="1">
      <c r="A85" s="298" t="s">
        <v>451</v>
      </c>
      <c r="B85" s="299">
        <v>1144.5149999999999</v>
      </c>
      <c r="C85" s="299">
        <v>1231.7139999999999</v>
      </c>
      <c r="D85" s="299">
        <v>1297.1090000000004</v>
      </c>
      <c r="E85" s="299">
        <v>345.72799999999995</v>
      </c>
      <c r="F85" s="299">
        <v>777.33899999999994</v>
      </c>
      <c r="G85" s="299">
        <v>390.23800000000006</v>
      </c>
      <c r="H85" s="299">
        <v>522.5859999999999</v>
      </c>
      <c r="I85" s="299">
        <v>5863.0869999999995</v>
      </c>
      <c r="J85" s="299">
        <v>76.77699999999993</v>
      </c>
      <c r="K85" s="299">
        <v>61.659000000000006</v>
      </c>
      <c r="L85" s="299">
        <v>16.668000000000006</v>
      </c>
      <c r="M85" s="299">
        <v>-4.1129999999999995</v>
      </c>
      <c r="N85" s="299">
        <v>43.449999999999996</v>
      </c>
      <c r="O85" s="299">
        <v>7.0620000000000003</v>
      </c>
      <c r="P85" s="299">
        <v>110.886</v>
      </c>
      <c r="Q85" s="299">
        <v>18.281000000000006</v>
      </c>
      <c r="R85" s="299">
        <v>1966.153</v>
      </c>
      <c r="S85" s="299">
        <v>42.265000000000008</v>
      </c>
      <c r="T85" s="299">
        <v>63.570999999999998</v>
      </c>
      <c r="U85" s="299">
        <v>106.83600000000001</v>
      </c>
      <c r="V85" s="299">
        <v>32.052000000000007</v>
      </c>
      <c r="W85" s="299">
        <v>13.016999999999996</v>
      </c>
      <c r="X85" s="299">
        <v>35.331999999999994</v>
      </c>
      <c r="Y85" s="299">
        <v>190.96470099999999</v>
      </c>
    </row>
    <row r="86" spans="1:25">
      <c r="A86" s="290"/>
      <c r="B86" s="290"/>
      <c r="C86" s="290"/>
      <c r="D86" s="290"/>
      <c r="E86" s="290"/>
      <c r="F86" s="290"/>
      <c r="G86" s="290"/>
      <c r="H86" s="290"/>
      <c r="I86" s="290"/>
      <c r="J86" s="290"/>
      <c r="K86" s="290"/>
      <c r="L86" s="290"/>
      <c r="M86" s="290"/>
      <c r="N86" s="290"/>
      <c r="O86" s="290"/>
      <c r="P86" s="290"/>
      <c r="Q86" s="290"/>
      <c r="R86" s="290"/>
      <c r="S86" s="290"/>
      <c r="T86" s="290"/>
      <c r="U86" s="290"/>
      <c r="V86" s="290"/>
      <c r="W86" s="290"/>
      <c r="X86" s="290"/>
      <c r="Y86" s="290"/>
    </row>
    <row r="87" spans="1:25">
      <c r="A87" s="289"/>
      <c r="B87" s="289"/>
      <c r="C87" s="289"/>
      <c r="D87" s="289"/>
      <c r="E87" s="289"/>
      <c r="F87" s="289"/>
      <c r="G87" s="289"/>
      <c r="H87" s="289"/>
      <c r="I87" s="289"/>
      <c r="J87" s="289"/>
      <c r="K87" s="289"/>
      <c r="L87" s="289"/>
      <c r="M87" s="289"/>
      <c r="N87" s="289"/>
      <c r="O87" s="289"/>
      <c r="P87" s="289"/>
      <c r="Q87" s="289"/>
      <c r="R87" s="289"/>
      <c r="S87" s="289"/>
      <c r="T87" s="289"/>
      <c r="U87" s="289"/>
      <c r="V87" s="289"/>
      <c r="W87" s="289"/>
      <c r="X87" s="289"/>
      <c r="Y87" s="289"/>
    </row>
    <row r="89" spans="1:25">
      <c r="A89" s="291" t="s">
        <v>234</v>
      </c>
      <c r="B89" s="291"/>
      <c r="C89" s="291"/>
      <c r="D89" s="291"/>
      <c r="E89" s="291"/>
      <c r="F89" s="291"/>
      <c r="G89" s="291"/>
      <c r="H89" s="291"/>
      <c r="I89" s="291"/>
      <c r="J89" s="291"/>
      <c r="K89" s="291"/>
      <c r="L89" s="291"/>
      <c r="M89" s="291"/>
      <c r="N89" s="291"/>
      <c r="O89" s="291"/>
      <c r="P89" s="291"/>
      <c r="Q89" s="291"/>
      <c r="R89" s="291"/>
      <c r="S89" s="291"/>
      <c r="T89" s="291"/>
      <c r="U89" s="291"/>
      <c r="V89" s="291"/>
      <c r="W89" s="291"/>
      <c r="X89" s="291"/>
      <c r="Y89" s="291"/>
    </row>
    <row r="90" spans="1:25">
      <c r="A90" s="292" t="s">
        <v>222</v>
      </c>
      <c r="B90" s="292"/>
      <c r="C90" s="292"/>
      <c r="D90" s="292"/>
      <c r="E90" s="292"/>
      <c r="F90" s="292"/>
      <c r="G90" s="292"/>
      <c r="H90" s="292"/>
      <c r="I90" s="292"/>
      <c r="J90" s="292"/>
      <c r="K90" s="292"/>
      <c r="L90" s="292"/>
      <c r="M90" s="292"/>
      <c r="N90" s="292"/>
      <c r="O90" s="292"/>
      <c r="P90" s="292"/>
      <c r="Q90" s="292"/>
      <c r="R90" s="292"/>
      <c r="S90" s="292"/>
      <c r="T90" s="292"/>
      <c r="U90" s="292"/>
      <c r="V90" s="292"/>
      <c r="W90" s="292"/>
      <c r="X90" s="292"/>
      <c r="Y90" s="292"/>
    </row>
    <row r="95" spans="1:25">
      <c r="A95" s="293"/>
      <c r="B95" s="293"/>
      <c r="C95" s="293"/>
      <c r="D95" s="293"/>
      <c r="E95" s="293"/>
      <c r="F95" s="293"/>
      <c r="G95" s="293"/>
      <c r="H95" s="293"/>
      <c r="I95" s="293"/>
      <c r="J95" s="293"/>
      <c r="K95" s="293"/>
      <c r="L95" s="293"/>
      <c r="M95" s="293"/>
      <c r="N95" s="293"/>
      <c r="O95" s="293"/>
      <c r="P95" s="293"/>
      <c r="Q95" s="293"/>
      <c r="R95" s="293"/>
      <c r="S95" s="293"/>
      <c r="T95" s="293"/>
      <c r="U95" s="293"/>
      <c r="V95" s="293"/>
      <c r="W95" s="293"/>
      <c r="X95" s="293"/>
      <c r="Y95" s="293"/>
    </row>
  </sheetData>
  <mergeCells count="2">
    <mergeCell ref="A1:Y1"/>
    <mergeCell ref="A2:Y2"/>
  </mergeCells>
  <hyperlinks>
    <hyperlink ref="A90" location="'indice cap.2'!A1" display="regresar al índice"/>
    <hyperlink ref="A89" location="'indice cap.2'!A1" display="Notas"/>
  </hyperlinks>
  <pageMargins left="0.7" right="0.7" top="0.75" bottom="0.75" header="0.3" footer="0.3"/>
  <pageSetup paperSize="9" orientation="portrait" verticalDpi="599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00"/>
  <sheetViews>
    <sheetView showGridLines="0" workbookViewId="0">
      <selection activeCell="A4" sqref="A4"/>
    </sheetView>
  </sheetViews>
  <sheetFormatPr baseColWidth="10" defaultRowHeight="12.75"/>
  <cols>
    <col min="1" max="1" width="11.42578125" style="23"/>
    <col min="2" max="2" width="15.7109375" style="13" customWidth="1"/>
    <col min="3" max="3" width="12.42578125" style="13" customWidth="1"/>
    <col min="4" max="4" width="15.7109375" style="13" customWidth="1"/>
    <col min="5" max="5" width="11.42578125" style="13"/>
    <col min="6" max="16384" width="11.42578125" style="6"/>
  </cols>
  <sheetData>
    <row r="1" spans="1:5">
      <c r="A1" s="317" t="s">
        <v>332</v>
      </c>
      <c r="B1" s="318"/>
      <c r="C1" s="318"/>
      <c r="D1" s="318"/>
    </row>
    <row r="2" spans="1:5">
      <c r="A2" s="317" t="s">
        <v>37</v>
      </c>
      <c r="B2" s="318"/>
      <c r="C2" s="318"/>
      <c r="D2" s="318"/>
    </row>
    <row r="3" spans="1:5">
      <c r="A3" s="21"/>
      <c r="B3" s="20"/>
      <c r="C3" s="22"/>
    </row>
    <row r="4" spans="1:5" ht="25.5">
      <c r="A4" s="26" t="s">
        <v>38</v>
      </c>
      <c r="B4" s="27" t="s">
        <v>235</v>
      </c>
      <c r="C4" s="27" t="s">
        <v>467</v>
      </c>
      <c r="D4" s="28" t="s">
        <v>466</v>
      </c>
    </row>
    <row r="5" spans="1:5">
      <c r="A5" s="24"/>
      <c r="B5" s="25"/>
      <c r="C5" s="25"/>
      <c r="D5" s="25"/>
    </row>
    <row r="6" spans="1:5">
      <c r="A6" s="29">
        <v>1927</v>
      </c>
      <c r="B6" s="30">
        <v>19196</v>
      </c>
      <c r="C6" s="30">
        <v>11387</v>
      </c>
      <c r="D6" s="30">
        <f t="shared" ref="D6:D69" si="0">+B6-C6</f>
        <v>7809</v>
      </c>
      <c r="E6" s="228"/>
    </row>
    <row r="7" spans="1:5">
      <c r="A7" s="29">
        <v>1928</v>
      </c>
      <c r="B7" s="30">
        <v>19669</v>
      </c>
      <c r="C7" s="30">
        <v>16519</v>
      </c>
      <c r="D7" s="30">
        <f t="shared" si="0"/>
        <v>3150</v>
      </c>
      <c r="E7" s="228"/>
    </row>
    <row r="8" spans="1:5">
      <c r="A8" s="29">
        <v>1929</v>
      </c>
      <c r="B8" s="30">
        <v>17059</v>
      </c>
      <c r="C8" s="30">
        <v>16866</v>
      </c>
      <c r="D8" s="30">
        <f t="shared" si="0"/>
        <v>193</v>
      </c>
      <c r="E8" s="228"/>
    </row>
    <row r="9" spans="1:5">
      <c r="A9" s="29">
        <v>1930</v>
      </c>
      <c r="B9" s="30">
        <v>15970</v>
      </c>
      <c r="C9" s="30">
        <v>12670</v>
      </c>
      <c r="D9" s="30">
        <f t="shared" si="0"/>
        <v>3300</v>
      </c>
      <c r="E9" s="228"/>
    </row>
    <row r="10" spans="1:5">
      <c r="A10" s="29">
        <v>1931</v>
      </c>
      <c r="B10" s="30">
        <v>11198</v>
      </c>
      <c r="C10" s="30">
        <v>8728</v>
      </c>
      <c r="D10" s="30">
        <f t="shared" si="0"/>
        <v>2470</v>
      </c>
      <c r="E10" s="228"/>
    </row>
    <row r="11" spans="1:5">
      <c r="A11" s="29">
        <v>1932</v>
      </c>
      <c r="B11" s="30">
        <v>8306</v>
      </c>
      <c r="C11" s="30">
        <v>6176</v>
      </c>
      <c r="D11" s="30">
        <f t="shared" si="0"/>
        <v>2130</v>
      </c>
      <c r="E11" s="228"/>
    </row>
    <row r="12" spans="1:5">
      <c r="A12" s="29">
        <v>1933</v>
      </c>
      <c r="B12" s="30">
        <v>7380</v>
      </c>
      <c r="C12" s="30">
        <v>5355</v>
      </c>
      <c r="D12" s="30">
        <f t="shared" si="0"/>
        <v>2025</v>
      </c>
      <c r="E12" s="228"/>
    </row>
    <row r="13" spans="1:5">
      <c r="A13" s="29">
        <v>1934</v>
      </c>
      <c r="B13" s="30">
        <v>10047</v>
      </c>
      <c r="C13" s="30">
        <v>7536</v>
      </c>
      <c r="D13" s="30">
        <f t="shared" si="0"/>
        <v>2511</v>
      </c>
      <c r="E13" s="228"/>
    </row>
    <row r="14" spans="1:5">
      <c r="A14" s="29">
        <v>1935</v>
      </c>
      <c r="B14" s="30">
        <v>10738</v>
      </c>
      <c r="C14" s="30">
        <v>9566</v>
      </c>
      <c r="D14" s="30">
        <f t="shared" si="0"/>
        <v>1172</v>
      </c>
      <c r="E14" s="228"/>
    </row>
    <row r="15" spans="1:5">
      <c r="A15" s="29">
        <v>1936</v>
      </c>
      <c r="B15" s="30">
        <v>13908</v>
      </c>
      <c r="C15" s="30">
        <v>11419</v>
      </c>
      <c r="D15" s="30">
        <f t="shared" si="0"/>
        <v>2489</v>
      </c>
      <c r="E15" s="228"/>
    </row>
    <row r="16" spans="1:5">
      <c r="A16" s="29">
        <v>1937</v>
      </c>
      <c r="B16" s="30">
        <v>14060</v>
      </c>
      <c r="C16" s="30">
        <v>11967</v>
      </c>
      <c r="D16" s="30">
        <f t="shared" si="0"/>
        <v>2093</v>
      </c>
      <c r="E16" s="228"/>
    </row>
    <row r="17" spans="1:5">
      <c r="A17" s="29">
        <v>1938</v>
      </c>
      <c r="B17" s="30">
        <v>11967</v>
      </c>
      <c r="C17" s="30">
        <v>11052</v>
      </c>
      <c r="D17" s="30">
        <f t="shared" si="0"/>
        <v>915</v>
      </c>
      <c r="E17" s="228"/>
    </row>
    <row r="18" spans="1:5">
      <c r="A18" s="29">
        <v>1939</v>
      </c>
      <c r="B18" s="30">
        <v>11268</v>
      </c>
      <c r="C18" s="30">
        <v>10190</v>
      </c>
      <c r="D18" s="30">
        <f t="shared" si="0"/>
        <v>1078</v>
      </c>
      <c r="E18" s="228"/>
    </row>
    <row r="19" spans="1:5">
      <c r="A19" s="29">
        <v>1940</v>
      </c>
      <c r="B19" s="30">
        <v>10463</v>
      </c>
      <c r="C19" s="30">
        <v>11117</v>
      </c>
      <c r="D19" s="30">
        <f t="shared" si="0"/>
        <v>-654</v>
      </c>
      <c r="E19" s="228"/>
    </row>
    <row r="20" spans="1:5">
      <c r="A20" s="29">
        <v>1941</v>
      </c>
      <c r="B20" s="30">
        <v>13313</v>
      </c>
      <c r="C20" s="30">
        <v>9344</v>
      </c>
      <c r="D20" s="30">
        <f t="shared" si="0"/>
        <v>3969</v>
      </c>
      <c r="E20" s="228"/>
    </row>
    <row r="21" spans="1:5">
      <c r="A21" s="29">
        <v>1942</v>
      </c>
      <c r="B21" s="30">
        <v>20753</v>
      </c>
      <c r="C21" s="30">
        <v>13413</v>
      </c>
      <c r="D21" s="30">
        <f t="shared" si="0"/>
        <v>7340</v>
      </c>
      <c r="E21" s="228"/>
    </row>
    <row r="22" spans="1:5">
      <c r="A22" s="29">
        <v>1943</v>
      </c>
      <c r="B22" s="30">
        <v>27880</v>
      </c>
      <c r="C22" s="30">
        <v>15461</v>
      </c>
      <c r="D22" s="30">
        <f t="shared" si="0"/>
        <v>12419</v>
      </c>
      <c r="E22" s="228"/>
    </row>
    <row r="23" spans="1:5">
      <c r="A23" s="29">
        <v>1944</v>
      </c>
      <c r="B23" s="30">
        <v>33259</v>
      </c>
      <c r="C23" s="30">
        <v>23037</v>
      </c>
      <c r="D23" s="30">
        <f t="shared" si="0"/>
        <v>10222</v>
      </c>
      <c r="E23" s="228"/>
    </row>
    <row r="24" spans="1:5">
      <c r="A24" s="29">
        <v>1945</v>
      </c>
      <c r="B24" s="30">
        <v>27745</v>
      </c>
      <c r="C24" s="30">
        <v>23761</v>
      </c>
      <c r="D24" s="30">
        <f t="shared" si="0"/>
        <v>3984</v>
      </c>
      <c r="E24" s="228"/>
    </row>
    <row r="25" spans="1:5">
      <c r="A25" s="29">
        <v>1946</v>
      </c>
      <c r="B25" s="30">
        <v>40084</v>
      </c>
      <c r="C25" s="30">
        <v>30685</v>
      </c>
      <c r="D25" s="30">
        <f t="shared" si="0"/>
        <v>9399</v>
      </c>
      <c r="E25" s="228"/>
    </row>
    <row r="26" spans="1:5">
      <c r="A26" s="29">
        <v>1947</v>
      </c>
      <c r="B26" s="30">
        <v>46258</v>
      </c>
      <c r="C26" s="30">
        <v>44775</v>
      </c>
      <c r="D26" s="30">
        <f t="shared" si="0"/>
        <v>1483</v>
      </c>
      <c r="E26" s="228"/>
    </row>
    <row r="27" spans="1:5">
      <c r="A27" s="29">
        <v>1948</v>
      </c>
      <c r="B27" s="30">
        <v>49025</v>
      </c>
      <c r="C27" s="30">
        <v>42084</v>
      </c>
      <c r="D27" s="30">
        <f t="shared" si="0"/>
        <v>6941</v>
      </c>
      <c r="E27" s="228"/>
    </row>
    <row r="28" spans="1:5">
      <c r="A28" s="29">
        <v>1949</v>
      </c>
      <c r="B28" s="30">
        <v>31378</v>
      </c>
      <c r="C28" s="30">
        <v>40896</v>
      </c>
      <c r="D28" s="30">
        <f t="shared" si="0"/>
        <v>-9518</v>
      </c>
      <c r="E28" s="228"/>
    </row>
    <row r="29" spans="1:5">
      <c r="A29" s="29">
        <v>1950</v>
      </c>
      <c r="B29" s="30">
        <v>64243</v>
      </c>
      <c r="C29" s="30">
        <v>41640</v>
      </c>
      <c r="D29" s="30">
        <f t="shared" si="0"/>
        <v>22603</v>
      </c>
      <c r="E29" s="228"/>
    </row>
    <row r="30" spans="1:5">
      <c r="A30" s="29">
        <v>1951</v>
      </c>
      <c r="B30" s="30">
        <v>52160</v>
      </c>
      <c r="C30" s="30">
        <v>55033</v>
      </c>
      <c r="D30" s="30">
        <f t="shared" si="0"/>
        <v>-2873</v>
      </c>
      <c r="E30" s="228"/>
    </row>
    <row r="31" spans="1:5">
      <c r="A31" s="29">
        <v>1952</v>
      </c>
      <c r="B31" s="30">
        <v>76702</v>
      </c>
      <c r="C31" s="30">
        <v>56538</v>
      </c>
      <c r="D31" s="30">
        <f t="shared" si="0"/>
        <v>20164</v>
      </c>
      <c r="E31" s="228"/>
    </row>
    <row r="32" spans="1:5">
      <c r="A32" s="29">
        <v>1953</v>
      </c>
      <c r="B32" s="30">
        <v>72698</v>
      </c>
      <c r="C32" s="30">
        <v>72751</v>
      </c>
      <c r="D32" s="30">
        <f t="shared" si="0"/>
        <v>-53</v>
      </c>
      <c r="E32" s="228"/>
    </row>
    <row r="33" spans="1:5">
      <c r="A33" s="29">
        <v>1954</v>
      </c>
      <c r="B33" s="30">
        <v>100219</v>
      </c>
      <c r="C33" s="30">
        <v>86045</v>
      </c>
      <c r="D33" s="30">
        <f t="shared" si="0"/>
        <v>14174</v>
      </c>
      <c r="E33" s="228"/>
    </row>
    <row r="34" spans="1:5">
      <c r="A34" s="29">
        <v>1955</v>
      </c>
      <c r="B34" s="30">
        <v>89861</v>
      </c>
      <c r="C34" s="30">
        <v>89663</v>
      </c>
      <c r="D34" s="30">
        <f t="shared" si="0"/>
        <v>198</v>
      </c>
      <c r="E34" s="228"/>
    </row>
    <row r="35" spans="1:5">
      <c r="A35" s="29">
        <v>1956</v>
      </c>
      <c r="B35" s="30">
        <v>94430</v>
      </c>
      <c r="C35" s="30">
        <v>80168</v>
      </c>
      <c r="D35" s="30">
        <f t="shared" si="0"/>
        <v>14262</v>
      </c>
      <c r="E35" s="228"/>
    </row>
    <row r="36" spans="1:5">
      <c r="A36" s="29">
        <v>1957</v>
      </c>
      <c r="B36" s="30">
        <v>98636</v>
      </c>
      <c r="C36" s="30">
        <v>91880</v>
      </c>
      <c r="D36" s="30">
        <f t="shared" si="0"/>
        <v>6756</v>
      </c>
      <c r="E36" s="228"/>
    </row>
    <row r="37" spans="1:5">
      <c r="A37" s="29">
        <v>1958</v>
      </c>
      <c r="B37" s="30">
        <v>96382</v>
      </c>
      <c r="C37" s="30">
        <v>87243</v>
      </c>
      <c r="D37" s="30">
        <f t="shared" si="0"/>
        <v>9139</v>
      </c>
      <c r="E37" s="228"/>
    </row>
    <row r="38" spans="1:5">
      <c r="A38" s="29">
        <v>1959</v>
      </c>
      <c r="B38" s="30">
        <v>97245</v>
      </c>
      <c r="C38" s="30">
        <v>92164</v>
      </c>
      <c r="D38" s="30">
        <f t="shared" si="0"/>
        <v>5081</v>
      </c>
      <c r="E38" s="228"/>
    </row>
    <row r="39" spans="1:5">
      <c r="A39" s="29">
        <v>1960</v>
      </c>
      <c r="B39" s="30">
        <v>102561</v>
      </c>
      <c r="C39" s="30">
        <v>102202</v>
      </c>
      <c r="D39" s="30">
        <f t="shared" si="0"/>
        <v>359</v>
      </c>
      <c r="E39" s="228"/>
    </row>
    <row r="40" spans="1:5">
      <c r="A40" s="29">
        <v>1961</v>
      </c>
      <c r="B40" s="30">
        <v>96647</v>
      </c>
      <c r="C40" s="30">
        <v>100784</v>
      </c>
      <c r="D40" s="30">
        <f t="shared" si="0"/>
        <v>-4137</v>
      </c>
      <c r="E40" s="228"/>
    </row>
    <row r="41" spans="1:5">
      <c r="A41" s="29">
        <v>1962</v>
      </c>
      <c r="B41" s="30">
        <v>116917</v>
      </c>
      <c r="C41" s="30">
        <v>97776</v>
      </c>
      <c r="D41" s="30">
        <f t="shared" si="0"/>
        <v>19141</v>
      </c>
      <c r="E41" s="228"/>
    </row>
    <row r="42" spans="1:5">
      <c r="A42" s="29">
        <v>1963</v>
      </c>
      <c r="B42" s="30">
        <v>131215</v>
      </c>
      <c r="C42" s="30">
        <v>110531</v>
      </c>
      <c r="D42" s="30">
        <f t="shared" si="0"/>
        <v>20684</v>
      </c>
      <c r="E42" s="228"/>
    </row>
    <row r="43" spans="1:5">
      <c r="A43" s="29">
        <v>1964</v>
      </c>
      <c r="B43" s="30">
        <v>130364</v>
      </c>
      <c r="C43" s="30">
        <v>138159</v>
      </c>
      <c r="D43" s="30">
        <f t="shared" si="0"/>
        <v>-7795</v>
      </c>
      <c r="E43" s="228"/>
    </row>
    <row r="44" spans="1:5">
      <c r="A44" s="29">
        <v>1965</v>
      </c>
      <c r="B44" s="30">
        <v>133790</v>
      </c>
      <c r="C44" s="30">
        <v>165465</v>
      </c>
      <c r="D44" s="30">
        <f t="shared" si="0"/>
        <v>-31675</v>
      </c>
      <c r="E44" s="228"/>
    </row>
    <row r="45" spans="1:5">
      <c r="A45" s="29">
        <v>1966</v>
      </c>
      <c r="B45" s="30">
        <v>147499</v>
      </c>
      <c r="C45" s="30">
        <v>174129</v>
      </c>
      <c r="D45" s="30">
        <f t="shared" si="0"/>
        <v>-26630</v>
      </c>
      <c r="E45" s="228"/>
    </row>
    <row r="46" spans="1:5">
      <c r="A46" s="29">
        <v>1967</v>
      </c>
      <c r="B46" s="30">
        <v>166036</v>
      </c>
      <c r="C46" s="30">
        <v>214210</v>
      </c>
      <c r="D46" s="30">
        <f t="shared" si="0"/>
        <v>-48174</v>
      </c>
      <c r="E46" s="228"/>
    </row>
    <row r="47" spans="1:5">
      <c r="A47" s="29">
        <v>1968</v>
      </c>
      <c r="B47" s="30">
        <v>176559</v>
      </c>
      <c r="C47" s="30">
        <v>255465</v>
      </c>
      <c r="D47" s="30">
        <f t="shared" si="0"/>
        <v>-78906</v>
      </c>
      <c r="E47" s="228"/>
    </row>
    <row r="48" spans="1:5">
      <c r="A48" s="29">
        <v>1969</v>
      </c>
      <c r="B48" s="30">
        <v>151886</v>
      </c>
      <c r="C48" s="30">
        <v>241838</v>
      </c>
      <c r="D48" s="30">
        <f t="shared" si="0"/>
        <v>-89952</v>
      </c>
      <c r="E48" s="228"/>
    </row>
    <row r="49" spans="1:5">
      <c r="A49" s="29" t="s">
        <v>14</v>
      </c>
      <c r="B49" s="30">
        <v>189929</v>
      </c>
      <c r="C49" s="30">
        <v>273849</v>
      </c>
      <c r="D49" s="30">
        <f t="shared" si="0"/>
        <v>-83920</v>
      </c>
      <c r="E49" s="228"/>
    </row>
    <row r="50" spans="1:5">
      <c r="A50" s="29" t="s">
        <v>15</v>
      </c>
      <c r="B50" s="30">
        <v>199075</v>
      </c>
      <c r="C50" s="30">
        <v>340104</v>
      </c>
      <c r="D50" s="30">
        <f t="shared" si="0"/>
        <v>-141029</v>
      </c>
      <c r="E50" s="228"/>
    </row>
    <row r="51" spans="1:5">
      <c r="A51" s="29" t="s">
        <v>16</v>
      </c>
      <c r="B51" s="30">
        <v>326292</v>
      </c>
      <c r="C51" s="30">
        <v>318599</v>
      </c>
      <c r="D51" s="30">
        <f t="shared" si="0"/>
        <v>7693</v>
      </c>
      <c r="E51" s="228"/>
    </row>
    <row r="52" spans="1:5">
      <c r="A52" s="29" t="s">
        <v>17</v>
      </c>
      <c r="B52" s="30">
        <v>532048</v>
      </c>
      <c r="C52" s="30">
        <v>397282</v>
      </c>
      <c r="D52" s="30">
        <f t="shared" si="0"/>
        <v>134766</v>
      </c>
      <c r="E52" s="228"/>
    </row>
    <row r="53" spans="1:5">
      <c r="A53" s="29" t="s">
        <v>18</v>
      </c>
      <c r="B53" s="30">
        <v>1123548</v>
      </c>
      <c r="C53" s="30">
        <v>958488</v>
      </c>
      <c r="D53" s="30">
        <f t="shared" si="0"/>
        <v>165060</v>
      </c>
      <c r="E53" s="228"/>
    </row>
    <row r="54" spans="1:5">
      <c r="A54" s="29" t="s">
        <v>19</v>
      </c>
      <c r="B54" s="30">
        <v>897055</v>
      </c>
      <c r="C54" s="30">
        <v>943244</v>
      </c>
      <c r="D54" s="30">
        <f t="shared" si="0"/>
        <v>-46189</v>
      </c>
      <c r="E54" s="228"/>
    </row>
    <row r="55" spans="1:5">
      <c r="A55" s="29" t="s">
        <v>20</v>
      </c>
      <c r="B55" s="30">
        <v>1127331</v>
      </c>
      <c r="C55" s="30">
        <v>993123</v>
      </c>
      <c r="D55" s="30">
        <f t="shared" si="0"/>
        <v>134208</v>
      </c>
      <c r="E55" s="228"/>
    </row>
    <row r="56" spans="1:5">
      <c r="A56" s="29" t="s">
        <v>21</v>
      </c>
      <c r="B56" s="30">
        <v>1436274</v>
      </c>
      <c r="C56" s="30">
        <v>1508357</v>
      </c>
      <c r="D56" s="30">
        <f t="shared" si="0"/>
        <v>-72083</v>
      </c>
      <c r="E56" s="228"/>
    </row>
    <row r="57" spans="1:5">
      <c r="A57" s="29" t="s">
        <v>22</v>
      </c>
      <c r="B57" s="30">
        <v>1493758</v>
      </c>
      <c r="C57" s="30">
        <v>1630202</v>
      </c>
      <c r="D57" s="30">
        <f t="shared" si="0"/>
        <v>-136444</v>
      </c>
      <c r="E57" s="228"/>
    </row>
    <row r="58" spans="1:5">
      <c r="A58" s="29" t="s">
        <v>23</v>
      </c>
      <c r="B58" s="30">
        <v>2172703</v>
      </c>
      <c r="C58" s="30">
        <v>1985599</v>
      </c>
      <c r="D58" s="30">
        <f t="shared" si="0"/>
        <v>187104</v>
      </c>
      <c r="E58" s="228"/>
    </row>
    <row r="59" spans="1:5">
      <c r="A59" s="29" t="s">
        <v>24</v>
      </c>
      <c r="B59" s="30">
        <v>2506242</v>
      </c>
      <c r="C59" s="30">
        <v>2249519</v>
      </c>
      <c r="D59" s="30">
        <f t="shared" si="0"/>
        <v>256723</v>
      </c>
      <c r="E59" s="228"/>
    </row>
    <row r="60" spans="1:5">
      <c r="A60" s="29">
        <v>1981</v>
      </c>
      <c r="B60" s="30">
        <v>2541368</v>
      </c>
      <c r="C60" s="30">
        <v>2246162</v>
      </c>
      <c r="D60" s="30">
        <f t="shared" si="0"/>
        <v>295206</v>
      </c>
      <c r="E60" s="228"/>
    </row>
    <row r="61" spans="1:5">
      <c r="A61" s="29" t="s">
        <v>26</v>
      </c>
      <c r="B61" s="30">
        <v>2237416</v>
      </c>
      <c r="C61" s="30">
        <v>1988374</v>
      </c>
      <c r="D61" s="30">
        <f t="shared" si="0"/>
        <v>249042</v>
      </c>
      <c r="E61" s="228"/>
    </row>
    <row r="62" spans="1:5">
      <c r="A62" s="29" t="s">
        <v>27</v>
      </c>
      <c r="B62" s="30">
        <v>2225646</v>
      </c>
      <c r="C62" s="30">
        <v>1464954</v>
      </c>
      <c r="D62" s="30">
        <f t="shared" si="0"/>
        <v>760692</v>
      </c>
      <c r="E62" s="228"/>
    </row>
    <row r="63" spans="1:5">
      <c r="A63" s="29" t="s">
        <v>28</v>
      </c>
      <c r="B63" s="30">
        <v>2620419</v>
      </c>
      <c r="C63" s="30">
        <v>1715777</v>
      </c>
      <c r="D63" s="30">
        <f t="shared" si="0"/>
        <v>904642</v>
      </c>
      <c r="E63" s="228"/>
    </row>
    <row r="64" spans="1:5">
      <c r="A64" s="48" t="s">
        <v>29</v>
      </c>
      <c r="B64" s="49">
        <v>2904736</v>
      </c>
      <c r="C64" s="49">
        <v>1766724</v>
      </c>
      <c r="D64" s="49">
        <f t="shared" si="0"/>
        <v>1138012</v>
      </c>
      <c r="E64" s="228"/>
    </row>
    <row r="65" spans="1:5">
      <c r="A65" s="29" t="s">
        <v>30</v>
      </c>
      <c r="B65" s="30">
        <v>2185849</v>
      </c>
      <c r="C65" s="30">
        <v>1575006</v>
      </c>
      <c r="D65" s="30">
        <f t="shared" si="0"/>
        <v>610843</v>
      </c>
      <c r="E65" s="228"/>
    </row>
    <row r="66" spans="1:5">
      <c r="A66" s="29" t="s">
        <v>31</v>
      </c>
      <c r="B66" s="30">
        <v>2013687.3923187673</v>
      </c>
      <c r="C66" s="30">
        <v>1888152.2</v>
      </c>
      <c r="D66" s="30">
        <f t="shared" si="0"/>
        <v>125535.19231876731</v>
      </c>
      <c r="E66" s="228"/>
    </row>
    <row r="67" spans="1:5">
      <c r="A67" s="48" t="s">
        <v>32</v>
      </c>
      <c r="B67" s="49">
        <v>2193501</v>
      </c>
      <c r="C67" s="49">
        <v>1517460.9</v>
      </c>
      <c r="D67" s="30">
        <f t="shared" si="0"/>
        <v>676040.10000000009</v>
      </c>
      <c r="E67" s="228"/>
    </row>
    <row r="68" spans="1:5" s="14" customFormat="1">
      <c r="A68" s="48" t="s">
        <v>33</v>
      </c>
      <c r="B68" s="49">
        <v>2353883</v>
      </c>
      <c r="C68" s="49">
        <v>1634111</v>
      </c>
      <c r="D68" s="49">
        <f t="shared" si="0"/>
        <v>719772</v>
      </c>
      <c r="E68" s="228"/>
    </row>
    <row r="69" spans="1:5">
      <c r="A69" s="29" t="s">
        <v>34</v>
      </c>
      <c r="B69" s="30">
        <v>2724132.77</v>
      </c>
      <c r="C69" s="30">
        <v>1647334.81</v>
      </c>
      <c r="D69" s="30">
        <f t="shared" si="0"/>
        <v>1076797.96</v>
      </c>
      <c r="E69" s="228"/>
    </row>
    <row r="70" spans="1:5">
      <c r="A70" s="29" t="s">
        <v>35</v>
      </c>
      <c r="B70" s="30">
        <v>2851012.6799999997</v>
      </c>
      <c r="C70" s="30">
        <v>2116511.58</v>
      </c>
      <c r="D70" s="30">
        <f t="shared" ref="D70:D95" si="1">+B70-C70</f>
        <v>734501.09999999963</v>
      </c>
      <c r="E70" s="228"/>
    </row>
    <row r="71" spans="1:5">
      <c r="A71" s="29" t="s">
        <v>36</v>
      </c>
      <c r="B71" s="30">
        <v>3101526.5299999993</v>
      </c>
      <c r="C71" s="30">
        <v>1976945.32</v>
      </c>
      <c r="D71" s="30">
        <f t="shared" si="1"/>
        <v>1124581.2099999993</v>
      </c>
      <c r="E71" s="228"/>
    </row>
    <row r="72" spans="1:5">
      <c r="A72" s="29" t="s">
        <v>40</v>
      </c>
      <c r="B72" s="30">
        <v>3065615.38</v>
      </c>
      <c r="C72" s="30">
        <v>2223090.7400000002</v>
      </c>
      <c r="D72" s="30">
        <f t="shared" si="1"/>
        <v>842524.63999999966</v>
      </c>
      <c r="E72" s="228"/>
    </row>
    <row r="73" spans="1:5">
      <c r="A73" s="29" t="s">
        <v>41</v>
      </c>
      <c r="B73" s="30">
        <v>3842682.6799999997</v>
      </c>
      <c r="C73" s="30">
        <v>3209424.37</v>
      </c>
      <c r="D73" s="30">
        <f t="shared" si="1"/>
        <v>633258.30999999959</v>
      </c>
      <c r="E73" s="228"/>
    </row>
    <row r="74" spans="1:5">
      <c r="A74" s="29" t="s">
        <v>42</v>
      </c>
      <c r="B74" s="30">
        <v>4380706.1599999992</v>
      </c>
      <c r="C74" s="30">
        <v>3737209.55</v>
      </c>
      <c r="D74" s="30">
        <f t="shared" si="1"/>
        <v>643496.6099999994</v>
      </c>
      <c r="E74" s="228"/>
    </row>
    <row r="75" spans="1:5">
      <c r="A75" s="29" t="s">
        <v>43</v>
      </c>
      <c r="B75" s="30">
        <v>4872648.25</v>
      </c>
      <c r="C75" s="30">
        <v>3570888.96</v>
      </c>
      <c r="D75" s="30">
        <f t="shared" si="1"/>
        <v>1301759.29</v>
      </c>
      <c r="E75" s="228"/>
    </row>
    <row r="76" spans="1:5">
      <c r="A76" s="29" t="s">
        <v>44</v>
      </c>
      <c r="B76" s="30">
        <v>5264363.01</v>
      </c>
      <c r="C76" s="30">
        <v>4520051.32</v>
      </c>
      <c r="D76" s="30">
        <f t="shared" si="1"/>
        <v>744311.68999999948</v>
      </c>
      <c r="E76" s="228"/>
    </row>
    <row r="77" spans="1:5">
      <c r="A77" s="29" t="s">
        <v>45</v>
      </c>
      <c r="B77" s="30">
        <v>4203048.87</v>
      </c>
      <c r="C77" s="30">
        <v>5109930.3099999996</v>
      </c>
      <c r="D77" s="30">
        <f t="shared" si="1"/>
        <v>-906881.43999999948</v>
      </c>
      <c r="E77" s="228"/>
    </row>
    <row r="78" spans="1:5">
      <c r="A78" s="29" t="s">
        <v>46</v>
      </c>
      <c r="B78" s="30">
        <v>4451084.43</v>
      </c>
      <c r="C78" s="30">
        <v>2736902.16</v>
      </c>
      <c r="D78" s="30">
        <f t="shared" si="1"/>
        <v>1714182.2699999996</v>
      </c>
      <c r="E78" s="228"/>
    </row>
    <row r="79" spans="1:5">
      <c r="A79" s="29" t="s">
        <v>47</v>
      </c>
      <c r="B79" s="30">
        <v>4907005.3899999997</v>
      </c>
      <c r="C79" s="30">
        <v>3400952.47</v>
      </c>
      <c r="D79" s="30">
        <f t="shared" si="1"/>
        <v>1506052.9199999995</v>
      </c>
      <c r="E79" s="228"/>
    </row>
    <row r="80" spans="1:5">
      <c r="A80" s="29" t="s">
        <v>48</v>
      </c>
      <c r="B80" s="30">
        <v>4678436.54</v>
      </c>
      <c r="C80" s="30">
        <v>4936033.5999999996</v>
      </c>
      <c r="D80" s="30">
        <f t="shared" si="1"/>
        <v>-257597.05999999959</v>
      </c>
      <c r="E80" s="228"/>
    </row>
    <row r="81" spans="1:5">
      <c r="A81" s="29" t="s">
        <v>49</v>
      </c>
      <c r="B81" s="30">
        <v>5036121.3099999996</v>
      </c>
      <c r="C81" s="30">
        <v>5953426.2999999998</v>
      </c>
      <c r="D81" s="30">
        <f t="shared" si="1"/>
        <v>-917304.99000000022</v>
      </c>
      <c r="E81" s="228"/>
    </row>
    <row r="82" spans="1:5">
      <c r="A82" s="29" t="s">
        <v>50</v>
      </c>
      <c r="B82" s="30">
        <v>6222693.0199999996</v>
      </c>
      <c r="C82" s="30">
        <v>6228311.6699999999</v>
      </c>
      <c r="D82" s="30">
        <f t="shared" si="1"/>
        <v>-5618.6500000003725</v>
      </c>
      <c r="E82" s="228"/>
    </row>
    <row r="83" spans="1:5">
      <c r="A83" s="29" t="s">
        <v>51</v>
      </c>
      <c r="B83" s="30">
        <v>7752891.5300000003</v>
      </c>
      <c r="C83" s="30">
        <v>7554614.8600000003</v>
      </c>
      <c r="D83" s="30">
        <f t="shared" si="1"/>
        <v>198276.66999999993</v>
      </c>
      <c r="E83" s="228"/>
    </row>
    <row r="84" spans="1:5">
      <c r="A84" s="29" t="s">
        <v>52</v>
      </c>
      <c r="B84" s="30">
        <v>10100030.890000001</v>
      </c>
      <c r="C84" s="30">
        <v>9549361.5899999999</v>
      </c>
      <c r="D84" s="30">
        <f t="shared" si="1"/>
        <v>550669.30000000075</v>
      </c>
      <c r="E84" s="228"/>
    </row>
    <row r="85" spans="1:5">
      <c r="A85" s="29" t="s">
        <v>53</v>
      </c>
      <c r="B85" s="30">
        <v>12728147.68</v>
      </c>
      <c r="C85" s="30">
        <v>11266018.52</v>
      </c>
      <c r="D85" s="30">
        <f t="shared" si="1"/>
        <v>1462129.1600000001</v>
      </c>
      <c r="E85" s="228"/>
    </row>
    <row r="86" spans="1:5">
      <c r="A86" s="29" t="s">
        <v>223</v>
      </c>
      <c r="B86" s="30">
        <v>14321315.58</v>
      </c>
      <c r="C86" s="30">
        <v>12895240.66</v>
      </c>
      <c r="D86" s="30">
        <f t="shared" si="1"/>
        <v>1426074.92</v>
      </c>
      <c r="E86" s="228"/>
    </row>
    <row r="87" spans="1:5">
      <c r="A87" s="29" t="s">
        <v>224</v>
      </c>
      <c r="B87" s="30">
        <v>18818326.949999999</v>
      </c>
      <c r="C87" s="30">
        <v>17551929.77</v>
      </c>
      <c r="D87" s="30">
        <f t="shared" si="1"/>
        <v>1266397.1799999997</v>
      </c>
      <c r="E87" s="228"/>
    </row>
    <row r="88" spans="1:5">
      <c r="A88" s="29" t="s">
        <v>225</v>
      </c>
      <c r="B88" s="30">
        <v>13863057.93</v>
      </c>
      <c r="C88" s="30">
        <v>14071455.130000001</v>
      </c>
      <c r="D88" s="30">
        <f t="shared" si="1"/>
        <v>-208397.20000000112</v>
      </c>
      <c r="E88" s="228"/>
    </row>
    <row r="89" spans="1:5">
      <c r="A89" s="29" t="s">
        <v>226</v>
      </c>
      <c r="B89" s="30">
        <v>17489927.600000001</v>
      </c>
      <c r="C89" s="30">
        <v>19278713.719999999</v>
      </c>
      <c r="D89" s="30">
        <f t="shared" si="1"/>
        <v>-1788786.1199999973</v>
      </c>
      <c r="E89" s="228"/>
    </row>
    <row r="90" spans="1:5">
      <c r="A90" s="29" t="s">
        <v>227</v>
      </c>
      <c r="B90" s="30">
        <v>22322353.300000001</v>
      </c>
      <c r="C90" s="30">
        <v>23088116.98</v>
      </c>
      <c r="D90" s="30">
        <f t="shared" si="1"/>
        <v>-765763.6799999997</v>
      </c>
      <c r="E90" s="228"/>
    </row>
    <row r="91" spans="1:5">
      <c r="A91" s="29" t="s">
        <v>288</v>
      </c>
      <c r="B91" s="30">
        <v>23764761.899999999</v>
      </c>
      <c r="C91" s="30">
        <v>24181569.73</v>
      </c>
      <c r="D91" s="30">
        <f t="shared" si="1"/>
        <v>-416807.83000000194</v>
      </c>
      <c r="E91" s="228"/>
    </row>
    <row r="92" spans="1:5">
      <c r="A92" s="29" t="s">
        <v>289</v>
      </c>
      <c r="B92" s="30">
        <v>24750933.178686999</v>
      </c>
      <c r="C92" s="30">
        <v>25763812.420000002</v>
      </c>
      <c r="D92" s="30">
        <f t="shared" si="1"/>
        <v>-1012879.241313003</v>
      </c>
      <c r="E92" s="228"/>
    </row>
    <row r="93" spans="1:5">
      <c r="A93" s="29" t="s">
        <v>290</v>
      </c>
      <c r="B93" s="30">
        <v>25724432.490358997</v>
      </c>
      <c r="C93" s="30">
        <v>26421483.780000001</v>
      </c>
      <c r="D93" s="30">
        <f t="shared" si="1"/>
        <v>-697051.28964100406</v>
      </c>
      <c r="E93" s="228"/>
    </row>
    <row r="94" spans="1:5">
      <c r="A94" s="29" t="s">
        <v>291</v>
      </c>
      <c r="B94" s="30">
        <v>18330607.691722997</v>
      </c>
      <c r="C94" s="30">
        <v>20446797.91</v>
      </c>
      <c r="D94" s="30">
        <f t="shared" si="1"/>
        <v>-2116190.2182770036</v>
      </c>
      <c r="E94" s="228"/>
    </row>
    <row r="95" spans="1:5">
      <c r="A95" s="29" t="s">
        <v>292</v>
      </c>
      <c r="B95" s="30">
        <v>16797666.332413003</v>
      </c>
      <c r="C95" s="30">
        <v>15545157.353120998</v>
      </c>
      <c r="D95" s="30">
        <f t="shared" si="1"/>
        <v>1252508.9792920053</v>
      </c>
      <c r="E95" s="228"/>
    </row>
    <row r="96" spans="1:5">
      <c r="A96" s="225"/>
      <c r="B96" s="199"/>
      <c r="C96" s="199"/>
      <c r="D96" s="199"/>
    </row>
    <row r="99" spans="1:1">
      <c r="A99" s="197" t="s">
        <v>234</v>
      </c>
    </row>
    <row r="100" spans="1:1">
      <c r="A100" s="7" t="s">
        <v>222</v>
      </c>
    </row>
  </sheetData>
  <mergeCells count="2">
    <mergeCell ref="A1:D1"/>
    <mergeCell ref="A2:D2"/>
  </mergeCells>
  <hyperlinks>
    <hyperlink ref="A100" location="'indice cap.2'!A1" display="regresar al índice"/>
    <hyperlink ref="A99" location="'indice cap.2'!A1" display="Notas"/>
  </hyperlink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G104"/>
  <sheetViews>
    <sheetView showGridLines="0" workbookViewId="0">
      <selection activeCell="D3" sqref="D3:F3"/>
    </sheetView>
  </sheetViews>
  <sheetFormatPr baseColWidth="10" defaultRowHeight="12.75"/>
  <cols>
    <col min="1" max="1" width="7.28515625" style="32" customWidth="1"/>
    <col min="2" max="13" width="12.7109375" style="43" customWidth="1"/>
    <col min="14" max="14" width="0.42578125" style="43" hidden="1" customWidth="1"/>
    <col min="15" max="15" width="6" style="43" hidden="1" customWidth="1"/>
    <col min="16" max="16384" width="11.42578125" style="43"/>
  </cols>
  <sheetData>
    <row r="1" spans="1:59" s="42" customFormat="1">
      <c r="A1" s="319" t="s">
        <v>293</v>
      </c>
      <c r="B1" s="318"/>
      <c r="C1" s="318"/>
      <c r="D1" s="318"/>
      <c r="E1" s="318"/>
      <c r="F1" s="318"/>
      <c r="G1" s="318"/>
      <c r="H1" s="318"/>
      <c r="I1" s="318"/>
      <c r="J1" s="318"/>
      <c r="K1" s="318"/>
      <c r="L1" s="318"/>
      <c r="M1" s="318"/>
      <c r="N1" s="31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</row>
    <row r="2" spans="1:59">
      <c r="A2" s="319" t="s">
        <v>54</v>
      </c>
      <c r="B2" s="318"/>
      <c r="C2" s="318"/>
      <c r="D2" s="318"/>
      <c r="E2" s="318"/>
      <c r="F2" s="318"/>
      <c r="G2" s="318"/>
      <c r="H2" s="318"/>
      <c r="I2" s="318"/>
      <c r="J2" s="318"/>
      <c r="K2" s="318"/>
      <c r="L2" s="318"/>
      <c r="M2" s="318"/>
      <c r="N2" s="31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</row>
    <row r="3" spans="1:59">
      <c r="B3" s="32"/>
      <c r="C3" s="32"/>
      <c r="D3" s="302"/>
      <c r="E3" s="302"/>
      <c r="F3" s="302"/>
      <c r="G3" s="32"/>
      <c r="H3" s="32"/>
      <c r="I3" s="32"/>
      <c r="J3" s="32"/>
      <c r="K3" s="32"/>
      <c r="L3" s="32"/>
      <c r="M3" s="32"/>
      <c r="N3" s="34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</row>
    <row r="4" spans="1:59">
      <c r="A4" s="327" t="s">
        <v>55</v>
      </c>
      <c r="B4" s="329" t="s">
        <v>56</v>
      </c>
      <c r="C4" s="325" t="s">
        <v>57</v>
      </c>
      <c r="D4" s="325"/>
      <c r="E4" s="325"/>
      <c r="F4" s="325" t="s">
        <v>58</v>
      </c>
      <c r="G4" s="325"/>
      <c r="H4" s="325"/>
      <c r="I4" s="325"/>
      <c r="J4" s="325"/>
      <c r="K4" s="325"/>
      <c r="L4" s="325"/>
      <c r="M4" s="326"/>
      <c r="N4" s="34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</row>
    <row r="5" spans="1:59">
      <c r="A5" s="328"/>
      <c r="B5" s="330"/>
      <c r="C5" s="322" t="s">
        <v>59</v>
      </c>
      <c r="D5" s="322" t="s">
        <v>236</v>
      </c>
      <c r="E5" s="322" t="s">
        <v>60</v>
      </c>
      <c r="F5" s="323" t="s">
        <v>59</v>
      </c>
      <c r="G5" s="322" t="s">
        <v>61</v>
      </c>
      <c r="H5" s="324"/>
      <c r="I5" s="324"/>
      <c r="J5" s="324"/>
      <c r="K5" s="324"/>
      <c r="L5" s="324"/>
      <c r="M5" s="320" t="s">
        <v>241</v>
      </c>
      <c r="N5" s="34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</row>
    <row r="6" spans="1:59" ht="25.5">
      <c r="A6" s="328"/>
      <c r="B6" s="330"/>
      <c r="C6" s="323"/>
      <c r="D6" s="323"/>
      <c r="E6" s="323"/>
      <c r="F6" s="330"/>
      <c r="G6" s="195" t="s">
        <v>59</v>
      </c>
      <c r="H6" s="195" t="s">
        <v>237</v>
      </c>
      <c r="I6" s="195" t="s">
        <v>238</v>
      </c>
      <c r="J6" s="195" t="s">
        <v>62</v>
      </c>
      <c r="K6" s="195" t="s">
        <v>239</v>
      </c>
      <c r="L6" s="195" t="s">
        <v>240</v>
      </c>
      <c r="M6" s="321"/>
      <c r="N6" s="34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</row>
    <row r="7" spans="1:59" s="21" customFormat="1">
      <c r="A7" s="24"/>
      <c r="B7" s="45" t="s">
        <v>63</v>
      </c>
      <c r="C7" s="46" t="s">
        <v>64</v>
      </c>
      <c r="D7" s="46" t="s">
        <v>65</v>
      </c>
      <c r="E7" s="46" t="s">
        <v>66</v>
      </c>
      <c r="F7" s="46" t="s">
        <v>67</v>
      </c>
      <c r="G7" s="46" t="s">
        <v>68</v>
      </c>
      <c r="H7" s="46" t="s">
        <v>69</v>
      </c>
      <c r="I7" s="46" t="s">
        <v>70</v>
      </c>
      <c r="J7" s="46" t="s">
        <v>71</v>
      </c>
      <c r="K7" s="46" t="s">
        <v>72</v>
      </c>
      <c r="L7" s="46" t="s">
        <v>73</v>
      </c>
      <c r="M7" s="47" t="s">
        <v>74</v>
      </c>
      <c r="N7" s="35"/>
    </row>
    <row r="8" spans="1:59"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33"/>
    </row>
    <row r="9" spans="1:59">
      <c r="A9" s="48">
        <v>1927</v>
      </c>
      <c r="B9" s="49">
        <v>19196</v>
      </c>
      <c r="C9" s="49">
        <v>1051</v>
      </c>
      <c r="D9" s="49">
        <v>1051</v>
      </c>
      <c r="E9" s="50" t="s">
        <v>13</v>
      </c>
      <c r="F9" s="49">
        <v>18145</v>
      </c>
      <c r="G9" s="49">
        <v>8700</v>
      </c>
      <c r="H9" s="49">
        <v>144</v>
      </c>
      <c r="I9" s="49">
        <v>1192</v>
      </c>
      <c r="J9" s="50" t="s">
        <v>13</v>
      </c>
      <c r="K9" s="49">
        <v>7364</v>
      </c>
      <c r="L9" s="50" t="s">
        <v>13</v>
      </c>
      <c r="M9" s="49">
        <v>9445</v>
      </c>
      <c r="N9" s="33"/>
    </row>
    <row r="10" spans="1:59">
      <c r="A10" s="48">
        <v>1928</v>
      </c>
      <c r="B10" s="49">
        <v>19669</v>
      </c>
      <c r="C10" s="49">
        <v>2327</v>
      </c>
      <c r="D10" s="49">
        <v>2327</v>
      </c>
      <c r="E10" s="50" t="s">
        <v>13</v>
      </c>
      <c r="F10" s="49">
        <v>17342</v>
      </c>
      <c r="G10" s="49">
        <v>9492</v>
      </c>
      <c r="H10" s="49">
        <v>143</v>
      </c>
      <c r="I10" s="49">
        <v>3441</v>
      </c>
      <c r="J10" s="50" t="s">
        <v>13</v>
      </c>
      <c r="K10" s="49">
        <v>5907</v>
      </c>
      <c r="L10" s="50" t="s">
        <v>13</v>
      </c>
      <c r="M10" s="49">
        <v>7851</v>
      </c>
      <c r="N10" s="33"/>
    </row>
    <row r="11" spans="1:59">
      <c r="A11" s="48">
        <v>1929</v>
      </c>
      <c r="B11" s="49">
        <v>17059</v>
      </c>
      <c r="C11" s="49">
        <v>3004</v>
      </c>
      <c r="D11" s="49">
        <v>3004</v>
      </c>
      <c r="E11" s="50" t="s">
        <v>13</v>
      </c>
      <c r="F11" s="49">
        <v>14055</v>
      </c>
      <c r="G11" s="49">
        <v>6680</v>
      </c>
      <c r="H11" s="49">
        <v>133</v>
      </c>
      <c r="I11" s="49">
        <v>2320</v>
      </c>
      <c r="J11" s="50" t="s">
        <v>13</v>
      </c>
      <c r="K11" s="49">
        <v>4226</v>
      </c>
      <c r="L11" s="50" t="s">
        <v>13</v>
      </c>
      <c r="M11" s="49">
        <v>7375</v>
      </c>
      <c r="N11" s="33"/>
    </row>
    <row r="12" spans="1:59">
      <c r="A12" s="48">
        <v>1930</v>
      </c>
      <c r="B12" s="49">
        <v>15970</v>
      </c>
      <c r="C12" s="49">
        <v>3128</v>
      </c>
      <c r="D12" s="49">
        <v>3128</v>
      </c>
      <c r="E12" s="50" t="s">
        <v>13</v>
      </c>
      <c r="F12" s="49">
        <v>12842</v>
      </c>
      <c r="G12" s="49">
        <v>6293</v>
      </c>
      <c r="H12" s="49">
        <v>154</v>
      </c>
      <c r="I12" s="49">
        <v>1505</v>
      </c>
      <c r="J12" s="50" t="s">
        <v>13</v>
      </c>
      <c r="K12" s="49">
        <v>4634</v>
      </c>
      <c r="L12" s="50" t="s">
        <v>13</v>
      </c>
      <c r="M12" s="49">
        <v>6549</v>
      </c>
      <c r="N12" s="33"/>
    </row>
    <row r="13" spans="1:59">
      <c r="A13" s="48">
        <v>1931</v>
      </c>
      <c r="B13" s="49">
        <v>11198</v>
      </c>
      <c r="C13" s="49">
        <v>3127</v>
      </c>
      <c r="D13" s="49">
        <v>3127</v>
      </c>
      <c r="E13" s="50" t="s">
        <v>13</v>
      </c>
      <c r="F13" s="49">
        <v>8071</v>
      </c>
      <c r="G13" s="49">
        <v>3691</v>
      </c>
      <c r="H13" s="49">
        <v>91</v>
      </c>
      <c r="I13" s="49">
        <v>1174</v>
      </c>
      <c r="J13" s="50" t="s">
        <v>13</v>
      </c>
      <c r="K13" s="49">
        <v>2426</v>
      </c>
      <c r="L13" s="50" t="s">
        <v>13</v>
      </c>
      <c r="M13" s="49">
        <v>4380</v>
      </c>
      <c r="N13" s="33"/>
    </row>
    <row r="14" spans="1:59">
      <c r="A14" s="48">
        <v>1932</v>
      </c>
      <c r="B14" s="49">
        <v>8306</v>
      </c>
      <c r="C14" s="49">
        <v>2438</v>
      </c>
      <c r="D14" s="49">
        <v>2438</v>
      </c>
      <c r="E14" s="50" t="s">
        <v>13</v>
      </c>
      <c r="F14" s="49">
        <v>5868</v>
      </c>
      <c r="G14" s="49">
        <v>3477</v>
      </c>
      <c r="H14" s="49">
        <v>40</v>
      </c>
      <c r="I14" s="49">
        <v>1432</v>
      </c>
      <c r="J14" s="50" t="s">
        <v>13</v>
      </c>
      <c r="K14" s="49">
        <v>2005</v>
      </c>
      <c r="L14" s="50" t="s">
        <v>13</v>
      </c>
      <c r="M14" s="49">
        <v>2391</v>
      </c>
      <c r="N14" s="33"/>
    </row>
    <row r="15" spans="1:59">
      <c r="A15" s="48">
        <v>1933</v>
      </c>
      <c r="B15" s="49">
        <v>7380</v>
      </c>
      <c r="C15" s="49">
        <v>1911</v>
      </c>
      <c r="D15" s="49">
        <v>1911</v>
      </c>
      <c r="E15" s="50" t="s">
        <v>13</v>
      </c>
      <c r="F15" s="49">
        <v>5469</v>
      </c>
      <c r="G15" s="49">
        <v>2458</v>
      </c>
      <c r="H15" s="49">
        <v>55</v>
      </c>
      <c r="I15" s="49">
        <v>938</v>
      </c>
      <c r="J15" s="50" t="s">
        <v>13</v>
      </c>
      <c r="K15" s="49">
        <v>1466</v>
      </c>
      <c r="L15" s="50" t="s">
        <v>13</v>
      </c>
      <c r="M15" s="49">
        <v>3011</v>
      </c>
      <c r="N15" s="33"/>
    </row>
    <row r="16" spans="1:59">
      <c r="A16" s="48">
        <v>1934</v>
      </c>
      <c r="B16" s="49">
        <v>10047</v>
      </c>
      <c r="C16" s="49">
        <v>1195</v>
      </c>
      <c r="D16" s="49">
        <v>1195</v>
      </c>
      <c r="E16" s="50" t="s">
        <v>13</v>
      </c>
      <c r="F16" s="49">
        <v>8852</v>
      </c>
      <c r="G16" s="49">
        <v>6005</v>
      </c>
      <c r="H16" s="49">
        <v>258</v>
      </c>
      <c r="I16" s="49">
        <v>2482</v>
      </c>
      <c r="J16" s="50" t="s">
        <v>13</v>
      </c>
      <c r="K16" s="49">
        <v>3265</v>
      </c>
      <c r="L16" s="50" t="s">
        <v>13</v>
      </c>
      <c r="M16" s="49">
        <v>2847</v>
      </c>
      <c r="N16" s="33"/>
    </row>
    <row r="17" spans="1:14">
      <c r="A17" s="48">
        <v>1935</v>
      </c>
      <c r="B17" s="49">
        <v>10738</v>
      </c>
      <c r="C17" s="49">
        <v>1405</v>
      </c>
      <c r="D17" s="49">
        <v>1405</v>
      </c>
      <c r="E17" s="50" t="s">
        <v>13</v>
      </c>
      <c r="F17" s="49">
        <v>9333</v>
      </c>
      <c r="G17" s="49">
        <v>4080</v>
      </c>
      <c r="H17" s="49">
        <v>303</v>
      </c>
      <c r="I17" s="49">
        <v>1430</v>
      </c>
      <c r="J17" s="50" t="s">
        <v>13</v>
      </c>
      <c r="K17" s="49">
        <v>2348</v>
      </c>
      <c r="L17" s="50" t="s">
        <v>13</v>
      </c>
      <c r="M17" s="49">
        <v>5253</v>
      </c>
      <c r="N17" s="33"/>
    </row>
    <row r="18" spans="1:14">
      <c r="A18" s="48">
        <v>1936</v>
      </c>
      <c r="B18" s="49">
        <v>13908</v>
      </c>
      <c r="C18" s="49">
        <v>1280</v>
      </c>
      <c r="D18" s="49">
        <v>1280</v>
      </c>
      <c r="E18" s="50" t="s">
        <v>13</v>
      </c>
      <c r="F18" s="49">
        <v>12628</v>
      </c>
      <c r="G18" s="49">
        <v>5169</v>
      </c>
      <c r="H18" s="49">
        <v>186</v>
      </c>
      <c r="I18" s="49">
        <v>1925</v>
      </c>
      <c r="J18" s="50" t="s">
        <v>13</v>
      </c>
      <c r="K18" s="49">
        <v>3059</v>
      </c>
      <c r="L18" s="50" t="s">
        <v>13</v>
      </c>
      <c r="M18" s="49">
        <v>7459</v>
      </c>
      <c r="N18" s="33"/>
    </row>
    <row r="19" spans="1:14">
      <c r="A19" s="48">
        <v>1937</v>
      </c>
      <c r="B19" s="49">
        <v>14060</v>
      </c>
      <c r="C19" s="49">
        <v>1884</v>
      </c>
      <c r="D19" s="49">
        <v>1884</v>
      </c>
      <c r="E19" s="50" t="s">
        <v>13</v>
      </c>
      <c r="F19" s="49">
        <v>12176</v>
      </c>
      <c r="G19" s="49">
        <v>7299</v>
      </c>
      <c r="H19" s="49">
        <v>517</v>
      </c>
      <c r="I19" s="49">
        <v>2238</v>
      </c>
      <c r="J19" s="50" t="s">
        <v>13</v>
      </c>
      <c r="K19" s="49">
        <v>4544</v>
      </c>
      <c r="L19" s="50" t="s">
        <v>13</v>
      </c>
      <c r="M19" s="49">
        <v>4877</v>
      </c>
      <c r="N19" s="33"/>
    </row>
    <row r="20" spans="1:14">
      <c r="A20" s="48">
        <v>1938</v>
      </c>
      <c r="B20" s="49">
        <v>11967</v>
      </c>
      <c r="C20" s="49">
        <v>1866</v>
      </c>
      <c r="D20" s="49">
        <v>1866</v>
      </c>
      <c r="E20" s="50" t="s">
        <v>13</v>
      </c>
      <c r="F20" s="49">
        <v>10101</v>
      </c>
      <c r="G20" s="49">
        <v>4735</v>
      </c>
      <c r="H20" s="49">
        <v>563</v>
      </c>
      <c r="I20" s="49">
        <v>1245</v>
      </c>
      <c r="J20" s="50" t="s">
        <v>13</v>
      </c>
      <c r="K20" s="49">
        <v>2927</v>
      </c>
      <c r="L20" s="50" t="s">
        <v>13</v>
      </c>
      <c r="M20" s="49">
        <v>5366</v>
      </c>
      <c r="N20" s="33"/>
    </row>
    <row r="21" spans="1:14">
      <c r="A21" s="48">
        <v>1939</v>
      </c>
      <c r="B21" s="49">
        <v>11268</v>
      </c>
      <c r="C21" s="49">
        <v>1687</v>
      </c>
      <c r="D21" s="49">
        <v>1687</v>
      </c>
      <c r="E21" s="50" t="s">
        <v>13</v>
      </c>
      <c r="F21" s="49">
        <v>9581</v>
      </c>
      <c r="G21" s="49">
        <v>4084</v>
      </c>
      <c r="H21" s="49">
        <v>483</v>
      </c>
      <c r="I21" s="49">
        <v>1049</v>
      </c>
      <c r="J21" s="50" t="s">
        <v>13</v>
      </c>
      <c r="K21" s="49">
        <v>2552</v>
      </c>
      <c r="L21" s="50" t="s">
        <v>13</v>
      </c>
      <c r="M21" s="49">
        <v>5497</v>
      </c>
      <c r="N21" s="33"/>
    </row>
    <row r="22" spans="1:14">
      <c r="A22" s="48">
        <v>1940</v>
      </c>
      <c r="B22" s="49">
        <v>10463</v>
      </c>
      <c r="C22" s="49">
        <v>1550</v>
      </c>
      <c r="D22" s="49">
        <v>1550</v>
      </c>
      <c r="E22" s="50" t="s">
        <v>13</v>
      </c>
      <c r="F22" s="49">
        <v>8913</v>
      </c>
      <c r="G22" s="49">
        <v>3339</v>
      </c>
      <c r="H22" s="49">
        <v>413</v>
      </c>
      <c r="I22" s="49">
        <v>1048</v>
      </c>
      <c r="J22" s="50" t="s">
        <v>13</v>
      </c>
      <c r="K22" s="49">
        <v>1878</v>
      </c>
      <c r="L22" s="50" t="s">
        <v>13</v>
      </c>
      <c r="M22" s="49">
        <v>5574</v>
      </c>
      <c r="N22" s="33"/>
    </row>
    <row r="23" spans="1:14">
      <c r="A23" s="48">
        <v>1941</v>
      </c>
      <c r="B23" s="49">
        <v>13313</v>
      </c>
      <c r="C23" s="49">
        <v>895</v>
      </c>
      <c r="D23" s="49">
        <v>895</v>
      </c>
      <c r="E23" s="50" t="s">
        <v>13</v>
      </c>
      <c r="F23" s="49">
        <v>12418</v>
      </c>
      <c r="G23" s="49">
        <v>3928</v>
      </c>
      <c r="H23" s="49">
        <v>291</v>
      </c>
      <c r="I23" s="49">
        <v>1489</v>
      </c>
      <c r="J23" s="50" t="s">
        <v>13</v>
      </c>
      <c r="K23" s="49">
        <v>2148</v>
      </c>
      <c r="L23" s="50" t="s">
        <v>13</v>
      </c>
      <c r="M23" s="49">
        <v>8490</v>
      </c>
      <c r="N23" s="33"/>
    </row>
    <row r="24" spans="1:14">
      <c r="A24" s="48">
        <v>1942</v>
      </c>
      <c r="B24" s="49">
        <v>20753</v>
      </c>
      <c r="C24" s="49">
        <v>1725</v>
      </c>
      <c r="D24" s="49">
        <v>1725</v>
      </c>
      <c r="E24" s="50" t="s">
        <v>13</v>
      </c>
      <c r="F24" s="49">
        <v>19028</v>
      </c>
      <c r="G24" s="49">
        <v>4077</v>
      </c>
      <c r="H24" s="49">
        <v>208</v>
      </c>
      <c r="I24" s="49">
        <v>1160</v>
      </c>
      <c r="J24" s="50" t="s">
        <v>13</v>
      </c>
      <c r="K24" s="49">
        <v>2708</v>
      </c>
      <c r="L24" s="50" t="s">
        <v>13</v>
      </c>
      <c r="M24" s="49">
        <v>14951</v>
      </c>
      <c r="N24" s="33"/>
    </row>
    <row r="25" spans="1:14">
      <c r="A25" s="48">
        <v>1943</v>
      </c>
      <c r="B25" s="49">
        <v>27880</v>
      </c>
      <c r="C25" s="49">
        <v>1688</v>
      </c>
      <c r="D25" s="49">
        <v>1688</v>
      </c>
      <c r="E25" s="50" t="s">
        <v>13</v>
      </c>
      <c r="F25" s="49">
        <v>26192</v>
      </c>
      <c r="G25" s="49">
        <v>6180</v>
      </c>
      <c r="H25" s="49">
        <v>154</v>
      </c>
      <c r="I25" s="49">
        <v>2353</v>
      </c>
      <c r="J25" s="50" t="s">
        <v>13</v>
      </c>
      <c r="K25" s="49">
        <v>3673</v>
      </c>
      <c r="L25" s="50" t="s">
        <v>13</v>
      </c>
      <c r="M25" s="49">
        <v>20012</v>
      </c>
      <c r="N25" s="33"/>
    </row>
    <row r="26" spans="1:14">
      <c r="A26" s="48">
        <v>1944</v>
      </c>
      <c r="B26" s="49">
        <v>33259</v>
      </c>
      <c r="C26" s="49">
        <v>2052</v>
      </c>
      <c r="D26" s="49">
        <v>2052</v>
      </c>
      <c r="E26" s="50" t="s">
        <v>13</v>
      </c>
      <c r="F26" s="49">
        <v>31207</v>
      </c>
      <c r="G26" s="49">
        <v>5639</v>
      </c>
      <c r="H26" s="49">
        <v>135</v>
      </c>
      <c r="I26" s="49">
        <v>2527</v>
      </c>
      <c r="J26" s="50" t="s">
        <v>13</v>
      </c>
      <c r="K26" s="49">
        <v>2978</v>
      </c>
      <c r="L26" s="50" t="s">
        <v>13</v>
      </c>
      <c r="M26" s="49">
        <v>25568</v>
      </c>
      <c r="N26" s="33"/>
    </row>
    <row r="27" spans="1:14">
      <c r="A27" s="48">
        <v>1945</v>
      </c>
      <c r="B27" s="49">
        <v>27745</v>
      </c>
      <c r="C27" s="49">
        <v>2082</v>
      </c>
      <c r="D27" s="49">
        <v>2082</v>
      </c>
      <c r="E27" s="50" t="s">
        <v>13</v>
      </c>
      <c r="F27" s="49">
        <v>25663</v>
      </c>
      <c r="G27" s="49">
        <v>6629</v>
      </c>
      <c r="H27" s="49">
        <v>211</v>
      </c>
      <c r="I27" s="49">
        <v>2486</v>
      </c>
      <c r="J27" s="50" t="s">
        <v>13</v>
      </c>
      <c r="K27" s="49">
        <v>3932</v>
      </c>
      <c r="L27" s="50" t="s">
        <v>13</v>
      </c>
      <c r="M27" s="49">
        <v>19034</v>
      </c>
      <c r="N27" s="33"/>
    </row>
    <row r="28" spans="1:14">
      <c r="A28" s="48">
        <v>1946</v>
      </c>
      <c r="B28" s="49">
        <v>40084</v>
      </c>
      <c r="C28" s="49">
        <v>1352</v>
      </c>
      <c r="D28" s="49">
        <v>1352</v>
      </c>
      <c r="E28" s="50" t="s">
        <v>13</v>
      </c>
      <c r="F28" s="49">
        <v>38732</v>
      </c>
      <c r="G28" s="49">
        <v>8723</v>
      </c>
      <c r="H28" s="49">
        <v>551</v>
      </c>
      <c r="I28" s="49">
        <v>2580</v>
      </c>
      <c r="J28" s="50" t="s">
        <v>13</v>
      </c>
      <c r="K28" s="49">
        <v>5592</v>
      </c>
      <c r="L28" s="50" t="s">
        <v>13</v>
      </c>
      <c r="M28" s="49">
        <v>30009</v>
      </c>
      <c r="N28" s="33"/>
    </row>
    <row r="29" spans="1:14">
      <c r="A29" s="48">
        <v>1947</v>
      </c>
      <c r="B29" s="49">
        <v>46258</v>
      </c>
      <c r="C29" s="49">
        <v>1178</v>
      </c>
      <c r="D29" s="49">
        <v>1178</v>
      </c>
      <c r="E29" s="50" t="s">
        <v>13</v>
      </c>
      <c r="F29" s="49">
        <v>45080</v>
      </c>
      <c r="G29" s="49">
        <v>20101</v>
      </c>
      <c r="H29" s="49">
        <v>1730</v>
      </c>
      <c r="I29" s="49">
        <v>3830</v>
      </c>
      <c r="J29" s="50" t="s">
        <v>13</v>
      </c>
      <c r="K29" s="49">
        <v>14541</v>
      </c>
      <c r="L29" s="50" t="s">
        <v>13</v>
      </c>
      <c r="M29" s="49">
        <v>24979</v>
      </c>
      <c r="N29" s="33"/>
    </row>
    <row r="30" spans="1:14">
      <c r="A30" s="48">
        <v>1948</v>
      </c>
      <c r="B30" s="49">
        <v>49025</v>
      </c>
      <c r="C30" s="49">
        <v>1937</v>
      </c>
      <c r="D30" s="49">
        <v>1937</v>
      </c>
      <c r="E30" s="50" t="s">
        <v>13</v>
      </c>
      <c r="F30" s="49">
        <v>47088</v>
      </c>
      <c r="G30" s="49">
        <v>23226</v>
      </c>
      <c r="H30" s="49">
        <v>2761</v>
      </c>
      <c r="I30" s="49">
        <v>7138</v>
      </c>
      <c r="J30" s="50" t="s">
        <v>13</v>
      </c>
      <c r="K30" s="49">
        <v>13327</v>
      </c>
      <c r="L30" s="50" t="s">
        <v>13</v>
      </c>
      <c r="M30" s="49">
        <v>23862</v>
      </c>
      <c r="N30" s="33"/>
    </row>
    <row r="31" spans="1:14">
      <c r="A31" s="48">
        <v>1949</v>
      </c>
      <c r="B31" s="49">
        <v>31378</v>
      </c>
      <c r="C31" s="49">
        <v>1246</v>
      </c>
      <c r="D31" s="49">
        <v>1246</v>
      </c>
      <c r="E31" s="50" t="s">
        <v>13</v>
      </c>
      <c r="F31" s="49">
        <v>30132</v>
      </c>
      <c r="G31" s="49">
        <v>19214</v>
      </c>
      <c r="H31" s="49">
        <v>4944</v>
      </c>
      <c r="I31" s="49">
        <v>5439</v>
      </c>
      <c r="J31" s="50" t="s">
        <v>13</v>
      </c>
      <c r="K31" s="49">
        <v>8831</v>
      </c>
      <c r="L31" s="50" t="s">
        <v>13</v>
      </c>
      <c r="M31" s="49">
        <v>10918</v>
      </c>
      <c r="N31" s="33"/>
    </row>
    <row r="32" spans="1:14">
      <c r="A32" s="48">
        <v>1950</v>
      </c>
      <c r="B32" s="49">
        <v>64243</v>
      </c>
      <c r="C32" s="49">
        <v>1352</v>
      </c>
      <c r="D32" s="49">
        <v>1352</v>
      </c>
      <c r="E32" s="50" t="s">
        <v>13</v>
      </c>
      <c r="F32" s="49">
        <v>62891</v>
      </c>
      <c r="G32" s="49">
        <v>45103</v>
      </c>
      <c r="H32" s="49">
        <v>7854</v>
      </c>
      <c r="I32" s="49">
        <v>18872</v>
      </c>
      <c r="J32" s="50" t="s">
        <v>13</v>
      </c>
      <c r="K32" s="49">
        <v>18377</v>
      </c>
      <c r="L32" s="50" t="s">
        <v>13</v>
      </c>
      <c r="M32" s="49">
        <v>17788</v>
      </c>
      <c r="N32" s="33"/>
    </row>
    <row r="33" spans="1:14">
      <c r="A33" s="48">
        <v>1951</v>
      </c>
      <c r="B33" s="49">
        <v>52160</v>
      </c>
      <c r="C33" s="49">
        <v>1382</v>
      </c>
      <c r="D33" s="49">
        <v>1382</v>
      </c>
      <c r="E33" s="50" t="s">
        <v>13</v>
      </c>
      <c r="F33" s="49">
        <v>50778</v>
      </c>
      <c r="G33" s="49">
        <v>44891</v>
      </c>
      <c r="H33" s="49">
        <v>11252</v>
      </c>
      <c r="I33" s="49">
        <v>15810</v>
      </c>
      <c r="J33" s="50" t="s">
        <v>13</v>
      </c>
      <c r="K33" s="49">
        <v>17829</v>
      </c>
      <c r="L33" s="50" t="s">
        <v>13</v>
      </c>
      <c r="M33" s="49">
        <v>5887</v>
      </c>
      <c r="N33" s="33"/>
    </row>
    <row r="34" spans="1:14">
      <c r="A34" s="48">
        <v>1952</v>
      </c>
      <c r="B34" s="49">
        <v>76702</v>
      </c>
      <c r="C34" s="49">
        <v>990</v>
      </c>
      <c r="D34" s="49">
        <v>990</v>
      </c>
      <c r="E34" s="50" t="s">
        <v>13</v>
      </c>
      <c r="F34" s="49">
        <v>75712</v>
      </c>
      <c r="G34" s="49">
        <v>58570</v>
      </c>
      <c r="H34" s="49">
        <v>21380</v>
      </c>
      <c r="I34" s="49">
        <v>20147</v>
      </c>
      <c r="J34" s="50" t="s">
        <v>13</v>
      </c>
      <c r="K34" s="49">
        <v>17043</v>
      </c>
      <c r="L34" s="50" t="s">
        <v>13</v>
      </c>
      <c r="M34" s="49">
        <v>17143</v>
      </c>
      <c r="N34" s="33"/>
    </row>
    <row r="35" spans="1:14">
      <c r="A35" s="48">
        <v>1953</v>
      </c>
      <c r="B35" s="49">
        <v>72698</v>
      </c>
      <c r="C35" s="49">
        <v>1568</v>
      </c>
      <c r="D35" s="49">
        <v>1568</v>
      </c>
      <c r="E35" s="50" t="s">
        <v>13</v>
      </c>
      <c r="F35" s="49">
        <v>71130</v>
      </c>
      <c r="G35" s="49">
        <v>58093</v>
      </c>
      <c r="H35" s="49">
        <v>23674</v>
      </c>
      <c r="I35" s="49">
        <v>18862</v>
      </c>
      <c r="J35" s="50" t="s">
        <v>13</v>
      </c>
      <c r="K35" s="49">
        <v>15557</v>
      </c>
      <c r="L35" s="50" t="s">
        <v>13</v>
      </c>
      <c r="M35" s="49">
        <v>13037</v>
      </c>
      <c r="N35" s="33"/>
    </row>
    <row r="36" spans="1:14">
      <c r="A36" s="48">
        <v>1954</v>
      </c>
      <c r="B36" s="49">
        <v>100219</v>
      </c>
      <c r="C36" s="49">
        <v>1495</v>
      </c>
      <c r="D36" s="49">
        <v>1495</v>
      </c>
      <c r="E36" s="50" t="s">
        <v>13</v>
      </c>
      <c r="F36" s="49">
        <v>98724</v>
      </c>
      <c r="G36" s="49">
        <v>89379</v>
      </c>
      <c r="H36" s="49">
        <v>27671</v>
      </c>
      <c r="I36" s="49">
        <v>27571</v>
      </c>
      <c r="J36" s="50" t="s">
        <v>13</v>
      </c>
      <c r="K36" s="49">
        <v>34137</v>
      </c>
      <c r="L36" s="50" t="s">
        <v>13</v>
      </c>
      <c r="M36" s="49">
        <v>9345</v>
      </c>
      <c r="N36" s="33"/>
    </row>
    <row r="37" spans="1:14">
      <c r="A37" s="48">
        <v>1955</v>
      </c>
      <c r="B37" s="49">
        <v>89861</v>
      </c>
      <c r="C37" s="49">
        <v>1599</v>
      </c>
      <c r="D37" s="49">
        <v>1599</v>
      </c>
      <c r="E37" s="50" t="s">
        <v>13</v>
      </c>
      <c r="F37" s="49">
        <v>88262</v>
      </c>
      <c r="G37" s="49">
        <v>78559</v>
      </c>
      <c r="H37" s="49">
        <v>36761</v>
      </c>
      <c r="I37" s="49">
        <v>23053</v>
      </c>
      <c r="J37" s="50" t="s">
        <v>13</v>
      </c>
      <c r="K37" s="49">
        <v>18746</v>
      </c>
      <c r="L37" s="50" t="s">
        <v>13</v>
      </c>
      <c r="M37" s="49">
        <v>9703</v>
      </c>
      <c r="N37" s="33"/>
    </row>
    <row r="38" spans="1:14">
      <c r="A38" s="48">
        <v>1956</v>
      </c>
      <c r="B38" s="49">
        <v>94430</v>
      </c>
      <c r="C38" s="49">
        <v>872</v>
      </c>
      <c r="D38" s="49">
        <v>872</v>
      </c>
      <c r="E38" s="50" t="s">
        <v>13</v>
      </c>
      <c r="F38" s="49">
        <v>93558</v>
      </c>
      <c r="G38" s="49">
        <v>83258</v>
      </c>
      <c r="H38" s="49">
        <v>36505</v>
      </c>
      <c r="I38" s="49">
        <v>29328</v>
      </c>
      <c r="J38" s="50" t="s">
        <v>13</v>
      </c>
      <c r="K38" s="49">
        <v>17424</v>
      </c>
      <c r="L38" s="50" t="s">
        <v>13</v>
      </c>
      <c r="M38" s="49">
        <v>10300</v>
      </c>
      <c r="N38" s="33"/>
    </row>
    <row r="39" spans="1:14">
      <c r="A39" s="48">
        <v>1957</v>
      </c>
      <c r="B39" s="49">
        <v>98636</v>
      </c>
      <c r="C39" s="49">
        <v>1254</v>
      </c>
      <c r="D39" s="49">
        <v>1254</v>
      </c>
      <c r="E39" s="51" t="s">
        <v>13</v>
      </c>
      <c r="F39" s="49">
        <v>97382</v>
      </c>
      <c r="G39" s="49">
        <v>83041</v>
      </c>
      <c r="H39" s="49">
        <v>34520</v>
      </c>
      <c r="I39" s="49">
        <v>29908</v>
      </c>
      <c r="J39" s="51" t="s">
        <v>13</v>
      </c>
      <c r="K39" s="49">
        <v>18613</v>
      </c>
      <c r="L39" s="51" t="s">
        <v>13</v>
      </c>
      <c r="M39" s="49">
        <v>14341</v>
      </c>
      <c r="N39" s="38"/>
    </row>
    <row r="40" spans="1:14">
      <c r="A40" s="48">
        <v>1958</v>
      </c>
      <c r="B40" s="49">
        <v>96382</v>
      </c>
      <c r="C40" s="49">
        <v>779</v>
      </c>
      <c r="D40" s="49">
        <v>779</v>
      </c>
      <c r="E40" s="51" t="s">
        <v>13</v>
      </c>
      <c r="F40" s="49">
        <v>95603</v>
      </c>
      <c r="G40" s="49">
        <v>80501</v>
      </c>
      <c r="H40" s="49">
        <v>33848</v>
      </c>
      <c r="I40" s="49">
        <v>26274</v>
      </c>
      <c r="J40" s="51" t="s">
        <v>13</v>
      </c>
      <c r="K40" s="49">
        <v>20379</v>
      </c>
      <c r="L40" s="51" t="s">
        <v>13</v>
      </c>
      <c r="M40" s="49">
        <v>15102</v>
      </c>
      <c r="N40" s="38"/>
    </row>
    <row r="41" spans="1:14">
      <c r="A41" s="48">
        <v>1959</v>
      </c>
      <c r="B41" s="49">
        <v>97245</v>
      </c>
      <c r="C41" s="49">
        <v>318</v>
      </c>
      <c r="D41" s="49">
        <v>318</v>
      </c>
      <c r="E41" s="51" t="s">
        <v>13</v>
      </c>
      <c r="F41" s="49">
        <v>96927</v>
      </c>
      <c r="G41" s="49">
        <v>83528</v>
      </c>
      <c r="H41" s="49">
        <v>44261</v>
      </c>
      <c r="I41" s="49">
        <v>17502</v>
      </c>
      <c r="J41" s="51" t="s">
        <v>13</v>
      </c>
      <c r="K41" s="49">
        <v>21765</v>
      </c>
      <c r="L41" s="51" t="s">
        <v>13</v>
      </c>
      <c r="M41" s="49">
        <v>13399</v>
      </c>
      <c r="N41" s="38"/>
    </row>
    <row r="42" spans="1:14">
      <c r="A42" s="48">
        <v>1960</v>
      </c>
      <c r="B42" s="49">
        <v>102561</v>
      </c>
      <c r="C42" s="50" t="s">
        <v>13</v>
      </c>
      <c r="D42" s="50" t="s">
        <v>13</v>
      </c>
      <c r="E42" s="51" t="s">
        <v>13</v>
      </c>
      <c r="F42" s="49">
        <v>102561</v>
      </c>
      <c r="G42" s="49">
        <v>90023</v>
      </c>
      <c r="H42" s="49">
        <v>45267</v>
      </c>
      <c r="I42" s="49">
        <v>21946</v>
      </c>
      <c r="J42" s="51">
        <v>1050</v>
      </c>
      <c r="K42" s="49">
        <v>21414</v>
      </c>
      <c r="L42" s="49">
        <v>346</v>
      </c>
      <c r="M42" s="49">
        <v>12538</v>
      </c>
      <c r="N42" s="38"/>
    </row>
    <row r="43" spans="1:14">
      <c r="A43" s="48">
        <v>1961</v>
      </c>
      <c r="B43" s="49">
        <v>96647</v>
      </c>
      <c r="C43" s="50" t="s">
        <v>13</v>
      </c>
      <c r="D43" s="50" t="s">
        <v>13</v>
      </c>
      <c r="E43" s="51" t="s">
        <v>13</v>
      </c>
      <c r="F43" s="49">
        <v>96647</v>
      </c>
      <c r="G43" s="49">
        <v>80019</v>
      </c>
      <c r="H43" s="49">
        <v>48005</v>
      </c>
      <c r="I43" s="49">
        <v>14602</v>
      </c>
      <c r="J43" s="49">
        <v>1799</v>
      </c>
      <c r="K43" s="49">
        <v>15180</v>
      </c>
      <c r="L43" s="49">
        <v>433</v>
      </c>
      <c r="M43" s="49">
        <v>16628</v>
      </c>
      <c r="N43" s="38"/>
    </row>
    <row r="44" spans="1:14">
      <c r="A44" s="48">
        <v>1962</v>
      </c>
      <c r="B44" s="49">
        <v>116917</v>
      </c>
      <c r="C44" s="49">
        <v>163</v>
      </c>
      <c r="D44" s="49">
        <v>163</v>
      </c>
      <c r="E44" s="51" t="s">
        <v>13</v>
      </c>
      <c r="F44" s="49">
        <v>116754</v>
      </c>
      <c r="G44" s="49">
        <v>101472</v>
      </c>
      <c r="H44" s="49">
        <v>62306</v>
      </c>
      <c r="I44" s="49">
        <v>20953</v>
      </c>
      <c r="J44" s="49">
        <v>1949</v>
      </c>
      <c r="K44" s="49">
        <v>15913</v>
      </c>
      <c r="L44" s="49">
        <v>351</v>
      </c>
      <c r="M44" s="49">
        <v>15282</v>
      </c>
      <c r="N44" s="38"/>
    </row>
    <row r="45" spans="1:14">
      <c r="A45" s="48">
        <v>1963</v>
      </c>
      <c r="B45" s="49">
        <v>131215</v>
      </c>
      <c r="C45" s="49">
        <v>172</v>
      </c>
      <c r="D45" s="49">
        <v>172</v>
      </c>
      <c r="E45" s="51" t="s">
        <v>13</v>
      </c>
      <c r="F45" s="49">
        <v>131043</v>
      </c>
      <c r="G45" s="49">
        <v>107931</v>
      </c>
      <c r="H45" s="49">
        <v>67833</v>
      </c>
      <c r="I45" s="49">
        <v>18255</v>
      </c>
      <c r="J45" s="49">
        <v>1703</v>
      </c>
      <c r="K45" s="49">
        <v>19795</v>
      </c>
      <c r="L45" s="49">
        <v>345</v>
      </c>
      <c r="M45" s="49">
        <v>23112</v>
      </c>
      <c r="N45" s="38"/>
    </row>
    <row r="46" spans="1:14">
      <c r="A46" s="48">
        <v>1964</v>
      </c>
      <c r="B46" s="49">
        <v>130364</v>
      </c>
      <c r="C46" s="49">
        <v>520</v>
      </c>
      <c r="D46" s="49">
        <v>520</v>
      </c>
      <c r="E46" s="51" t="s">
        <v>13</v>
      </c>
      <c r="F46" s="49">
        <v>129844</v>
      </c>
      <c r="G46" s="49">
        <v>108611</v>
      </c>
      <c r="H46" s="49">
        <v>68951</v>
      </c>
      <c r="I46" s="49">
        <v>21165</v>
      </c>
      <c r="J46" s="49">
        <v>1742</v>
      </c>
      <c r="K46" s="49">
        <v>16194</v>
      </c>
      <c r="L46" s="49">
        <v>559</v>
      </c>
      <c r="M46" s="49">
        <v>21233</v>
      </c>
      <c r="N46" s="38"/>
    </row>
    <row r="47" spans="1:14">
      <c r="A47" s="48">
        <v>1965</v>
      </c>
      <c r="B47" s="49">
        <v>133790</v>
      </c>
      <c r="C47" s="49">
        <v>2140</v>
      </c>
      <c r="D47" s="49">
        <v>2140</v>
      </c>
      <c r="E47" s="51" t="s">
        <v>13</v>
      </c>
      <c r="F47" s="49">
        <v>131650</v>
      </c>
      <c r="G47" s="49">
        <v>107274</v>
      </c>
      <c r="H47" s="49">
        <v>49997</v>
      </c>
      <c r="I47" s="49">
        <v>34902</v>
      </c>
      <c r="J47" s="49">
        <v>1982</v>
      </c>
      <c r="K47" s="49">
        <v>19489</v>
      </c>
      <c r="L47" s="49">
        <v>904</v>
      </c>
      <c r="M47" s="49">
        <v>24376</v>
      </c>
      <c r="N47" s="38"/>
    </row>
    <row r="48" spans="1:14">
      <c r="A48" s="48">
        <v>1966</v>
      </c>
      <c r="B48" s="49">
        <v>147499</v>
      </c>
      <c r="C48" s="50" t="s">
        <v>13</v>
      </c>
      <c r="D48" s="50" t="s">
        <v>13</v>
      </c>
      <c r="E48" s="51" t="s">
        <v>13</v>
      </c>
      <c r="F48" s="49">
        <v>147499</v>
      </c>
      <c r="G48" s="49">
        <v>111934</v>
      </c>
      <c r="H48" s="49">
        <v>59393</v>
      </c>
      <c r="I48" s="49">
        <v>32539</v>
      </c>
      <c r="J48" s="49">
        <v>2003</v>
      </c>
      <c r="K48" s="49">
        <v>16960</v>
      </c>
      <c r="L48" s="49">
        <v>1039</v>
      </c>
      <c r="M48" s="49">
        <v>35565</v>
      </c>
      <c r="N48" s="38"/>
    </row>
    <row r="49" spans="1:14">
      <c r="A49" s="48">
        <v>1967</v>
      </c>
      <c r="B49" s="49">
        <v>166036</v>
      </c>
      <c r="C49" s="50" t="s">
        <v>13</v>
      </c>
      <c r="D49" s="50" t="s">
        <v>13</v>
      </c>
      <c r="E49" s="51" t="s">
        <v>13</v>
      </c>
      <c r="F49" s="49">
        <v>166036</v>
      </c>
      <c r="G49" s="49">
        <v>134315</v>
      </c>
      <c r="H49" s="49">
        <v>67158</v>
      </c>
      <c r="I49" s="49">
        <v>39831</v>
      </c>
      <c r="J49" s="49">
        <v>2184</v>
      </c>
      <c r="K49" s="49">
        <v>23497</v>
      </c>
      <c r="L49" s="49">
        <v>1645</v>
      </c>
      <c r="M49" s="49">
        <v>31721</v>
      </c>
      <c r="N49" s="38"/>
    </row>
    <row r="50" spans="1:14">
      <c r="A50" s="48">
        <v>1968</v>
      </c>
      <c r="B50" s="49">
        <v>176559</v>
      </c>
      <c r="C50" s="49">
        <v>1079</v>
      </c>
      <c r="D50" s="49">
        <v>1079</v>
      </c>
      <c r="E50" s="51" t="s">
        <v>13</v>
      </c>
      <c r="F50" s="49">
        <v>175480</v>
      </c>
      <c r="G50" s="49">
        <v>169249</v>
      </c>
      <c r="H50" s="49">
        <v>92219</v>
      </c>
      <c r="I50" s="49">
        <v>34667</v>
      </c>
      <c r="J50" s="49">
        <v>2196</v>
      </c>
      <c r="K50" s="49">
        <v>38883</v>
      </c>
      <c r="L50" s="49">
        <v>1284</v>
      </c>
      <c r="M50" s="49">
        <v>6231</v>
      </c>
      <c r="N50" s="38"/>
    </row>
    <row r="51" spans="1:14">
      <c r="A51" s="48">
        <v>1969</v>
      </c>
      <c r="B51" s="49">
        <v>151886</v>
      </c>
      <c r="C51" s="49">
        <v>615</v>
      </c>
      <c r="D51" s="49">
        <v>615</v>
      </c>
      <c r="E51" s="51" t="s">
        <v>13</v>
      </c>
      <c r="F51" s="49">
        <v>151271</v>
      </c>
      <c r="G51" s="49">
        <v>123612</v>
      </c>
      <c r="H51" s="49">
        <v>68175</v>
      </c>
      <c r="I51" s="49">
        <v>26045</v>
      </c>
      <c r="J51" s="49">
        <v>2990</v>
      </c>
      <c r="K51" s="49">
        <v>24240</v>
      </c>
      <c r="L51" s="49">
        <v>2162</v>
      </c>
      <c r="M51" s="49">
        <v>27659</v>
      </c>
      <c r="N51" s="38"/>
    </row>
    <row r="52" spans="1:14">
      <c r="A52" s="48">
        <v>1970</v>
      </c>
      <c r="B52" s="49">
        <v>189929</v>
      </c>
      <c r="C52" s="49">
        <v>935</v>
      </c>
      <c r="D52" s="49">
        <v>834</v>
      </c>
      <c r="E52" s="51">
        <v>101</v>
      </c>
      <c r="F52" s="49">
        <v>188994</v>
      </c>
      <c r="G52" s="49">
        <v>159393</v>
      </c>
      <c r="H52" s="49">
        <v>83229</v>
      </c>
      <c r="I52" s="49">
        <v>50002</v>
      </c>
      <c r="J52" s="49">
        <v>1706</v>
      </c>
      <c r="K52" s="49">
        <v>22182</v>
      </c>
      <c r="L52" s="49">
        <v>2274</v>
      </c>
      <c r="M52" s="49">
        <v>29601</v>
      </c>
      <c r="N52" s="38"/>
    </row>
    <row r="53" spans="1:14">
      <c r="A53" s="48">
        <v>1971</v>
      </c>
      <c r="B53" s="49">
        <v>199075</v>
      </c>
      <c r="C53" s="49">
        <v>2043</v>
      </c>
      <c r="D53" s="49">
        <v>1154</v>
      </c>
      <c r="E53" s="49">
        <v>889</v>
      </c>
      <c r="F53" s="49">
        <v>197032</v>
      </c>
      <c r="G53" s="49">
        <v>158052</v>
      </c>
      <c r="H53" s="49">
        <v>88157</v>
      </c>
      <c r="I53" s="49">
        <v>36100</v>
      </c>
      <c r="J53" s="49">
        <v>4363</v>
      </c>
      <c r="K53" s="49">
        <v>24332</v>
      </c>
      <c r="L53" s="49">
        <v>5100</v>
      </c>
      <c r="M53" s="49">
        <v>38980</v>
      </c>
      <c r="N53" s="38"/>
    </row>
    <row r="54" spans="1:14">
      <c r="A54" s="48">
        <v>1972</v>
      </c>
      <c r="B54" s="49">
        <v>326292</v>
      </c>
      <c r="C54" s="49">
        <v>59900</v>
      </c>
      <c r="D54" s="49">
        <v>59452</v>
      </c>
      <c r="E54" s="49">
        <v>448</v>
      </c>
      <c r="F54" s="49">
        <v>266392</v>
      </c>
      <c r="G54" s="49">
        <v>216998</v>
      </c>
      <c r="H54" s="49">
        <v>130991</v>
      </c>
      <c r="I54" s="49">
        <v>46900</v>
      </c>
      <c r="J54" s="49">
        <v>13024</v>
      </c>
      <c r="K54" s="49">
        <v>23628</v>
      </c>
      <c r="L54" s="49">
        <v>2365</v>
      </c>
      <c r="M54" s="49">
        <v>49394</v>
      </c>
      <c r="N54" s="38"/>
    </row>
    <row r="55" spans="1:14">
      <c r="A55" s="48">
        <v>1973</v>
      </c>
      <c r="B55" s="49">
        <v>532048</v>
      </c>
      <c r="C55" s="49">
        <v>282746</v>
      </c>
      <c r="D55" s="49">
        <v>282057</v>
      </c>
      <c r="E55" s="49">
        <v>689</v>
      </c>
      <c r="F55" s="49">
        <v>249302</v>
      </c>
      <c r="G55" s="49">
        <v>179804</v>
      </c>
      <c r="H55" s="49">
        <v>74126</v>
      </c>
      <c r="I55" s="49">
        <v>65427</v>
      </c>
      <c r="J55" s="49">
        <v>9172</v>
      </c>
      <c r="K55" s="49">
        <v>26016</v>
      </c>
      <c r="L55" s="49">
        <v>5063</v>
      </c>
      <c r="M55" s="49">
        <v>69498</v>
      </c>
      <c r="N55" s="38"/>
    </row>
    <row r="56" spans="1:14">
      <c r="A56" s="48">
        <v>1974</v>
      </c>
      <c r="B56" s="49">
        <v>1123548</v>
      </c>
      <c r="C56" s="49">
        <v>696720</v>
      </c>
      <c r="D56" s="49">
        <v>692769</v>
      </c>
      <c r="E56" s="49">
        <v>3951</v>
      </c>
      <c r="F56" s="49">
        <v>426828</v>
      </c>
      <c r="G56" s="49">
        <v>313428</v>
      </c>
      <c r="H56" s="49">
        <v>126723</v>
      </c>
      <c r="I56" s="49">
        <v>67156</v>
      </c>
      <c r="J56" s="49">
        <v>11390</v>
      </c>
      <c r="K56" s="49">
        <v>102603</v>
      </c>
      <c r="L56" s="49">
        <v>5556</v>
      </c>
      <c r="M56" s="49">
        <v>113400</v>
      </c>
      <c r="N56" s="38"/>
    </row>
    <row r="57" spans="1:14">
      <c r="A57" s="48">
        <v>1975</v>
      </c>
      <c r="B57" s="49">
        <v>897055</v>
      </c>
      <c r="C57" s="49">
        <v>587118</v>
      </c>
      <c r="D57" s="49">
        <v>587118</v>
      </c>
      <c r="E57" s="50" t="s">
        <v>13</v>
      </c>
      <c r="F57" s="49">
        <v>309937</v>
      </c>
      <c r="G57" s="49">
        <v>270304</v>
      </c>
      <c r="H57" s="49">
        <v>138652</v>
      </c>
      <c r="I57" s="49">
        <v>65532</v>
      </c>
      <c r="J57" s="49">
        <v>14239</v>
      </c>
      <c r="K57" s="49">
        <v>42165</v>
      </c>
      <c r="L57" s="49">
        <v>9716</v>
      </c>
      <c r="M57" s="49">
        <v>39633</v>
      </c>
      <c r="N57" s="38"/>
    </row>
    <row r="58" spans="1:14">
      <c r="A58" s="48">
        <v>1976</v>
      </c>
      <c r="B58" s="49">
        <v>1127331</v>
      </c>
      <c r="C58" s="49">
        <v>740927</v>
      </c>
      <c r="D58" s="49">
        <v>739290</v>
      </c>
      <c r="E58" s="49">
        <v>1637</v>
      </c>
      <c r="F58" s="49">
        <v>386404</v>
      </c>
      <c r="G58" s="49">
        <v>360476</v>
      </c>
      <c r="H58" s="49">
        <v>103223</v>
      </c>
      <c r="I58" s="49">
        <v>192793</v>
      </c>
      <c r="J58" s="49">
        <v>24569</v>
      </c>
      <c r="K58" s="49">
        <v>31461</v>
      </c>
      <c r="L58" s="49">
        <v>8430</v>
      </c>
      <c r="M58" s="49">
        <v>25928</v>
      </c>
      <c r="N58" s="38"/>
    </row>
    <row r="59" spans="1:14">
      <c r="A59" s="48">
        <v>1977</v>
      </c>
      <c r="B59" s="49">
        <v>1436274</v>
      </c>
      <c r="C59" s="49">
        <v>718107</v>
      </c>
      <c r="D59" s="49">
        <v>702280</v>
      </c>
      <c r="E59" s="49">
        <v>15827</v>
      </c>
      <c r="F59" s="49">
        <v>718167</v>
      </c>
      <c r="G59" s="49">
        <v>419172</v>
      </c>
      <c r="H59" s="49">
        <v>148259</v>
      </c>
      <c r="I59" s="49">
        <v>175006</v>
      </c>
      <c r="J59" s="49">
        <v>25567</v>
      </c>
      <c r="K59" s="49">
        <v>59954</v>
      </c>
      <c r="L59" s="49">
        <v>10386</v>
      </c>
      <c r="M59" s="49">
        <v>298995</v>
      </c>
      <c r="N59" s="38"/>
    </row>
    <row r="60" spans="1:14">
      <c r="A60" s="48">
        <v>1978</v>
      </c>
      <c r="B60" s="49">
        <v>1493758</v>
      </c>
      <c r="C60" s="49">
        <v>713935</v>
      </c>
      <c r="D60" s="49">
        <v>622555</v>
      </c>
      <c r="E60" s="49">
        <v>91380</v>
      </c>
      <c r="F60" s="49">
        <v>779823</v>
      </c>
      <c r="G60" s="49">
        <v>505922</v>
      </c>
      <c r="H60" s="49">
        <v>150935</v>
      </c>
      <c r="I60" s="49">
        <v>265719</v>
      </c>
      <c r="J60" s="49">
        <v>30125</v>
      </c>
      <c r="K60" s="49">
        <v>50093</v>
      </c>
      <c r="L60" s="49">
        <v>9050</v>
      </c>
      <c r="M60" s="49">
        <v>273901</v>
      </c>
      <c r="N60" s="38"/>
    </row>
    <row r="61" spans="1:14">
      <c r="A61" s="48">
        <v>1979</v>
      </c>
      <c r="B61" s="49">
        <v>2172703</v>
      </c>
      <c r="C61" s="49">
        <v>1181630</v>
      </c>
      <c r="D61" s="49">
        <v>1036212</v>
      </c>
      <c r="E61" s="49">
        <v>145418</v>
      </c>
      <c r="F61" s="49">
        <v>991073</v>
      </c>
      <c r="G61" s="49">
        <v>521100</v>
      </c>
      <c r="H61" s="49">
        <v>156540</v>
      </c>
      <c r="I61" s="49">
        <v>263848</v>
      </c>
      <c r="J61" s="49">
        <v>45011</v>
      </c>
      <c r="K61" s="49">
        <v>40264</v>
      </c>
      <c r="L61" s="49">
        <v>15437</v>
      </c>
      <c r="M61" s="49">
        <v>469973</v>
      </c>
      <c r="N61" s="38"/>
    </row>
    <row r="62" spans="1:14">
      <c r="A62" s="48">
        <v>1980</v>
      </c>
      <c r="B62" s="49">
        <v>2506242</v>
      </c>
      <c r="C62" s="49">
        <v>1586586</v>
      </c>
      <c r="D62" s="49">
        <v>1393927</v>
      </c>
      <c r="E62" s="49">
        <v>192659</v>
      </c>
      <c r="F62" s="49">
        <v>919656</v>
      </c>
      <c r="G62" s="49">
        <v>656727</v>
      </c>
      <c r="H62" s="49">
        <v>237080</v>
      </c>
      <c r="I62" s="49">
        <v>144129</v>
      </c>
      <c r="J62" s="49">
        <v>56884</v>
      </c>
      <c r="K62" s="49">
        <v>211131</v>
      </c>
      <c r="L62" s="49">
        <v>7503</v>
      </c>
      <c r="M62" s="49">
        <v>262929</v>
      </c>
      <c r="N62" s="38"/>
    </row>
    <row r="63" spans="1:14">
      <c r="A63" s="48">
        <v>1981</v>
      </c>
      <c r="B63" s="49">
        <v>2541368</v>
      </c>
      <c r="C63" s="49">
        <v>1725595</v>
      </c>
      <c r="D63" s="49">
        <v>1559061</v>
      </c>
      <c r="E63" s="49">
        <v>166534</v>
      </c>
      <c r="F63" s="49">
        <v>815773</v>
      </c>
      <c r="G63" s="49">
        <v>562784</v>
      </c>
      <c r="H63" s="49">
        <v>207878</v>
      </c>
      <c r="I63" s="49">
        <v>123574</v>
      </c>
      <c r="J63" s="49">
        <v>77524</v>
      </c>
      <c r="K63" s="49">
        <v>149649</v>
      </c>
      <c r="L63" s="49">
        <v>4159</v>
      </c>
      <c r="M63" s="49">
        <v>252989</v>
      </c>
      <c r="N63" s="38"/>
    </row>
    <row r="64" spans="1:14">
      <c r="A64" s="48">
        <v>1982</v>
      </c>
      <c r="B64" s="49">
        <v>2237416</v>
      </c>
      <c r="C64" s="49">
        <v>1527082</v>
      </c>
      <c r="D64" s="49">
        <v>1390178</v>
      </c>
      <c r="E64" s="49">
        <v>136904</v>
      </c>
      <c r="F64" s="49">
        <v>710334</v>
      </c>
      <c r="G64" s="49">
        <v>600139</v>
      </c>
      <c r="H64" s="49">
        <v>213296</v>
      </c>
      <c r="I64" s="49">
        <v>139517</v>
      </c>
      <c r="J64" s="49">
        <v>122349</v>
      </c>
      <c r="K64" s="49">
        <v>119006</v>
      </c>
      <c r="L64" s="49">
        <v>5971</v>
      </c>
      <c r="M64" s="49">
        <v>110195</v>
      </c>
      <c r="N64" s="38"/>
    </row>
    <row r="65" spans="1:14">
      <c r="A65" s="48">
        <v>1983</v>
      </c>
      <c r="B65" s="49">
        <v>2225646</v>
      </c>
      <c r="C65" s="49">
        <v>1603072</v>
      </c>
      <c r="D65" s="49">
        <v>1502031</v>
      </c>
      <c r="E65" s="49">
        <v>101041</v>
      </c>
      <c r="F65" s="49">
        <v>622574</v>
      </c>
      <c r="G65" s="49">
        <v>527403</v>
      </c>
      <c r="H65" s="49">
        <v>152926</v>
      </c>
      <c r="I65" s="49">
        <v>167968</v>
      </c>
      <c r="J65" s="49">
        <v>175075</v>
      </c>
      <c r="K65" s="49">
        <v>28262</v>
      </c>
      <c r="L65" s="49">
        <v>3172</v>
      </c>
      <c r="M65" s="49">
        <v>95171</v>
      </c>
      <c r="N65" s="38"/>
    </row>
    <row r="66" spans="1:14">
      <c r="A66" s="48">
        <v>1984</v>
      </c>
      <c r="B66" s="49">
        <v>2620419</v>
      </c>
      <c r="C66" s="49">
        <v>1834635</v>
      </c>
      <c r="D66" s="49">
        <v>1678235</v>
      </c>
      <c r="E66" s="49">
        <v>156400</v>
      </c>
      <c r="F66" s="49">
        <v>785784</v>
      </c>
      <c r="G66" s="49">
        <v>643209</v>
      </c>
      <c r="H66" s="49">
        <v>135179</v>
      </c>
      <c r="I66" s="49">
        <v>196770</v>
      </c>
      <c r="J66" s="49">
        <v>159839</v>
      </c>
      <c r="K66" s="49">
        <v>146347</v>
      </c>
      <c r="L66" s="49">
        <v>5074</v>
      </c>
      <c r="M66" s="49">
        <v>142575</v>
      </c>
      <c r="N66" s="38"/>
    </row>
    <row r="67" spans="1:14">
      <c r="A67" s="48">
        <v>1985</v>
      </c>
      <c r="B67" s="49">
        <v>2904736</v>
      </c>
      <c r="C67" s="49">
        <v>1926579</v>
      </c>
      <c r="D67" s="49">
        <v>1824662</v>
      </c>
      <c r="E67" s="49">
        <v>101917</v>
      </c>
      <c r="F67" s="49">
        <v>978157</v>
      </c>
      <c r="G67" s="49">
        <v>812096</v>
      </c>
      <c r="H67" s="49">
        <v>219984</v>
      </c>
      <c r="I67" s="49">
        <v>208911</v>
      </c>
      <c r="J67" s="49">
        <v>156485</v>
      </c>
      <c r="K67" s="49">
        <v>217174</v>
      </c>
      <c r="L67" s="49">
        <v>9542</v>
      </c>
      <c r="M67" s="49">
        <v>166061</v>
      </c>
      <c r="N67" s="38"/>
    </row>
    <row r="68" spans="1:14">
      <c r="A68" s="48">
        <v>1986</v>
      </c>
      <c r="B68" s="49">
        <v>2185849</v>
      </c>
      <c r="C68" s="49">
        <v>982510</v>
      </c>
      <c r="D68" s="49">
        <v>912398</v>
      </c>
      <c r="E68" s="49">
        <v>70112</v>
      </c>
      <c r="F68" s="49">
        <v>1203339</v>
      </c>
      <c r="G68" s="49">
        <v>1052798</v>
      </c>
      <c r="H68" s="49">
        <v>263402</v>
      </c>
      <c r="I68" s="49">
        <v>327760</v>
      </c>
      <c r="J68" s="49">
        <v>287880</v>
      </c>
      <c r="K68" s="49">
        <v>148272</v>
      </c>
      <c r="L68" s="49">
        <v>25484</v>
      </c>
      <c r="M68" s="49">
        <v>150541</v>
      </c>
      <c r="N68" s="38"/>
    </row>
    <row r="69" spans="1:14">
      <c r="A69" s="48">
        <v>1987</v>
      </c>
      <c r="B69" s="49">
        <v>2013687.3923187673</v>
      </c>
      <c r="C69" s="49">
        <v>809981.39231876726</v>
      </c>
      <c r="D69" s="49">
        <v>647272.47216772637</v>
      </c>
      <c r="E69" s="49">
        <v>78214.7</v>
      </c>
      <c r="F69" s="49">
        <v>1203706</v>
      </c>
      <c r="G69" s="49">
        <v>1037133.7999999998</v>
      </c>
      <c r="H69" s="49">
        <v>266934.40000000002</v>
      </c>
      <c r="I69" s="49">
        <v>211042.99999999997</v>
      </c>
      <c r="J69" s="49">
        <v>383135.39999999997</v>
      </c>
      <c r="K69" s="49">
        <v>139903.1</v>
      </c>
      <c r="L69" s="49">
        <v>36117.899999999994</v>
      </c>
      <c r="M69" s="49">
        <v>166572.19999999998</v>
      </c>
      <c r="N69" s="38"/>
    </row>
    <row r="70" spans="1:14">
      <c r="A70" s="48">
        <v>1988</v>
      </c>
      <c r="B70" s="49">
        <v>2193501.1</v>
      </c>
      <c r="C70" s="49">
        <v>976780.35</v>
      </c>
      <c r="D70" s="49">
        <v>875174.3</v>
      </c>
      <c r="E70" s="49">
        <v>101606.05</v>
      </c>
      <c r="F70" s="49">
        <v>1216720.75</v>
      </c>
      <c r="G70" s="49">
        <v>1014808.8</v>
      </c>
      <c r="H70" s="49">
        <v>297802.09999999998</v>
      </c>
      <c r="I70" s="49">
        <v>169819.7</v>
      </c>
      <c r="J70" s="49">
        <v>387046.2</v>
      </c>
      <c r="K70" s="49">
        <v>125325.8</v>
      </c>
      <c r="L70" s="49">
        <v>34815</v>
      </c>
      <c r="M70" s="49">
        <v>201911.95</v>
      </c>
      <c r="N70" s="38"/>
    </row>
    <row r="71" spans="1:14">
      <c r="A71" s="52">
        <v>1989</v>
      </c>
      <c r="B71" s="53">
        <v>2353883</v>
      </c>
      <c r="C71" s="49">
        <v>1147438.3999999999</v>
      </c>
      <c r="D71" s="49">
        <v>1032716.2</v>
      </c>
      <c r="E71" s="49">
        <v>114722.2</v>
      </c>
      <c r="F71" s="49">
        <v>1206444.5999999999</v>
      </c>
      <c r="G71" s="49">
        <v>1017042.1999999998</v>
      </c>
      <c r="H71" s="49">
        <v>369533.9</v>
      </c>
      <c r="I71" s="49">
        <v>161932.79999999999</v>
      </c>
      <c r="J71" s="49">
        <v>328221.7</v>
      </c>
      <c r="K71" s="49">
        <v>108379.1</v>
      </c>
      <c r="L71" s="49">
        <v>48974.7</v>
      </c>
      <c r="M71" s="49">
        <v>189402.4</v>
      </c>
      <c r="N71" s="38"/>
    </row>
    <row r="72" spans="1:14">
      <c r="A72" s="48">
        <v>1990</v>
      </c>
      <c r="B72" s="49">
        <v>2724132.75</v>
      </c>
      <c r="C72" s="49">
        <v>1418384.55</v>
      </c>
      <c r="D72" s="49">
        <v>1268150.95</v>
      </c>
      <c r="E72" s="49">
        <v>150233.60000000001</v>
      </c>
      <c r="F72" s="49">
        <v>1305748.2</v>
      </c>
      <c r="G72" s="49">
        <v>1119653.6100000001</v>
      </c>
      <c r="H72" s="49">
        <v>471078.06</v>
      </c>
      <c r="I72" s="49">
        <v>129890.2</v>
      </c>
      <c r="J72" s="49">
        <v>340287.85</v>
      </c>
      <c r="K72" s="49">
        <v>130698.32</v>
      </c>
      <c r="L72" s="49">
        <v>47699.18</v>
      </c>
      <c r="M72" s="49">
        <v>186094.59</v>
      </c>
      <c r="N72" s="38"/>
    </row>
    <row r="73" spans="1:14">
      <c r="A73" s="48">
        <v>1991</v>
      </c>
      <c r="B73" s="49">
        <v>2851012.68</v>
      </c>
      <c r="C73" s="49">
        <v>1151719.8500000001</v>
      </c>
      <c r="D73" s="49">
        <v>1058594.48</v>
      </c>
      <c r="E73" s="49">
        <v>93125.37</v>
      </c>
      <c r="F73" s="49">
        <v>1699292.83</v>
      </c>
      <c r="G73" s="49">
        <v>1480816.93</v>
      </c>
      <c r="H73" s="49">
        <v>719629.78</v>
      </c>
      <c r="I73" s="49">
        <v>109953.21</v>
      </c>
      <c r="J73" s="49">
        <v>491388.04</v>
      </c>
      <c r="K73" s="49">
        <v>112769.75</v>
      </c>
      <c r="L73" s="49">
        <v>47076.15</v>
      </c>
      <c r="M73" s="49">
        <v>218475.9</v>
      </c>
      <c r="N73" s="38"/>
    </row>
    <row r="74" spans="1:14">
      <c r="A74" s="48">
        <v>1992</v>
      </c>
      <c r="B74" s="49">
        <v>3101526.59</v>
      </c>
      <c r="C74" s="49">
        <v>1345326.09</v>
      </c>
      <c r="D74" s="49">
        <v>1259596.25</v>
      </c>
      <c r="E74" s="49">
        <v>85729.84</v>
      </c>
      <c r="F74" s="49">
        <v>1756200.5</v>
      </c>
      <c r="G74" s="49">
        <v>1438431.31</v>
      </c>
      <c r="H74" s="49">
        <v>683375.77</v>
      </c>
      <c r="I74" s="49">
        <v>82131.86</v>
      </c>
      <c r="J74" s="49">
        <v>542423.76</v>
      </c>
      <c r="K74" s="49">
        <v>74888.14</v>
      </c>
      <c r="L74" s="49">
        <v>55611.78</v>
      </c>
      <c r="M74" s="49">
        <v>317769.19</v>
      </c>
      <c r="N74" s="38"/>
    </row>
    <row r="75" spans="1:14">
      <c r="A75" s="48">
        <v>1993</v>
      </c>
      <c r="B75" s="49">
        <v>3065615.43</v>
      </c>
      <c r="C75" s="49">
        <v>1256653.08</v>
      </c>
      <c r="D75" s="49">
        <v>1152143.8</v>
      </c>
      <c r="E75" s="49">
        <v>104509.28</v>
      </c>
      <c r="F75" s="49">
        <v>1808962.35</v>
      </c>
      <c r="G75" s="49">
        <v>1293397.4099999999</v>
      </c>
      <c r="H75" s="49">
        <v>567580.35</v>
      </c>
      <c r="I75" s="49">
        <v>117092.98</v>
      </c>
      <c r="J75" s="49">
        <v>470629.59</v>
      </c>
      <c r="K75" s="49">
        <v>83298.52</v>
      </c>
      <c r="L75" s="49">
        <v>54795.97</v>
      </c>
      <c r="M75" s="49">
        <v>515564.94</v>
      </c>
      <c r="N75" s="38"/>
    </row>
    <row r="76" spans="1:14">
      <c r="A76" s="48">
        <v>1994</v>
      </c>
      <c r="B76" s="49">
        <v>3842682.68</v>
      </c>
      <c r="C76" s="49">
        <v>1304827.19</v>
      </c>
      <c r="D76" s="49">
        <v>1185033.01</v>
      </c>
      <c r="E76" s="49">
        <v>119794.18</v>
      </c>
      <c r="F76" s="49">
        <v>2537855.4900000002</v>
      </c>
      <c r="G76" s="49">
        <v>1847842.58</v>
      </c>
      <c r="H76" s="49">
        <v>708369.08</v>
      </c>
      <c r="I76" s="49">
        <v>413818.22</v>
      </c>
      <c r="J76" s="49">
        <v>550920.94999999995</v>
      </c>
      <c r="K76" s="49">
        <v>101820.81</v>
      </c>
      <c r="L76" s="49">
        <v>72913.52</v>
      </c>
      <c r="M76" s="49">
        <v>690012.91</v>
      </c>
      <c r="N76" s="38"/>
    </row>
    <row r="77" spans="1:14">
      <c r="A77" s="48">
        <v>1995</v>
      </c>
      <c r="B77" s="53">
        <v>4380706.16</v>
      </c>
      <c r="C77" s="49">
        <v>1529936.65</v>
      </c>
      <c r="D77" s="49">
        <v>1395479.55</v>
      </c>
      <c r="E77" s="49">
        <v>134457.1</v>
      </c>
      <c r="F77" s="49">
        <v>2850769.51</v>
      </c>
      <c r="G77" s="49">
        <v>1996020.9</v>
      </c>
      <c r="H77" s="49">
        <v>856632.7</v>
      </c>
      <c r="I77" s="49">
        <v>243871.96</v>
      </c>
      <c r="J77" s="49">
        <v>673494.33</v>
      </c>
      <c r="K77" s="49">
        <v>132976.13</v>
      </c>
      <c r="L77" s="49">
        <v>89045.78</v>
      </c>
      <c r="M77" s="49">
        <v>854748.61</v>
      </c>
      <c r="N77" s="38"/>
    </row>
    <row r="78" spans="1:14">
      <c r="A78" s="48">
        <v>1996</v>
      </c>
      <c r="B78" s="53">
        <v>4872648.26</v>
      </c>
      <c r="C78" s="49">
        <v>1748674.88</v>
      </c>
      <c r="D78" s="49">
        <v>1520815.39</v>
      </c>
      <c r="E78" s="49">
        <v>227859.49</v>
      </c>
      <c r="F78" s="49">
        <v>3123973.38</v>
      </c>
      <c r="G78" s="49">
        <v>2012432.9</v>
      </c>
      <c r="H78" s="49">
        <v>973035</v>
      </c>
      <c r="I78" s="49">
        <v>159543.76</v>
      </c>
      <c r="J78" s="49">
        <v>631469.11</v>
      </c>
      <c r="K78" s="49">
        <v>163580.24</v>
      </c>
      <c r="L78" s="49">
        <v>84804.79</v>
      </c>
      <c r="M78" s="49">
        <v>1111540.48</v>
      </c>
      <c r="N78" s="38"/>
    </row>
    <row r="79" spans="1:14">
      <c r="A79" s="48">
        <v>1997</v>
      </c>
      <c r="B79" s="53">
        <v>5264363</v>
      </c>
      <c r="C79" s="49">
        <v>1557265.6</v>
      </c>
      <c r="D79" s="49">
        <v>1411576.76</v>
      </c>
      <c r="E79" s="49">
        <v>145688.84</v>
      </c>
      <c r="F79" s="49">
        <v>3707097.4</v>
      </c>
      <c r="G79" s="49">
        <v>2565200.5299999998</v>
      </c>
      <c r="H79" s="49">
        <v>1327177.21</v>
      </c>
      <c r="I79" s="49">
        <v>121454.28</v>
      </c>
      <c r="J79" s="49">
        <v>885981.79</v>
      </c>
      <c r="K79" s="49">
        <v>131750.5</v>
      </c>
      <c r="L79" s="49">
        <v>98836.75</v>
      </c>
      <c r="M79" s="49">
        <v>1141896.8700000001</v>
      </c>
      <c r="N79" s="38"/>
    </row>
    <row r="80" spans="1:14">
      <c r="A80" s="48">
        <v>1998</v>
      </c>
      <c r="B80" s="53">
        <v>4203048.76</v>
      </c>
      <c r="C80" s="49">
        <v>922944.7</v>
      </c>
      <c r="D80" s="49">
        <v>788974.27</v>
      </c>
      <c r="E80" s="49">
        <v>133970.43</v>
      </c>
      <c r="F80" s="49">
        <v>3280104.06</v>
      </c>
      <c r="G80" s="49">
        <v>2177119.15</v>
      </c>
      <c r="H80" s="49">
        <v>1070128.54</v>
      </c>
      <c r="I80" s="49">
        <v>105067.42</v>
      </c>
      <c r="J80" s="49">
        <v>872282.13</v>
      </c>
      <c r="K80" s="49">
        <v>47099.64</v>
      </c>
      <c r="L80" s="49">
        <v>82541.42</v>
      </c>
      <c r="M80" s="49">
        <v>1102984.9099999999</v>
      </c>
      <c r="N80" s="38"/>
    </row>
    <row r="81" spans="1:18">
      <c r="A81" s="48">
        <v>1999</v>
      </c>
      <c r="B81" s="53">
        <v>4451084.4000000004</v>
      </c>
      <c r="C81" s="49">
        <v>1479682.47</v>
      </c>
      <c r="D81" s="49">
        <v>1312311.1299999999</v>
      </c>
      <c r="E81" s="49">
        <v>167371.34</v>
      </c>
      <c r="F81" s="49">
        <v>2971401.93</v>
      </c>
      <c r="G81" s="49">
        <v>1815336.78</v>
      </c>
      <c r="H81" s="49">
        <v>954377.96</v>
      </c>
      <c r="I81" s="49">
        <v>78102.490000000005</v>
      </c>
      <c r="J81" s="49">
        <v>607136.55000000005</v>
      </c>
      <c r="K81" s="49">
        <v>106345.19</v>
      </c>
      <c r="L81" s="49">
        <v>69374.59</v>
      </c>
      <c r="M81" s="49">
        <v>1156065.1499999999</v>
      </c>
      <c r="N81" s="38"/>
    </row>
    <row r="82" spans="1:18" s="42" customFormat="1">
      <c r="A82" s="48">
        <v>2000</v>
      </c>
      <c r="B82" s="53">
        <v>4907005.37</v>
      </c>
      <c r="C82" s="49">
        <v>2418165.4500000002</v>
      </c>
      <c r="D82" s="49">
        <v>2135964.59</v>
      </c>
      <c r="E82" s="49">
        <v>282200.86</v>
      </c>
      <c r="F82" s="49">
        <v>2488839.92</v>
      </c>
      <c r="G82" s="49">
        <v>1305735.6499999999</v>
      </c>
      <c r="H82" s="49">
        <v>821374.08</v>
      </c>
      <c r="I82" s="49">
        <v>45583.839999999997</v>
      </c>
      <c r="J82" s="49">
        <v>285433.84000000003</v>
      </c>
      <c r="K82" s="49">
        <v>77360.92</v>
      </c>
      <c r="L82" s="49">
        <v>75982.97</v>
      </c>
      <c r="M82" s="49">
        <v>1183104.27</v>
      </c>
      <c r="N82" s="37"/>
    </row>
    <row r="83" spans="1:18" s="42" customFormat="1">
      <c r="A83" s="48">
        <v>2001</v>
      </c>
      <c r="B83" s="53">
        <v>4678436.4800000004</v>
      </c>
      <c r="C83" s="49">
        <v>1899993.77</v>
      </c>
      <c r="D83" s="49">
        <v>1722331.5</v>
      </c>
      <c r="E83" s="49">
        <v>177662.27</v>
      </c>
      <c r="F83" s="49">
        <v>2778442.71</v>
      </c>
      <c r="G83" s="49">
        <v>1368624.34</v>
      </c>
      <c r="H83" s="49">
        <v>864514.88</v>
      </c>
      <c r="I83" s="49">
        <v>44103.97</v>
      </c>
      <c r="J83" s="49">
        <v>281385.90000000002</v>
      </c>
      <c r="K83" s="49">
        <v>86610.43</v>
      </c>
      <c r="L83" s="49">
        <v>92009.16</v>
      </c>
      <c r="M83" s="49">
        <v>1409818.37</v>
      </c>
      <c r="N83" s="37"/>
    </row>
    <row r="84" spans="1:18" s="14" customFormat="1">
      <c r="A84" s="48">
        <v>2002</v>
      </c>
      <c r="B84" s="53">
        <v>5036121.21</v>
      </c>
      <c r="C84" s="49">
        <v>2054988.24</v>
      </c>
      <c r="D84" s="49">
        <v>1839024.32</v>
      </c>
      <c r="E84" s="49">
        <v>215963.92</v>
      </c>
      <c r="F84" s="49">
        <v>2981132.97</v>
      </c>
      <c r="G84" s="49">
        <v>1480750.35</v>
      </c>
      <c r="H84" s="49">
        <v>969339.98</v>
      </c>
      <c r="I84" s="49">
        <v>41688.9</v>
      </c>
      <c r="J84" s="49">
        <v>252718.17</v>
      </c>
      <c r="K84" s="49">
        <v>129056.61</v>
      </c>
      <c r="L84" s="49">
        <v>87946.69</v>
      </c>
      <c r="M84" s="49">
        <v>1500382.62</v>
      </c>
      <c r="N84" s="32"/>
      <c r="O84" s="40"/>
      <c r="P84" s="32"/>
      <c r="Q84" s="40"/>
      <c r="R84" s="40"/>
    </row>
    <row r="85" spans="1:18" s="14" customFormat="1">
      <c r="A85" s="48">
        <v>2003</v>
      </c>
      <c r="B85" s="53">
        <v>6222692.8700000001</v>
      </c>
      <c r="C85" s="49">
        <v>2606819.12</v>
      </c>
      <c r="D85" s="49">
        <v>2372314.15</v>
      </c>
      <c r="E85" s="49">
        <v>234504.97</v>
      </c>
      <c r="F85" s="49">
        <v>3615873.75</v>
      </c>
      <c r="G85" s="49">
        <v>1737366.67</v>
      </c>
      <c r="H85" s="49">
        <v>1100799.5</v>
      </c>
      <c r="I85" s="49">
        <v>70423.05</v>
      </c>
      <c r="J85" s="49">
        <v>298963.96000000002</v>
      </c>
      <c r="K85" s="49">
        <v>169641.48</v>
      </c>
      <c r="L85" s="49">
        <v>97538.68</v>
      </c>
      <c r="M85" s="49">
        <v>1878507.08</v>
      </c>
      <c r="N85" s="32"/>
      <c r="O85" s="40"/>
      <c r="P85" s="32"/>
      <c r="Q85" s="40"/>
      <c r="R85" s="40"/>
    </row>
    <row r="86" spans="1:18" s="14" customFormat="1">
      <c r="A86" s="48">
        <v>2004</v>
      </c>
      <c r="B86" s="53">
        <v>7752891.4699999997</v>
      </c>
      <c r="C86" s="49">
        <v>4233992.83</v>
      </c>
      <c r="D86" s="49">
        <v>3898508.4</v>
      </c>
      <c r="E86" s="49">
        <v>335484.43</v>
      </c>
      <c r="F86" s="49">
        <v>3518898.64</v>
      </c>
      <c r="G86" s="49">
        <v>1673873.82</v>
      </c>
      <c r="H86" s="49">
        <v>1023609.78</v>
      </c>
      <c r="I86" s="49">
        <v>84136.320000000007</v>
      </c>
      <c r="J86" s="49">
        <v>329792.78000000003</v>
      </c>
      <c r="K86" s="49">
        <v>154234.70000000001</v>
      </c>
      <c r="L86" s="49">
        <v>82100.240000000005</v>
      </c>
      <c r="M86" s="49">
        <v>1845024.82</v>
      </c>
      <c r="N86" s="32"/>
      <c r="O86" s="40"/>
      <c r="P86" s="32"/>
      <c r="Q86" s="40"/>
      <c r="R86" s="40"/>
    </row>
    <row r="87" spans="1:18" s="14" customFormat="1">
      <c r="A87" s="48">
        <v>2005</v>
      </c>
      <c r="B87" s="53">
        <v>10100030.82</v>
      </c>
      <c r="C87" s="49">
        <v>5869849.8600000003</v>
      </c>
      <c r="D87" s="49">
        <v>5396840.0499999998</v>
      </c>
      <c r="E87" s="49">
        <v>473009.81</v>
      </c>
      <c r="F87" s="49">
        <v>4230180.96</v>
      </c>
      <c r="G87" s="49">
        <v>1925282.57</v>
      </c>
      <c r="H87" s="49">
        <v>1084394.3899999999</v>
      </c>
      <c r="I87" s="49">
        <v>92249.11</v>
      </c>
      <c r="J87" s="49">
        <v>457538.68</v>
      </c>
      <c r="K87" s="49">
        <v>176125.79</v>
      </c>
      <c r="L87" s="49">
        <v>114974.6</v>
      </c>
      <c r="M87" s="49">
        <v>2304898.39</v>
      </c>
      <c r="N87" s="41"/>
      <c r="O87" s="41"/>
      <c r="P87" s="41"/>
      <c r="Q87" s="41"/>
      <c r="R87" s="41"/>
    </row>
    <row r="88" spans="1:18" s="14" customFormat="1">
      <c r="A88" s="48">
        <v>2006</v>
      </c>
      <c r="B88" s="53">
        <v>12728147.6</v>
      </c>
      <c r="C88" s="49">
        <v>7544510.3300000001</v>
      </c>
      <c r="D88" s="49">
        <v>6934010.0599999996</v>
      </c>
      <c r="E88" s="49">
        <v>610500.27</v>
      </c>
      <c r="F88" s="49">
        <v>5183637.2699999996</v>
      </c>
      <c r="G88" s="49">
        <v>2200175.4700000002</v>
      </c>
      <c r="H88" s="49">
        <v>1213489.27</v>
      </c>
      <c r="I88" s="49">
        <v>99423.23</v>
      </c>
      <c r="J88" s="49">
        <v>588160.1</v>
      </c>
      <c r="K88" s="49">
        <v>171087.79</v>
      </c>
      <c r="L88" s="49">
        <v>128015.08</v>
      </c>
      <c r="M88" s="49">
        <v>2983461.8</v>
      </c>
      <c r="N88" s="32"/>
      <c r="O88" s="40"/>
      <c r="P88" s="32"/>
      <c r="Q88" s="40"/>
    </row>
    <row r="89" spans="1:18" s="14" customFormat="1">
      <c r="A89" s="48">
        <v>2007</v>
      </c>
      <c r="B89" s="53">
        <v>14321315.439999999</v>
      </c>
      <c r="C89" s="49">
        <v>8328565.8799999999</v>
      </c>
      <c r="D89" s="49">
        <v>7428356.0300000003</v>
      </c>
      <c r="E89" s="49">
        <v>900209.85</v>
      </c>
      <c r="F89" s="49">
        <v>5992749.5599999996</v>
      </c>
      <c r="G89" s="49">
        <v>2447093.83</v>
      </c>
      <c r="H89" s="49">
        <v>1302548.98</v>
      </c>
      <c r="I89" s="49">
        <v>123300.37</v>
      </c>
      <c r="J89" s="49">
        <v>612887.17000000004</v>
      </c>
      <c r="K89" s="49">
        <v>239361.37</v>
      </c>
      <c r="L89" s="49">
        <v>168995.94</v>
      </c>
      <c r="M89" s="49">
        <v>3545655.73</v>
      </c>
      <c r="N89" s="32"/>
      <c r="O89" s="40"/>
      <c r="P89" s="302"/>
      <c r="Q89" s="40"/>
    </row>
    <row r="90" spans="1:18" s="14" customFormat="1">
      <c r="A90" s="48">
        <v>2008</v>
      </c>
      <c r="B90" s="53">
        <v>18818326.850000001</v>
      </c>
      <c r="C90" s="49">
        <v>11720589.310000001</v>
      </c>
      <c r="D90" s="49">
        <v>10567947.4</v>
      </c>
      <c r="E90" s="49">
        <v>1152641.9099999999</v>
      </c>
      <c r="F90" s="49">
        <v>7097737.54</v>
      </c>
      <c r="G90" s="49">
        <v>2966099.84</v>
      </c>
      <c r="H90" s="49">
        <v>1640527.93</v>
      </c>
      <c r="I90" s="49">
        <v>130137.21</v>
      </c>
      <c r="J90" s="49">
        <v>712724.44</v>
      </c>
      <c r="K90" s="49">
        <v>290259.05</v>
      </c>
      <c r="L90" s="49">
        <v>192451.21</v>
      </c>
      <c r="M90" s="49">
        <v>4131637.7</v>
      </c>
      <c r="N90" s="32"/>
      <c r="O90" s="40"/>
      <c r="P90" s="32"/>
      <c r="Q90" s="40"/>
    </row>
    <row r="91" spans="1:18" s="14" customFormat="1">
      <c r="A91" s="48">
        <v>2009</v>
      </c>
      <c r="B91" s="53">
        <v>13863057.85</v>
      </c>
      <c r="C91" s="49">
        <v>6964638.4800000004</v>
      </c>
      <c r="D91" s="49">
        <v>6284131.0800000001</v>
      </c>
      <c r="E91" s="49">
        <v>680507.4</v>
      </c>
      <c r="F91" s="49">
        <v>6898419.3700000001</v>
      </c>
      <c r="G91" s="49">
        <v>3436024.7</v>
      </c>
      <c r="H91" s="49">
        <v>1995653.94</v>
      </c>
      <c r="I91" s="49">
        <v>139715.70000000001</v>
      </c>
      <c r="J91" s="49">
        <v>664418.97</v>
      </c>
      <c r="K91" s="49">
        <v>402633.95</v>
      </c>
      <c r="L91" s="49">
        <v>233602.14</v>
      </c>
      <c r="M91" s="49">
        <v>3462394.67</v>
      </c>
      <c r="N91" s="32"/>
      <c r="O91" s="40"/>
      <c r="P91" s="32"/>
      <c r="Q91" s="40"/>
    </row>
    <row r="92" spans="1:18" s="14" customFormat="1">
      <c r="A92" s="48">
        <v>2010</v>
      </c>
      <c r="B92" s="53">
        <v>17489927.48</v>
      </c>
      <c r="C92" s="49">
        <v>9673227.5999999996</v>
      </c>
      <c r="D92" s="49">
        <v>8951940.9700000007</v>
      </c>
      <c r="E92" s="49">
        <v>721286.63</v>
      </c>
      <c r="F92" s="49">
        <v>7816699.8799999999</v>
      </c>
      <c r="G92" s="49">
        <v>3705705.93</v>
      </c>
      <c r="H92" s="49">
        <v>2032768.71</v>
      </c>
      <c r="I92" s="49">
        <v>160945.71</v>
      </c>
      <c r="J92" s="49">
        <v>849673.84</v>
      </c>
      <c r="K92" s="49">
        <v>424912.37</v>
      </c>
      <c r="L92" s="49">
        <v>237405.3</v>
      </c>
      <c r="M92" s="49">
        <v>4110993.95</v>
      </c>
      <c r="N92" s="32"/>
      <c r="O92" s="40"/>
      <c r="P92" s="32"/>
      <c r="Q92" s="40"/>
    </row>
    <row r="93" spans="1:18" s="14" customFormat="1">
      <c r="A93" s="48">
        <v>2011</v>
      </c>
      <c r="B93" s="53">
        <v>22322353.210000001</v>
      </c>
      <c r="C93" s="49">
        <v>12944868.130000001</v>
      </c>
      <c r="D93" s="49">
        <v>11799973.060000001</v>
      </c>
      <c r="E93" s="49">
        <v>1144895.07</v>
      </c>
      <c r="F93" s="49">
        <v>9377485.0800000001</v>
      </c>
      <c r="G93" s="49">
        <v>4528930.5999999996</v>
      </c>
      <c r="H93" s="49">
        <v>2246464.5299999998</v>
      </c>
      <c r="I93" s="49">
        <v>260176.5</v>
      </c>
      <c r="J93" s="49">
        <v>1178388.8400000001</v>
      </c>
      <c r="K93" s="49">
        <v>586520.29</v>
      </c>
      <c r="L93" s="49">
        <v>257380.44</v>
      </c>
      <c r="M93" s="49">
        <v>4848554.4800000004</v>
      </c>
      <c r="N93" s="32"/>
      <c r="O93" s="40"/>
      <c r="P93" s="32"/>
      <c r="Q93" s="40"/>
    </row>
    <row r="94" spans="1:18" s="14" customFormat="1">
      <c r="A94" s="48">
        <v>2012</v>
      </c>
      <c r="B94" s="53">
        <v>23764761.829999998</v>
      </c>
      <c r="C94" s="49">
        <v>13791957.380000001</v>
      </c>
      <c r="D94" s="49">
        <v>12711228.699999999</v>
      </c>
      <c r="E94" s="49">
        <v>1080728.68</v>
      </c>
      <c r="F94" s="49">
        <v>9972804.4499999993</v>
      </c>
      <c r="G94" s="49">
        <v>4396615.5</v>
      </c>
      <c r="H94" s="49">
        <v>2078401.6</v>
      </c>
      <c r="I94" s="49">
        <v>261058.47</v>
      </c>
      <c r="J94" s="49">
        <v>1278398.7</v>
      </c>
      <c r="K94" s="49">
        <v>454500.02</v>
      </c>
      <c r="L94" s="49">
        <v>324256.71000000002</v>
      </c>
      <c r="M94" s="49">
        <v>5576188.9500000002</v>
      </c>
      <c r="N94" s="32"/>
      <c r="O94" s="40"/>
      <c r="P94" s="32"/>
      <c r="Q94" s="40"/>
    </row>
    <row r="95" spans="1:18" s="304" customFormat="1">
      <c r="A95" s="48">
        <v>2013</v>
      </c>
      <c r="B95" s="53">
        <v>24750933.178687003</v>
      </c>
      <c r="C95" s="49">
        <v>14107399.479775</v>
      </c>
      <c r="D95" s="49">
        <v>13411760.868999999</v>
      </c>
      <c r="E95" s="49">
        <v>695638.61077499995</v>
      </c>
      <c r="F95" s="49">
        <v>10643533.698912002</v>
      </c>
      <c r="G95" s="49">
        <v>5130280.3708769996</v>
      </c>
      <c r="H95" s="49">
        <v>2322610.1782260002</v>
      </c>
      <c r="I95" s="49">
        <v>218665.33536999999</v>
      </c>
      <c r="J95" s="49">
        <v>1783752.2383610001</v>
      </c>
      <c r="K95" s="49">
        <v>527025.14220999996</v>
      </c>
      <c r="L95" s="49">
        <v>278227.47671000002</v>
      </c>
      <c r="M95" s="49">
        <v>5513253.3280350007</v>
      </c>
      <c r="N95" s="302"/>
      <c r="O95" s="303"/>
      <c r="P95" s="302"/>
      <c r="Q95" s="40"/>
    </row>
    <row r="96" spans="1:18" s="304" customFormat="1">
      <c r="A96" s="48">
        <v>2014</v>
      </c>
      <c r="B96" s="53">
        <v>25724432.631328996</v>
      </c>
      <c r="C96" s="49">
        <v>13275852.674870001</v>
      </c>
      <c r="D96" s="49">
        <v>13016019.765819998</v>
      </c>
      <c r="E96" s="49">
        <v>259832.90905000002</v>
      </c>
      <c r="F96" s="49">
        <v>12448579.956459001</v>
      </c>
      <c r="G96" s="49">
        <v>6275581.5270809997</v>
      </c>
      <c r="H96" s="49">
        <v>2577187.7329139998</v>
      </c>
      <c r="I96" s="49">
        <v>178294.77459099999</v>
      </c>
      <c r="J96" s="49">
        <v>2513463.5229230002</v>
      </c>
      <c r="K96" s="49">
        <v>710151.54252999998</v>
      </c>
      <c r="L96" s="49">
        <v>296483.95412299997</v>
      </c>
      <c r="M96" s="49">
        <v>6172998.4293779992</v>
      </c>
      <c r="N96" s="302"/>
      <c r="O96" s="303"/>
      <c r="P96" s="302"/>
      <c r="Q96" s="40"/>
    </row>
    <row r="97" spans="1:17" s="304" customFormat="1">
      <c r="A97" s="48">
        <v>2015</v>
      </c>
      <c r="B97" s="53">
        <v>18330607.691723</v>
      </c>
      <c r="C97" s="49">
        <v>6660319.4548429996</v>
      </c>
      <c r="D97" s="49">
        <v>6355235.195559999</v>
      </c>
      <c r="E97" s="49">
        <v>305084.25928300002</v>
      </c>
      <c r="F97" s="49">
        <v>11670288.236880001</v>
      </c>
      <c r="G97" s="49">
        <v>6304442.3357169991</v>
      </c>
      <c r="H97" s="49">
        <v>2808119.3228810001</v>
      </c>
      <c r="I97" s="49">
        <v>146515.62096999999</v>
      </c>
      <c r="J97" s="49">
        <v>2279595.459175</v>
      </c>
      <c r="K97" s="49">
        <v>812393.75737999985</v>
      </c>
      <c r="L97" s="49">
        <v>257818.17531100003</v>
      </c>
      <c r="M97" s="49">
        <v>5365845.9011629997</v>
      </c>
      <c r="N97" s="302"/>
      <c r="O97" s="303"/>
      <c r="P97" s="302"/>
      <c r="Q97" s="40"/>
    </row>
    <row r="98" spans="1:17" s="14" customFormat="1">
      <c r="A98" s="48">
        <v>2016</v>
      </c>
      <c r="B98" s="53">
        <v>16797666.332413003</v>
      </c>
      <c r="C98" s="49">
        <v>5459169.3136399994</v>
      </c>
      <c r="D98" s="49">
        <v>5053937.4232299998</v>
      </c>
      <c r="E98" s="49">
        <v>405231.89041000005</v>
      </c>
      <c r="F98" s="49">
        <v>11338497.018773001</v>
      </c>
      <c r="G98" s="49">
        <v>6457268.2573899999</v>
      </c>
      <c r="H98" s="49">
        <v>2734163.6809950001</v>
      </c>
      <c r="I98" s="49">
        <v>148576.68612999999</v>
      </c>
      <c r="J98" s="49">
        <v>2580153.2875249996</v>
      </c>
      <c r="K98" s="49">
        <v>750059.20653400011</v>
      </c>
      <c r="L98" s="49">
        <v>244315.396206</v>
      </c>
      <c r="M98" s="49">
        <v>4881228.7613830008</v>
      </c>
      <c r="N98" s="32"/>
      <c r="O98" s="40"/>
      <c r="P98" s="32"/>
      <c r="Q98" s="40"/>
    </row>
    <row r="99" spans="1:17" s="14" customFormat="1">
      <c r="A99" s="48"/>
      <c r="B99" s="53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32"/>
      <c r="O99" s="40"/>
      <c r="P99" s="32"/>
      <c r="Q99" s="40"/>
    </row>
    <row r="100" spans="1:17" s="14" customFormat="1">
      <c r="A100" s="198"/>
      <c r="B100" s="224"/>
      <c r="C100" s="199"/>
      <c r="D100" s="199"/>
      <c r="E100" s="199"/>
      <c r="F100" s="199"/>
      <c r="G100" s="199"/>
      <c r="H100" s="199"/>
      <c r="I100" s="199"/>
      <c r="J100" s="199"/>
      <c r="K100" s="199"/>
      <c r="L100" s="199"/>
      <c r="M100" s="199"/>
      <c r="N100" s="32"/>
      <c r="O100" s="40"/>
      <c r="P100" s="32"/>
      <c r="Q100" s="40"/>
    </row>
    <row r="101" spans="1:17" s="14" customFormat="1">
      <c r="A101" s="36"/>
      <c r="B101" s="39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2"/>
      <c r="O101" s="40"/>
      <c r="P101" s="32"/>
      <c r="Q101" s="40"/>
    </row>
    <row r="102" spans="1:17" s="14" customFormat="1">
      <c r="A102" s="36"/>
      <c r="B102" s="39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2"/>
      <c r="O102" s="40"/>
      <c r="P102" s="32"/>
      <c r="Q102" s="40"/>
    </row>
    <row r="103" spans="1:17">
      <c r="A103" s="197" t="s">
        <v>234</v>
      </c>
    </row>
    <row r="104" spans="1:17">
      <c r="A104" s="7" t="s">
        <v>222</v>
      </c>
    </row>
  </sheetData>
  <mergeCells count="12">
    <mergeCell ref="A1:M1"/>
    <mergeCell ref="A2:M2"/>
    <mergeCell ref="M5:M6"/>
    <mergeCell ref="E5:E6"/>
    <mergeCell ref="D5:D6"/>
    <mergeCell ref="C5:C6"/>
    <mergeCell ref="G5:L5"/>
    <mergeCell ref="C4:E4"/>
    <mergeCell ref="F4:M4"/>
    <mergeCell ref="A4:A6"/>
    <mergeCell ref="B4:B6"/>
    <mergeCell ref="F5:F6"/>
  </mergeCells>
  <hyperlinks>
    <hyperlink ref="A104" location="'indice cap.2'!A1" display="regresar al índice"/>
    <hyperlink ref="A103" location="'indice cap.2'!A1" display="Notas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H66"/>
  <sheetViews>
    <sheetView showGridLines="0" workbookViewId="0">
      <selection activeCell="E23" sqref="E23"/>
    </sheetView>
  </sheetViews>
  <sheetFormatPr baseColWidth="10" defaultColWidth="11.28515625" defaultRowHeight="12.75"/>
  <cols>
    <col min="1" max="1" width="37.140625" style="60" customWidth="1"/>
    <col min="2" max="2" width="8.85546875" style="54" customWidth="1"/>
    <col min="3" max="3" width="7.42578125" style="61" customWidth="1"/>
    <col min="4" max="4" width="9" style="61" customWidth="1"/>
    <col min="5" max="5" width="8.5703125" style="61" customWidth="1"/>
    <col min="6" max="6" width="7.7109375" style="61" customWidth="1"/>
    <col min="7" max="7" width="8.28515625" style="61" customWidth="1"/>
    <col min="8" max="8" width="7" style="61" customWidth="1"/>
    <col min="9" max="9" width="8.28515625" style="61" customWidth="1"/>
    <col min="10" max="10" width="9" style="61" customWidth="1"/>
    <col min="11" max="11" width="8.28515625" style="61" customWidth="1"/>
    <col min="12" max="12" width="8" style="61" customWidth="1"/>
    <col min="13" max="13" width="7.85546875" style="61" customWidth="1"/>
    <col min="14" max="14" width="8.140625" style="61" customWidth="1"/>
    <col min="15" max="15" width="9.7109375" style="61" customWidth="1"/>
    <col min="16" max="16" width="9.140625" style="61" customWidth="1"/>
    <col min="17" max="17" width="7.85546875" style="61" customWidth="1"/>
    <col min="18" max="19" width="7" style="61" customWidth="1"/>
    <col min="20" max="20" width="7.7109375" style="61" customWidth="1"/>
    <col min="21" max="21" width="8.5703125" style="61" customWidth="1"/>
    <col min="22" max="22" width="7.85546875" style="61" customWidth="1"/>
    <col min="23" max="23" width="9.42578125" style="61" customWidth="1"/>
    <col min="24" max="24" width="8.28515625" style="60" customWidth="1"/>
    <col min="25" max="25" width="8.42578125" style="60" customWidth="1"/>
    <col min="26" max="26" width="8.5703125" style="60" customWidth="1"/>
    <col min="27" max="27" width="10.42578125" style="60" customWidth="1"/>
    <col min="28" max="28" width="10" style="62" customWidth="1"/>
    <col min="29" max="29" width="10.42578125" style="60" customWidth="1"/>
    <col min="30" max="30" width="10" style="60" customWidth="1"/>
    <col min="31" max="31" width="9.140625" style="60" customWidth="1"/>
    <col min="32" max="32" width="9" style="60" customWidth="1"/>
    <col min="33" max="33" width="9.5703125" style="60" customWidth="1"/>
    <col min="34" max="34" width="8.85546875" style="60" customWidth="1"/>
    <col min="35" max="35" width="10.42578125" style="60" customWidth="1"/>
    <col min="36" max="36" width="11.5703125" style="60" customWidth="1"/>
    <col min="37" max="37" width="10.7109375" style="60" customWidth="1"/>
    <col min="38" max="38" width="10.85546875" style="60" customWidth="1"/>
    <col min="39" max="39" width="12.140625" style="60" customWidth="1"/>
    <col min="40" max="40" width="11.140625" style="60" customWidth="1"/>
    <col min="41" max="41" width="10.7109375" style="60" customWidth="1"/>
    <col min="42" max="42" width="9.7109375" style="60" customWidth="1"/>
    <col min="43" max="43" width="9.42578125" style="60" customWidth="1"/>
    <col min="44" max="44" width="10.140625" style="60" customWidth="1"/>
    <col min="45" max="45" width="10" style="60" customWidth="1"/>
    <col min="46" max="46" width="10.5703125" style="60" customWidth="1"/>
    <col min="47" max="47" width="10.7109375" style="60" customWidth="1"/>
    <col min="48" max="48" width="11" style="60" customWidth="1"/>
    <col min="49" max="49" width="10.42578125" style="60" customWidth="1"/>
    <col min="50" max="50" width="10.140625" style="60" customWidth="1"/>
    <col min="51" max="51" width="10.5703125" style="60" customWidth="1"/>
    <col min="52" max="52" width="11" style="60" customWidth="1"/>
    <col min="53" max="53" width="9.28515625" style="60" customWidth="1"/>
    <col min="54" max="54" width="11" style="60" customWidth="1"/>
    <col min="55" max="57" width="10.28515625" style="60" customWidth="1"/>
    <col min="58" max="61" width="11.140625" style="60" customWidth="1"/>
    <col min="62" max="64" width="11.140625" style="54" customWidth="1"/>
    <col min="65" max="75" width="9.5703125" style="54" customWidth="1"/>
    <col min="76" max="76" width="11.85546875" style="54" customWidth="1"/>
    <col min="77" max="79" width="13.85546875" style="54" customWidth="1"/>
    <col min="80" max="86" width="13.85546875" style="4" customWidth="1"/>
    <col min="87" max="16384" width="11.28515625" style="54"/>
  </cols>
  <sheetData>
    <row r="1" spans="1:86">
      <c r="A1" s="331" t="s">
        <v>333</v>
      </c>
      <c r="B1" s="332"/>
      <c r="C1" s="332"/>
      <c r="D1" s="332"/>
      <c r="E1" s="332"/>
      <c r="F1" s="332"/>
      <c r="G1" s="332"/>
      <c r="H1" s="332"/>
      <c r="I1" s="332"/>
      <c r="J1" s="332"/>
      <c r="K1" s="332"/>
      <c r="L1" s="332"/>
      <c r="M1" s="332"/>
      <c r="N1" s="332"/>
      <c r="O1" s="332"/>
      <c r="P1" s="332"/>
      <c r="Q1" s="332"/>
      <c r="R1" s="332"/>
      <c r="S1" s="332"/>
      <c r="T1" s="332"/>
      <c r="U1" s="332"/>
      <c r="V1" s="332"/>
      <c r="W1" s="332"/>
      <c r="X1" s="332"/>
      <c r="Y1" s="332"/>
      <c r="Z1" s="332"/>
      <c r="AA1" s="332"/>
      <c r="AB1" s="332"/>
      <c r="AC1" s="332"/>
      <c r="AD1" s="332"/>
      <c r="AE1" s="332"/>
      <c r="AF1" s="332"/>
      <c r="AG1" s="332"/>
      <c r="AH1" s="332"/>
      <c r="AI1" s="332"/>
      <c r="AJ1" s="332"/>
      <c r="AK1" s="332"/>
      <c r="AL1" s="332"/>
      <c r="AM1" s="332"/>
      <c r="AN1" s="332"/>
      <c r="AO1" s="332"/>
      <c r="AP1" s="332"/>
      <c r="AQ1" s="332"/>
      <c r="AR1" s="332"/>
      <c r="AS1" s="332"/>
      <c r="AT1" s="332"/>
      <c r="AU1" s="332"/>
      <c r="AV1" s="332"/>
      <c r="AW1" s="332"/>
      <c r="AX1" s="332"/>
      <c r="AY1" s="332"/>
      <c r="AZ1" s="332"/>
      <c r="BA1" s="332"/>
      <c r="BB1" s="332"/>
      <c r="BC1" s="332"/>
      <c r="BD1" s="332"/>
      <c r="BE1" s="332"/>
      <c r="BF1" s="332"/>
      <c r="BG1" s="332"/>
      <c r="BH1" s="332"/>
      <c r="BI1" s="332"/>
      <c r="BJ1" s="332"/>
      <c r="BK1" s="332"/>
      <c r="BL1" s="332"/>
      <c r="BM1" s="235"/>
      <c r="BN1" s="235"/>
      <c r="BO1" s="235"/>
      <c r="BP1" s="235"/>
      <c r="BQ1" s="235"/>
      <c r="CB1" s="54"/>
      <c r="CC1" s="54"/>
      <c r="CD1" s="54"/>
      <c r="CE1" s="54"/>
      <c r="CF1" s="54"/>
      <c r="CG1" s="54"/>
      <c r="CH1" s="54"/>
    </row>
    <row r="2" spans="1:86">
      <c r="A2" s="333" t="s">
        <v>75</v>
      </c>
      <c r="B2" s="334"/>
      <c r="C2" s="334"/>
      <c r="D2" s="334"/>
      <c r="E2" s="334"/>
      <c r="F2" s="334"/>
      <c r="G2" s="334"/>
      <c r="H2" s="334"/>
      <c r="I2" s="334"/>
      <c r="J2" s="334"/>
      <c r="K2" s="334"/>
      <c r="L2" s="334"/>
      <c r="M2" s="334"/>
      <c r="N2" s="334"/>
      <c r="O2" s="334"/>
      <c r="P2" s="334"/>
      <c r="Q2" s="334"/>
      <c r="R2" s="334"/>
      <c r="S2" s="334"/>
      <c r="T2" s="334"/>
      <c r="U2" s="334"/>
      <c r="V2" s="334"/>
      <c r="W2" s="334"/>
      <c r="X2" s="334"/>
      <c r="Y2" s="334"/>
      <c r="Z2" s="334"/>
      <c r="AA2" s="334"/>
      <c r="AB2" s="334"/>
      <c r="AC2" s="334"/>
      <c r="AD2" s="334"/>
      <c r="AE2" s="334"/>
      <c r="AF2" s="334"/>
      <c r="AG2" s="334"/>
      <c r="AH2" s="334"/>
      <c r="AI2" s="334"/>
      <c r="AJ2" s="334"/>
      <c r="AK2" s="334"/>
      <c r="AL2" s="334"/>
      <c r="AM2" s="334"/>
      <c r="AN2" s="334"/>
      <c r="AO2" s="334"/>
      <c r="AP2" s="334"/>
      <c r="AQ2" s="334"/>
      <c r="AR2" s="334"/>
      <c r="AS2" s="334"/>
      <c r="AT2" s="334"/>
      <c r="AU2" s="334"/>
      <c r="AV2" s="334"/>
      <c r="AW2" s="334"/>
      <c r="AX2" s="334"/>
      <c r="AY2" s="334"/>
      <c r="AZ2" s="334"/>
      <c r="BA2" s="334"/>
      <c r="BB2" s="334"/>
      <c r="BC2" s="334"/>
      <c r="BD2" s="334"/>
      <c r="BE2" s="334"/>
      <c r="BF2" s="334"/>
      <c r="BG2" s="334"/>
      <c r="BH2" s="334"/>
      <c r="BI2" s="334"/>
      <c r="BJ2" s="334"/>
      <c r="BK2" s="334"/>
      <c r="BL2" s="334"/>
      <c r="BM2" s="235"/>
      <c r="BN2" s="235"/>
      <c r="BO2" s="235"/>
      <c r="BP2" s="235"/>
      <c r="BQ2" s="235"/>
      <c r="CB2" s="54"/>
      <c r="CC2" s="54"/>
      <c r="CD2" s="54"/>
      <c r="CE2" s="54"/>
      <c r="CF2" s="54"/>
      <c r="CG2" s="54"/>
      <c r="CH2" s="54"/>
    </row>
    <row r="3" spans="1:86">
      <c r="A3" s="54"/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6"/>
      <c r="X3" s="56"/>
      <c r="Y3" s="56"/>
      <c r="Z3" s="56"/>
      <c r="AA3" s="57"/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56"/>
      <c r="AN3" s="56"/>
      <c r="AO3" s="56"/>
      <c r="AP3" s="56"/>
      <c r="AQ3" s="56"/>
      <c r="AR3" s="56"/>
      <c r="AS3" s="56"/>
      <c r="AT3" s="56"/>
      <c r="AU3" s="56"/>
      <c r="AV3" s="56"/>
      <c r="AW3" s="58"/>
      <c r="AX3" s="56"/>
      <c r="AY3" s="56"/>
      <c r="AZ3" s="56"/>
      <c r="BA3" s="56"/>
      <c r="BB3" s="56"/>
      <c r="BC3" s="56"/>
      <c r="BD3" s="56"/>
      <c r="BE3" s="56"/>
      <c r="BH3" s="56"/>
      <c r="BI3" s="56"/>
      <c r="BJ3" s="56"/>
      <c r="BK3" s="56"/>
      <c r="BL3" s="56"/>
      <c r="BM3" s="56"/>
      <c r="CB3" s="54"/>
      <c r="CC3" s="54"/>
      <c r="CD3" s="54"/>
      <c r="CE3" s="54"/>
      <c r="CF3" s="54"/>
      <c r="CG3" s="54"/>
      <c r="CH3" s="54"/>
    </row>
    <row r="4" spans="1:86" s="64" customFormat="1" ht="20.25" customHeight="1">
      <c r="A4" s="65" t="s">
        <v>76</v>
      </c>
      <c r="B4" s="66">
        <v>1949</v>
      </c>
      <c r="C4" s="66">
        <v>1950</v>
      </c>
      <c r="D4" s="66">
        <v>1951</v>
      </c>
      <c r="E4" s="66">
        <v>1952</v>
      </c>
      <c r="F4" s="66">
        <v>1953</v>
      </c>
      <c r="G4" s="66">
        <v>1954</v>
      </c>
      <c r="H4" s="66">
        <v>1955</v>
      </c>
      <c r="I4" s="66">
        <v>1956</v>
      </c>
      <c r="J4" s="66">
        <v>1957</v>
      </c>
      <c r="K4" s="66">
        <v>1958</v>
      </c>
      <c r="L4" s="66">
        <v>1959</v>
      </c>
      <c r="M4" s="66">
        <v>1960</v>
      </c>
      <c r="N4" s="66">
        <v>1961</v>
      </c>
      <c r="O4" s="66">
        <v>1962</v>
      </c>
      <c r="P4" s="66">
        <v>1963</v>
      </c>
      <c r="Q4" s="66">
        <v>1964</v>
      </c>
      <c r="R4" s="66">
        <v>1965</v>
      </c>
      <c r="S4" s="66">
        <v>1966</v>
      </c>
      <c r="T4" s="66">
        <v>1967</v>
      </c>
      <c r="U4" s="66">
        <v>1968</v>
      </c>
      <c r="V4" s="66">
        <v>1969</v>
      </c>
      <c r="W4" s="66" t="s">
        <v>14</v>
      </c>
      <c r="X4" s="66" t="s">
        <v>15</v>
      </c>
      <c r="Y4" s="66" t="s">
        <v>16</v>
      </c>
      <c r="Z4" s="66" t="s">
        <v>17</v>
      </c>
      <c r="AA4" s="66" t="s">
        <v>18</v>
      </c>
      <c r="AB4" s="66" t="s">
        <v>19</v>
      </c>
      <c r="AC4" s="66" t="s">
        <v>20</v>
      </c>
      <c r="AD4" s="66" t="s">
        <v>21</v>
      </c>
      <c r="AE4" s="66" t="s">
        <v>22</v>
      </c>
      <c r="AF4" s="66" t="s">
        <v>23</v>
      </c>
      <c r="AG4" s="66" t="s">
        <v>24</v>
      </c>
      <c r="AH4" s="66">
        <v>1981</v>
      </c>
      <c r="AI4" s="66" t="s">
        <v>26</v>
      </c>
      <c r="AJ4" s="66" t="s">
        <v>27</v>
      </c>
      <c r="AK4" s="66" t="s">
        <v>28</v>
      </c>
      <c r="AL4" s="66" t="s">
        <v>29</v>
      </c>
      <c r="AM4" s="66" t="s">
        <v>30</v>
      </c>
      <c r="AN4" s="66" t="s">
        <v>31</v>
      </c>
      <c r="AO4" s="66" t="s">
        <v>32</v>
      </c>
      <c r="AP4" s="66" t="s">
        <v>33</v>
      </c>
      <c r="AQ4" s="66" t="s">
        <v>34</v>
      </c>
      <c r="AR4" s="66" t="s">
        <v>35</v>
      </c>
      <c r="AS4" s="66" t="s">
        <v>36</v>
      </c>
      <c r="AT4" s="66" t="s">
        <v>40</v>
      </c>
      <c r="AU4" s="66" t="s">
        <v>41</v>
      </c>
      <c r="AV4" s="66" t="s">
        <v>42</v>
      </c>
      <c r="AW4" s="66" t="s">
        <v>43</v>
      </c>
      <c r="AX4" s="66">
        <v>1997</v>
      </c>
      <c r="AY4" s="66">
        <v>1998</v>
      </c>
      <c r="AZ4" s="66">
        <v>1999</v>
      </c>
      <c r="BA4" s="66">
        <v>2000</v>
      </c>
      <c r="BB4" s="66">
        <v>2001</v>
      </c>
      <c r="BC4" s="66">
        <v>2002</v>
      </c>
      <c r="BD4" s="66">
        <v>2003</v>
      </c>
      <c r="BE4" s="66">
        <v>2004</v>
      </c>
      <c r="BF4" s="66">
        <v>2005</v>
      </c>
      <c r="BG4" s="66">
        <v>2006</v>
      </c>
      <c r="BH4" s="66">
        <v>2007</v>
      </c>
      <c r="BI4" s="66">
        <v>2008</v>
      </c>
      <c r="BJ4" s="66">
        <v>2009</v>
      </c>
      <c r="BK4" s="66">
        <v>2010</v>
      </c>
      <c r="BL4" s="67">
        <v>2011</v>
      </c>
      <c r="BM4" s="67">
        <v>2012</v>
      </c>
      <c r="BN4" s="66">
        <v>2013</v>
      </c>
      <c r="BO4" s="66">
        <v>2014</v>
      </c>
      <c r="BP4" s="66">
        <v>2015</v>
      </c>
      <c r="BQ4" s="67">
        <v>2016</v>
      </c>
      <c r="BR4"/>
      <c r="BS4"/>
      <c r="BT4"/>
      <c r="BU4"/>
      <c r="BV4"/>
      <c r="BW4"/>
      <c r="BX4"/>
      <c r="BY4"/>
      <c r="BZ4"/>
      <c r="CA4"/>
      <c r="CB4"/>
      <c r="CC4"/>
    </row>
    <row r="5" spans="1:86" s="234" customFormat="1">
      <c r="A5" s="232"/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  <c r="M5" s="233"/>
      <c r="N5" s="233"/>
      <c r="O5" s="233"/>
      <c r="P5" s="233"/>
      <c r="Q5" s="233"/>
      <c r="R5" s="233"/>
      <c r="S5" s="233"/>
      <c r="T5" s="233"/>
      <c r="U5" s="233"/>
      <c r="V5" s="233"/>
      <c r="W5" s="233"/>
      <c r="X5" s="233"/>
      <c r="Y5" s="233"/>
      <c r="Z5" s="233"/>
      <c r="AA5" s="233"/>
      <c r="AB5" s="233"/>
      <c r="AC5" s="233"/>
      <c r="AD5" s="233"/>
      <c r="AE5" s="233"/>
      <c r="AF5" s="233"/>
      <c r="AG5" s="233"/>
      <c r="AH5" s="233"/>
      <c r="AI5" s="233"/>
      <c r="AJ5" s="233"/>
      <c r="AK5" s="233"/>
      <c r="AL5" s="233"/>
      <c r="AM5" s="233"/>
      <c r="AN5" s="233"/>
      <c r="AO5" s="233"/>
      <c r="AP5" s="233"/>
      <c r="AQ5" s="233"/>
      <c r="AR5" s="233"/>
      <c r="AS5" s="233"/>
      <c r="AT5" s="233"/>
      <c r="AU5" s="233"/>
      <c r="AV5" s="233"/>
      <c r="AW5" s="233"/>
      <c r="AX5" s="233"/>
      <c r="AY5" s="233"/>
      <c r="AZ5" s="233"/>
      <c r="BA5" s="233"/>
      <c r="BB5" s="233"/>
      <c r="BC5" s="233"/>
      <c r="BD5" s="233"/>
      <c r="BE5" s="233"/>
      <c r="BF5" s="233"/>
      <c r="BG5" s="233"/>
      <c r="BH5" s="233"/>
      <c r="BI5" s="233"/>
      <c r="BJ5" s="233"/>
      <c r="BK5" s="233"/>
      <c r="BL5" s="233"/>
      <c r="BM5" s="233"/>
      <c r="BN5" s="233"/>
      <c r="BO5" s="233"/>
      <c r="BP5" s="233"/>
      <c r="BQ5" s="233"/>
    </row>
    <row r="6" spans="1:86">
      <c r="A6" s="68" t="s">
        <v>77</v>
      </c>
      <c r="B6" s="69">
        <v>31.378</v>
      </c>
      <c r="C6" s="69">
        <v>64.242999999999995</v>
      </c>
      <c r="D6" s="69">
        <v>52.16</v>
      </c>
      <c r="E6" s="69">
        <v>76.701999999999998</v>
      </c>
      <c r="F6" s="69">
        <v>72.697999999999993</v>
      </c>
      <c r="G6" s="69">
        <v>100.22</v>
      </c>
      <c r="H6" s="69">
        <v>89.861000000000004</v>
      </c>
      <c r="I6" s="69">
        <v>94.43</v>
      </c>
      <c r="J6" s="69">
        <v>98.635999999999996</v>
      </c>
      <c r="K6" s="69">
        <v>96.382000000000005</v>
      </c>
      <c r="L6" s="69">
        <v>97.245000000000005</v>
      </c>
      <c r="M6" s="69">
        <v>102.56100000000001</v>
      </c>
      <c r="N6" s="69">
        <v>96.647000000000006</v>
      </c>
      <c r="O6" s="69">
        <v>116.917</v>
      </c>
      <c r="P6" s="69">
        <v>131.215</v>
      </c>
      <c r="Q6" s="69">
        <v>130.364</v>
      </c>
      <c r="R6" s="69">
        <v>133.79</v>
      </c>
      <c r="S6" s="69">
        <v>147.499</v>
      </c>
      <c r="T6" s="69">
        <v>166.036</v>
      </c>
      <c r="U6" s="69">
        <v>176.559</v>
      </c>
      <c r="V6" s="69">
        <v>151.886</v>
      </c>
      <c r="W6" s="69">
        <v>189.928</v>
      </c>
      <c r="X6" s="69">
        <v>199.07499999999999</v>
      </c>
      <c r="Y6" s="69">
        <v>326.29199999999997</v>
      </c>
      <c r="Z6" s="69">
        <v>532.048</v>
      </c>
      <c r="AA6" s="70">
        <v>1123.548</v>
      </c>
      <c r="AB6" s="69">
        <v>897.05499999999995</v>
      </c>
      <c r="AC6" s="69">
        <v>1127.3309999999999</v>
      </c>
      <c r="AD6" s="69">
        <v>1436.2739999999999</v>
      </c>
      <c r="AE6" s="69">
        <v>1493.758</v>
      </c>
      <c r="AF6" s="69">
        <v>2172.703</v>
      </c>
      <c r="AG6" s="69">
        <v>2506.2420000000002</v>
      </c>
      <c r="AH6" s="69">
        <v>2541.3679999999999</v>
      </c>
      <c r="AI6" s="69">
        <v>2237.4160000000002</v>
      </c>
      <c r="AJ6" s="69">
        <v>2225.6460000000002</v>
      </c>
      <c r="AK6" s="69">
        <v>2620.4189999999999</v>
      </c>
      <c r="AL6" s="69">
        <v>2904.7359999999999</v>
      </c>
      <c r="AM6" s="69">
        <v>2185.8490000000002</v>
      </c>
      <c r="AN6" s="69">
        <v>2013.6869999999999</v>
      </c>
      <c r="AO6" s="69">
        <v>2193.5</v>
      </c>
      <c r="AP6" s="69">
        <v>2353.8829999999998</v>
      </c>
      <c r="AQ6" s="69">
        <v>2724.1</v>
      </c>
      <c r="AR6" s="69">
        <v>2851</v>
      </c>
      <c r="AS6" s="69">
        <v>3101.5</v>
      </c>
      <c r="AT6" s="69">
        <v>3065.6</v>
      </c>
      <c r="AU6" s="69">
        <v>3842.7</v>
      </c>
      <c r="AV6" s="69">
        <v>4380.7</v>
      </c>
      <c r="AW6" s="69">
        <v>4872.6000000000004</v>
      </c>
      <c r="AX6" s="69">
        <v>5264.4</v>
      </c>
      <c r="AY6" s="69">
        <v>4203</v>
      </c>
      <c r="AZ6" s="69">
        <v>4451.1000000000004</v>
      </c>
      <c r="BA6" s="244">
        <v>4907.0053189999999</v>
      </c>
      <c r="BB6" s="244">
        <v>4678.4364589999996</v>
      </c>
      <c r="BC6" s="19">
        <v>5036.0901979999999</v>
      </c>
      <c r="BD6" s="19">
        <v>6222.730113999999</v>
      </c>
      <c r="BE6" s="19">
        <v>7752.8715920000004</v>
      </c>
      <c r="BF6" s="19">
        <v>10100.009137999999</v>
      </c>
      <c r="BG6" s="19">
        <v>12728.197197000001</v>
      </c>
      <c r="BH6" s="19">
        <v>14321.315538000001</v>
      </c>
      <c r="BI6" s="19">
        <v>18818.326808000002</v>
      </c>
      <c r="BJ6" s="19">
        <v>13863.057782</v>
      </c>
      <c r="BK6" s="19">
        <v>17489.927449000003</v>
      </c>
      <c r="BL6" s="19">
        <v>22322.353185999997</v>
      </c>
      <c r="BM6" s="19">
        <v>23764.757204999998</v>
      </c>
      <c r="BN6" s="19">
        <v>24750.933178686999</v>
      </c>
      <c r="BO6" s="19">
        <v>25724.432490358999</v>
      </c>
      <c r="BP6" s="19">
        <v>18330.607691722998</v>
      </c>
      <c r="BQ6" s="19">
        <v>16797.666332412999</v>
      </c>
      <c r="CB6" s="54"/>
      <c r="CC6" s="54"/>
      <c r="CD6" s="54"/>
      <c r="CE6" s="54"/>
      <c r="CF6" s="54"/>
      <c r="CG6" s="54"/>
      <c r="CH6" s="54"/>
    </row>
    <row r="7" spans="1:86" s="231" customFormat="1">
      <c r="A7" s="229"/>
      <c r="B7" s="230"/>
      <c r="C7" s="230"/>
      <c r="D7" s="230"/>
      <c r="E7" s="230"/>
      <c r="F7" s="230"/>
      <c r="G7" s="230"/>
      <c r="H7" s="230"/>
      <c r="I7" s="230"/>
      <c r="J7" s="230"/>
      <c r="K7" s="230"/>
      <c r="L7" s="230"/>
      <c r="M7" s="230"/>
      <c r="N7" s="230"/>
      <c r="O7" s="230"/>
      <c r="P7" s="230"/>
      <c r="Q7" s="230"/>
      <c r="R7" s="230"/>
      <c r="S7" s="230"/>
      <c r="T7" s="230"/>
      <c r="U7" s="230"/>
      <c r="V7" s="230"/>
      <c r="W7" s="230"/>
      <c r="X7" s="230"/>
      <c r="Y7" s="230"/>
      <c r="Z7" s="230"/>
      <c r="AA7" s="230"/>
      <c r="AB7" s="230"/>
      <c r="AC7" s="230"/>
      <c r="AD7" s="230"/>
      <c r="AE7" s="230"/>
      <c r="AF7" s="230"/>
      <c r="AG7" s="230"/>
      <c r="AH7" s="230"/>
      <c r="AI7" s="230"/>
      <c r="AJ7" s="230"/>
      <c r="AK7" s="230"/>
      <c r="AL7" s="230"/>
      <c r="AM7" s="230"/>
      <c r="AN7" s="230"/>
      <c r="AO7" s="230"/>
      <c r="AP7" s="230"/>
      <c r="AQ7" s="230"/>
      <c r="AR7" s="230"/>
      <c r="AS7" s="230"/>
      <c r="AT7" s="230"/>
      <c r="AU7" s="230"/>
      <c r="AV7" s="230"/>
      <c r="AW7" s="230"/>
      <c r="AX7" s="230"/>
      <c r="AY7" s="230"/>
      <c r="AZ7" s="230"/>
      <c r="BA7" s="230"/>
      <c r="BB7" s="230"/>
      <c r="BC7" s="230"/>
      <c r="BD7" s="230"/>
      <c r="BE7" s="230"/>
      <c r="BF7" s="230"/>
      <c r="BG7" s="230"/>
      <c r="BH7" s="230"/>
      <c r="BI7" s="230"/>
      <c r="BJ7" s="230"/>
      <c r="BK7" s="230"/>
      <c r="BL7" s="230"/>
      <c r="BM7" s="230"/>
      <c r="BN7" s="230"/>
      <c r="BO7" s="230"/>
      <c r="BP7" s="230"/>
      <c r="BQ7" s="230"/>
    </row>
    <row r="8" spans="1:86">
      <c r="A8" s="68" t="s">
        <v>294</v>
      </c>
      <c r="B8" s="69">
        <v>22.881</v>
      </c>
      <c r="C8" s="69">
        <v>51.423000000000002</v>
      </c>
      <c r="D8" s="69">
        <v>41.545999999999999</v>
      </c>
      <c r="E8" s="69">
        <v>49.249000000000002</v>
      </c>
      <c r="F8" s="69">
        <v>52.924999999999997</v>
      </c>
      <c r="G8" s="69">
        <v>77.769000000000005</v>
      </c>
      <c r="H8" s="69">
        <v>66.575000000000003</v>
      </c>
      <c r="I8" s="69">
        <v>66.317999999999998</v>
      </c>
      <c r="J8" s="69">
        <v>69.831999999999994</v>
      </c>
      <c r="K8" s="69">
        <v>66.718000000000004</v>
      </c>
      <c r="L8" s="69">
        <v>68.962999999999994</v>
      </c>
      <c r="M8" s="69">
        <v>75.159000000000006</v>
      </c>
      <c r="N8" s="69">
        <v>67.605999999999995</v>
      </c>
      <c r="O8" s="69">
        <v>84.19</v>
      </c>
      <c r="P8" s="69">
        <v>83.022000000000006</v>
      </c>
      <c r="Q8" s="69">
        <v>82.63</v>
      </c>
      <c r="R8" s="69">
        <v>90.076999999999998</v>
      </c>
      <c r="S8" s="69">
        <v>88.631</v>
      </c>
      <c r="T8" s="69">
        <v>96.326999999999998</v>
      </c>
      <c r="U8" s="69">
        <v>89.495000000000005</v>
      </c>
      <c r="V8" s="69">
        <v>79.09</v>
      </c>
      <c r="W8" s="69">
        <v>103.218</v>
      </c>
      <c r="X8" s="69">
        <v>110.039</v>
      </c>
      <c r="Y8" s="69">
        <v>187.447</v>
      </c>
      <c r="Z8" s="69">
        <v>421.85700000000003</v>
      </c>
      <c r="AA8" s="70">
        <v>962.13599999999997</v>
      </c>
      <c r="AB8" s="69">
        <v>742.93200000000002</v>
      </c>
      <c r="AC8" s="69">
        <v>902.71100000000001</v>
      </c>
      <c r="AD8" s="69">
        <v>1125.115</v>
      </c>
      <c r="AE8" s="69">
        <v>1139.9100000000001</v>
      </c>
      <c r="AF8" s="69">
        <v>1773.453</v>
      </c>
      <c r="AG8" s="69">
        <v>1911.232</v>
      </c>
      <c r="AH8" s="69">
        <v>1544.6130000000001</v>
      </c>
      <c r="AI8" s="69">
        <v>1656.115</v>
      </c>
      <c r="AJ8" s="69">
        <v>1755.751</v>
      </c>
      <c r="AK8" s="69">
        <v>2027.5409999999999</v>
      </c>
      <c r="AL8" s="69">
        <v>1966.1389999999999</v>
      </c>
      <c r="AM8" s="69">
        <v>1590.279</v>
      </c>
      <c r="AN8" s="69">
        <v>1575.287</v>
      </c>
      <c r="AO8" s="69">
        <v>1602.7</v>
      </c>
      <c r="AP8" s="69">
        <v>1937.383</v>
      </c>
      <c r="AQ8" s="69">
        <v>2234.9</v>
      </c>
      <c r="AR8" s="69">
        <v>1915.8</v>
      </c>
      <c r="AS8" s="69">
        <v>2033.8</v>
      </c>
      <c r="AT8" s="69">
        <v>2074.6</v>
      </c>
      <c r="AU8" s="69">
        <v>2539.1</v>
      </c>
      <c r="AV8" s="69">
        <v>2873.4</v>
      </c>
      <c r="AW8" s="69">
        <v>3138.1</v>
      </c>
      <c r="AX8" s="69">
        <v>3428.2</v>
      </c>
      <c r="AY8" s="69">
        <v>2775.2</v>
      </c>
      <c r="AZ8" s="69">
        <v>2937.5</v>
      </c>
      <c r="BA8" s="244">
        <v>3439.9265890000001</v>
      </c>
      <c r="BB8" s="244">
        <v>3320.3779010000003</v>
      </c>
      <c r="BC8" s="19">
        <v>3506.7968650000003</v>
      </c>
      <c r="BD8" s="19">
        <v>4403.303285</v>
      </c>
      <c r="BE8" s="19">
        <v>6015.8174600000002</v>
      </c>
      <c r="BF8" s="19">
        <v>8247.8914210000003</v>
      </c>
      <c r="BG8" s="19">
        <v>10363.754452000001</v>
      </c>
      <c r="BH8" s="19">
        <v>11518.527368000001</v>
      </c>
      <c r="BI8" s="19">
        <v>15296.115842000003</v>
      </c>
      <c r="BJ8" s="19">
        <v>10641.535687000001</v>
      </c>
      <c r="BK8" s="19">
        <v>13281.959761</v>
      </c>
      <c r="BL8" s="19">
        <v>17726.431226999997</v>
      </c>
      <c r="BM8" s="19">
        <v>18635.81683</v>
      </c>
      <c r="BN8" s="19">
        <v>18438.787727678999</v>
      </c>
      <c r="BO8" s="19">
        <v>19052.135825412999</v>
      </c>
      <c r="BP8" s="19">
        <v>11771.170154392999</v>
      </c>
      <c r="BQ8" s="19">
        <v>10083.110691716</v>
      </c>
      <c r="CB8" s="54"/>
      <c r="CC8" s="54"/>
      <c r="CD8" s="54"/>
      <c r="CE8" s="54"/>
      <c r="CF8" s="54"/>
      <c r="CG8" s="54"/>
      <c r="CH8" s="54"/>
    </row>
    <row r="9" spans="1:86">
      <c r="A9" s="72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69"/>
      <c r="AY9" s="245"/>
      <c r="AZ9" s="245"/>
      <c r="BA9" s="245"/>
      <c r="BB9" s="244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19"/>
      <c r="BQ9" s="19"/>
      <c r="CB9" s="54"/>
      <c r="CC9" s="54"/>
      <c r="CD9" s="54"/>
      <c r="CE9" s="54"/>
      <c r="CF9" s="54"/>
      <c r="CG9" s="54"/>
      <c r="CH9" s="54"/>
    </row>
    <row r="10" spans="1:86">
      <c r="A10" s="68" t="s">
        <v>295</v>
      </c>
      <c r="B10" s="19">
        <v>15.726000000000001</v>
      </c>
      <c r="C10" s="19">
        <v>35.552</v>
      </c>
      <c r="D10" s="19">
        <v>30.803000000000001</v>
      </c>
      <c r="E10" s="19">
        <v>41.463000000000001</v>
      </c>
      <c r="F10" s="19">
        <v>44.838000000000001</v>
      </c>
      <c r="G10" s="19">
        <v>64.619</v>
      </c>
      <c r="H10" s="19">
        <v>64.677000000000007</v>
      </c>
      <c r="I10" s="19">
        <v>56.137999999999998</v>
      </c>
      <c r="J10" s="19">
        <v>56.433999999999997</v>
      </c>
      <c r="K10" s="19">
        <v>55.182000000000002</v>
      </c>
      <c r="L10" s="19">
        <v>58.116</v>
      </c>
      <c r="M10" s="19">
        <v>65.356999999999999</v>
      </c>
      <c r="N10" s="19">
        <v>58.854999999999997</v>
      </c>
      <c r="O10" s="69">
        <v>76.274000000000001</v>
      </c>
      <c r="P10" s="69">
        <v>73.97</v>
      </c>
      <c r="Q10" s="69">
        <v>68.061999999999998</v>
      </c>
      <c r="R10" s="69">
        <v>78.524000000000001</v>
      </c>
      <c r="S10" s="69">
        <v>75.433999999999997</v>
      </c>
      <c r="T10" s="69">
        <v>80.92</v>
      </c>
      <c r="U10" s="69">
        <v>73.465999999999994</v>
      </c>
      <c r="V10" s="69">
        <v>61.7</v>
      </c>
      <c r="W10" s="69">
        <v>80.825999999999993</v>
      </c>
      <c r="X10" s="69">
        <v>82.977999999999994</v>
      </c>
      <c r="Y10" s="69">
        <v>112.651</v>
      </c>
      <c r="Z10" s="69">
        <v>181.398</v>
      </c>
      <c r="AA10" s="70">
        <v>459.8</v>
      </c>
      <c r="AB10" s="69">
        <v>419.88499999999999</v>
      </c>
      <c r="AC10" s="69">
        <v>391.58</v>
      </c>
      <c r="AD10" s="69">
        <v>626.23299999999995</v>
      </c>
      <c r="AE10" s="69">
        <v>668.63400000000001</v>
      </c>
      <c r="AF10" s="69">
        <v>759.48699999999997</v>
      </c>
      <c r="AG10" s="69">
        <v>748.62300000000005</v>
      </c>
      <c r="AH10" s="69">
        <v>963.75400000000002</v>
      </c>
      <c r="AI10" s="69">
        <v>945.73599999999999</v>
      </c>
      <c r="AJ10" s="69">
        <v>1163.3620000000001</v>
      </c>
      <c r="AK10" s="69">
        <v>1725.6769999999999</v>
      </c>
      <c r="AL10" s="69">
        <v>1659.0139999999999</v>
      </c>
      <c r="AM10" s="69">
        <v>1332.5693000000001</v>
      </c>
      <c r="AN10" s="69">
        <v>1140.893</v>
      </c>
      <c r="AO10" s="69">
        <v>1006.2</v>
      </c>
      <c r="AP10" s="69">
        <v>1367.6</v>
      </c>
      <c r="AQ10" s="69">
        <v>1585</v>
      </c>
      <c r="AR10" s="69">
        <v>1312.8</v>
      </c>
      <c r="AS10" s="69">
        <v>1326</v>
      </c>
      <c r="AT10" s="69">
        <v>1305.0999999999999</v>
      </c>
      <c r="AU10" s="69">
        <v>1594.2</v>
      </c>
      <c r="AV10" s="69">
        <v>1759.2</v>
      </c>
      <c r="AW10" s="69">
        <v>1859</v>
      </c>
      <c r="AX10" s="69">
        <v>2032.1</v>
      </c>
      <c r="AY10" s="69">
        <v>1637.2</v>
      </c>
      <c r="AZ10" s="69">
        <v>1708.1</v>
      </c>
      <c r="BA10" s="244">
        <v>1871.28414</v>
      </c>
      <c r="BB10" s="244">
        <v>1789.733373</v>
      </c>
      <c r="BC10" s="19">
        <v>2086.8099389999998</v>
      </c>
      <c r="BD10" s="19">
        <v>2530.8959639999998</v>
      </c>
      <c r="BE10" s="19">
        <v>3298.2486260000001</v>
      </c>
      <c r="BF10" s="19">
        <v>5050.1127799999995</v>
      </c>
      <c r="BG10" s="19">
        <v>6825.1910319999988</v>
      </c>
      <c r="BH10" s="19">
        <v>6169.3761759999998</v>
      </c>
      <c r="BI10" s="19">
        <v>8435.3944549999997</v>
      </c>
      <c r="BJ10" s="19">
        <v>4625.8576489999996</v>
      </c>
      <c r="BK10" s="19">
        <v>6077.4968640000006</v>
      </c>
      <c r="BL10" s="19">
        <v>9770.8439729999991</v>
      </c>
      <c r="BM10" s="19">
        <v>10617.088464</v>
      </c>
      <c r="BN10" s="19">
        <v>11042.655441860001</v>
      </c>
      <c r="BO10" s="19">
        <v>11239.558762226001</v>
      </c>
      <c r="BP10" s="19">
        <v>7226.2224573789999</v>
      </c>
      <c r="BQ10" s="19">
        <v>5436.0828755439998</v>
      </c>
      <c r="CB10" s="54"/>
      <c r="CC10" s="54"/>
      <c r="CD10" s="54"/>
      <c r="CE10" s="54"/>
      <c r="CF10" s="54"/>
      <c r="CG10" s="54"/>
      <c r="CH10" s="54"/>
    </row>
    <row r="11" spans="1:86">
      <c r="A11" s="72" t="s">
        <v>296</v>
      </c>
      <c r="B11" s="19" t="s">
        <v>13</v>
      </c>
      <c r="C11" s="19" t="s">
        <v>13</v>
      </c>
      <c r="D11" s="19" t="s">
        <v>13</v>
      </c>
      <c r="E11" s="19" t="s">
        <v>13</v>
      </c>
      <c r="F11" s="19" t="s">
        <v>13</v>
      </c>
      <c r="G11" s="19" t="s">
        <v>13</v>
      </c>
      <c r="H11" s="19" t="s">
        <v>13</v>
      </c>
      <c r="I11" s="19" t="s">
        <v>13</v>
      </c>
      <c r="J11" s="19" t="s">
        <v>13</v>
      </c>
      <c r="K11" s="19" t="s">
        <v>13</v>
      </c>
      <c r="L11" s="19" t="s">
        <v>13</v>
      </c>
      <c r="M11" s="19" t="s">
        <v>13</v>
      </c>
      <c r="N11" s="19" t="s">
        <v>13</v>
      </c>
      <c r="O11" s="69" t="s">
        <v>13</v>
      </c>
      <c r="P11" s="69" t="s">
        <v>13</v>
      </c>
      <c r="Q11" s="69" t="s">
        <v>13</v>
      </c>
      <c r="R11" s="69" t="s">
        <v>13</v>
      </c>
      <c r="S11" s="69" t="s">
        <v>13</v>
      </c>
      <c r="T11" s="69" t="s">
        <v>13</v>
      </c>
      <c r="U11" s="69" t="s">
        <v>13</v>
      </c>
      <c r="V11" s="69" t="s">
        <v>13</v>
      </c>
      <c r="W11" s="69" t="s">
        <v>13</v>
      </c>
      <c r="X11" s="19" t="s">
        <v>13</v>
      </c>
      <c r="Y11" s="19" t="s">
        <v>13</v>
      </c>
      <c r="Z11" s="19" t="s">
        <v>13</v>
      </c>
      <c r="AA11" s="70" t="s">
        <v>13</v>
      </c>
      <c r="AB11" s="19" t="s">
        <v>13</v>
      </c>
      <c r="AC11" s="19" t="s">
        <v>13</v>
      </c>
      <c r="AD11" s="19" t="s">
        <v>13</v>
      </c>
      <c r="AE11" s="19" t="s">
        <v>13</v>
      </c>
      <c r="AF11" s="19" t="s">
        <v>13</v>
      </c>
      <c r="AG11" s="19" t="s">
        <v>13</v>
      </c>
      <c r="AH11" s="19" t="s">
        <v>13</v>
      </c>
      <c r="AI11" s="19" t="s">
        <v>13</v>
      </c>
      <c r="AJ11" s="19" t="s">
        <v>13</v>
      </c>
      <c r="AK11" s="19" t="s">
        <v>13</v>
      </c>
      <c r="AL11" s="19" t="s">
        <v>13</v>
      </c>
      <c r="AM11" s="69" t="s">
        <v>13</v>
      </c>
      <c r="AN11" s="69" t="s">
        <v>13</v>
      </c>
      <c r="AO11" s="69" t="s">
        <v>13</v>
      </c>
      <c r="AP11" s="69" t="s">
        <v>13</v>
      </c>
      <c r="AQ11" s="69" t="s">
        <v>13</v>
      </c>
      <c r="AR11" s="69" t="s">
        <v>13</v>
      </c>
      <c r="AS11" s="69" t="s">
        <v>13</v>
      </c>
      <c r="AT11" s="69" t="s">
        <v>13</v>
      </c>
      <c r="AU11" s="69" t="s">
        <v>13</v>
      </c>
      <c r="AV11" s="69" t="s">
        <v>13</v>
      </c>
      <c r="AW11" s="19" t="s">
        <v>13</v>
      </c>
      <c r="AX11" s="69" t="s">
        <v>13</v>
      </c>
      <c r="AY11" s="245" t="s">
        <v>13</v>
      </c>
      <c r="AZ11" s="245" t="s">
        <v>13</v>
      </c>
      <c r="BA11" s="245"/>
      <c r="BB11" s="244" t="s">
        <v>13</v>
      </c>
      <c r="BC11" s="19" t="s">
        <v>13</v>
      </c>
      <c r="BD11" s="19" t="s">
        <v>13</v>
      </c>
      <c r="BE11" s="19" t="s">
        <v>13</v>
      </c>
      <c r="BF11" s="19">
        <v>59.841850000000001</v>
      </c>
      <c r="BG11" s="19">
        <v>39.36468</v>
      </c>
      <c r="BH11" s="19">
        <v>92.519390000000001</v>
      </c>
      <c r="BI11" s="19">
        <v>27.256529999999998</v>
      </c>
      <c r="BJ11" s="19">
        <v>41.802959999999999</v>
      </c>
      <c r="BK11" s="19">
        <v>56.26605</v>
      </c>
      <c r="BL11" s="19">
        <v>86.765380000000007</v>
      </c>
      <c r="BM11" s="19">
        <v>126.950496</v>
      </c>
      <c r="BN11" s="19">
        <v>115.29438677500001</v>
      </c>
      <c r="BO11" s="19">
        <v>119.50730709</v>
      </c>
      <c r="BP11" s="19">
        <v>117.19043394099999</v>
      </c>
      <c r="BQ11" s="19">
        <v>77.873407186999998</v>
      </c>
      <c r="CB11" s="54"/>
      <c r="CC11" s="54"/>
      <c r="CD11" s="54"/>
      <c r="CE11" s="54"/>
      <c r="CF11" s="54"/>
      <c r="CG11" s="54"/>
      <c r="CH11" s="54"/>
    </row>
    <row r="12" spans="1:86">
      <c r="A12" s="72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69"/>
      <c r="P12" s="69"/>
      <c r="Q12" s="69"/>
      <c r="R12" s="69"/>
      <c r="S12" s="69"/>
      <c r="T12" s="69"/>
      <c r="U12" s="69"/>
      <c r="V12" s="69"/>
      <c r="W12" s="69"/>
      <c r="X12" s="19"/>
      <c r="Y12" s="19"/>
      <c r="Z12" s="19"/>
      <c r="AA12" s="70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69"/>
      <c r="AN12" s="69"/>
      <c r="AO12" s="69"/>
      <c r="AP12" s="69"/>
      <c r="AQ12" s="69"/>
      <c r="AR12" s="69"/>
      <c r="AS12" s="69"/>
      <c r="AT12" s="69"/>
      <c r="AU12" s="69"/>
      <c r="AV12" s="69"/>
      <c r="AW12" s="19"/>
      <c r="AX12" s="69"/>
      <c r="AY12" s="245"/>
      <c r="AZ12" s="245"/>
      <c r="BA12" s="245"/>
      <c r="BB12" s="244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19"/>
      <c r="BQ12" s="19"/>
      <c r="CB12" s="54"/>
      <c r="CC12" s="54"/>
      <c r="CD12" s="54"/>
      <c r="CE12" s="54"/>
      <c r="CF12" s="54"/>
      <c r="CG12" s="54"/>
      <c r="CH12" s="54"/>
    </row>
    <row r="13" spans="1:86">
      <c r="A13" s="72" t="s">
        <v>297</v>
      </c>
      <c r="B13" s="19" t="s">
        <v>13</v>
      </c>
      <c r="C13" s="19" t="s">
        <v>13</v>
      </c>
      <c r="D13" s="19" t="s">
        <v>13</v>
      </c>
      <c r="E13" s="19" t="s">
        <v>13</v>
      </c>
      <c r="F13" s="19" t="s">
        <v>13</v>
      </c>
      <c r="G13" s="19" t="s">
        <v>13</v>
      </c>
      <c r="H13" s="19" t="s">
        <v>13</v>
      </c>
      <c r="I13" s="19" t="s">
        <v>13</v>
      </c>
      <c r="J13" s="19" t="s">
        <v>13</v>
      </c>
      <c r="K13" s="19" t="s">
        <v>13</v>
      </c>
      <c r="L13" s="19" t="s">
        <v>13</v>
      </c>
      <c r="M13" s="19" t="s">
        <v>13</v>
      </c>
      <c r="N13" s="19" t="s">
        <v>13</v>
      </c>
      <c r="O13" s="69" t="s">
        <v>13</v>
      </c>
      <c r="P13" s="69" t="s">
        <v>13</v>
      </c>
      <c r="Q13" s="69" t="s">
        <v>13</v>
      </c>
      <c r="R13" s="69" t="s">
        <v>13</v>
      </c>
      <c r="S13" s="69" t="s">
        <v>13</v>
      </c>
      <c r="T13" s="69" t="s">
        <v>13</v>
      </c>
      <c r="U13" s="69" t="s">
        <v>13</v>
      </c>
      <c r="V13" s="69" t="s">
        <v>13</v>
      </c>
      <c r="W13" s="69">
        <v>0.39200000000000002</v>
      </c>
      <c r="X13" s="19">
        <v>0.224</v>
      </c>
      <c r="Y13" s="19">
        <v>0.61299999999999999</v>
      </c>
      <c r="Z13" s="19">
        <v>0.377</v>
      </c>
      <c r="AA13" s="70">
        <v>0.4</v>
      </c>
      <c r="AB13" s="19">
        <v>0.441</v>
      </c>
      <c r="AC13" s="19">
        <v>0.65400000000000003</v>
      </c>
      <c r="AD13" s="19">
        <v>0.67800000000000005</v>
      </c>
      <c r="AE13" s="19">
        <v>1.014</v>
      </c>
      <c r="AF13" s="19">
        <v>2.1480000000000001</v>
      </c>
      <c r="AG13" s="19">
        <v>2.6920000000000002</v>
      </c>
      <c r="AH13" s="19">
        <v>2.2850000000000001</v>
      </c>
      <c r="AI13" s="19">
        <v>1.2529999999999999</v>
      </c>
      <c r="AJ13" s="19">
        <v>0.89700000000000002</v>
      </c>
      <c r="AK13" s="19">
        <v>1.772</v>
      </c>
      <c r="AL13" s="19">
        <v>2.258</v>
      </c>
      <c r="AM13" s="69">
        <v>2.0516000000000001</v>
      </c>
      <c r="AN13" s="69">
        <v>2.2000000000000002</v>
      </c>
      <c r="AO13" s="69">
        <v>14</v>
      </c>
      <c r="AP13" s="69">
        <v>44.9</v>
      </c>
      <c r="AQ13" s="69">
        <v>40.1</v>
      </c>
      <c r="AR13" s="69">
        <v>31.4</v>
      </c>
      <c r="AS13" s="69">
        <v>40</v>
      </c>
      <c r="AT13" s="69">
        <v>38.5</v>
      </c>
      <c r="AU13" s="69">
        <v>28.9</v>
      </c>
      <c r="AV13" s="69">
        <v>39.6</v>
      </c>
      <c r="AW13" s="19">
        <v>91.7</v>
      </c>
      <c r="AX13" s="69">
        <v>101.3</v>
      </c>
      <c r="AY13" s="245">
        <v>76.2</v>
      </c>
      <c r="AZ13" s="245">
        <v>118.7</v>
      </c>
      <c r="BA13" s="245">
        <v>155.10657800000004</v>
      </c>
      <c r="BB13" s="244">
        <v>97.217421000000016</v>
      </c>
      <c r="BC13" s="19">
        <v>183.15024600000001</v>
      </c>
      <c r="BD13" s="19">
        <v>226.00161599999998</v>
      </c>
      <c r="BE13" s="19">
        <v>146.65118799999999</v>
      </c>
      <c r="BF13" s="19">
        <v>325.94952999999992</v>
      </c>
      <c r="BG13" s="19">
        <v>341.96276399999999</v>
      </c>
      <c r="BH13" s="19">
        <v>531.0172950000001</v>
      </c>
      <c r="BI13" s="19">
        <v>777.975323</v>
      </c>
      <c r="BJ13" s="19">
        <v>513.37080800000001</v>
      </c>
      <c r="BK13" s="19">
        <v>452.49920699999996</v>
      </c>
      <c r="BL13" s="19">
        <v>563.39688500000011</v>
      </c>
      <c r="BM13" s="19">
        <v>425.88686099999995</v>
      </c>
      <c r="BN13" s="19">
        <v>387.61553087800002</v>
      </c>
      <c r="BO13" s="19">
        <v>174.733283008</v>
      </c>
      <c r="BP13" s="19">
        <v>172.63265012400001</v>
      </c>
      <c r="BQ13" s="19">
        <v>174.326768612</v>
      </c>
      <c r="CB13" s="54"/>
      <c r="CC13" s="54"/>
      <c r="CD13" s="54"/>
      <c r="CE13" s="54"/>
      <c r="CF13" s="54"/>
      <c r="CG13" s="54"/>
      <c r="CH13" s="54"/>
    </row>
    <row r="14" spans="1:86">
      <c r="A14" s="72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69"/>
      <c r="P14" s="69"/>
      <c r="Q14" s="69"/>
      <c r="R14" s="69"/>
      <c r="S14" s="69"/>
      <c r="T14" s="69"/>
      <c r="U14" s="69"/>
      <c r="V14" s="69"/>
      <c r="W14" s="69"/>
      <c r="X14" s="19"/>
      <c r="Y14" s="19"/>
      <c r="Z14" s="19"/>
      <c r="AA14" s="70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69"/>
      <c r="AN14" s="69"/>
      <c r="AO14" s="69"/>
      <c r="AP14" s="69"/>
      <c r="AQ14" s="69"/>
      <c r="AR14" s="69"/>
      <c r="AS14" s="69"/>
      <c r="AT14" s="69"/>
      <c r="AU14" s="69"/>
      <c r="AV14" s="69"/>
      <c r="AW14" s="19"/>
      <c r="AX14" s="69"/>
      <c r="AY14" s="245"/>
      <c r="AZ14" s="245"/>
      <c r="BA14" s="245"/>
      <c r="BB14" s="244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19"/>
      <c r="BQ14" s="19"/>
      <c r="CB14" s="54"/>
      <c r="CC14" s="54"/>
      <c r="CD14" s="54"/>
      <c r="CE14" s="54"/>
      <c r="CF14" s="54"/>
      <c r="CG14" s="54"/>
      <c r="CH14" s="54"/>
    </row>
    <row r="15" spans="1:86">
      <c r="A15" s="72" t="s">
        <v>298</v>
      </c>
      <c r="B15" s="19">
        <v>4.6572209999999998</v>
      </c>
      <c r="C15" s="19">
        <v>11.715</v>
      </c>
      <c r="D15" s="19">
        <v>5.2294609999999997</v>
      </c>
      <c r="E15" s="19">
        <v>5.4384459999999999</v>
      </c>
      <c r="F15" s="19">
        <v>6.2760000000000007</v>
      </c>
      <c r="G15" s="19">
        <v>11.876459000000001</v>
      </c>
      <c r="H15" s="19">
        <v>9.1023260000000015</v>
      </c>
      <c r="I15" s="19">
        <v>7.2529599999999999</v>
      </c>
      <c r="J15" s="19">
        <v>11.58409</v>
      </c>
      <c r="K15" s="19">
        <v>10.654999999999999</v>
      </c>
      <c r="L15" s="19">
        <v>9.5792249999999992</v>
      </c>
      <c r="M15" s="19">
        <v>8.1311040000000006</v>
      </c>
      <c r="N15" s="19">
        <v>7.4136810000000004</v>
      </c>
      <c r="O15" s="69">
        <v>6.9684049999999997</v>
      </c>
      <c r="P15" s="69">
        <v>7.8399600000000014</v>
      </c>
      <c r="Q15" s="69">
        <v>12.763</v>
      </c>
      <c r="R15" s="69">
        <v>10.680999999999999</v>
      </c>
      <c r="S15" s="69">
        <v>12.629</v>
      </c>
      <c r="T15" s="69">
        <v>14.926</v>
      </c>
      <c r="U15" s="69">
        <v>15.06</v>
      </c>
      <c r="V15" s="69">
        <v>16.447000000000003</v>
      </c>
      <c r="W15" s="69">
        <v>20.091999999999999</v>
      </c>
      <c r="X15" s="19">
        <v>25.488</v>
      </c>
      <c r="Y15" s="19">
        <v>37.076999999999998</v>
      </c>
      <c r="Z15" s="19">
        <v>91.58</v>
      </c>
      <c r="AA15" s="70">
        <v>189.2</v>
      </c>
      <c r="AB15" s="19">
        <v>179.952</v>
      </c>
      <c r="AC15" s="19">
        <v>288.19299999999998</v>
      </c>
      <c r="AD15" s="19">
        <v>307.87700000000001</v>
      </c>
      <c r="AE15" s="19">
        <v>226.572</v>
      </c>
      <c r="AF15" s="19">
        <v>320.22300000000001</v>
      </c>
      <c r="AG15" s="19">
        <v>453.29399999999998</v>
      </c>
      <c r="AH15" s="19">
        <v>434.32499999999999</v>
      </c>
      <c r="AI15" s="19">
        <v>504.42099999999999</v>
      </c>
      <c r="AJ15" s="19">
        <v>188.69800000000001</v>
      </c>
      <c r="AK15" s="19">
        <v>89.281999999999996</v>
      </c>
      <c r="AL15" s="19">
        <v>132.489</v>
      </c>
      <c r="AM15" s="69">
        <v>149.91130000000001</v>
      </c>
      <c r="AN15" s="69">
        <v>202.7</v>
      </c>
      <c r="AO15" s="69">
        <v>272.8</v>
      </c>
      <c r="AP15" s="69">
        <v>312.8</v>
      </c>
      <c r="AQ15" s="69">
        <v>281.39999999999998</v>
      </c>
      <c r="AR15" s="69">
        <v>354.7</v>
      </c>
      <c r="AS15" s="69">
        <v>422.3</v>
      </c>
      <c r="AT15" s="69">
        <v>516.1</v>
      </c>
      <c r="AU15" s="69">
        <v>722.4</v>
      </c>
      <c r="AV15" s="69">
        <v>762.4</v>
      </c>
      <c r="AW15" s="19">
        <v>849.2</v>
      </c>
      <c r="AX15" s="69">
        <v>1029.4000000000001</v>
      </c>
      <c r="AY15" s="245">
        <v>878</v>
      </c>
      <c r="AZ15" s="245">
        <v>828.9</v>
      </c>
      <c r="BA15" s="245">
        <v>1087.653822</v>
      </c>
      <c r="BB15" s="244">
        <v>1071.405708</v>
      </c>
      <c r="BC15" s="19">
        <v>942.04004099999997</v>
      </c>
      <c r="BD15" s="19">
        <v>1265.7197100000001</v>
      </c>
      <c r="BE15" s="19">
        <v>1354.3999670000001</v>
      </c>
      <c r="BF15" s="19">
        <v>2041.3197599999999</v>
      </c>
      <c r="BG15" s="19">
        <v>2776.899105</v>
      </c>
      <c r="BH15" s="19">
        <v>3731.6771100000001</v>
      </c>
      <c r="BI15" s="19">
        <v>5049.7518520000012</v>
      </c>
      <c r="BJ15" s="19">
        <v>3322.398901</v>
      </c>
      <c r="BK15" s="19">
        <v>4261.6603949999999</v>
      </c>
      <c r="BL15" s="19">
        <v>5739.6211949999997</v>
      </c>
      <c r="BM15" s="19">
        <v>7207.7812219999996</v>
      </c>
      <c r="BN15" s="19">
        <v>6828.6412226120001</v>
      </c>
      <c r="BO15" s="19">
        <v>7373.2094356939997</v>
      </c>
      <c r="BP15" s="19">
        <v>4184.9936826800003</v>
      </c>
      <c r="BQ15" s="19">
        <v>4306.6850999500002</v>
      </c>
      <c r="CB15" s="54"/>
      <c r="CC15" s="54"/>
      <c r="CD15" s="54"/>
      <c r="CE15" s="54"/>
      <c r="CF15" s="54"/>
      <c r="CG15" s="54"/>
      <c r="CH15" s="54"/>
    </row>
    <row r="16" spans="1:86">
      <c r="A16" s="72" t="s">
        <v>299</v>
      </c>
      <c r="B16" s="19">
        <v>0.58099999999999996</v>
      </c>
      <c r="C16" s="19">
        <v>0.58699999999999997</v>
      </c>
      <c r="D16" s="19">
        <v>0.19</v>
      </c>
      <c r="E16" s="19">
        <v>0.32</v>
      </c>
      <c r="F16" s="19">
        <v>0.49199999999999999</v>
      </c>
      <c r="G16" s="19">
        <v>1.5649999999999999</v>
      </c>
      <c r="H16" s="19">
        <v>1.57</v>
      </c>
      <c r="I16" s="19">
        <v>0.72199999999999998</v>
      </c>
      <c r="J16" s="19">
        <v>0.54300000000000004</v>
      </c>
      <c r="K16" s="19">
        <v>0.47599999999999998</v>
      </c>
      <c r="L16" s="19">
        <v>0.26300000000000001</v>
      </c>
      <c r="M16" s="19">
        <v>2.5899999999999999E-2</v>
      </c>
      <c r="N16" s="19">
        <v>6.3E-2</v>
      </c>
      <c r="O16" s="69">
        <v>0.67800000000000005</v>
      </c>
      <c r="P16" s="69">
        <v>0.41299999999999998</v>
      </c>
      <c r="Q16" s="69">
        <v>1.8580000000000001</v>
      </c>
      <c r="R16" s="69">
        <v>1.2</v>
      </c>
      <c r="S16" s="69">
        <v>2.9289999999999998</v>
      </c>
      <c r="T16" s="69">
        <v>2.6150000000000002</v>
      </c>
      <c r="U16" s="69">
        <v>2.91</v>
      </c>
      <c r="V16" s="69">
        <v>3.3969999999999998</v>
      </c>
      <c r="W16" s="69">
        <v>3.6160000000000001</v>
      </c>
      <c r="X16" s="19">
        <v>4.2480000000000002</v>
      </c>
      <c r="Y16" s="19">
        <v>3.2930000000000001</v>
      </c>
      <c r="Z16" s="19">
        <v>8.6389999999999993</v>
      </c>
      <c r="AA16" s="70">
        <v>10.9</v>
      </c>
      <c r="AB16" s="19">
        <v>8.9770000000000003</v>
      </c>
      <c r="AC16" s="19">
        <v>5.5170000000000003</v>
      </c>
      <c r="AD16" s="19">
        <v>26.541</v>
      </c>
      <c r="AE16" s="19">
        <v>13.851000000000001</v>
      </c>
      <c r="AF16" s="19">
        <v>30.32</v>
      </c>
      <c r="AG16" s="19">
        <v>47.970999999999997</v>
      </c>
      <c r="AH16" s="19">
        <v>31.757999999999999</v>
      </c>
      <c r="AI16" s="19">
        <v>17.462</v>
      </c>
      <c r="AJ16" s="19">
        <v>13.797000000000001</v>
      </c>
      <c r="AK16" s="19">
        <v>5.399</v>
      </c>
      <c r="AL16" s="19">
        <v>8.7249999999999996</v>
      </c>
      <c r="AM16" s="69">
        <v>23.037099999999999</v>
      </c>
      <c r="AN16" s="69">
        <v>18</v>
      </c>
      <c r="AO16" s="69">
        <v>6.5</v>
      </c>
      <c r="AP16" s="69">
        <v>13.3</v>
      </c>
      <c r="AQ16" s="69">
        <v>9</v>
      </c>
      <c r="AR16" s="69">
        <v>15.3</v>
      </c>
      <c r="AS16" s="69">
        <v>30.7</v>
      </c>
      <c r="AT16" s="69">
        <v>53.9</v>
      </c>
      <c r="AU16" s="69">
        <v>75.8</v>
      </c>
      <c r="AV16" s="69">
        <v>90.1</v>
      </c>
      <c r="AW16" s="19">
        <v>84.1</v>
      </c>
      <c r="AX16" s="69">
        <v>76.400000000000006</v>
      </c>
      <c r="AY16" s="245">
        <v>76.599999999999994</v>
      </c>
      <c r="AZ16" s="245">
        <v>75.2</v>
      </c>
      <c r="BA16" s="245">
        <v>94.001114000000015</v>
      </c>
      <c r="BB16" s="244">
        <v>72.265931000000009</v>
      </c>
      <c r="BC16" s="19">
        <v>15.259127999999999</v>
      </c>
      <c r="BD16" s="19">
        <v>35.403891000000002</v>
      </c>
      <c r="BE16" s="19">
        <v>34.577623000000003</v>
      </c>
      <c r="BF16" s="19">
        <v>42.927951999999998</v>
      </c>
      <c r="BG16" s="19">
        <v>44.160194000000004</v>
      </c>
      <c r="BH16" s="19">
        <v>76.418745999999999</v>
      </c>
      <c r="BI16" s="19">
        <v>94.519174000000007</v>
      </c>
      <c r="BJ16" s="19">
        <v>99.705728000000008</v>
      </c>
      <c r="BK16" s="19">
        <v>114.29745599999998</v>
      </c>
      <c r="BL16" s="19">
        <v>89.11136599999999</v>
      </c>
      <c r="BM16" s="19">
        <v>105.15657</v>
      </c>
      <c r="BN16" s="19">
        <v>142.912571783</v>
      </c>
      <c r="BO16" s="19">
        <v>196.25921484</v>
      </c>
      <c r="BP16" s="19">
        <v>215.72044135600001</v>
      </c>
      <c r="BQ16" s="19">
        <v>217.56594713199999</v>
      </c>
      <c r="CB16" s="54"/>
      <c r="CC16" s="54"/>
      <c r="CD16" s="54"/>
      <c r="CE16" s="54"/>
      <c r="CF16" s="54"/>
      <c r="CG16" s="54"/>
      <c r="CH16" s="54"/>
    </row>
    <row r="17" spans="1:86">
      <c r="A17" s="72" t="s">
        <v>300</v>
      </c>
      <c r="B17" s="19">
        <v>4.3E-3</v>
      </c>
      <c r="C17" s="19">
        <v>0</v>
      </c>
      <c r="D17" s="19">
        <v>5.5700000000000003E-3</v>
      </c>
      <c r="E17" s="19">
        <v>2.5999999999999998E-5</v>
      </c>
      <c r="F17" s="19">
        <v>0</v>
      </c>
      <c r="G17" s="19">
        <v>2.8000000000000001E-2</v>
      </c>
      <c r="H17" s="19">
        <v>2.3600000000000001E-3</v>
      </c>
      <c r="I17" s="19">
        <v>1.4599999999999999E-3</v>
      </c>
      <c r="J17" s="19">
        <v>1.47E-3</v>
      </c>
      <c r="K17" s="19">
        <v>7.5000000000000002E-4</v>
      </c>
      <c r="L17" s="19">
        <v>5.8500000000000002E-4</v>
      </c>
      <c r="M17" s="19">
        <v>9.59E-4</v>
      </c>
      <c r="N17" s="19">
        <v>3.8099999999999999E-4</v>
      </c>
      <c r="O17" s="69">
        <v>2.49E-3</v>
      </c>
      <c r="P17" s="69">
        <v>2.49E-3</v>
      </c>
      <c r="Q17" s="69">
        <v>0.125</v>
      </c>
      <c r="R17" s="69">
        <v>8.0000000000000002E-3</v>
      </c>
      <c r="S17" s="69">
        <v>1.9E-2</v>
      </c>
      <c r="T17" s="69">
        <v>0.27700000000000002</v>
      </c>
      <c r="U17" s="69">
        <v>0.52500000000000002</v>
      </c>
      <c r="V17" s="69">
        <v>0.67400000000000004</v>
      </c>
      <c r="W17" s="69">
        <v>1.3380000000000001</v>
      </c>
      <c r="X17" s="19">
        <v>0.98199999999999998</v>
      </c>
      <c r="Y17" s="19">
        <v>2.7240000000000002</v>
      </c>
      <c r="Z17" s="19">
        <v>3.2280000000000002</v>
      </c>
      <c r="AA17" s="70">
        <v>2.8</v>
      </c>
      <c r="AB17" s="19">
        <v>5.6459999999999999</v>
      </c>
      <c r="AC17" s="19">
        <v>5.8949999999999996</v>
      </c>
      <c r="AD17" s="19">
        <v>4.883</v>
      </c>
      <c r="AE17" s="19">
        <v>15.904</v>
      </c>
      <c r="AF17" s="19">
        <v>6.1459999999999999</v>
      </c>
      <c r="AG17" s="19">
        <v>34.402999999999999</v>
      </c>
      <c r="AH17" s="19">
        <v>65.492000000000004</v>
      </c>
      <c r="AI17" s="19">
        <v>276.23599999999999</v>
      </c>
      <c r="AJ17" s="19">
        <v>2.6760000000000002</v>
      </c>
      <c r="AK17" s="19">
        <v>1.569</v>
      </c>
      <c r="AL17" s="19">
        <v>2.4569999999999999</v>
      </c>
      <c r="AM17" s="69">
        <v>23.1769</v>
      </c>
      <c r="AN17" s="69">
        <v>17.899999999999999</v>
      </c>
      <c r="AO17" s="69">
        <v>10.9</v>
      </c>
      <c r="AP17" s="69">
        <v>8.5</v>
      </c>
      <c r="AQ17" s="69">
        <v>6.4</v>
      </c>
      <c r="AR17" s="69">
        <v>7.8</v>
      </c>
      <c r="AS17" s="69">
        <v>13</v>
      </c>
      <c r="AT17" s="69">
        <v>15.3</v>
      </c>
      <c r="AU17" s="69">
        <v>7.5</v>
      </c>
      <c r="AV17" s="69">
        <v>54.1</v>
      </c>
      <c r="AW17" s="19">
        <v>43.8</v>
      </c>
      <c r="AX17" s="69">
        <v>26.1</v>
      </c>
      <c r="AY17" s="245">
        <v>33.4</v>
      </c>
      <c r="AZ17" s="245">
        <v>16.2</v>
      </c>
      <c r="BA17" s="245">
        <v>18.824864999999999</v>
      </c>
      <c r="BB17" s="244">
        <v>15.100265</v>
      </c>
      <c r="BC17" s="19">
        <v>15.022136000000001</v>
      </c>
      <c r="BD17" s="19">
        <v>20.585127</v>
      </c>
      <c r="BE17" s="19">
        <v>74.845425000000006</v>
      </c>
      <c r="BF17" s="19">
        <v>91.182572000000022</v>
      </c>
      <c r="BG17" s="19">
        <v>26.508105999999998</v>
      </c>
      <c r="BH17" s="19">
        <v>41.026423000000008</v>
      </c>
      <c r="BI17" s="19">
        <v>46.033920000000002</v>
      </c>
      <c r="BJ17" s="19">
        <v>39.962952999999999</v>
      </c>
      <c r="BK17" s="19">
        <v>51.406718999999988</v>
      </c>
      <c r="BL17" s="19">
        <v>89.771285000000006</v>
      </c>
      <c r="BM17" s="19">
        <v>135.08884899999998</v>
      </c>
      <c r="BN17" s="19">
        <v>130.80968342099999</v>
      </c>
      <c r="BO17" s="19">
        <v>134.14777559800001</v>
      </c>
      <c r="BP17" s="19">
        <v>110.114421202</v>
      </c>
      <c r="BQ17" s="19">
        <v>144.76161294600001</v>
      </c>
      <c r="CB17" s="54"/>
      <c r="CC17" s="54"/>
      <c r="CD17" s="54"/>
      <c r="CE17" s="54"/>
      <c r="CF17" s="54"/>
      <c r="CG17" s="54"/>
      <c r="CH17" s="54"/>
    </row>
    <row r="18" spans="1:86">
      <c r="A18" s="72" t="s">
        <v>468</v>
      </c>
      <c r="B18" s="19">
        <v>1.1439999999999999</v>
      </c>
      <c r="C18" s="19">
        <v>1.0109999999999999</v>
      </c>
      <c r="D18" s="19">
        <v>1.5669999999999999</v>
      </c>
      <c r="E18" s="19">
        <v>1.117</v>
      </c>
      <c r="F18" s="19">
        <v>1.4930000000000001</v>
      </c>
      <c r="G18" s="19">
        <v>2.105</v>
      </c>
      <c r="H18" s="19">
        <v>1.341</v>
      </c>
      <c r="I18" s="19">
        <v>1.2370000000000001</v>
      </c>
      <c r="J18" s="19">
        <v>1.546</v>
      </c>
      <c r="K18" s="19">
        <v>2.2349999999999999</v>
      </c>
      <c r="L18" s="19">
        <v>2.1459999999999999</v>
      </c>
      <c r="M18" s="19">
        <v>2.4</v>
      </c>
      <c r="N18" s="19">
        <v>2.399</v>
      </c>
      <c r="O18" s="69">
        <v>2.37</v>
      </c>
      <c r="P18" s="69">
        <v>2.395</v>
      </c>
      <c r="Q18" s="69">
        <v>1.7569999999999999</v>
      </c>
      <c r="R18" s="69">
        <v>1.982</v>
      </c>
      <c r="S18" s="69">
        <v>3.7250000000000001</v>
      </c>
      <c r="T18" s="69">
        <v>4.3979999999999997</v>
      </c>
      <c r="U18" s="69">
        <v>4.7690000000000001</v>
      </c>
      <c r="V18" s="69">
        <v>5.1619999999999999</v>
      </c>
      <c r="W18" s="69">
        <v>5.569</v>
      </c>
      <c r="X18" s="19">
        <v>6.5220000000000002</v>
      </c>
      <c r="Y18" s="19">
        <v>13.763999999999999</v>
      </c>
      <c r="Z18" s="19">
        <v>22.728999999999999</v>
      </c>
      <c r="AA18" s="70">
        <v>82.3</v>
      </c>
      <c r="AB18" s="19">
        <v>70.662000000000006</v>
      </c>
      <c r="AC18" s="19">
        <v>77.13</v>
      </c>
      <c r="AD18" s="19">
        <v>92.120999999999995</v>
      </c>
      <c r="AE18" s="19">
        <v>76.581000000000003</v>
      </c>
      <c r="AF18" s="19">
        <v>151.20599999999999</v>
      </c>
      <c r="AG18" s="19">
        <v>228.477</v>
      </c>
      <c r="AH18" s="19">
        <v>73.741</v>
      </c>
      <c r="AI18" s="19">
        <v>18.512</v>
      </c>
      <c r="AJ18" s="19">
        <v>38.725000000000001</v>
      </c>
      <c r="AK18" s="19">
        <v>26.829000000000001</v>
      </c>
      <c r="AL18" s="19">
        <v>45.558999999999997</v>
      </c>
      <c r="AM18" s="69">
        <v>47.342100000000002</v>
      </c>
      <c r="AN18" s="69">
        <v>33.700000000000003</v>
      </c>
      <c r="AO18" s="69">
        <v>58.7</v>
      </c>
      <c r="AP18" s="69">
        <v>81.900000000000006</v>
      </c>
      <c r="AQ18" s="69">
        <v>78.8</v>
      </c>
      <c r="AR18" s="69">
        <v>111.2</v>
      </c>
      <c r="AS18" s="69">
        <v>156.4</v>
      </c>
      <c r="AT18" s="69">
        <v>117.4</v>
      </c>
      <c r="AU18" s="69">
        <v>167.7</v>
      </c>
      <c r="AV18" s="69">
        <v>196.9</v>
      </c>
      <c r="AW18" s="19">
        <v>220.7</v>
      </c>
      <c r="AX18" s="69">
        <v>238.6</v>
      </c>
      <c r="AY18" s="245">
        <v>139.80000000000001</v>
      </c>
      <c r="AZ18" s="245">
        <v>195.1</v>
      </c>
      <c r="BA18" s="245">
        <v>223.576899</v>
      </c>
      <c r="BB18" s="244">
        <v>91.025950999999992</v>
      </c>
      <c r="BC18" s="19">
        <v>74.449431000000004</v>
      </c>
      <c r="BD18" s="19">
        <v>75.704227000000003</v>
      </c>
      <c r="BE18" s="19">
        <v>125.797284</v>
      </c>
      <c r="BF18" s="19">
        <v>305.22832700000004</v>
      </c>
      <c r="BG18" s="19">
        <v>554.35908200000006</v>
      </c>
      <c r="BH18" s="19">
        <v>664.53916900000002</v>
      </c>
      <c r="BI18" s="19">
        <v>1509.3670049999998</v>
      </c>
      <c r="BJ18" s="19">
        <v>899.98206699999992</v>
      </c>
      <c r="BK18" s="19">
        <v>846.62886800000001</v>
      </c>
      <c r="BL18" s="19">
        <v>1106.1594550000002</v>
      </c>
      <c r="BM18" s="19">
        <v>1990.563932</v>
      </c>
      <c r="BN18" s="19">
        <v>2457.3370084540002</v>
      </c>
      <c r="BO18" s="19">
        <v>2327.6347426070001</v>
      </c>
      <c r="BP18" s="19">
        <v>1138.0786112369999</v>
      </c>
      <c r="BQ18" s="19">
        <v>1150.556669479</v>
      </c>
      <c r="CB18" s="54"/>
      <c r="CC18" s="54"/>
      <c r="CD18" s="54"/>
      <c r="CE18" s="54"/>
      <c r="CF18" s="54"/>
      <c r="CG18" s="54"/>
      <c r="CH18" s="54"/>
    </row>
    <row r="19" spans="1:86">
      <c r="A19" s="72" t="s">
        <v>301</v>
      </c>
      <c r="B19" s="19">
        <v>9.2100000000000005E-4</v>
      </c>
      <c r="C19" s="19">
        <v>0</v>
      </c>
      <c r="D19" s="19">
        <v>9.1000000000000003E-5</v>
      </c>
      <c r="E19" s="19">
        <v>2.2000000000000001E-4</v>
      </c>
      <c r="F19" s="19">
        <v>0</v>
      </c>
      <c r="G19" s="19">
        <v>1.8090000000000001E-3</v>
      </c>
      <c r="H19" s="19">
        <v>9.6599999999999995E-4</v>
      </c>
      <c r="I19" s="19">
        <v>1.5E-3</v>
      </c>
      <c r="J19" s="19">
        <v>3.2200000000000002E-3</v>
      </c>
      <c r="K19" s="19">
        <v>3.2499999999999999E-3</v>
      </c>
      <c r="L19" s="19">
        <v>1.14E-3</v>
      </c>
      <c r="M19" s="19">
        <v>9.4499999999999998E-4</v>
      </c>
      <c r="N19" s="19">
        <v>2.5999999999999999E-2</v>
      </c>
      <c r="O19" s="69">
        <v>9.1500000000000001E-4</v>
      </c>
      <c r="P19" s="69">
        <v>5.47E-3</v>
      </c>
      <c r="Q19" s="69">
        <v>6.2E-2</v>
      </c>
      <c r="R19" s="69">
        <v>0.186</v>
      </c>
      <c r="S19" s="69">
        <v>0.60299999999999998</v>
      </c>
      <c r="T19" s="69">
        <v>0.876</v>
      </c>
      <c r="U19" s="69">
        <v>0.54800000000000004</v>
      </c>
      <c r="V19" s="69">
        <v>0.749</v>
      </c>
      <c r="W19" s="69">
        <v>0.52400000000000002</v>
      </c>
      <c r="X19" s="19">
        <v>1.0620000000000001</v>
      </c>
      <c r="Y19" s="19">
        <v>0.69799999999999995</v>
      </c>
      <c r="Z19" s="19">
        <v>2.601</v>
      </c>
      <c r="AA19" s="70">
        <v>3.8</v>
      </c>
      <c r="AB19" s="19">
        <v>6.3460000000000001</v>
      </c>
      <c r="AC19" s="19">
        <v>5.2450000000000001</v>
      </c>
      <c r="AD19" s="19">
        <v>5.3579999999999997</v>
      </c>
      <c r="AE19" s="19">
        <v>19.280999999999999</v>
      </c>
      <c r="AF19" s="19">
        <v>21.602</v>
      </c>
      <c r="AG19" s="19">
        <v>13.12</v>
      </c>
      <c r="AH19" s="19">
        <v>16.311</v>
      </c>
      <c r="AI19" s="19">
        <v>2.5270000000000001</v>
      </c>
      <c r="AJ19" s="19">
        <v>0.24</v>
      </c>
      <c r="AK19" s="19">
        <v>1.1479999999999999</v>
      </c>
      <c r="AL19" s="19">
        <v>1.784</v>
      </c>
      <c r="AM19" s="69">
        <v>9.4960000000000004</v>
      </c>
      <c r="AN19" s="69">
        <v>7.7</v>
      </c>
      <c r="AO19" s="69">
        <v>19.3</v>
      </c>
      <c r="AP19" s="69">
        <v>26</v>
      </c>
      <c r="AQ19" s="69">
        <v>8.6999999999999993</v>
      </c>
      <c r="AR19" s="69">
        <v>16.5</v>
      </c>
      <c r="AS19" s="69">
        <v>33.1</v>
      </c>
      <c r="AT19" s="69">
        <v>38.700000000000003</v>
      </c>
      <c r="AU19" s="69">
        <v>76.3</v>
      </c>
      <c r="AV19" s="69">
        <v>50.7</v>
      </c>
      <c r="AW19" s="19">
        <v>54.5</v>
      </c>
      <c r="AX19" s="69">
        <v>42</v>
      </c>
      <c r="AY19" s="245">
        <v>47.6</v>
      </c>
      <c r="AZ19" s="245">
        <v>52.5</v>
      </c>
      <c r="BA19" s="245">
        <v>48.25100599999999</v>
      </c>
      <c r="BB19" s="244">
        <v>49.965499999999999</v>
      </c>
      <c r="BC19" s="19">
        <v>25.678355000000003</v>
      </c>
      <c r="BD19" s="19">
        <v>49.560645000000001</v>
      </c>
      <c r="BE19" s="19">
        <v>42.281339000000003</v>
      </c>
      <c r="BF19" s="19">
        <v>61.730991000000003</v>
      </c>
      <c r="BG19" s="19">
        <v>58.384467000000001</v>
      </c>
      <c r="BH19" s="19">
        <v>83.853996999999993</v>
      </c>
      <c r="BI19" s="19">
        <v>100.31280599999999</v>
      </c>
      <c r="BJ19" s="19">
        <v>70.693064000000007</v>
      </c>
      <c r="BK19" s="19">
        <v>87.370709999999988</v>
      </c>
      <c r="BL19" s="19">
        <v>98.47187000000001</v>
      </c>
      <c r="BM19" s="19">
        <v>101.056113</v>
      </c>
      <c r="BN19" s="19">
        <v>117.50832174</v>
      </c>
      <c r="BO19" s="19">
        <v>147.17890840000001</v>
      </c>
      <c r="BP19" s="19">
        <v>156.99814687200001</v>
      </c>
      <c r="BQ19" s="19">
        <v>168.07895601999999</v>
      </c>
      <c r="CB19" s="54"/>
      <c r="CC19" s="54"/>
      <c r="CD19" s="54"/>
      <c r="CE19" s="54"/>
      <c r="CF19" s="54"/>
      <c r="CG19" s="54"/>
      <c r="CH19" s="54"/>
    </row>
    <row r="20" spans="1:86">
      <c r="A20" s="72" t="s">
        <v>469</v>
      </c>
      <c r="B20" s="19" t="s">
        <v>13</v>
      </c>
      <c r="C20" s="19" t="s">
        <v>13</v>
      </c>
      <c r="D20" s="19" t="s">
        <v>13</v>
      </c>
      <c r="E20" s="19" t="s">
        <v>13</v>
      </c>
      <c r="F20" s="19" t="s">
        <v>13</v>
      </c>
      <c r="G20" s="19" t="s">
        <v>13</v>
      </c>
      <c r="H20" s="19" t="s">
        <v>13</v>
      </c>
      <c r="I20" s="19" t="s">
        <v>13</v>
      </c>
      <c r="J20" s="19" t="s">
        <v>13</v>
      </c>
      <c r="K20" s="19" t="s">
        <v>13</v>
      </c>
      <c r="L20" s="19" t="s">
        <v>13</v>
      </c>
      <c r="M20" s="19" t="s">
        <v>13</v>
      </c>
      <c r="N20" s="19" t="s">
        <v>13</v>
      </c>
      <c r="O20" s="69" t="s">
        <v>13</v>
      </c>
      <c r="P20" s="69" t="s">
        <v>13</v>
      </c>
      <c r="Q20" s="69" t="s">
        <v>13</v>
      </c>
      <c r="R20" s="69" t="s">
        <v>13</v>
      </c>
      <c r="S20" s="69" t="s">
        <v>13</v>
      </c>
      <c r="T20" s="69" t="s">
        <v>13</v>
      </c>
      <c r="U20" s="69" t="s">
        <v>13</v>
      </c>
      <c r="V20" s="69" t="s">
        <v>13</v>
      </c>
      <c r="W20" s="69" t="s">
        <v>13</v>
      </c>
      <c r="X20" s="19" t="s">
        <v>13</v>
      </c>
      <c r="Y20" s="19" t="s">
        <v>13</v>
      </c>
      <c r="Z20" s="19" t="s">
        <v>13</v>
      </c>
      <c r="AA20" s="70" t="s">
        <v>13</v>
      </c>
      <c r="AB20" s="19" t="s">
        <v>13</v>
      </c>
      <c r="AC20" s="19" t="s">
        <v>13</v>
      </c>
      <c r="AD20" s="19" t="s">
        <v>13</v>
      </c>
      <c r="AE20" s="19" t="s">
        <v>13</v>
      </c>
      <c r="AF20" s="19" t="s">
        <v>13</v>
      </c>
      <c r="AG20" s="19" t="s">
        <v>13</v>
      </c>
      <c r="AH20" s="19" t="s">
        <v>13</v>
      </c>
      <c r="AI20" s="19" t="s">
        <v>13</v>
      </c>
      <c r="AJ20" s="19" t="s">
        <v>13</v>
      </c>
      <c r="AK20" s="19" t="s">
        <v>13</v>
      </c>
      <c r="AL20" s="19" t="s">
        <v>13</v>
      </c>
      <c r="AM20" s="69" t="s">
        <v>13</v>
      </c>
      <c r="AN20" s="69" t="s">
        <v>13</v>
      </c>
      <c r="AO20" s="69" t="s">
        <v>13</v>
      </c>
      <c r="AP20" s="69" t="s">
        <v>13</v>
      </c>
      <c r="AQ20" s="69" t="s">
        <v>13</v>
      </c>
      <c r="AR20" s="69" t="s">
        <v>13</v>
      </c>
      <c r="AS20" s="69" t="s">
        <v>13</v>
      </c>
      <c r="AT20" s="69" t="s">
        <v>13</v>
      </c>
      <c r="AU20" s="69" t="s">
        <v>13</v>
      </c>
      <c r="AV20" s="69" t="s">
        <v>13</v>
      </c>
      <c r="AW20" s="19" t="s">
        <v>13</v>
      </c>
      <c r="AX20" s="69" t="s">
        <v>13</v>
      </c>
      <c r="AY20" s="245" t="s">
        <v>13</v>
      </c>
      <c r="AZ20" s="245" t="s">
        <v>13</v>
      </c>
      <c r="BA20" s="245" t="s">
        <v>13</v>
      </c>
      <c r="BB20" s="244" t="s">
        <v>13</v>
      </c>
      <c r="BC20" s="19" t="s">
        <v>13</v>
      </c>
      <c r="BD20" s="19" t="s">
        <v>13</v>
      </c>
      <c r="BE20" s="19" t="s">
        <v>13</v>
      </c>
      <c r="BF20" s="19" t="s">
        <v>13</v>
      </c>
      <c r="BG20" s="19" t="s">
        <v>13</v>
      </c>
      <c r="BH20" s="19" t="s">
        <v>13</v>
      </c>
      <c r="BI20" s="19" t="s">
        <v>13</v>
      </c>
      <c r="BJ20" s="19" t="s">
        <v>13</v>
      </c>
      <c r="BK20" s="19" t="s">
        <v>13</v>
      </c>
      <c r="BL20" s="19" t="s">
        <v>13</v>
      </c>
      <c r="BM20" s="19">
        <v>767.21282900000006</v>
      </c>
      <c r="BN20" s="19">
        <v>626.01404355399995</v>
      </c>
      <c r="BO20" s="19">
        <v>1398.0831209989999</v>
      </c>
      <c r="BP20" s="19">
        <v>441.57561784299997</v>
      </c>
      <c r="BQ20" s="19">
        <v>662.27511436600003</v>
      </c>
      <c r="CB20" s="54"/>
      <c r="CC20" s="54"/>
      <c r="CD20" s="54"/>
      <c r="CE20" s="54"/>
      <c r="CF20" s="54"/>
      <c r="CG20" s="54"/>
      <c r="CH20" s="54"/>
    </row>
    <row r="21" spans="1:86">
      <c r="A21" s="72" t="s">
        <v>470</v>
      </c>
      <c r="B21" s="19" t="s">
        <v>13</v>
      </c>
      <c r="C21" s="19" t="s">
        <v>13</v>
      </c>
      <c r="D21" s="19" t="s">
        <v>13</v>
      </c>
      <c r="E21" s="19" t="s">
        <v>13</v>
      </c>
      <c r="F21" s="19" t="s">
        <v>13</v>
      </c>
      <c r="G21" s="19" t="s">
        <v>13</v>
      </c>
      <c r="H21" s="19" t="s">
        <v>13</v>
      </c>
      <c r="I21" s="19" t="s">
        <v>13</v>
      </c>
      <c r="J21" s="19" t="s">
        <v>13</v>
      </c>
      <c r="K21" s="19" t="s">
        <v>13</v>
      </c>
      <c r="L21" s="19" t="s">
        <v>13</v>
      </c>
      <c r="M21" s="19" t="s">
        <v>13</v>
      </c>
      <c r="N21" s="19" t="s">
        <v>13</v>
      </c>
      <c r="O21" s="69" t="s">
        <v>13</v>
      </c>
      <c r="P21" s="69" t="s">
        <v>13</v>
      </c>
      <c r="Q21" s="69" t="s">
        <v>13</v>
      </c>
      <c r="R21" s="69" t="s">
        <v>13</v>
      </c>
      <c r="S21" s="69" t="s">
        <v>13</v>
      </c>
      <c r="T21" s="69" t="s">
        <v>13</v>
      </c>
      <c r="U21" s="69" t="s">
        <v>13</v>
      </c>
      <c r="V21" s="69" t="s">
        <v>13</v>
      </c>
      <c r="W21" s="69" t="s">
        <v>13</v>
      </c>
      <c r="X21" s="19" t="s">
        <v>13</v>
      </c>
      <c r="Y21" s="19" t="s">
        <v>13</v>
      </c>
      <c r="Z21" s="19" t="s">
        <v>13</v>
      </c>
      <c r="AA21" s="70" t="s">
        <v>13</v>
      </c>
      <c r="AB21" s="19" t="s">
        <v>13</v>
      </c>
      <c r="AC21" s="19" t="s">
        <v>13</v>
      </c>
      <c r="AD21" s="19" t="s">
        <v>13</v>
      </c>
      <c r="AE21" s="19" t="s">
        <v>13</v>
      </c>
      <c r="AF21" s="19" t="s">
        <v>13</v>
      </c>
      <c r="AG21" s="19" t="s">
        <v>13</v>
      </c>
      <c r="AH21" s="19" t="s">
        <v>13</v>
      </c>
      <c r="AI21" s="19" t="s">
        <v>13</v>
      </c>
      <c r="AJ21" s="19" t="s">
        <v>13</v>
      </c>
      <c r="AK21" s="19" t="s">
        <v>13</v>
      </c>
      <c r="AL21" s="19" t="s">
        <v>13</v>
      </c>
      <c r="AM21" s="69" t="s">
        <v>13</v>
      </c>
      <c r="AN21" s="69" t="s">
        <v>13</v>
      </c>
      <c r="AO21" s="69" t="s">
        <v>13</v>
      </c>
      <c r="AP21" s="69" t="s">
        <v>13</v>
      </c>
      <c r="AQ21" s="69" t="s">
        <v>13</v>
      </c>
      <c r="AR21" s="69" t="s">
        <v>13</v>
      </c>
      <c r="AS21" s="69" t="s">
        <v>13</v>
      </c>
      <c r="AT21" s="69" t="s">
        <v>13</v>
      </c>
      <c r="AU21" s="69" t="s">
        <v>13</v>
      </c>
      <c r="AV21" s="69" t="s">
        <v>13</v>
      </c>
      <c r="AW21" s="19" t="s">
        <v>13</v>
      </c>
      <c r="AX21" s="69" t="s">
        <v>13</v>
      </c>
      <c r="AY21" s="245" t="s">
        <v>13</v>
      </c>
      <c r="AZ21" s="245" t="s">
        <v>13</v>
      </c>
      <c r="BA21" s="245" t="s">
        <v>13</v>
      </c>
      <c r="BB21" s="244" t="s">
        <v>13</v>
      </c>
      <c r="BC21" s="19" t="s">
        <v>13</v>
      </c>
      <c r="BD21" s="19" t="s">
        <v>13</v>
      </c>
      <c r="BE21" s="19" t="s">
        <v>13</v>
      </c>
      <c r="BF21" s="19" t="s">
        <v>13</v>
      </c>
      <c r="BG21" s="19">
        <v>318.87764800000002</v>
      </c>
      <c r="BH21" s="19">
        <v>591.57265200000006</v>
      </c>
      <c r="BI21" s="19">
        <v>719.551379</v>
      </c>
      <c r="BJ21" s="19">
        <v>563.93273799999997</v>
      </c>
      <c r="BK21" s="19">
        <v>973.96018000000004</v>
      </c>
      <c r="BL21" s="19">
        <v>1474.4705739999999</v>
      </c>
      <c r="BM21" s="19">
        <v>1006.027449</v>
      </c>
      <c r="BN21" s="19">
        <v>461.58692065000002</v>
      </c>
      <c r="BO21" s="19">
        <v>563.70275254199998</v>
      </c>
      <c r="BP21" s="19">
        <v>325.69870733400001</v>
      </c>
      <c r="BQ21" s="19">
        <v>144.083081585</v>
      </c>
      <c r="CB21" s="54"/>
      <c r="CC21" s="54"/>
      <c r="CD21" s="54"/>
      <c r="CE21" s="54"/>
      <c r="CF21" s="54"/>
      <c r="CG21" s="54"/>
      <c r="CH21" s="54"/>
    </row>
    <row r="22" spans="1:86">
      <c r="A22" s="72" t="s">
        <v>80</v>
      </c>
      <c r="B22" s="19" t="s">
        <v>13</v>
      </c>
      <c r="C22" s="19" t="s">
        <v>13</v>
      </c>
      <c r="D22" s="19" t="s">
        <v>13</v>
      </c>
      <c r="E22" s="19" t="s">
        <v>13</v>
      </c>
      <c r="F22" s="19" t="s">
        <v>13</v>
      </c>
      <c r="G22" s="19" t="s">
        <v>13</v>
      </c>
      <c r="H22" s="19" t="s">
        <v>13</v>
      </c>
      <c r="I22" s="19" t="s">
        <v>13</v>
      </c>
      <c r="J22" s="19" t="s">
        <v>13</v>
      </c>
      <c r="K22" s="19" t="s">
        <v>13</v>
      </c>
      <c r="L22" s="19" t="s">
        <v>13</v>
      </c>
      <c r="M22" s="19" t="s">
        <v>13</v>
      </c>
      <c r="N22" s="19" t="s">
        <v>13</v>
      </c>
      <c r="O22" s="69" t="s">
        <v>13</v>
      </c>
      <c r="P22" s="69" t="s">
        <v>13</v>
      </c>
      <c r="Q22" s="69" t="s">
        <v>13</v>
      </c>
      <c r="R22" s="69" t="s">
        <v>13</v>
      </c>
      <c r="S22" s="69" t="s">
        <v>13</v>
      </c>
      <c r="T22" s="69" t="s">
        <v>13</v>
      </c>
      <c r="U22" s="69" t="s">
        <v>13</v>
      </c>
      <c r="V22" s="69" t="s">
        <v>13</v>
      </c>
      <c r="W22" s="69">
        <v>2.5000000000000001E-2</v>
      </c>
      <c r="X22" s="19">
        <v>4.9000000000000002E-2</v>
      </c>
      <c r="Y22" s="19">
        <v>8.2000000000000003E-2</v>
      </c>
      <c r="Z22" s="19">
        <v>0.219</v>
      </c>
      <c r="AA22" s="70">
        <v>0.5</v>
      </c>
      <c r="AB22" s="19">
        <v>0.25900000000000001</v>
      </c>
      <c r="AC22" s="19">
        <v>0.61699999999999999</v>
      </c>
      <c r="AD22" s="19">
        <v>0.56999999999999995</v>
      </c>
      <c r="AE22" s="19">
        <v>0.30399999999999999</v>
      </c>
      <c r="AF22" s="19">
        <v>2.5469999999999997</v>
      </c>
      <c r="AG22" s="19">
        <v>5.399</v>
      </c>
      <c r="AH22" s="19">
        <v>101.12599999999999</v>
      </c>
      <c r="AI22" s="19">
        <v>31.228000000000002</v>
      </c>
      <c r="AJ22" s="19">
        <v>1.262</v>
      </c>
      <c r="AK22" s="19">
        <v>0.157</v>
      </c>
      <c r="AL22" s="19">
        <v>0.19700000000000001</v>
      </c>
      <c r="AM22" s="69">
        <v>3.9291999999999998</v>
      </c>
      <c r="AN22" s="69">
        <v>0.3</v>
      </c>
      <c r="AO22" s="69">
        <v>0.2</v>
      </c>
      <c r="AP22" s="69">
        <v>0.2</v>
      </c>
      <c r="AQ22" s="69">
        <v>0.4</v>
      </c>
      <c r="AR22" s="69">
        <v>0.6</v>
      </c>
      <c r="AS22" s="69">
        <v>0.7</v>
      </c>
      <c r="AT22" s="69">
        <v>1.1000000000000001</v>
      </c>
      <c r="AU22" s="69">
        <v>2.1</v>
      </c>
      <c r="AV22" s="69">
        <v>10</v>
      </c>
      <c r="AW22" s="19">
        <v>17.7</v>
      </c>
      <c r="AX22" s="69">
        <v>10</v>
      </c>
      <c r="AY22" s="245">
        <v>32.5</v>
      </c>
      <c r="AZ22" s="245">
        <v>7.4</v>
      </c>
      <c r="BA22" s="245">
        <v>11.770502000000164</v>
      </c>
      <c r="BB22" s="244">
        <v>5.9416139999999995</v>
      </c>
      <c r="BC22" s="19">
        <v>4.9168350000000007</v>
      </c>
      <c r="BD22" s="19">
        <v>1.5728689999999999</v>
      </c>
      <c r="BE22" s="19">
        <v>2.4114209999999994</v>
      </c>
      <c r="BF22" s="19">
        <v>3.9776540000000002</v>
      </c>
      <c r="BG22" s="19">
        <v>10.691692</v>
      </c>
      <c r="BH22" s="19">
        <v>16.179223</v>
      </c>
      <c r="BI22" s="19">
        <v>22.118884000000001</v>
      </c>
      <c r="BJ22" s="19">
        <v>19.717917999999997</v>
      </c>
      <c r="BK22" s="19">
        <v>45.695738000000006</v>
      </c>
      <c r="BL22" s="19">
        <v>67.179626999999996</v>
      </c>
      <c r="BM22" s="19">
        <v>33.699288999999681</v>
      </c>
      <c r="BN22" s="19">
        <v>55.585813313999999</v>
      </c>
      <c r="BO22" s="19">
        <v>46.960072476999997</v>
      </c>
      <c r="BP22" s="19">
        <v>42.11228217</v>
      </c>
      <c r="BQ22" s="19">
        <v>43.013365534999998</v>
      </c>
      <c r="CB22" s="54"/>
      <c r="CC22" s="54"/>
      <c r="CD22" s="54"/>
      <c r="CE22" s="54"/>
      <c r="CF22" s="54"/>
      <c r="CG22" s="54"/>
      <c r="CH22" s="54"/>
    </row>
    <row r="23" spans="1:86">
      <c r="A23" s="72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69"/>
      <c r="P23" s="69"/>
      <c r="Q23" s="69"/>
      <c r="R23" s="69"/>
      <c r="S23" s="69"/>
      <c r="T23" s="69"/>
      <c r="U23" s="69"/>
      <c r="V23" s="69"/>
      <c r="W23" s="69"/>
      <c r="X23" s="19"/>
      <c r="Y23" s="19"/>
      <c r="Z23" s="19"/>
      <c r="AA23" s="70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69"/>
      <c r="AN23" s="69"/>
      <c r="AO23" s="69"/>
      <c r="AP23" s="69"/>
      <c r="AQ23" s="69"/>
      <c r="AR23" s="69"/>
      <c r="AS23" s="69"/>
      <c r="AT23" s="69"/>
      <c r="AU23" s="69"/>
      <c r="AV23" s="69"/>
      <c r="AW23" s="19"/>
      <c r="AX23" s="69"/>
      <c r="AY23" s="245"/>
      <c r="AZ23" s="245"/>
      <c r="BA23" s="245"/>
      <c r="BB23" s="244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19"/>
      <c r="BQ23" s="19"/>
      <c r="CB23" s="54"/>
      <c r="CC23" s="54"/>
      <c r="CD23" s="54"/>
      <c r="CE23" s="54"/>
      <c r="CF23" s="54"/>
      <c r="CG23" s="54"/>
      <c r="CH23" s="54"/>
    </row>
    <row r="24" spans="1:86">
      <c r="A24" s="72" t="s">
        <v>302</v>
      </c>
      <c r="B24" s="19">
        <v>2.9269999999999996</v>
      </c>
      <c r="C24" s="19">
        <v>10.117000000000001</v>
      </c>
      <c r="D24" s="19">
        <v>3.4667999999999997</v>
      </c>
      <c r="E24" s="19">
        <v>4.0011999999999999</v>
      </c>
      <c r="F24" s="19">
        <v>4.2910000000000004</v>
      </c>
      <c r="G24" s="19">
        <v>8.1766500000000004</v>
      </c>
      <c r="H24" s="19">
        <v>6.1880000000000006</v>
      </c>
      <c r="I24" s="19">
        <v>5.2909999999999995</v>
      </c>
      <c r="J24" s="19">
        <v>9.4904000000000011</v>
      </c>
      <c r="K24" s="19">
        <v>7.94</v>
      </c>
      <c r="L24" s="19">
        <v>7.1684999999999999</v>
      </c>
      <c r="M24" s="19">
        <v>5.7032999999999996</v>
      </c>
      <c r="N24" s="19">
        <v>4.9253</v>
      </c>
      <c r="O24" s="69">
        <v>3.9169999999999998</v>
      </c>
      <c r="P24" s="69">
        <v>5.0240000000000009</v>
      </c>
      <c r="Q24" s="69">
        <v>8.9610000000000003</v>
      </c>
      <c r="R24" s="69">
        <v>7.3049999999999997</v>
      </c>
      <c r="S24" s="69">
        <v>5.3529999999999998</v>
      </c>
      <c r="T24" s="69">
        <v>6.76</v>
      </c>
      <c r="U24" s="69">
        <v>6.3079999999999998</v>
      </c>
      <c r="V24" s="69">
        <v>6.4649999999999999</v>
      </c>
      <c r="W24" s="69">
        <v>9.02</v>
      </c>
      <c r="X24" s="19">
        <v>12.625</v>
      </c>
      <c r="Y24" s="19">
        <v>16.515999999999998</v>
      </c>
      <c r="Z24" s="19">
        <v>54.164000000000001</v>
      </c>
      <c r="AA24" s="70">
        <v>88.9</v>
      </c>
      <c r="AB24" s="19">
        <v>88.061999999999998</v>
      </c>
      <c r="AC24" s="19">
        <v>199.30599999999998</v>
      </c>
      <c r="AD24" s="19">
        <v>178.404</v>
      </c>
      <c r="AE24" s="19">
        <v>100.651</v>
      </c>
      <c r="AF24" s="19">
        <v>108.402</v>
      </c>
      <c r="AG24" s="19">
        <v>123.92400000000001</v>
      </c>
      <c r="AH24" s="19">
        <v>145.89699999999999</v>
      </c>
      <c r="AI24" s="19">
        <v>158.45600000000002</v>
      </c>
      <c r="AJ24" s="19">
        <v>131.99800000000002</v>
      </c>
      <c r="AK24" s="19">
        <v>54.18</v>
      </c>
      <c r="AL24" s="19">
        <v>73.76700000000001</v>
      </c>
      <c r="AM24" s="69">
        <v>42.929400000000001</v>
      </c>
      <c r="AN24" s="69">
        <v>125.1</v>
      </c>
      <c r="AO24" s="69">
        <v>177.2</v>
      </c>
      <c r="AP24" s="69">
        <v>183</v>
      </c>
      <c r="AQ24" s="69">
        <v>178.1</v>
      </c>
      <c r="AR24" s="69">
        <v>203.3</v>
      </c>
      <c r="AS24" s="69">
        <v>188.5</v>
      </c>
      <c r="AT24" s="69">
        <v>289.60000000000002</v>
      </c>
      <c r="AU24" s="69">
        <v>393.1</v>
      </c>
      <c r="AV24" s="69">
        <v>360.6</v>
      </c>
      <c r="AW24" s="19">
        <v>428.3</v>
      </c>
      <c r="AX24" s="69">
        <v>636.20000000000005</v>
      </c>
      <c r="AY24" s="245">
        <v>548</v>
      </c>
      <c r="AZ24" s="245">
        <v>482.5</v>
      </c>
      <c r="BA24" s="245">
        <v>691.22943599999996</v>
      </c>
      <c r="BB24" s="244">
        <v>837.106447</v>
      </c>
      <c r="BC24" s="19">
        <v>806.71415600000012</v>
      </c>
      <c r="BD24" s="19">
        <v>1082.892951</v>
      </c>
      <c r="BE24" s="19">
        <v>1074.4868749999998</v>
      </c>
      <c r="BF24" s="19">
        <v>1536.2722640000002</v>
      </c>
      <c r="BG24" s="19">
        <v>1763.9179159999999</v>
      </c>
      <c r="BH24" s="19">
        <v>2258.0868999999998</v>
      </c>
      <c r="BI24" s="19">
        <v>2557.8027530000004</v>
      </c>
      <c r="BJ24" s="19">
        <v>1628.4443879999999</v>
      </c>
      <c r="BK24" s="19">
        <v>2142.3272619999998</v>
      </c>
      <c r="BL24" s="19">
        <v>2814.4384189999996</v>
      </c>
      <c r="BM24" s="19">
        <v>3068.9761910000002</v>
      </c>
      <c r="BN24" s="19">
        <v>2836.8868596960001</v>
      </c>
      <c r="BO24" s="19">
        <v>2559.2428482310002</v>
      </c>
      <c r="BP24" s="19">
        <v>1754.6954546659999</v>
      </c>
      <c r="BQ24" s="19">
        <v>1776.3503528870001</v>
      </c>
      <c r="CB24" s="54"/>
      <c r="CC24" s="54"/>
      <c r="CD24" s="54"/>
      <c r="CE24" s="54"/>
      <c r="CF24" s="54"/>
      <c r="CG24" s="54"/>
      <c r="CH24" s="54"/>
    </row>
    <row r="25" spans="1:86">
      <c r="A25" s="72" t="s">
        <v>303</v>
      </c>
      <c r="B25" s="19">
        <v>0.123</v>
      </c>
      <c r="C25" s="19">
        <v>8.6999999999999994E-2</v>
      </c>
      <c r="D25" s="19">
        <v>3.78E-2</v>
      </c>
      <c r="E25" s="19">
        <v>6.2199999999999998E-2</v>
      </c>
      <c r="F25" s="19">
        <v>0.68300000000000005</v>
      </c>
      <c r="G25" s="19">
        <v>2.0650000000000002E-2</v>
      </c>
      <c r="H25" s="19">
        <v>0.19500000000000001</v>
      </c>
      <c r="I25" s="19">
        <v>6.4000000000000001E-2</v>
      </c>
      <c r="J25" s="19">
        <v>7.7200000000000005E-2</v>
      </c>
      <c r="K25" s="19">
        <v>1.2999999999999999E-2</v>
      </c>
      <c r="L25" s="19">
        <v>1.95E-2</v>
      </c>
      <c r="M25" s="19">
        <v>3.1300000000000001E-2</v>
      </c>
      <c r="N25" s="19">
        <v>2.63E-2</v>
      </c>
      <c r="O25" s="69">
        <v>3.6999999999999998E-2</v>
      </c>
      <c r="P25" s="69">
        <v>2.7E-2</v>
      </c>
      <c r="Q25" s="69">
        <v>9.0999999999999998E-2</v>
      </c>
      <c r="R25" s="69">
        <v>0.13300000000000001</v>
      </c>
      <c r="S25" s="69">
        <v>0.18099999999999999</v>
      </c>
      <c r="T25" s="69">
        <v>9.9000000000000005E-2</v>
      </c>
      <c r="U25" s="69">
        <v>7.3999999999999996E-2</v>
      </c>
      <c r="V25" s="69">
        <v>9.0999999999999998E-2</v>
      </c>
      <c r="W25" s="69">
        <v>7.6999999999999999E-2</v>
      </c>
      <c r="X25" s="19">
        <v>9.4E-2</v>
      </c>
      <c r="Y25" s="19">
        <v>0.11</v>
      </c>
      <c r="Z25" s="19">
        <v>0.252</v>
      </c>
      <c r="AA25" s="70">
        <v>0.2</v>
      </c>
      <c r="AB25" s="19">
        <v>0.32100000000000001</v>
      </c>
      <c r="AC25" s="19">
        <v>0.23499999999999999</v>
      </c>
      <c r="AD25" s="19">
        <v>0.253</v>
      </c>
      <c r="AE25" s="19">
        <v>0.68899999999999995</v>
      </c>
      <c r="AF25" s="19">
        <v>0.59</v>
      </c>
      <c r="AG25" s="19">
        <v>0.625</v>
      </c>
      <c r="AH25" s="19">
        <v>0.72199999999999998</v>
      </c>
      <c r="AI25" s="19">
        <v>0.23599999999999999</v>
      </c>
      <c r="AJ25" s="19">
        <v>0.20599999999999999</v>
      </c>
      <c r="AK25" s="19">
        <v>0.20200000000000001</v>
      </c>
      <c r="AL25" s="19">
        <v>7.4999999999999997E-2</v>
      </c>
      <c r="AM25" s="69">
        <v>0.17230000000000001</v>
      </c>
      <c r="AN25" s="69">
        <v>0.3</v>
      </c>
      <c r="AO25" s="69">
        <v>0.2</v>
      </c>
      <c r="AP25" s="69">
        <v>0.4</v>
      </c>
      <c r="AQ25" s="69">
        <v>0.4</v>
      </c>
      <c r="AR25" s="69">
        <v>0.6</v>
      </c>
      <c r="AS25" s="69">
        <v>1</v>
      </c>
      <c r="AT25" s="69">
        <v>1.6</v>
      </c>
      <c r="AU25" s="69">
        <v>2.5</v>
      </c>
      <c r="AV25" s="69">
        <v>3.8</v>
      </c>
      <c r="AW25" s="19">
        <v>4.5999999999999996</v>
      </c>
      <c r="AX25" s="69">
        <v>5.6</v>
      </c>
      <c r="AY25" s="245">
        <v>7</v>
      </c>
      <c r="AZ25" s="245">
        <v>6.7</v>
      </c>
      <c r="BA25" s="245">
        <v>6.989649</v>
      </c>
      <c r="BB25" s="244">
        <v>5.492451</v>
      </c>
      <c r="BC25" s="19">
        <v>4.9294490000000009</v>
      </c>
      <c r="BD25" s="19">
        <v>5.5520759999999996</v>
      </c>
      <c r="BE25" s="19">
        <v>7.5425610000000018</v>
      </c>
      <c r="BF25" s="19">
        <v>9.428977999999999</v>
      </c>
      <c r="BG25" s="19">
        <v>9.2898920000000018</v>
      </c>
      <c r="BH25" s="19">
        <v>13.369043</v>
      </c>
      <c r="BI25" s="19">
        <v>22.981743999999999</v>
      </c>
      <c r="BJ25" s="19">
        <v>10.670028</v>
      </c>
      <c r="BK25" s="19">
        <v>13.675625999999999</v>
      </c>
      <c r="BL25" s="19">
        <v>22.65851</v>
      </c>
      <c r="BM25" s="19">
        <v>21.711779999999997</v>
      </c>
      <c r="BN25" s="19">
        <v>23.520122566000001</v>
      </c>
      <c r="BO25" s="19">
        <v>26.172220470999999</v>
      </c>
      <c r="BP25" s="19">
        <v>36.477572148</v>
      </c>
      <c r="BQ25" s="19">
        <v>31.668878554999999</v>
      </c>
      <c r="CB25" s="54"/>
      <c r="CC25" s="54"/>
      <c r="CD25" s="54"/>
      <c r="CE25" s="54"/>
      <c r="CF25" s="54"/>
      <c r="CG25" s="54"/>
      <c r="CH25" s="54"/>
    </row>
    <row r="26" spans="1:86">
      <c r="A26" s="72" t="s">
        <v>304</v>
      </c>
      <c r="B26" s="19">
        <v>1.212</v>
      </c>
      <c r="C26" s="19">
        <v>3.3410000000000002</v>
      </c>
      <c r="D26" s="19">
        <v>2.9159999999999999</v>
      </c>
      <c r="E26" s="19">
        <v>3.8</v>
      </c>
      <c r="F26" s="19">
        <v>3.1640000000000001</v>
      </c>
      <c r="G26" s="19">
        <v>7.8120000000000003</v>
      </c>
      <c r="H26" s="19">
        <v>5.8070000000000004</v>
      </c>
      <c r="I26" s="19">
        <v>4.92</v>
      </c>
      <c r="J26" s="19">
        <v>6.7590000000000003</v>
      </c>
      <c r="K26" s="19">
        <v>4.5439999999999996</v>
      </c>
      <c r="L26" s="19">
        <v>5.2009999999999996</v>
      </c>
      <c r="M26" s="19">
        <v>2.6859999999999999</v>
      </c>
      <c r="N26" s="19">
        <v>4.1689999999999996</v>
      </c>
      <c r="O26" s="69">
        <v>3.274</v>
      </c>
      <c r="P26" s="69">
        <v>4.2080000000000002</v>
      </c>
      <c r="Q26" s="69">
        <v>7.5819999999999999</v>
      </c>
      <c r="R26" s="69">
        <v>6.0659999999999998</v>
      </c>
      <c r="S26" s="69">
        <v>4.1970000000000001</v>
      </c>
      <c r="T26" s="69">
        <v>6.0350000000000001</v>
      </c>
      <c r="U26" s="69">
        <v>5.9109999999999996</v>
      </c>
      <c r="V26" s="69">
        <v>6.0049999999999999</v>
      </c>
      <c r="W26" s="69">
        <v>5.0250000000000004</v>
      </c>
      <c r="X26" s="19">
        <v>7.157</v>
      </c>
      <c r="Y26" s="19">
        <v>9.9550000000000001</v>
      </c>
      <c r="Z26" s="19">
        <v>20.837</v>
      </c>
      <c r="AA26" s="70">
        <v>25.4</v>
      </c>
      <c r="AB26" s="19">
        <v>24.672000000000001</v>
      </c>
      <c r="AC26" s="19">
        <v>71.828999999999994</v>
      </c>
      <c r="AD26" s="19">
        <v>47.774999999999999</v>
      </c>
      <c r="AE26" s="19">
        <v>81.606999999999999</v>
      </c>
      <c r="AF26" s="19">
        <v>64.635999999999996</v>
      </c>
      <c r="AG26" s="19">
        <v>68.563000000000002</v>
      </c>
      <c r="AH26" s="19">
        <v>82.65</v>
      </c>
      <c r="AI26" s="19">
        <v>92.584999999999994</v>
      </c>
      <c r="AJ26" s="19">
        <v>125.85</v>
      </c>
      <c r="AK26" s="19">
        <v>44.54</v>
      </c>
      <c r="AL26" s="19">
        <v>65.162000000000006</v>
      </c>
      <c r="AM26" s="69">
        <v>29.966200000000001</v>
      </c>
      <c r="AN26" s="69">
        <v>35.6</v>
      </c>
      <c r="AO26" s="69">
        <v>43.5</v>
      </c>
      <c r="AP26" s="69">
        <v>41.4</v>
      </c>
      <c r="AQ26" s="69">
        <v>32.1</v>
      </c>
      <c r="AR26" s="69">
        <v>31.6</v>
      </c>
      <c r="AS26" s="69">
        <v>73.5</v>
      </c>
      <c r="AT26" s="69">
        <v>147.19999999999999</v>
      </c>
      <c r="AU26" s="69">
        <v>225.8</v>
      </c>
      <c r="AV26" s="69">
        <v>253.3</v>
      </c>
      <c r="AW26" s="19">
        <v>302</v>
      </c>
      <c r="AX26" s="69">
        <v>355.5</v>
      </c>
      <c r="AY26" s="245">
        <v>282.60000000000002</v>
      </c>
      <c r="AZ26" s="245">
        <v>227.2</v>
      </c>
      <c r="BA26" s="245">
        <v>272.51656500000001</v>
      </c>
      <c r="BB26" s="244">
        <v>324.305091</v>
      </c>
      <c r="BC26" s="19">
        <v>362.53133600000001</v>
      </c>
      <c r="BD26" s="19">
        <v>375.58068699999995</v>
      </c>
      <c r="BE26" s="19">
        <v>334.824727</v>
      </c>
      <c r="BF26" s="19">
        <v>511.02873699999992</v>
      </c>
      <c r="BG26" s="19">
        <v>715.26393699999994</v>
      </c>
      <c r="BH26" s="19">
        <v>739.64615199999992</v>
      </c>
      <c r="BI26" s="19">
        <v>803.77858800000013</v>
      </c>
      <c r="BJ26" s="19">
        <v>678.33811099999991</v>
      </c>
      <c r="BK26" s="19">
        <v>793.06184899999994</v>
      </c>
      <c r="BL26" s="19">
        <v>1025.510233</v>
      </c>
      <c r="BM26" s="19">
        <v>1055.9452990000002</v>
      </c>
      <c r="BN26" s="19">
        <v>912.11608014499996</v>
      </c>
      <c r="BO26" s="19">
        <v>951.30510261500001</v>
      </c>
      <c r="BP26" s="19">
        <v>784.02839882399996</v>
      </c>
      <c r="BQ26" s="19">
        <v>810.45746121800005</v>
      </c>
      <c r="CB26" s="54"/>
      <c r="CC26" s="54"/>
      <c r="CD26" s="54"/>
      <c r="CE26" s="54"/>
      <c r="CF26" s="54"/>
      <c r="CG26" s="54"/>
      <c r="CH26" s="54"/>
    </row>
    <row r="27" spans="1:86">
      <c r="A27" s="72" t="s">
        <v>305</v>
      </c>
      <c r="B27" s="19">
        <v>0.24299999999999999</v>
      </c>
      <c r="C27" s="19">
        <v>4.8979999999999997</v>
      </c>
      <c r="D27" s="19">
        <v>0.24199999999999999</v>
      </c>
      <c r="E27" s="19">
        <v>7.2999999999999995E-2</v>
      </c>
      <c r="F27" s="19">
        <v>0.27200000000000002</v>
      </c>
      <c r="G27" s="19">
        <v>9.0999999999999998E-2</v>
      </c>
      <c r="H27" s="19">
        <v>9.4E-2</v>
      </c>
      <c r="I27" s="19">
        <v>0.26</v>
      </c>
      <c r="J27" s="19">
        <v>2.6110000000000002</v>
      </c>
      <c r="K27" s="19">
        <v>9.1999999999999998E-2</v>
      </c>
      <c r="L27" s="19">
        <v>9.6000000000000002E-2</v>
      </c>
      <c r="M27" s="19">
        <v>0.109</v>
      </c>
      <c r="N27" s="19">
        <v>0.11799999999999999</v>
      </c>
      <c r="O27" s="69">
        <v>0.51</v>
      </c>
      <c r="P27" s="69">
        <v>0.75900000000000001</v>
      </c>
      <c r="Q27" s="69">
        <v>1.2549999999999999</v>
      </c>
      <c r="R27" s="69">
        <v>1.018</v>
      </c>
      <c r="S27" s="69">
        <v>0.94099999999999995</v>
      </c>
      <c r="T27" s="69">
        <v>0.56499999999999995</v>
      </c>
      <c r="U27" s="69">
        <v>0.28799999999999998</v>
      </c>
      <c r="V27" s="69">
        <v>0.34499999999999997</v>
      </c>
      <c r="W27" s="69">
        <v>3.8620000000000001</v>
      </c>
      <c r="X27" s="19">
        <v>5.2759999999999998</v>
      </c>
      <c r="Y27" s="19">
        <v>6.375</v>
      </c>
      <c r="Z27" s="19">
        <v>33.033000000000001</v>
      </c>
      <c r="AA27" s="70">
        <v>62.9</v>
      </c>
      <c r="AB27" s="19">
        <v>61.369</v>
      </c>
      <c r="AC27" s="19">
        <v>122.86</v>
      </c>
      <c r="AD27" s="19">
        <v>122.155</v>
      </c>
      <c r="AE27" s="19">
        <v>2.8929999999999998</v>
      </c>
      <c r="AF27" s="19">
        <v>9.2449999999999992</v>
      </c>
      <c r="AG27" s="19">
        <v>12.667</v>
      </c>
      <c r="AH27" s="19">
        <v>9.5589999999999993</v>
      </c>
      <c r="AI27" s="19">
        <v>11.46</v>
      </c>
      <c r="AJ27" s="19">
        <v>4.3979999999999997</v>
      </c>
      <c r="AK27" s="19">
        <v>6.3120000000000003</v>
      </c>
      <c r="AL27" s="19">
        <v>5.931</v>
      </c>
      <c r="AM27" s="69">
        <v>9.9273000000000007</v>
      </c>
      <c r="AN27" s="69">
        <v>51.3</v>
      </c>
      <c r="AO27" s="69">
        <v>129</v>
      </c>
      <c r="AP27" s="69">
        <v>135.1</v>
      </c>
      <c r="AQ27" s="69">
        <v>141.5</v>
      </c>
      <c r="AR27" s="69">
        <v>164.1</v>
      </c>
      <c r="AS27" s="69">
        <v>101.1</v>
      </c>
      <c r="AT27" s="69">
        <v>130.9</v>
      </c>
      <c r="AU27" s="69">
        <v>156.80000000000001</v>
      </c>
      <c r="AV27" s="69">
        <v>69.400000000000006</v>
      </c>
      <c r="AW27" s="19">
        <v>49.3</v>
      </c>
      <c r="AX27" s="69">
        <v>223.7</v>
      </c>
      <c r="AY27" s="245">
        <v>199.1</v>
      </c>
      <c r="AZ27" s="245">
        <v>180.2</v>
      </c>
      <c r="BA27" s="245">
        <v>293.82585600000004</v>
      </c>
      <c r="BB27" s="244">
        <v>341.61769399999997</v>
      </c>
      <c r="BC27" s="19">
        <v>374.50798099999997</v>
      </c>
      <c r="BD27" s="19">
        <v>642.46389500000009</v>
      </c>
      <c r="BE27" s="19">
        <v>605.76940000000002</v>
      </c>
      <c r="BF27" s="19">
        <v>876.05603900000006</v>
      </c>
      <c r="BG27" s="19">
        <v>1039.3640869999999</v>
      </c>
      <c r="BH27" s="19">
        <v>1505.0717049999998</v>
      </c>
      <c r="BI27" s="19">
        <v>1731.0424210000001</v>
      </c>
      <c r="BJ27" s="19">
        <v>939.43624899999998</v>
      </c>
      <c r="BK27" s="19">
        <v>1335.5897869999999</v>
      </c>
      <c r="BL27" s="19">
        <v>1766.2696759999999</v>
      </c>
      <c r="BM27" s="19">
        <v>1991.3191119999999</v>
      </c>
      <c r="BN27" s="19">
        <v>1901.250656985</v>
      </c>
      <c r="BO27" s="19">
        <v>1581.7655251450001</v>
      </c>
      <c r="BP27" s="19">
        <v>934.18948369400005</v>
      </c>
      <c r="BQ27" s="19">
        <v>934.22401311399994</v>
      </c>
      <c r="CB27" s="54"/>
      <c r="CC27" s="54"/>
      <c r="CD27" s="54"/>
      <c r="CE27" s="54"/>
      <c r="CF27" s="54"/>
      <c r="CG27" s="54"/>
      <c r="CH27" s="54"/>
    </row>
    <row r="28" spans="1:86">
      <c r="A28" s="72" t="s">
        <v>306</v>
      </c>
      <c r="B28" s="19">
        <v>1.349</v>
      </c>
      <c r="C28" s="19">
        <v>1.7909999999999999</v>
      </c>
      <c r="D28" s="19">
        <v>0.27100000000000002</v>
      </c>
      <c r="E28" s="19">
        <v>6.6000000000000003E-2</v>
      </c>
      <c r="F28" s="19">
        <v>0.17199999999999999</v>
      </c>
      <c r="G28" s="19">
        <v>0.253</v>
      </c>
      <c r="H28" s="19">
        <v>9.1999999999999998E-2</v>
      </c>
      <c r="I28" s="19">
        <v>4.7E-2</v>
      </c>
      <c r="J28" s="19">
        <v>4.3200000000000002E-2</v>
      </c>
      <c r="K28" s="19">
        <v>3.2909999999999999</v>
      </c>
      <c r="L28" s="19">
        <v>1.8520000000000001</v>
      </c>
      <c r="M28" s="19">
        <v>2.8769999999999998</v>
      </c>
      <c r="N28" s="19">
        <v>0.61199999999999999</v>
      </c>
      <c r="O28" s="69">
        <v>9.6000000000000002E-2</v>
      </c>
      <c r="P28" s="69">
        <v>0.03</v>
      </c>
      <c r="Q28" s="69">
        <v>3.3000000000000002E-2</v>
      </c>
      <c r="R28" s="69">
        <v>8.7999999999999995E-2</v>
      </c>
      <c r="S28" s="69">
        <v>3.4000000000000002E-2</v>
      </c>
      <c r="T28" s="69">
        <v>6.0999999999999999E-2</v>
      </c>
      <c r="U28" s="69">
        <v>3.5000000000000003E-2</v>
      </c>
      <c r="V28" s="69">
        <v>2.4E-2</v>
      </c>
      <c r="W28" s="69">
        <v>5.6000000000000001E-2</v>
      </c>
      <c r="X28" s="19">
        <v>9.8000000000000004E-2</v>
      </c>
      <c r="Y28" s="19">
        <v>7.5999999999999998E-2</v>
      </c>
      <c r="Z28" s="19">
        <v>4.2000000000000003E-2</v>
      </c>
      <c r="AA28" s="70">
        <v>0.4</v>
      </c>
      <c r="AB28" s="19">
        <v>1.7</v>
      </c>
      <c r="AC28" s="19">
        <v>4.3819999999999997</v>
      </c>
      <c r="AD28" s="19">
        <v>8.2210000000000001</v>
      </c>
      <c r="AE28" s="19">
        <v>15.462</v>
      </c>
      <c r="AF28" s="19">
        <v>33.930999999999997</v>
      </c>
      <c r="AG28" s="19">
        <v>42.069000000000003</v>
      </c>
      <c r="AH28" s="19">
        <v>52.966000000000001</v>
      </c>
      <c r="AI28" s="19">
        <v>54.174999999999997</v>
      </c>
      <c r="AJ28" s="19">
        <v>1.544</v>
      </c>
      <c r="AK28" s="19">
        <v>3.1259999999999999</v>
      </c>
      <c r="AL28" s="19">
        <v>2.5990000000000002</v>
      </c>
      <c r="AM28" s="69">
        <v>2.8635999999999999</v>
      </c>
      <c r="AN28" s="69">
        <v>37.9</v>
      </c>
      <c r="AO28" s="69">
        <v>4.5</v>
      </c>
      <c r="AP28" s="69">
        <v>6.2</v>
      </c>
      <c r="AQ28" s="69">
        <v>4.0999999999999996</v>
      </c>
      <c r="AR28" s="69">
        <v>7</v>
      </c>
      <c r="AS28" s="69">
        <v>12.9</v>
      </c>
      <c r="AT28" s="69">
        <v>9.9</v>
      </c>
      <c r="AU28" s="69">
        <v>8</v>
      </c>
      <c r="AV28" s="69">
        <v>34.1</v>
      </c>
      <c r="AW28" s="19">
        <v>72.5</v>
      </c>
      <c r="AX28" s="69">
        <v>51.5</v>
      </c>
      <c r="AY28" s="245">
        <v>59.3</v>
      </c>
      <c r="AZ28" s="245">
        <v>66.5</v>
      </c>
      <c r="BA28" s="245">
        <v>117.89736600000001</v>
      </c>
      <c r="BB28" s="244">
        <v>165.69121100000004</v>
      </c>
      <c r="BC28" s="19">
        <v>64.74539</v>
      </c>
      <c r="BD28" s="19">
        <v>59.296293000000006</v>
      </c>
      <c r="BE28" s="19">
        <v>126.35018700000001</v>
      </c>
      <c r="BF28" s="19">
        <v>139.75851</v>
      </c>
      <c r="BG28" s="19" t="s">
        <v>13</v>
      </c>
      <c r="BH28" s="19" t="s">
        <v>13</v>
      </c>
      <c r="BI28" s="19" t="s">
        <v>13</v>
      </c>
      <c r="BJ28" s="19" t="s">
        <v>13</v>
      </c>
      <c r="BK28" s="19" t="s">
        <v>13</v>
      </c>
      <c r="BL28" s="19" t="s">
        <v>13</v>
      </c>
      <c r="BM28" s="19" t="s">
        <v>13</v>
      </c>
      <c r="BN28" s="19" t="s">
        <v>13</v>
      </c>
      <c r="BO28" s="19" t="s">
        <v>13</v>
      </c>
      <c r="BP28" s="19" t="s">
        <v>13</v>
      </c>
      <c r="BQ28" s="19" t="s">
        <v>13</v>
      </c>
      <c r="CB28" s="54"/>
      <c r="CC28" s="54"/>
      <c r="CD28" s="54"/>
      <c r="CE28" s="54"/>
      <c r="CF28" s="54"/>
      <c r="CG28" s="54"/>
      <c r="CH28" s="54"/>
    </row>
    <row r="29" spans="1:86">
      <c r="A29" s="72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69"/>
      <c r="P29" s="69"/>
      <c r="Q29" s="69"/>
      <c r="R29" s="69"/>
      <c r="S29" s="69"/>
      <c r="T29" s="69"/>
      <c r="U29" s="69"/>
      <c r="V29" s="69"/>
      <c r="W29" s="69"/>
      <c r="X29" s="19"/>
      <c r="Y29" s="19"/>
      <c r="Z29" s="19"/>
      <c r="AA29" s="70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69"/>
      <c r="AN29" s="69"/>
      <c r="AO29" s="69"/>
      <c r="AP29" s="69"/>
      <c r="AQ29" s="69"/>
      <c r="AR29" s="69"/>
      <c r="AS29" s="69"/>
      <c r="AT29" s="69"/>
      <c r="AU29" s="69"/>
      <c r="AV29" s="69"/>
      <c r="AW29" s="19"/>
      <c r="AX29" s="69"/>
      <c r="AY29" s="245"/>
      <c r="AZ29" s="245"/>
      <c r="BA29" s="245"/>
      <c r="BB29" s="244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CB29" s="54"/>
      <c r="CC29" s="54"/>
      <c r="CD29" s="54"/>
      <c r="CE29" s="54"/>
      <c r="CF29" s="54"/>
      <c r="CG29" s="54"/>
      <c r="CH29" s="54"/>
    </row>
    <row r="30" spans="1:86">
      <c r="A30" s="72" t="s">
        <v>307</v>
      </c>
      <c r="B30" s="19">
        <v>2.4977789999999995</v>
      </c>
      <c r="C30" s="19">
        <v>4.1560000000000024</v>
      </c>
      <c r="D30" s="19">
        <v>5.5135389999999989</v>
      </c>
      <c r="E30" s="19">
        <v>2.3475540000000015</v>
      </c>
      <c r="F30" s="19">
        <v>1.8109999999999955</v>
      </c>
      <c r="G30" s="19">
        <v>1.2735410000000051</v>
      </c>
      <c r="H30" s="19">
        <v>7.2043260000000098</v>
      </c>
      <c r="I30" s="19">
        <v>2.9270399999999999</v>
      </c>
      <c r="J30" s="19">
        <v>1.8139099999999964</v>
      </c>
      <c r="K30" s="19">
        <v>0.881000000000002</v>
      </c>
      <c r="L30" s="19">
        <v>1.267774999999995</v>
      </c>
      <c r="M30" s="19">
        <v>1.6708960000000062</v>
      </c>
      <c r="N30" s="19">
        <v>1.3373189999999973</v>
      </c>
      <c r="O30" s="69">
        <v>0.94759499999999708</v>
      </c>
      <c r="P30" s="69">
        <v>1.2120400000000053</v>
      </c>
      <c r="Q30" s="69">
        <v>1.8050000000000122</v>
      </c>
      <c r="R30" s="69">
        <v>0.87199999999999811</v>
      </c>
      <c r="S30" s="69">
        <v>0.56800000000000317</v>
      </c>
      <c r="T30" s="69">
        <v>0.48099999999999632</v>
      </c>
      <c r="U30" s="69">
        <v>0.96900000000001008</v>
      </c>
      <c r="V30" s="69">
        <v>0.94299999999999784</v>
      </c>
      <c r="W30" s="69">
        <v>1.9080000000000119</v>
      </c>
      <c r="X30" s="19">
        <v>1.3490000000000073</v>
      </c>
      <c r="Y30" s="19">
        <v>37.106000000000009</v>
      </c>
      <c r="Z30" s="19">
        <v>148.50200000000001</v>
      </c>
      <c r="AA30" s="70">
        <v>312.73577900000004</v>
      </c>
      <c r="AB30" s="19">
        <v>142.65400000000005</v>
      </c>
      <c r="AC30" s="19">
        <v>222.28400000000005</v>
      </c>
      <c r="AD30" s="19">
        <v>190.32700000000006</v>
      </c>
      <c r="AE30" s="19">
        <v>243.69</v>
      </c>
      <c r="AF30" s="19">
        <v>689.07100000000003</v>
      </c>
      <c r="AG30" s="19">
        <v>706.62299999999993</v>
      </c>
      <c r="AH30" s="19">
        <v>144.25600000000009</v>
      </c>
      <c r="AI30" s="19">
        <v>204.70500000000001</v>
      </c>
      <c r="AJ30" s="19">
        <v>402.79399999999987</v>
      </c>
      <c r="AK30" s="19">
        <v>210.81</v>
      </c>
      <c r="AL30" s="19">
        <v>172.37800000000001</v>
      </c>
      <c r="AM30" s="69">
        <v>105.75179999999986</v>
      </c>
      <c r="AN30" s="69">
        <v>229.494</v>
      </c>
      <c r="AO30" s="69">
        <v>309.7</v>
      </c>
      <c r="AP30" s="69">
        <v>212.083</v>
      </c>
      <c r="AQ30" s="69">
        <v>328.5</v>
      </c>
      <c r="AR30" s="69">
        <v>216.9</v>
      </c>
      <c r="AS30" s="69">
        <v>245.4</v>
      </c>
      <c r="AT30" s="69">
        <v>214.8</v>
      </c>
      <c r="AU30" s="69">
        <v>193.6</v>
      </c>
      <c r="AV30" s="69">
        <v>312.3</v>
      </c>
      <c r="AW30" s="19">
        <v>338.2</v>
      </c>
      <c r="AX30" s="69">
        <v>265.39999999999998</v>
      </c>
      <c r="AY30" s="245">
        <v>183.8</v>
      </c>
      <c r="AZ30" s="245">
        <v>281.7</v>
      </c>
      <c r="BA30" s="245">
        <v>325.88204899999994</v>
      </c>
      <c r="BB30" s="244">
        <v>362.02139899999997</v>
      </c>
      <c r="BC30" s="19">
        <v>294.79663900000003</v>
      </c>
      <c r="BD30" s="19">
        <v>380.68599500000005</v>
      </c>
      <c r="BE30" s="19">
        <v>1216.517679</v>
      </c>
      <c r="BF30" s="19">
        <v>770.66750100000002</v>
      </c>
      <c r="BG30" s="19">
        <v>380.30719500000004</v>
      </c>
      <c r="BH30" s="19">
        <v>901.39433499999996</v>
      </c>
      <c r="BI30" s="19">
        <v>978.48115199999984</v>
      </c>
      <c r="BJ30" s="19">
        <v>2097.6024090000001</v>
      </c>
      <c r="BK30" s="19">
        <v>2377.7711949999998</v>
      </c>
      <c r="BL30" s="19">
        <v>1479.0384139999999</v>
      </c>
      <c r="BM30" s="19">
        <v>258.1097869999976</v>
      </c>
      <c r="BN30" s="19">
        <v>64.581145554000003</v>
      </c>
      <c r="BO30" s="19">
        <v>145.127037395</v>
      </c>
      <c r="BP30" s="19">
        <v>70.130930269000004</v>
      </c>
      <c r="BQ30" s="19">
        <v>88.142540423</v>
      </c>
      <c r="CB30" s="54"/>
      <c r="CC30" s="54"/>
      <c r="CD30" s="54"/>
      <c r="CE30" s="54"/>
      <c r="CF30" s="54"/>
      <c r="CG30" s="54"/>
      <c r="CH30" s="54"/>
    </row>
    <row r="31" spans="1:86">
      <c r="A31" s="72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69"/>
      <c r="P31" s="69"/>
      <c r="Q31" s="69"/>
      <c r="R31" s="69"/>
      <c r="S31" s="69"/>
      <c r="T31" s="69"/>
      <c r="U31" s="69"/>
      <c r="V31" s="69"/>
      <c r="W31" s="69"/>
      <c r="X31" s="19"/>
      <c r="Y31" s="19"/>
      <c r="Z31" s="19"/>
      <c r="AA31" s="70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69"/>
      <c r="AN31" s="69"/>
      <c r="AO31" s="69"/>
      <c r="AP31" s="69"/>
      <c r="AQ31" s="69"/>
      <c r="AR31" s="69"/>
      <c r="AS31" s="69"/>
      <c r="AT31" s="69"/>
      <c r="AU31" s="69"/>
      <c r="AV31" s="69"/>
      <c r="AW31" s="19"/>
      <c r="AX31" s="69"/>
      <c r="AY31" s="245"/>
      <c r="AZ31" s="245"/>
      <c r="BA31" s="245"/>
      <c r="BB31" s="244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CB31" s="54"/>
      <c r="CC31" s="54"/>
      <c r="CD31" s="54"/>
      <c r="CE31" s="54"/>
      <c r="CF31" s="54"/>
      <c r="CG31" s="54"/>
      <c r="CH31" s="54"/>
    </row>
    <row r="32" spans="1:86">
      <c r="A32" s="72" t="s">
        <v>308</v>
      </c>
      <c r="B32" s="19">
        <v>4.9749999999999996</v>
      </c>
      <c r="C32" s="19">
        <v>12.638</v>
      </c>
      <c r="D32" s="19">
        <v>10.513999999999999</v>
      </c>
      <c r="E32" s="19">
        <v>16.818000000000001</v>
      </c>
      <c r="F32" s="19">
        <v>12.058</v>
      </c>
      <c r="G32" s="19">
        <v>21.282</v>
      </c>
      <c r="H32" s="19">
        <v>22.381</v>
      </c>
      <c r="I32" s="19">
        <v>27.033000000000001</v>
      </c>
      <c r="J32" s="19">
        <v>27.614999999999998</v>
      </c>
      <c r="K32" s="19">
        <v>27.077000000000002</v>
      </c>
      <c r="L32" s="19">
        <v>25.366</v>
      </c>
      <c r="M32" s="19">
        <v>27.295000000000002</v>
      </c>
      <c r="N32" s="19">
        <v>27.873000000000001</v>
      </c>
      <c r="O32" s="69">
        <v>29.667000000000002</v>
      </c>
      <c r="P32" s="69">
        <v>32.78</v>
      </c>
      <c r="Q32" s="69">
        <v>41.789000000000001</v>
      </c>
      <c r="R32" s="69">
        <v>40.698</v>
      </c>
      <c r="S32" s="69">
        <v>46.81</v>
      </c>
      <c r="T32" s="69">
        <v>47.554000000000002</v>
      </c>
      <c r="U32" s="69">
        <v>39.899000000000001</v>
      </c>
      <c r="V32" s="69">
        <v>38.841000000000001</v>
      </c>
      <c r="W32" s="69">
        <v>51.27</v>
      </c>
      <c r="X32" s="19">
        <v>58.576999999999998</v>
      </c>
      <c r="Y32" s="19">
        <v>81.69</v>
      </c>
      <c r="Z32" s="19">
        <v>82.757000000000005</v>
      </c>
      <c r="AA32" s="70">
        <v>129.31739999999999</v>
      </c>
      <c r="AB32" s="19">
        <v>127.15</v>
      </c>
      <c r="AC32" s="19">
        <v>187.58199999999999</v>
      </c>
      <c r="AD32" s="19">
        <v>270.51299999999998</v>
      </c>
      <c r="AE32" s="19">
        <v>295.863</v>
      </c>
      <c r="AF32" s="19">
        <v>341.12099999999998</v>
      </c>
      <c r="AG32" s="19">
        <v>267.887</v>
      </c>
      <c r="AH32" s="19">
        <v>149.46100000000001</v>
      </c>
      <c r="AI32" s="19">
        <v>93.611000000000004</v>
      </c>
      <c r="AJ32" s="19">
        <v>82.216999999999999</v>
      </c>
      <c r="AK32" s="19">
        <v>115.325</v>
      </c>
      <c r="AL32" s="19">
        <v>183.285</v>
      </c>
      <c r="AM32" s="69">
        <v>207.74590000000001</v>
      </c>
      <c r="AN32" s="69">
        <v>176.7</v>
      </c>
      <c r="AO32" s="69">
        <v>232.1</v>
      </c>
      <c r="AP32" s="69">
        <v>236.5</v>
      </c>
      <c r="AQ32" s="69">
        <v>314.3</v>
      </c>
      <c r="AR32" s="69">
        <v>501.1</v>
      </c>
      <c r="AS32" s="69">
        <v>559.79999999999995</v>
      </c>
      <c r="AT32" s="69">
        <v>575.4</v>
      </c>
      <c r="AU32" s="69">
        <v>879.2</v>
      </c>
      <c r="AV32" s="69">
        <v>994.9</v>
      </c>
      <c r="AW32" s="19">
        <v>1097.2</v>
      </c>
      <c r="AX32" s="69">
        <v>1228.8</v>
      </c>
      <c r="AY32" s="245">
        <v>1034.7</v>
      </c>
      <c r="AZ32" s="245">
        <v>933.7</v>
      </c>
      <c r="BA32" s="245">
        <v>768.32772100000011</v>
      </c>
      <c r="BB32" s="244">
        <v>845.36755000000005</v>
      </c>
      <c r="BC32" s="19">
        <v>1037.46273</v>
      </c>
      <c r="BD32" s="19">
        <v>1370.7061679999999</v>
      </c>
      <c r="BE32" s="19">
        <v>1331.936715</v>
      </c>
      <c r="BF32" s="19">
        <v>1631.275461</v>
      </c>
      <c r="BG32" s="19">
        <v>1879.2032769999998</v>
      </c>
      <c r="BH32" s="19">
        <v>2317.7022380000003</v>
      </c>
      <c r="BI32" s="19">
        <v>2834.5870629999999</v>
      </c>
      <c r="BJ32" s="19">
        <v>2838.2076399999996</v>
      </c>
      <c r="BK32" s="19">
        <v>3030.2428439999999</v>
      </c>
      <c r="BL32" s="19">
        <v>3612.7464140000006</v>
      </c>
      <c r="BM32" s="19">
        <v>3392.4226680000002</v>
      </c>
      <c r="BN32" s="19">
        <v>4107.6149530160001</v>
      </c>
      <c r="BO32" s="19">
        <v>4052.7903972049999</v>
      </c>
      <c r="BP32" s="19">
        <v>3676.3543411999999</v>
      </c>
      <c r="BQ32" s="19">
        <v>3734.1456867239999</v>
      </c>
      <c r="CB32" s="54"/>
      <c r="CC32" s="54"/>
      <c r="CD32" s="54"/>
      <c r="CE32" s="54"/>
      <c r="CF32" s="54"/>
      <c r="CG32" s="54"/>
      <c r="CH32" s="54"/>
    </row>
    <row r="33" spans="1:86">
      <c r="A33" s="72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69"/>
      <c r="P33" s="69"/>
      <c r="Q33" s="69"/>
      <c r="R33" s="69"/>
      <c r="S33" s="69"/>
      <c r="T33" s="69"/>
      <c r="U33" s="69"/>
      <c r="V33" s="69"/>
      <c r="W33" s="69"/>
      <c r="X33" s="19"/>
      <c r="Y33" s="19"/>
      <c r="Z33" s="19"/>
      <c r="AA33" s="70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69"/>
      <c r="AN33" s="69"/>
      <c r="AO33" s="69"/>
      <c r="AP33" s="69"/>
      <c r="AQ33" s="69"/>
      <c r="AR33" s="69"/>
      <c r="AS33" s="69"/>
      <c r="AT33" s="69"/>
      <c r="AU33" s="69"/>
      <c r="AV33" s="69"/>
      <c r="AW33" s="19"/>
      <c r="AX33" s="69"/>
      <c r="AY33" s="245"/>
      <c r="AZ33" s="245"/>
      <c r="BA33" s="245"/>
      <c r="BB33" s="244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/>
      <c r="BQ33" s="19"/>
      <c r="CB33" s="54"/>
      <c r="CC33" s="54"/>
      <c r="CD33" s="54"/>
      <c r="CE33" s="54"/>
      <c r="CF33" s="54"/>
      <c r="CG33" s="54"/>
      <c r="CH33" s="54"/>
    </row>
    <row r="34" spans="1:86">
      <c r="A34" s="72" t="s">
        <v>309</v>
      </c>
      <c r="B34" s="19">
        <v>4.5575999999999999</v>
      </c>
      <c r="C34" s="19">
        <v>11.605099999999998</v>
      </c>
      <c r="D34" s="19">
        <v>10.051</v>
      </c>
      <c r="E34" s="19">
        <v>14.702999999999999</v>
      </c>
      <c r="F34" s="19">
        <v>10.375</v>
      </c>
      <c r="G34" s="19">
        <v>18.853999999999999</v>
      </c>
      <c r="H34" s="19">
        <v>18.747</v>
      </c>
      <c r="I34" s="19">
        <v>24.364000000000001</v>
      </c>
      <c r="J34" s="19">
        <v>24.789000000000001</v>
      </c>
      <c r="K34" s="19">
        <v>24.850999999999999</v>
      </c>
      <c r="L34" s="19">
        <v>23.230999999999998</v>
      </c>
      <c r="M34" s="19">
        <v>24.970299999999998</v>
      </c>
      <c r="N34" s="19">
        <v>25.497999999999998</v>
      </c>
      <c r="O34" s="69">
        <v>26.18</v>
      </c>
      <c r="P34" s="69">
        <v>29.135000000000002</v>
      </c>
      <c r="Q34" s="69">
        <v>38.103000000000002</v>
      </c>
      <c r="R34" s="69">
        <v>39.920999999999999</v>
      </c>
      <c r="S34" s="69">
        <v>46.147000000000006</v>
      </c>
      <c r="T34" s="69">
        <v>47.430999999999997</v>
      </c>
      <c r="U34" s="69">
        <v>39.863</v>
      </c>
      <c r="V34" s="69">
        <v>38.827999999999996</v>
      </c>
      <c r="W34" s="69">
        <v>42.139000000000003</v>
      </c>
      <c r="X34" s="19">
        <v>41.796999999999997</v>
      </c>
      <c r="Y34" s="19">
        <v>63.099000000000004</v>
      </c>
      <c r="Z34" s="19">
        <v>68.878999999999991</v>
      </c>
      <c r="AA34" s="70">
        <v>125.7</v>
      </c>
      <c r="AB34" s="19">
        <v>86.21</v>
      </c>
      <c r="AC34" s="19">
        <v>125.47100000000002</v>
      </c>
      <c r="AD34" s="19">
        <v>206.96800000000002</v>
      </c>
      <c r="AE34" s="19">
        <v>222.19300000000001</v>
      </c>
      <c r="AF34" s="19">
        <v>207.46600000000001</v>
      </c>
      <c r="AG34" s="19">
        <v>207.15</v>
      </c>
      <c r="AH34" s="19">
        <v>119.313</v>
      </c>
      <c r="AI34" s="19">
        <v>65.23</v>
      </c>
      <c r="AJ34" s="19">
        <v>60.817</v>
      </c>
      <c r="AK34" s="19">
        <v>89.74</v>
      </c>
      <c r="AL34" s="19">
        <v>131.76</v>
      </c>
      <c r="AM34" s="69">
        <v>173.88739999999999</v>
      </c>
      <c r="AN34" s="69">
        <v>148</v>
      </c>
      <c r="AO34" s="69">
        <v>202.6</v>
      </c>
      <c r="AP34" s="69">
        <v>208.4</v>
      </c>
      <c r="AQ34" s="69">
        <v>272.89999999999998</v>
      </c>
      <c r="AR34" s="69">
        <v>481.6</v>
      </c>
      <c r="AS34" s="69">
        <v>488.2</v>
      </c>
      <c r="AT34" s="69">
        <v>502.4</v>
      </c>
      <c r="AU34" s="69">
        <v>753</v>
      </c>
      <c r="AV34" s="69">
        <v>844.2</v>
      </c>
      <c r="AW34" s="19">
        <v>943.2</v>
      </c>
      <c r="AX34" s="69">
        <v>1017.1</v>
      </c>
      <c r="AY34" s="245">
        <v>872.4</v>
      </c>
      <c r="AZ34" s="245">
        <v>817.9</v>
      </c>
      <c r="BA34" s="245">
        <v>637.30721699999992</v>
      </c>
      <c r="BB34" s="244">
        <v>666.33513500000004</v>
      </c>
      <c r="BC34" s="19">
        <v>794.49813100000006</v>
      </c>
      <c r="BD34" s="19">
        <v>1076.6306799999998</v>
      </c>
      <c r="BE34" s="19">
        <v>1034.4350159999999</v>
      </c>
      <c r="BF34" s="19">
        <v>1269.7429900000002</v>
      </c>
      <c r="BG34" s="19">
        <v>1487.4910590000002</v>
      </c>
      <c r="BH34" s="19">
        <v>1812.3587659999998</v>
      </c>
      <c r="BI34" s="19">
        <v>2192.3364759999999</v>
      </c>
      <c r="BJ34" s="19">
        <v>2081.7291399999999</v>
      </c>
      <c r="BK34" s="19">
        <v>2265.3342400000001</v>
      </c>
      <c r="BL34" s="19">
        <v>2689.5398630000004</v>
      </c>
      <c r="BM34" s="19">
        <v>2445.471086</v>
      </c>
      <c r="BN34" s="19">
        <v>3011.0790834240001</v>
      </c>
      <c r="BO34" s="19">
        <v>2981.2933771630001</v>
      </c>
      <c r="BP34" s="19">
        <v>2772.9511555160002</v>
      </c>
      <c r="BQ34" s="19">
        <v>2831.6593208019999</v>
      </c>
      <c r="CB34" s="54"/>
      <c r="CC34" s="54"/>
      <c r="CD34" s="54"/>
      <c r="CE34" s="54"/>
      <c r="CF34" s="54"/>
      <c r="CG34" s="54"/>
      <c r="CH34" s="54"/>
    </row>
    <row r="35" spans="1:86">
      <c r="A35" s="72" t="s">
        <v>471</v>
      </c>
      <c r="B35" s="19">
        <v>9.98E-2</v>
      </c>
      <c r="C35" s="19">
        <v>2.5489999999999999</v>
      </c>
      <c r="D35" s="19">
        <v>2.698</v>
      </c>
      <c r="E35" s="19">
        <v>2.4870000000000001</v>
      </c>
      <c r="F35" s="19">
        <v>4.7850000000000001</v>
      </c>
      <c r="G35" s="19">
        <v>7.29</v>
      </c>
      <c r="H35" s="19">
        <v>7.8419999999999996</v>
      </c>
      <c r="I35" s="19">
        <v>10.957000000000001</v>
      </c>
      <c r="J35" s="19">
        <v>10.941000000000001</v>
      </c>
      <c r="K35" s="19">
        <v>11.348000000000001</v>
      </c>
      <c r="L35" s="19">
        <v>10.731999999999999</v>
      </c>
      <c r="M35" s="19">
        <v>11.172000000000001</v>
      </c>
      <c r="N35" s="19">
        <v>12.782999999999999</v>
      </c>
      <c r="O35" s="69">
        <v>13.02</v>
      </c>
      <c r="P35" s="69">
        <v>14.137</v>
      </c>
      <c r="Q35" s="69">
        <v>18.606999999999999</v>
      </c>
      <c r="R35" s="69">
        <v>19.350000000000001</v>
      </c>
      <c r="S35" s="69">
        <v>21.076000000000001</v>
      </c>
      <c r="T35" s="69">
        <v>20.841999999999999</v>
      </c>
      <c r="U35" s="69">
        <v>18.618000000000002</v>
      </c>
      <c r="V35" s="69">
        <v>19.164999999999999</v>
      </c>
      <c r="W35" s="69">
        <v>20.038999999999998</v>
      </c>
      <c r="X35" s="19">
        <v>24.193000000000001</v>
      </c>
      <c r="Y35" s="19">
        <v>28.172000000000001</v>
      </c>
      <c r="Z35" s="19">
        <v>30.651</v>
      </c>
      <c r="AA35" s="70">
        <v>47.9</v>
      </c>
      <c r="AB35" s="19">
        <v>34.253</v>
      </c>
      <c r="AC35" s="19">
        <v>51.075000000000003</v>
      </c>
      <c r="AD35" s="19">
        <v>66.942999999999998</v>
      </c>
      <c r="AE35" s="19">
        <v>85.427999999999997</v>
      </c>
      <c r="AF35" s="19">
        <v>74.695999999999998</v>
      </c>
      <c r="AG35" s="19">
        <v>42.395000000000003</v>
      </c>
      <c r="AH35" s="19">
        <v>31.321999999999999</v>
      </c>
      <c r="AI35" s="19">
        <v>20.54</v>
      </c>
      <c r="AJ35" s="19">
        <v>11.702999999999999</v>
      </c>
      <c r="AK35" s="19">
        <v>31.422999999999998</v>
      </c>
      <c r="AL35" s="19">
        <v>58.073</v>
      </c>
      <c r="AM35" s="69">
        <v>85.135900000000007</v>
      </c>
      <c r="AN35" s="69">
        <v>66.8</v>
      </c>
      <c r="AO35" s="69">
        <v>90.8</v>
      </c>
      <c r="AP35" s="69">
        <v>78.7</v>
      </c>
      <c r="AQ35" s="69">
        <v>80.599999999999994</v>
      </c>
      <c r="AR35" s="69">
        <v>139.4</v>
      </c>
      <c r="AS35" s="69">
        <v>111</v>
      </c>
      <c r="AT35" s="69">
        <v>81.7</v>
      </c>
      <c r="AU35" s="69">
        <v>188.8</v>
      </c>
      <c r="AV35" s="69">
        <v>167.6</v>
      </c>
      <c r="AW35" s="19">
        <v>176.3</v>
      </c>
      <c r="AX35" s="69">
        <v>206.6</v>
      </c>
      <c r="AY35" s="245">
        <v>130</v>
      </c>
      <c r="AZ35" s="245">
        <v>124.3</v>
      </c>
      <c r="BA35" s="245">
        <v>125.69745500000001</v>
      </c>
      <c r="BB35" s="244">
        <v>153.03168699999998</v>
      </c>
      <c r="BC35" s="19">
        <v>172.165752</v>
      </c>
      <c r="BD35" s="19">
        <v>215.68707700000002</v>
      </c>
      <c r="BE35" s="19">
        <v>198.20433699999998</v>
      </c>
      <c r="BF35" s="19">
        <v>201.37446999999997</v>
      </c>
      <c r="BG35" s="19">
        <v>223.22410999999997</v>
      </c>
      <c r="BH35" s="19">
        <v>247.63026599999995</v>
      </c>
      <c r="BI35" s="19">
        <v>314.97696200000001</v>
      </c>
      <c r="BJ35" s="19">
        <v>326.86553199999997</v>
      </c>
      <c r="BK35" s="19">
        <v>320.26383399999997</v>
      </c>
      <c r="BL35" s="19">
        <v>492.58819</v>
      </c>
      <c r="BM35" s="19">
        <v>376.78401899999994</v>
      </c>
      <c r="BN35" s="19">
        <v>410.66233592999998</v>
      </c>
      <c r="BO35" s="19">
        <v>525.63738679599999</v>
      </c>
      <c r="BP35" s="19">
        <v>548.91654845899996</v>
      </c>
      <c r="BQ35" s="19">
        <v>530.65150735600002</v>
      </c>
      <c r="CB35" s="54"/>
      <c r="CC35" s="54"/>
      <c r="CD35" s="54"/>
      <c r="CE35" s="54"/>
      <c r="CF35" s="54"/>
      <c r="CG35" s="54"/>
      <c r="CH35" s="54"/>
    </row>
    <row r="36" spans="1:86">
      <c r="A36" s="72" t="s">
        <v>310</v>
      </c>
      <c r="B36" s="19">
        <v>1.0089999999999999</v>
      </c>
      <c r="C36" s="19">
        <v>2.1219999999999999</v>
      </c>
      <c r="D36" s="19">
        <v>2.1030000000000002</v>
      </c>
      <c r="E36" s="19">
        <v>3.734</v>
      </c>
      <c r="F36" s="19">
        <v>1.915</v>
      </c>
      <c r="G36" s="19">
        <v>4.8090000000000002</v>
      </c>
      <c r="H36" s="19">
        <v>3.9790000000000001</v>
      </c>
      <c r="I36" s="19">
        <v>4.1349999999999998</v>
      </c>
      <c r="J36" s="19">
        <v>4.6500000000000004</v>
      </c>
      <c r="K36" s="19">
        <v>4.8849999999999998</v>
      </c>
      <c r="L36" s="19">
        <v>4.5979999999999999</v>
      </c>
      <c r="M36" s="19">
        <v>4.6619999999999999</v>
      </c>
      <c r="N36" s="19">
        <v>4.7060000000000004</v>
      </c>
      <c r="O36" s="69">
        <v>5.4279999999999999</v>
      </c>
      <c r="P36" s="69">
        <v>4.7450000000000001</v>
      </c>
      <c r="Q36" s="69">
        <v>6.8209999999999997</v>
      </c>
      <c r="R36" s="69">
        <v>6.242</v>
      </c>
      <c r="S36" s="69">
        <v>8.69</v>
      </c>
      <c r="T36" s="69">
        <v>9.6579999999999995</v>
      </c>
      <c r="U36" s="69">
        <v>5.9409999999999998</v>
      </c>
      <c r="V36" s="69">
        <v>5.2030000000000003</v>
      </c>
      <c r="W36" s="69">
        <v>6.5540000000000003</v>
      </c>
      <c r="X36" s="19">
        <v>7.0519999999999996</v>
      </c>
      <c r="Y36" s="19">
        <v>11.661</v>
      </c>
      <c r="Z36" s="19">
        <v>6.4630000000000001</v>
      </c>
      <c r="AA36" s="70">
        <v>12.3</v>
      </c>
      <c r="AB36" s="19">
        <v>13.26</v>
      </c>
      <c r="AC36" s="19">
        <v>115.77200000000001</v>
      </c>
      <c r="AD36" s="19">
        <v>23.094000000000001</v>
      </c>
      <c r="AE36" s="19">
        <v>17.274000000000001</v>
      </c>
      <c r="AF36" s="19">
        <v>22.501999999999999</v>
      </c>
      <c r="AG36" s="19">
        <v>24.042000000000002</v>
      </c>
      <c r="AH36" s="19">
        <v>22.71</v>
      </c>
      <c r="AI36" s="19">
        <v>8.4030000000000005</v>
      </c>
      <c r="AJ36" s="19">
        <v>9.9489999999999998</v>
      </c>
      <c r="AK36" s="19">
        <v>7.5519999999999996</v>
      </c>
      <c r="AL36" s="19">
        <v>8.8729999999999993</v>
      </c>
      <c r="AM36" s="69">
        <v>8.4532000000000007</v>
      </c>
      <c r="AN36" s="69">
        <v>10</v>
      </c>
      <c r="AO36" s="69">
        <v>15.7</v>
      </c>
      <c r="AP36" s="69">
        <v>26</v>
      </c>
      <c r="AQ36" s="69">
        <v>16.7</v>
      </c>
      <c r="AR36" s="69">
        <v>72.099999999999994</v>
      </c>
      <c r="AS36" s="69">
        <v>67.400000000000006</v>
      </c>
      <c r="AT36" s="69">
        <v>60.3</v>
      </c>
      <c r="AU36" s="69">
        <v>105.8</v>
      </c>
      <c r="AV36" s="69">
        <v>94</v>
      </c>
      <c r="AW36" s="19">
        <v>108.3</v>
      </c>
      <c r="AX36" s="69">
        <v>99.2</v>
      </c>
      <c r="AY36" s="245">
        <v>88.8</v>
      </c>
      <c r="AZ36" s="245">
        <v>82.1</v>
      </c>
      <c r="BA36" s="245">
        <v>67.955700000000007</v>
      </c>
      <c r="BB36" s="244">
        <v>81.159587999999999</v>
      </c>
      <c r="BC36" s="19">
        <v>71.701693999999989</v>
      </c>
      <c r="BD36" s="19">
        <v>75.266199000000015</v>
      </c>
      <c r="BE36" s="19">
        <v>75.711380999999989</v>
      </c>
      <c r="BF36" s="19">
        <v>78.14837</v>
      </c>
      <c r="BG36" s="19">
        <v>103.12935400000001</v>
      </c>
      <c r="BH36" s="19">
        <v>170.07703699999996</v>
      </c>
      <c r="BI36" s="19">
        <v>199.01784600000005</v>
      </c>
      <c r="BJ36" s="19">
        <v>190.13788899999997</v>
      </c>
      <c r="BK36" s="19">
        <v>244.39753300000001</v>
      </c>
      <c r="BL36" s="19">
        <v>265.13755800000001</v>
      </c>
      <c r="BM36" s="19">
        <v>209.78242299999999</v>
      </c>
      <c r="BN36" s="19">
        <v>239.41493342499999</v>
      </c>
      <c r="BO36" s="19">
        <v>221.81671930100001</v>
      </c>
      <c r="BP36" s="19">
        <v>215.24664826099999</v>
      </c>
      <c r="BQ36" s="19">
        <v>176.49908795900001</v>
      </c>
      <c r="CB36" s="54"/>
      <c r="CC36" s="54"/>
      <c r="CD36" s="54"/>
      <c r="CE36" s="54"/>
      <c r="CF36" s="54"/>
      <c r="CG36" s="54"/>
      <c r="CH36" s="54"/>
    </row>
    <row r="37" spans="1:86">
      <c r="A37" s="72" t="s">
        <v>311</v>
      </c>
      <c r="B37" s="19">
        <v>0.17299999999999999</v>
      </c>
      <c r="C37" s="19">
        <v>5.21E-2</v>
      </c>
      <c r="D37" s="19">
        <v>8.8999999999999996E-2</v>
      </c>
      <c r="E37" s="19">
        <v>0.01</v>
      </c>
      <c r="F37" s="19">
        <v>7.2999999999999995E-2</v>
      </c>
      <c r="G37" s="19">
        <v>6.6000000000000003E-2</v>
      </c>
      <c r="H37" s="19">
        <v>0.55600000000000005</v>
      </c>
      <c r="I37" s="19">
        <v>5.8999999999999997E-2</v>
      </c>
      <c r="J37" s="19">
        <v>0.23400000000000001</v>
      </c>
      <c r="K37" s="19">
        <v>0.89100000000000001</v>
      </c>
      <c r="L37" s="19">
        <v>2.8000000000000001E-2</v>
      </c>
      <c r="M37" s="19">
        <v>5.8299999999999998E-2</v>
      </c>
      <c r="N37" s="19">
        <v>0.08</v>
      </c>
      <c r="O37" s="69">
        <v>7.6999999999999999E-2</v>
      </c>
      <c r="P37" s="69">
        <v>0.34799999999999998</v>
      </c>
      <c r="Q37" s="69">
        <v>0.71499999999999997</v>
      </c>
      <c r="R37" s="69">
        <v>0.39900000000000002</v>
      </c>
      <c r="S37" s="69">
        <v>0.46</v>
      </c>
      <c r="T37" s="69">
        <v>0.64200000000000002</v>
      </c>
      <c r="U37" s="69">
        <v>1.4039999999999999</v>
      </c>
      <c r="V37" s="69">
        <v>0.94199999999999995</v>
      </c>
      <c r="W37" s="69">
        <v>1.01</v>
      </c>
      <c r="X37" s="19">
        <v>0.54300000000000004</v>
      </c>
      <c r="Y37" s="19">
        <v>0.72299999999999998</v>
      </c>
      <c r="Z37" s="19">
        <v>2.3439999999999999</v>
      </c>
      <c r="AA37" s="70">
        <v>4.3</v>
      </c>
      <c r="AB37" s="19">
        <v>1.0349999999999999</v>
      </c>
      <c r="AC37" s="19">
        <v>2.5339999999999998</v>
      </c>
      <c r="AD37" s="19">
        <v>4.7320000000000002</v>
      </c>
      <c r="AE37" s="19">
        <v>8.48</v>
      </c>
      <c r="AF37" s="19">
        <v>8.48</v>
      </c>
      <c r="AG37" s="19">
        <v>16.446000000000002</v>
      </c>
      <c r="AH37" s="19">
        <v>16.446000000000002</v>
      </c>
      <c r="AI37" s="19">
        <v>3.77</v>
      </c>
      <c r="AJ37" s="19">
        <v>4.4950000000000001</v>
      </c>
      <c r="AK37" s="19">
        <v>8.73</v>
      </c>
      <c r="AL37" s="19">
        <v>3.9740000000000002</v>
      </c>
      <c r="AM37" s="69">
        <v>17.587</v>
      </c>
      <c r="AN37" s="69">
        <v>15.2</v>
      </c>
      <c r="AO37" s="69">
        <v>23.1</v>
      </c>
      <c r="AP37" s="69">
        <v>38.9</v>
      </c>
      <c r="AQ37" s="69">
        <v>67.400000000000006</v>
      </c>
      <c r="AR37" s="69">
        <v>113.2</v>
      </c>
      <c r="AS37" s="69">
        <v>114.7</v>
      </c>
      <c r="AT37" s="69">
        <v>82.5</v>
      </c>
      <c r="AU37" s="69">
        <v>114.6</v>
      </c>
      <c r="AV37" s="69">
        <v>150.1</v>
      </c>
      <c r="AW37" s="19">
        <v>133.19999999999999</v>
      </c>
      <c r="AX37" s="69">
        <v>129.4</v>
      </c>
      <c r="AY37" s="245">
        <v>140.1</v>
      </c>
      <c r="AZ37" s="245">
        <v>122.4</v>
      </c>
      <c r="BA37" s="245">
        <v>73.127068000000008</v>
      </c>
      <c r="BB37" s="244">
        <v>70.921857000000017</v>
      </c>
      <c r="BC37" s="19">
        <v>65.750368999999992</v>
      </c>
      <c r="BD37" s="19">
        <v>154.16294299999998</v>
      </c>
      <c r="BE37" s="19">
        <v>114.720851</v>
      </c>
      <c r="BF37" s="19">
        <v>217.70280200000002</v>
      </c>
      <c r="BG37" s="19">
        <v>296.45402699999994</v>
      </c>
      <c r="BH37" s="19">
        <v>357.42575200000005</v>
      </c>
      <c r="BI37" s="19">
        <v>464.06829200000004</v>
      </c>
      <c r="BJ37" s="19">
        <v>317.036858</v>
      </c>
      <c r="BK37" s="19">
        <v>354.200627</v>
      </c>
      <c r="BL37" s="19">
        <v>468.41034999999999</v>
      </c>
      <c r="BM37" s="19">
        <v>441.84276299999999</v>
      </c>
      <c r="BN37" s="19">
        <v>777.24078341300003</v>
      </c>
      <c r="BO37" s="19">
        <v>525.07211294700005</v>
      </c>
      <c r="BP37" s="19">
        <v>483.49026196800003</v>
      </c>
      <c r="BQ37" s="19">
        <v>547.33259692299998</v>
      </c>
      <c r="CB37" s="54"/>
      <c r="CC37" s="54"/>
      <c r="CD37" s="54"/>
      <c r="CE37" s="54"/>
      <c r="CF37" s="54"/>
      <c r="CG37" s="54"/>
      <c r="CH37" s="54"/>
    </row>
    <row r="38" spans="1:86">
      <c r="A38" s="72" t="s">
        <v>312</v>
      </c>
      <c r="B38" s="19">
        <v>0.128</v>
      </c>
      <c r="C38" s="19">
        <v>0.49199999999999999</v>
      </c>
      <c r="D38" s="19">
        <v>1.321</v>
      </c>
      <c r="E38" s="19">
        <v>1.024</v>
      </c>
      <c r="F38" s="19">
        <v>0.64100000000000001</v>
      </c>
      <c r="G38" s="19">
        <v>1.42</v>
      </c>
      <c r="H38" s="19">
        <v>1.94</v>
      </c>
      <c r="I38" s="19">
        <v>1.3580000000000001</v>
      </c>
      <c r="J38" s="19">
        <v>1.605</v>
      </c>
      <c r="K38" s="19">
        <v>1.506</v>
      </c>
      <c r="L38" s="19">
        <v>1.3049999999999999</v>
      </c>
      <c r="M38" s="19">
        <v>2.6349999999999998</v>
      </c>
      <c r="N38" s="19">
        <v>2.9129999999999998</v>
      </c>
      <c r="O38" s="69">
        <v>1.952</v>
      </c>
      <c r="P38" s="69">
        <v>2.4060000000000001</v>
      </c>
      <c r="Q38" s="69">
        <v>2.3010000000000002</v>
      </c>
      <c r="R38" s="69">
        <v>3.3559999999999999</v>
      </c>
      <c r="S38" s="69">
        <v>3.645</v>
      </c>
      <c r="T38" s="69">
        <v>2.125</v>
      </c>
      <c r="U38" s="69">
        <v>2.452</v>
      </c>
      <c r="V38" s="69">
        <v>2.548</v>
      </c>
      <c r="W38" s="69">
        <v>3.4079999999999999</v>
      </c>
      <c r="X38" s="19">
        <v>2.302</v>
      </c>
      <c r="Y38" s="19">
        <v>2.6669999999999998</v>
      </c>
      <c r="Z38" s="19">
        <v>6.2690000000000001</v>
      </c>
      <c r="AA38" s="70">
        <v>6.2</v>
      </c>
      <c r="AB38" s="19">
        <v>5.47</v>
      </c>
      <c r="AC38" s="19">
        <v>5.3449999999999998</v>
      </c>
      <c r="AD38" s="19">
        <v>30.492999999999999</v>
      </c>
      <c r="AE38" s="19">
        <v>30.885999999999999</v>
      </c>
      <c r="AF38" s="19">
        <v>19.991</v>
      </c>
      <c r="AG38" s="19">
        <v>17.542999999999999</v>
      </c>
      <c r="AH38" s="19">
        <v>4.2389999999999999</v>
      </c>
      <c r="AI38" s="19">
        <v>3.8119999999999998</v>
      </c>
      <c r="AJ38" s="19">
        <v>13.882</v>
      </c>
      <c r="AK38" s="19">
        <v>2.8290000000000002</v>
      </c>
      <c r="AL38" s="19">
        <v>7.0579999999999998</v>
      </c>
      <c r="AM38" s="69">
        <v>6.266</v>
      </c>
      <c r="AN38" s="69">
        <v>6.1</v>
      </c>
      <c r="AO38" s="69">
        <v>9.4</v>
      </c>
      <c r="AP38" s="69">
        <v>12.5</v>
      </c>
      <c r="AQ38" s="69">
        <v>19.600000000000001</v>
      </c>
      <c r="AR38" s="69">
        <v>25.7</v>
      </c>
      <c r="AS38" s="69">
        <v>33.6</v>
      </c>
      <c r="AT38" s="69">
        <v>46.6</v>
      </c>
      <c r="AU38" s="69">
        <v>64</v>
      </c>
      <c r="AV38" s="69">
        <v>79.099999999999994</v>
      </c>
      <c r="AW38" s="19">
        <v>82.6</v>
      </c>
      <c r="AX38" s="69">
        <v>88.3</v>
      </c>
      <c r="AY38" s="245">
        <v>94.3</v>
      </c>
      <c r="AZ38" s="245">
        <v>74.7</v>
      </c>
      <c r="BA38" s="245">
        <v>31.149005999999993</v>
      </c>
      <c r="BB38" s="244">
        <v>32.07311</v>
      </c>
      <c r="BC38" s="19">
        <v>44.699044000000001</v>
      </c>
      <c r="BD38" s="19">
        <v>57.774740000000001</v>
      </c>
      <c r="BE38" s="19">
        <v>61.641358999999994</v>
      </c>
      <c r="BF38" s="19">
        <v>91.476517000000001</v>
      </c>
      <c r="BG38" s="19">
        <v>108.99436799999999</v>
      </c>
      <c r="BH38" s="19">
        <v>138.23797000000002</v>
      </c>
      <c r="BI38" s="19">
        <v>160.375902</v>
      </c>
      <c r="BJ38" s="19">
        <v>143.90172200000001</v>
      </c>
      <c r="BK38" s="19">
        <v>204.28094299999998</v>
      </c>
      <c r="BL38" s="19">
        <v>209.90424199999995</v>
      </c>
      <c r="BM38" s="19">
        <v>237.13821799999999</v>
      </c>
      <c r="BN38" s="19">
        <v>315.06745047999999</v>
      </c>
      <c r="BO38" s="19">
        <v>313.51808317799998</v>
      </c>
      <c r="BP38" s="19">
        <v>268.57094538899997</v>
      </c>
      <c r="BQ38" s="19">
        <v>280.84266960799999</v>
      </c>
      <c r="CB38" s="54"/>
      <c r="CC38" s="54"/>
      <c r="CD38" s="54"/>
      <c r="CE38" s="54"/>
      <c r="CF38" s="54"/>
      <c r="CG38" s="54"/>
      <c r="CH38" s="54"/>
    </row>
    <row r="39" spans="1:86">
      <c r="A39" s="72" t="s">
        <v>313</v>
      </c>
      <c r="B39" s="19">
        <v>0.41599999999999998</v>
      </c>
      <c r="C39" s="19">
        <v>0.94799999999999995</v>
      </c>
      <c r="D39" s="19">
        <v>0.40200000000000002</v>
      </c>
      <c r="E39" s="19">
        <v>0.32700000000000001</v>
      </c>
      <c r="F39" s="19">
        <v>1.0169999999999999</v>
      </c>
      <c r="G39" s="19">
        <v>2.3639999999999999</v>
      </c>
      <c r="H39" s="19">
        <v>1.1639999999999999</v>
      </c>
      <c r="I39" s="19">
        <v>2.141</v>
      </c>
      <c r="J39" s="19">
        <v>1.373</v>
      </c>
      <c r="K39" s="19">
        <v>1.036</v>
      </c>
      <c r="L39" s="19">
        <v>2.1579999999999999</v>
      </c>
      <c r="M39" s="19">
        <v>2.3969999999999998</v>
      </c>
      <c r="N39" s="19">
        <v>2.3439999999999999</v>
      </c>
      <c r="O39" s="69">
        <v>2.7490000000000001</v>
      </c>
      <c r="P39" s="69">
        <v>4.6440000000000001</v>
      </c>
      <c r="Q39" s="69">
        <v>4.88</v>
      </c>
      <c r="R39" s="69">
        <v>4.6680000000000001</v>
      </c>
      <c r="S39" s="69">
        <v>3.4380000000000002</v>
      </c>
      <c r="T39" s="69">
        <v>4.2859999999999996</v>
      </c>
      <c r="U39" s="69">
        <v>2.629</v>
      </c>
      <c r="V39" s="69">
        <v>3.657</v>
      </c>
      <c r="W39" s="69">
        <v>4.3</v>
      </c>
      <c r="X39" s="19">
        <v>3.7679999999999998</v>
      </c>
      <c r="Y39" s="19">
        <v>11.872999999999999</v>
      </c>
      <c r="Z39" s="19">
        <v>13.179</v>
      </c>
      <c r="AA39" s="70">
        <v>32.1</v>
      </c>
      <c r="AB39" s="19">
        <v>12.041</v>
      </c>
      <c r="AC39" s="19">
        <v>21.651</v>
      </c>
      <c r="AD39" s="19">
        <v>54.161999999999999</v>
      </c>
      <c r="AE39" s="19">
        <v>39.706000000000003</v>
      </c>
      <c r="AF39" s="19">
        <v>43.683999999999997</v>
      </c>
      <c r="AG39" s="19">
        <v>19.233000000000001</v>
      </c>
      <c r="AH39" s="19">
        <v>22.451000000000001</v>
      </c>
      <c r="AI39" s="19">
        <v>12.276</v>
      </c>
      <c r="AJ39" s="19">
        <v>6.8010000000000002</v>
      </c>
      <c r="AK39" s="19">
        <v>18.600999999999999</v>
      </c>
      <c r="AL39" s="19">
        <v>28.338999999999999</v>
      </c>
      <c r="AM39" s="69">
        <v>27.684899999999999</v>
      </c>
      <c r="AN39" s="69">
        <v>20</v>
      </c>
      <c r="AO39" s="69">
        <v>21.1</v>
      </c>
      <c r="AP39" s="69">
        <v>12.3</v>
      </c>
      <c r="AQ39" s="69">
        <v>20</v>
      </c>
      <c r="AR39" s="69">
        <v>27.4</v>
      </c>
      <c r="AS39" s="69">
        <v>39.700000000000003</v>
      </c>
      <c r="AT39" s="69">
        <v>44.4</v>
      </c>
      <c r="AU39" s="69">
        <v>49.3</v>
      </c>
      <c r="AV39" s="69">
        <v>57.6</v>
      </c>
      <c r="AW39" s="19">
        <v>77.599999999999994</v>
      </c>
      <c r="AX39" s="69">
        <v>89</v>
      </c>
      <c r="AY39" s="245">
        <v>83.1</v>
      </c>
      <c r="AZ39" s="245">
        <v>123.2</v>
      </c>
      <c r="BA39" s="245">
        <v>88.773813999999987</v>
      </c>
      <c r="BB39" s="244">
        <v>77.213934999999992</v>
      </c>
      <c r="BC39" s="19">
        <v>86.867631000000003</v>
      </c>
      <c r="BD39" s="19">
        <v>120.57531200000003</v>
      </c>
      <c r="BE39" s="19">
        <v>130.277717</v>
      </c>
      <c r="BF39" s="19">
        <v>204.352126</v>
      </c>
      <c r="BG39" s="19">
        <v>203.67572799999999</v>
      </c>
      <c r="BH39" s="19">
        <v>261.69701799999996</v>
      </c>
      <c r="BI39" s="19">
        <v>272.02238200000005</v>
      </c>
      <c r="BJ39" s="19">
        <v>303.89379699999995</v>
      </c>
      <c r="BK39" s="19">
        <v>331.55364199999997</v>
      </c>
      <c r="BL39" s="19">
        <v>349.63960599999996</v>
      </c>
      <c r="BM39" s="19">
        <v>328.15312499999999</v>
      </c>
      <c r="BN39" s="19">
        <v>425.14806998799997</v>
      </c>
      <c r="BO39" s="19">
        <v>521.61424365400001</v>
      </c>
      <c r="BP39" s="19">
        <v>460.29492381099999</v>
      </c>
      <c r="BQ39" s="19">
        <v>422.63066164899999</v>
      </c>
      <c r="CB39" s="54"/>
      <c r="CC39" s="54"/>
      <c r="CD39" s="54"/>
      <c r="CE39" s="54"/>
      <c r="CF39" s="54"/>
      <c r="CG39" s="54"/>
      <c r="CH39" s="54"/>
    </row>
    <row r="40" spans="1:86">
      <c r="A40" s="72" t="s">
        <v>314</v>
      </c>
      <c r="B40" s="19">
        <v>2.6779999999999999</v>
      </c>
      <c r="C40" s="19">
        <v>4.9569999999999999</v>
      </c>
      <c r="D40" s="19">
        <v>3.0619999999999998</v>
      </c>
      <c r="E40" s="19">
        <v>6.6420000000000003</v>
      </c>
      <c r="F40" s="19">
        <v>1.6910000000000001</v>
      </c>
      <c r="G40" s="19">
        <v>2.2509999999999999</v>
      </c>
      <c r="H40" s="19">
        <v>2.762</v>
      </c>
      <c r="I40" s="19">
        <v>3.532</v>
      </c>
      <c r="J40" s="19">
        <v>4.7640000000000002</v>
      </c>
      <c r="K40" s="19">
        <v>4.2759999999999998</v>
      </c>
      <c r="L40" s="19">
        <v>3.875</v>
      </c>
      <c r="M40" s="19">
        <v>3.2490000000000001</v>
      </c>
      <c r="N40" s="19">
        <v>2.355</v>
      </c>
      <c r="O40" s="69">
        <v>2.4710000000000001</v>
      </c>
      <c r="P40" s="69">
        <v>2.4790000000000001</v>
      </c>
      <c r="Q40" s="69">
        <v>2.9159999999999999</v>
      </c>
      <c r="R40" s="69">
        <v>3.67</v>
      </c>
      <c r="S40" s="69">
        <v>6.5259999999999998</v>
      </c>
      <c r="T40" s="69">
        <v>8.2159999999999993</v>
      </c>
      <c r="U40" s="69">
        <v>7.4930000000000003</v>
      </c>
      <c r="V40" s="69">
        <v>6.6879999999999997</v>
      </c>
      <c r="W40" s="69">
        <v>6.3470000000000004</v>
      </c>
      <c r="X40" s="19">
        <v>3.5089999999999999</v>
      </c>
      <c r="Y40" s="19">
        <v>7.43</v>
      </c>
      <c r="Z40" s="19">
        <v>8.16</v>
      </c>
      <c r="AA40" s="70">
        <v>19.100000000000001</v>
      </c>
      <c r="AB40" s="19">
        <v>17.486000000000001</v>
      </c>
      <c r="AC40" s="19">
        <v>19.341999999999999</v>
      </c>
      <c r="AD40" s="19">
        <v>22.151</v>
      </c>
      <c r="AE40" s="19">
        <v>33.069000000000003</v>
      </c>
      <c r="AF40" s="19">
        <v>30.859000000000002</v>
      </c>
      <c r="AG40" s="19">
        <v>76.370999999999995</v>
      </c>
      <c r="AH40" s="19">
        <v>14.285</v>
      </c>
      <c r="AI40" s="19">
        <v>12.715</v>
      </c>
      <c r="AJ40" s="19">
        <v>8.0470000000000006</v>
      </c>
      <c r="AK40" s="19">
        <v>9.1639999999999997</v>
      </c>
      <c r="AL40" s="19">
        <v>12.759</v>
      </c>
      <c r="AM40" s="69">
        <v>18.315000000000001</v>
      </c>
      <c r="AN40" s="69">
        <v>15.1</v>
      </c>
      <c r="AO40" s="69">
        <v>29.2</v>
      </c>
      <c r="AP40" s="69">
        <v>26.3</v>
      </c>
      <c r="AQ40" s="69">
        <v>36.6</v>
      </c>
      <c r="AR40" s="69">
        <v>59.7</v>
      </c>
      <c r="AS40" s="69">
        <v>93.6</v>
      </c>
      <c r="AT40" s="69">
        <v>122.6</v>
      </c>
      <c r="AU40" s="69">
        <v>155.30000000000001</v>
      </c>
      <c r="AV40" s="69">
        <v>173.6</v>
      </c>
      <c r="AW40" s="19">
        <v>195.7</v>
      </c>
      <c r="AX40" s="69">
        <v>273.39999999999998</v>
      </c>
      <c r="AY40" s="245">
        <v>257.2</v>
      </c>
      <c r="AZ40" s="245">
        <v>208.1</v>
      </c>
      <c r="BA40" s="245">
        <v>162.98282399999999</v>
      </c>
      <c r="BB40" s="244">
        <v>203.31335300000003</v>
      </c>
      <c r="BC40" s="19">
        <v>289.617052</v>
      </c>
      <c r="BD40" s="19">
        <v>380.80578900000006</v>
      </c>
      <c r="BE40" s="19">
        <v>355.98223600000006</v>
      </c>
      <c r="BF40" s="19">
        <v>386.16253899999998</v>
      </c>
      <c r="BG40" s="19">
        <v>426.72754599999996</v>
      </c>
      <c r="BH40" s="19">
        <v>458.38610899999998</v>
      </c>
      <c r="BI40" s="19">
        <v>522.147335</v>
      </c>
      <c r="BJ40" s="19">
        <v>578.79956500000003</v>
      </c>
      <c r="BK40" s="19">
        <v>582.41248199999995</v>
      </c>
      <c r="BL40" s="19">
        <v>582.13768299999992</v>
      </c>
      <c r="BM40" s="19">
        <v>487.20886099999996</v>
      </c>
      <c r="BN40" s="19">
        <v>416.04935601</v>
      </c>
      <c r="BO40" s="19">
        <v>431.10183164400001</v>
      </c>
      <c r="BP40" s="19">
        <v>325.95906088599997</v>
      </c>
      <c r="BQ40" s="19">
        <v>460.93285722100001</v>
      </c>
      <c r="CB40" s="54"/>
      <c r="CC40" s="54"/>
      <c r="CD40" s="54"/>
      <c r="CE40" s="54"/>
      <c r="CF40" s="54"/>
      <c r="CG40" s="54"/>
      <c r="CH40" s="54"/>
    </row>
    <row r="41" spans="1:86">
      <c r="A41" s="72" t="s">
        <v>315</v>
      </c>
      <c r="B41" s="19">
        <v>5.3800000000000001E-2</v>
      </c>
      <c r="C41" s="19">
        <v>0.48499999999999999</v>
      </c>
      <c r="D41" s="19">
        <v>0.376</v>
      </c>
      <c r="E41" s="19">
        <v>0.47899999999999998</v>
      </c>
      <c r="F41" s="19">
        <v>0.253</v>
      </c>
      <c r="G41" s="19">
        <v>0.65400000000000003</v>
      </c>
      <c r="H41" s="19">
        <v>0.504</v>
      </c>
      <c r="I41" s="19">
        <v>2.1819999999999999</v>
      </c>
      <c r="J41" s="19">
        <v>1.222</v>
      </c>
      <c r="K41" s="19">
        <v>0.90900000000000003</v>
      </c>
      <c r="L41" s="19">
        <v>0.53500000000000003</v>
      </c>
      <c r="M41" s="19">
        <v>0.79700000000000004</v>
      </c>
      <c r="N41" s="19">
        <v>0.317</v>
      </c>
      <c r="O41" s="69">
        <v>0.48299999999999998</v>
      </c>
      <c r="P41" s="69">
        <v>0.376</v>
      </c>
      <c r="Q41" s="69">
        <v>1.863</v>
      </c>
      <c r="R41" s="69">
        <v>0.44</v>
      </c>
      <c r="S41" s="69">
        <v>0.47499999999999998</v>
      </c>
      <c r="T41" s="69">
        <v>0.73099999999999998</v>
      </c>
      <c r="U41" s="69">
        <v>0.65700000000000003</v>
      </c>
      <c r="V41" s="69">
        <v>0.625</v>
      </c>
      <c r="W41" s="69">
        <v>0.48099999999999998</v>
      </c>
      <c r="X41" s="19">
        <v>0.43</v>
      </c>
      <c r="Y41" s="19">
        <v>0.57299999999999995</v>
      </c>
      <c r="Z41" s="19">
        <v>1.095</v>
      </c>
      <c r="AA41" s="70">
        <v>1.3</v>
      </c>
      <c r="AB41" s="19">
        <v>1.909</v>
      </c>
      <c r="AC41" s="19">
        <v>1.7749999999999999</v>
      </c>
      <c r="AD41" s="19">
        <v>2.1389999999999998</v>
      </c>
      <c r="AE41" s="19">
        <v>4.3769999999999998</v>
      </c>
      <c r="AF41" s="19">
        <v>3.6909999999999998</v>
      </c>
      <c r="AG41" s="19">
        <v>7.008</v>
      </c>
      <c r="AH41" s="19">
        <v>3.1240000000000001</v>
      </c>
      <c r="AI41" s="19">
        <v>2.004</v>
      </c>
      <c r="AJ41" s="19">
        <v>3.1989999999999998</v>
      </c>
      <c r="AK41" s="19">
        <v>8.0950000000000006</v>
      </c>
      <c r="AL41" s="19">
        <v>6.1369999999999996</v>
      </c>
      <c r="AM41" s="69">
        <v>5.4181999999999997</v>
      </c>
      <c r="AN41" s="69">
        <v>6.6</v>
      </c>
      <c r="AO41" s="69">
        <v>9</v>
      </c>
      <c r="AP41" s="69">
        <v>11.1</v>
      </c>
      <c r="AQ41" s="69">
        <v>11.4</v>
      </c>
      <c r="AR41" s="69">
        <v>11.2</v>
      </c>
      <c r="AS41" s="69">
        <v>15.9</v>
      </c>
      <c r="AT41" s="69">
        <v>47.2</v>
      </c>
      <c r="AU41" s="69">
        <v>50.4</v>
      </c>
      <c r="AV41" s="69">
        <v>95.7</v>
      </c>
      <c r="AW41" s="19">
        <v>125.1</v>
      </c>
      <c r="AX41" s="69">
        <v>96.1</v>
      </c>
      <c r="AY41" s="245">
        <v>60.7</v>
      </c>
      <c r="AZ41" s="245">
        <v>55.9</v>
      </c>
      <c r="BA41" s="245">
        <v>33.053683999999997</v>
      </c>
      <c r="BB41" s="244">
        <v>37.327274000000003</v>
      </c>
      <c r="BC41" s="19">
        <v>52.105991000000003</v>
      </c>
      <c r="BD41" s="19">
        <v>62.535062999999994</v>
      </c>
      <c r="BE41" s="19">
        <v>76.119066000000004</v>
      </c>
      <c r="BF41" s="19">
        <v>73.513016000000007</v>
      </c>
      <c r="BG41" s="19">
        <v>68.799245999999997</v>
      </c>
      <c r="BH41" s="19">
        <v>98.648614000000009</v>
      </c>
      <c r="BI41" s="19">
        <v>156.93665399999998</v>
      </c>
      <c r="BJ41" s="19">
        <v>98.51892500000001</v>
      </c>
      <c r="BK41" s="19">
        <v>84.398697999999996</v>
      </c>
      <c r="BL41" s="19">
        <v>139.16171</v>
      </c>
      <c r="BM41" s="19">
        <v>164.37228200000001</v>
      </c>
      <c r="BN41" s="19">
        <v>170.095493632</v>
      </c>
      <c r="BO41" s="19">
        <v>175.79731760799999</v>
      </c>
      <c r="BP41" s="19">
        <v>165.98684890300001</v>
      </c>
      <c r="BQ41" s="19">
        <v>139.302548976</v>
      </c>
      <c r="CB41" s="54"/>
      <c r="CC41" s="54"/>
      <c r="CD41" s="54"/>
      <c r="CE41" s="54"/>
      <c r="CF41" s="54"/>
      <c r="CG41" s="54"/>
      <c r="CH41" s="54"/>
    </row>
    <row r="42" spans="1:86">
      <c r="A42" s="72" t="s">
        <v>316</v>
      </c>
      <c r="B42" s="19" t="s">
        <v>13</v>
      </c>
      <c r="C42" s="19" t="s">
        <v>13</v>
      </c>
      <c r="D42" s="19" t="s">
        <v>13</v>
      </c>
      <c r="E42" s="19" t="s">
        <v>13</v>
      </c>
      <c r="F42" s="19" t="s">
        <v>13</v>
      </c>
      <c r="G42" s="19" t="s">
        <v>13</v>
      </c>
      <c r="H42" s="19" t="s">
        <v>13</v>
      </c>
      <c r="I42" s="19" t="s">
        <v>13</v>
      </c>
      <c r="J42" s="19" t="s">
        <v>13</v>
      </c>
      <c r="K42" s="19" t="s">
        <v>13</v>
      </c>
      <c r="L42" s="19" t="s">
        <v>13</v>
      </c>
      <c r="M42" s="19" t="s">
        <v>13</v>
      </c>
      <c r="N42" s="19" t="s">
        <v>13</v>
      </c>
      <c r="O42" s="69" t="s">
        <v>13</v>
      </c>
      <c r="P42" s="69" t="s">
        <v>13</v>
      </c>
      <c r="Q42" s="69" t="s">
        <v>13</v>
      </c>
      <c r="R42" s="69">
        <v>1.796</v>
      </c>
      <c r="S42" s="69">
        <v>1.837</v>
      </c>
      <c r="T42" s="69">
        <v>0.93100000000000005</v>
      </c>
      <c r="U42" s="69">
        <v>0.66900000000000004</v>
      </c>
      <c r="V42" s="69">
        <v>0</v>
      </c>
      <c r="W42" s="69">
        <v>-1.9984014443252818E-15</v>
      </c>
      <c r="X42" s="19">
        <v>-4.3298697960381105E-15</v>
      </c>
      <c r="Y42" s="19">
        <v>2.55351295663786E-15</v>
      </c>
      <c r="Z42" s="19">
        <v>0.7179999999999942</v>
      </c>
      <c r="AA42" s="70">
        <v>2.5</v>
      </c>
      <c r="AB42" s="19">
        <v>0.75599999999998979</v>
      </c>
      <c r="AC42" s="19">
        <v>23.749000000000024</v>
      </c>
      <c r="AD42" s="19">
        <v>3.2540000000000324</v>
      </c>
      <c r="AE42" s="19">
        <v>2.9730000000000025</v>
      </c>
      <c r="AF42" s="19">
        <v>3.5630000000000059</v>
      </c>
      <c r="AG42" s="19">
        <v>4.1119999999999983</v>
      </c>
      <c r="AH42" s="19">
        <v>4.7360000000000113</v>
      </c>
      <c r="AI42" s="19">
        <v>1.71</v>
      </c>
      <c r="AJ42" s="19">
        <v>2.7410000000000005</v>
      </c>
      <c r="AK42" s="19">
        <v>6.03</v>
      </c>
      <c r="AL42" s="19">
        <v>6.5469999999999793</v>
      </c>
      <c r="AM42" s="69">
        <v>5.0271999999999828</v>
      </c>
      <c r="AN42" s="69">
        <v>8.1999999999999993</v>
      </c>
      <c r="AO42" s="69">
        <v>4.4000000000000004</v>
      </c>
      <c r="AP42" s="69">
        <v>2.5</v>
      </c>
      <c r="AQ42" s="69">
        <v>20.6</v>
      </c>
      <c r="AR42" s="69">
        <v>32.9</v>
      </c>
      <c r="AS42" s="69">
        <v>12.4</v>
      </c>
      <c r="AT42" s="69">
        <v>17.100000000000001</v>
      </c>
      <c r="AU42" s="69">
        <v>24.8</v>
      </c>
      <c r="AV42" s="69">
        <v>26.4</v>
      </c>
      <c r="AW42" s="19">
        <v>44.3</v>
      </c>
      <c r="AX42" s="69">
        <v>35.1</v>
      </c>
      <c r="AY42" s="245">
        <v>18.2</v>
      </c>
      <c r="AZ42" s="245">
        <v>27</v>
      </c>
      <c r="BA42" s="245">
        <v>54.567666000000031</v>
      </c>
      <c r="BB42" s="244">
        <v>11.107245000000001</v>
      </c>
      <c r="BC42" s="19">
        <v>11.310855999999999</v>
      </c>
      <c r="BD42" s="19">
        <v>9.4242049999999988</v>
      </c>
      <c r="BE42" s="19">
        <v>21.630870999999999</v>
      </c>
      <c r="BF42" s="19">
        <v>16.880249000000003</v>
      </c>
      <c r="BG42" s="19">
        <v>56.480587</v>
      </c>
      <c r="BH42" s="19">
        <v>80.28</v>
      </c>
      <c r="BI42" s="19">
        <v>102.81845899999999</v>
      </c>
      <c r="BJ42" s="19">
        <v>122.57947799999999</v>
      </c>
      <c r="BK42" s="19">
        <v>143.89660900000001</v>
      </c>
      <c r="BL42" s="19">
        <v>182.68661800000001</v>
      </c>
      <c r="BM42" s="19">
        <v>200.18939499999956</v>
      </c>
      <c r="BN42" s="19">
        <v>257.40066054599998</v>
      </c>
      <c r="BO42" s="19">
        <v>266.73568203500002</v>
      </c>
      <c r="BP42" s="19">
        <v>304.48591783900002</v>
      </c>
      <c r="BQ42" s="19">
        <v>273.46739110999999</v>
      </c>
      <c r="CB42" s="54"/>
      <c r="CC42" s="54"/>
      <c r="CD42" s="54"/>
      <c r="CE42" s="54"/>
      <c r="CF42" s="54"/>
      <c r="CG42" s="54"/>
      <c r="CH42" s="54"/>
    </row>
    <row r="43" spans="1:86">
      <c r="A43" s="72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69"/>
      <c r="P43" s="69"/>
      <c r="Q43" s="69"/>
      <c r="R43" s="69"/>
      <c r="S43" s="69"/>
      <c r="T43" s="69"/>
      <c r="U43" s="69"/>
      <c r="V43" s="69"/>
      <c r="W43" s="69"/>
      <c r="X43" s="19"/>
      <c r="Y43" s="19"/>
      <c r="Z43" s="19"/>
      <c r="AA43" s="70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69"/>
      <c r="AN43" s="69"/>
      <c r="AO43" s="69"/>
      <c r="AP43" s="69"/>
      <c r="AQ43" s="69"/>
      <c r="AR43" s="69"/>
      <c r="AS43" s="69"/>
      <c r="AT43" s="69"/>
      <c r="AU43" s="69"/>
      <c r="AV43" s="69"/>
      <c r="AW43" s="19"/>
      <c r="AX43" s="69"/>
      <c r="AY43" s="245"/>
      <c r="AZ43" s="245"/>
      <c r="BA43" s="245"/>
      <c r="BB43" s="244"/>
      <c r="BC43" s="19"/>
      <c r="BD43" s="19"/>
      <c r="BE43" s="19"/>
      <c r="BF43" s="19"/>
      <c r="BG43" s="19"/>
      <c r="BH43" s="19"/>
      <c r="BI43" s="19"/>
      <c r="BJ43" s="19"/>
      <c r="BK43" s="19"/>
      <c r="BL43" s="19"/>
      <c r="BM43" s="19"/>
      <c r="BN43" s="19"/>
      <c r="BO43" s="19"/>
      <c r="BP43" s="19"/>
      <c r="BQ43" s="19"/>
      <c r="CB43" s="54"/>
      <c r="CC43" s="54"/>
      <c r="CD43" s="54"/>
      <c r="CE43" s="54"/>
      <c r="CF43" s="54"/>
      <c r="CG43" s="54"/>
      <c r="CH43" s="54"/>
    </row>
    <row r="44" spans="1:86">
      <c r="A44" s="72" t="s">
        <v>317</v>
      </c>
      <c r="B44" s="19" t="s">
        <v>13</v>
      </c>
      <c r="C44" s="19" t="s">
        <v>13</v>
      </c>
      <c r="D44" s="19" t="s">
        <v>13</v>
      </c>
      <c r="E44" s="19" t="s">
        <v>13</v>
      </c>
      <c r="F44" s="19" t="s">
        <v>13</v>
      </c>
      <c r="G44" s="19" t="s">
        <v>13</v>
      </c>
      <c r="H44" s="19" t="s">
        <v>13</v>
      </c>
      <c r="I44" s="19" t="s">
        <v>13</v>
      </c>
      <c r="J44" s="19" t="s">
        <v>13</v>
      </c>
      <c r="K44" s="19" t="s">
        <v>13</v>
      </c>
      <c r="L44" s="19" t="s">
        <v>13</v>
      </c>
      <c r="M44" s="19" t="s">
        <v>13</v>
      </c>
      <c r="N44" s="19" t="s">
        <v>13</v>
      </c>
      <c r="O44" s="69" t="s">
        <v>13</v>
      </c>
      <c r="P44" s="69" t="s">
        <v>13</v>
      </c>
      <c r="Q44" s="69" t="s">
        <v>13</v>
      </c>
      <c r="R44" s="69" t="s">
        <v>13</v>
      </c>
      <c r="S44" s="69" t="s">
        <v>13</v>
      </c>
      <c r="T44" s="69" t="s">
        <v>13</v>
      </c>
      <c r="U44" s="69" t="s">
        <v>13</v>
      </c>
      <c r="V44" s="69" t="s">
        <v>13</v>
      </c>
      <c r="W44" s="69">
        <v>2.3490000000000002</v>
      </c>
      <c r="X44" s="19">
        <v>2.363</v>
      </c>
      <c r="Y44" s="19">
        <v>2.6309999999999998</v>
      </c>
      <c r="Z44" s="19">
        <v>3.6989999999999998</v>
      </c>
      <c r="AA44" s="70">
        <v>3.2</v>
      </c>
      <c r="AB44" s="19">
        <v>4.5229999999999997</v>
      </c>
      <c r="AC44" s="19">
        <v>6.93</v>
      </c>
      <c r="AD44" s="19">
        <v>11.92</v>
      </c>
      <c r="AE44" s="19">
        <v>11.153</v>
      </c>
      <c r="AF44" s="19">
        <v>15.927</v>
      </c>
      <c r="AG44" s="19">
        <v>9.2289999999999992</v>
      </c>
      <c r="AH44" s="19">
        <v>5.8920000000000003</v>
      </c>
      <c r="AI44" s="19">
        <v>2.7869999999999999</v>
      </c>
      <c r="AJ44" s="19">
        <v>1.966</v>
      </c>
      <c r="AK44" s="19">
        <v>3.4369999999999998</v>
      </c>
      <c r="AL44" s="19">
        <v>4.0019999999999998</v>
      </c>
      <c r="AM44" s="69">
        <v>6.5815999999999999</v>
      </c>
      <c r="AN44" s="69">
        <v>3.9</v>
      </c>
      <c r="AO44" s="69">
        <v>4.5</v>
      </c>
      <c r="AP44" s="69">
        <v>4.8</v>
      </c>
      <c r="AQ44" s="69">
        <v>3.2</v>
      </c>
      <c r="AR44" s="69">
        <v>5.0999999999999996</v>
      </c>
      <c r="AS44" s="69">
        <v>18.899999999999999</v>
      </c>
      <c r="AT44" s="69">
        <v>16.399999999999999</v>
      </c>
      <c r="AU44" s="69">
        <v>14.2</v>
      </c>
      <c r="AV44" s="69">
        <v>9</v>
      </c>
      <c r="AW44" s="19">
        <v>7.2</v>
      </c>
      <c r="AX44" s="69">
        <v>7.6</v>
      </c>
      <c r="AY44" s="245">
        <v>3.1</v>
      </c>
      <c r="AZ44" s="245">
        <v>2.5</v>
      </c>
      <c r="BA44" s="245">
        <v>3.2838640000000003</v>
      </c>
      <c r="BB44" s="244">
        <v>4.0408900000000001</v>
      </c>
      <c r="BC44" s="19">
        <v>5.3663090000000011</v>
      </c>
      <c r="BD44" s="19">
        <v>6.5485560000000005</v>
      </c>
      <c r="BE44" s="19">
        <v>8.9994790000000009</v>
      </c>
      <c r="BF44" s="19">
        <v>22.63252</v>
      </c>
      <c r="BG44" s="19">
        <v>28.579825</v>
      </c>
      <c r="BH44" s="19">
        <v>32.350157000000003</v>
      </c>
      <c r="BI44" s="19">
        <v>40.642602000000004</v>
      </c>
      <c r="BJ44" s="19">
        <v>51.912008</v>
      </c>
      <c r="BK44" s="19">
        <v>68.292192000000014</v>
      </c>
      <c r="BL44" s="19">
        <v>84.099839999999986</v>
      </c>
      <c r="BM44" s="19">
        <v>100.93846099999999</v>
      </c>
      <c r="BN44" s="19">
        <v>106.919726887</v>
      </c>
      <c r="BO44" s="19">
        <v>80.637075663000005</v>
      </c>
      <c r="BP44" s="19">
        <v>51.526873862000002</v>
      </c>
      <c r="BQ44" s="19">
        <v>33.230393477</v>
      </c>
      <c r="CB44" s="54"/>
      <c r="CC44" s="54"/>
      <c r="CD44" s="54"/>
      <c r="CE44" s="54"/>
      <c r="CF44" s="54"/>
      <c r="CG44" s="54"/>
      <c r="CH44" s="54"/>
    </row>
    <row r="45" spans="1:86">
      <c r="A45" s="72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69"/>
      <c r="P45" s="69"/>
      <c r="Q45" s="69"/>
      <c r="R45" s="69"/>
      <c r="S45" s="69"/>
      <c r="T45" s="69"/>
      <c r="U45" s="69"/>
      <c r="V45" s="69"/>
      <c r="W45" s="69"/>
      <c r="X45" s="19"/>
      <c r="Y45" s="19"/>
      <c r="Z45" s="19"/>
      <c r="AA45" s="70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69"/>
      <c r="AN45" s="69"/>
      <c r="AO45" s="69"/>
      <c r="AP45" s="69"/>
      <c r="AQ45" s="69"/>
      <c r="AR45" s="69"/>
      <c r="AS45" s="69"/>
      <c r="AT45" s="69"/>
      <c r="AU45" s="69"/>
      <c r="AV45" s="69"/>
      <c r="AW45" s="19"/>
      <c r="AX45" s="69"/>
      <c r="AY45" s="245"/>
      <c r="AZ45" s="245"/>
      <c r="BA45" s="245"/>
      <c r="BB45" s="244"/>
      <c r="BC45" s="19"/>
      <c r="BD45" s="19"/>
      <c r="BE45" s="19"/>
      <c r="BF45" s="19"/>
      <c r="BG45" s="19"/>
      <c r="BH45" s="19"/>
      <c r="BI45" s="19"/>
      <c r="BJ45" s="19"/>
      <c r="BK45" s="19"/>
      <c r="BL45" s="19"/>
      <c r="BM45" s="19"/>
      <c r="BN45" s="19"/>
      <c r="BO45" s="19"/>
      <c r="BP45" s="19"/>
      <c r="BQ45" s="19"/>
      <c r="CB45" s="54"/>
      <c r="CC45" s="54"/>
      <c r="CD45" s="54"/>
      <c r="CE45" s="54"/>
      <c r="CF45" s="54"/>
      <c r="CG45" s="54"/>
      <c r="CH45" s="54"/>
    </row>
    <row r="46" spans="1:86">
      <c r="A46" s="72" t="s">
        <v>318</v>
      </c>
      <c r="B46" s="19">
        <v>0.41739999999999977</v>
      </c>
      <c r="C46" s="19">
        <v>1.0329000000000015</v>
      </c>
      <c r="D46" s="19">
        <v>0.46299999999999919</v>
      </c>
      <c r="E46" s="19">
        <v>2.1150000000000002</v>
      </c>
      <c r="F46" s="19">
        <v>1.6829999999999998</v>
      </c>
      <c r="G46" s="19">
        <v>2.4280000000000008</v>
      </c>
      <c r="H46" s="19">
        <v>3.6340000000000003</v>
      </c>
      <c r="I46" s="19">
        <v>2.6690000000000005</v>
      </c>
      <c r="J46" s="19">
        <v>2.825999999999997</v>
      </c>
      <c r="K46" s="19">
        <v>2.2260000000000026</v>
      </c>
      <c r="L46" s="19">
        <v>2.1349999999999998</v>
      </c>
      <c r="M46" s="19">
        <v>2.3247000000000035</v>
      </c>
      <c r="N46" s="19">
        <v>2.375</v>
      </c>
      <c r="O46" s="69">
        <v>3.4869999999999983</v>
      </c>
      <c r="P46" s="69">
        <v>3.645</v>
      </c>
      <c r="Q46" s="69">
        <v>3.6859999999999999</v>
      </c>
      <c r="R46" s="69">
        <v>0.8</v>
      </c>
      <c r="S46" s="69">
        <v>0.7</v>
      </c>
      <c r="T46" s="69">
        <v>0.1</v>
      </c>
      <c r="U46" s="69">
        <v>8.0000000000013394E-3</v>
      </c>
      <c r="V46" s="69">
        <v>-1.9999999999946727E-3</v>
      </c>
      <c r="W46" s="69">
        <v>6.782</v>
      </c>
      <c r="X46" s="19">
        <v>14.417000000000002</v>
      </c>
      <c r="Y46" s="19">
        <v>15.96</v>
      </c>
      <c r="Z46" s="19">
        <v>10.179000000000014</v>
      </c>
      <c r="AA46" s="70">
        <v>0.41739999999999977</v>
      </c>
      <c r="AB46" s="19">
        <v>36.417000000000016</v>
      </c>
      <c r="AC46" s="19">
        <v>55.180999999999976</v>
      </c>
      <c r="AD46" s="19">
        <v>51.625</v>
      </c>
      <c r="AE46" s="19">
        <v>62.516999999999989</v>
      </c>
      <c r="AF46" s="19">
        <v>117.72799999999998</v>
      </c>
      <c r="AG46" s="19">
        <v>51.507999999999996</v>
      </c>
      <c r="AH46" s="19">
        <v>24.256000000000011</v>
      </c>
      <c r="AI46" s="19">
        <v>25.594000000000001</v>
      </c>
      <c r="AJ46" s="19">
        <v>19.433999999999997</v>
      </c>
      <c r="AK46" s="19">
        <v>19.5</v>
      </c>
      <c r="AL46" s="19">
        <v>47.523000000000003</v>
      </c>
      <c r="AM46" s="69">
        <v>27.276900000000019</v>
      </c>
      <c r="AN46" s="69">
        <v>24.8</v>
      </c>
      <c r="AO46" s="69">
        <v>25</v>
      </c>
      <c r="AP46" s="69">
        <v>23.3</v>
      </c>
      <c r="AQ46" s="69">
        <v>38.200000000000003</v>
      </c>
      <c r="AR46" s="69">
        <v>14.3</v>
      </c>
      <c r="AS46" s="69">
        <v>52.7</v>
      </c>
      <c r="AT46" s="69">
        <v>56.5</v>
      </c>
      <c r="AU46" s="69">
        <v>112.1</v>
      </c>
      <c r="AV46" s="69">
        <v>141.30000000000001</v>
      </c>
      <c r="AW46" s="19">
        <v>146.9</v>
      </c>
      <c r="AX46" s="69">
        <v>204.1</v>
      </c>
      <c r="AY46" s="245">
        <v>159.19999999999999</v>
      </c>
      <c r="AZ46" s="245">
        <v>113.3</v>
      </c>
      <c r="BA46" s="245">
        <v>127.73664000000001</v>
      </c>
      <c r="BB46" s="244">
        <v>174.99152500000002</v>
      </c>
      <c r="BC46" s="19">
        <v>237.59828999999996</v>
      </c>
      <c r="BD46" s="19">
        <v>287.52693200000004</v>
      </c>
      <c r="BE46" s="19">
        <v>288.50221999999991</v>
      </c>
      <c r="BF46" s="19">
        <v>338.89995100000004</v>
      </c>
      <c r="BG46" s="19">
        <v>363.13239300000004</v>
      </c>
      <c r="BH46" s="19">
        <v>472.993315</v>
      </c>
      <c r="BI46" s="19">
        <v>601.6079850000001</v>
      </c>
      <c r="BJ46" s="19">
        <v>704.55896199999995</v>
      </c>
      <c r="BK46" s="19">
        <v>696.61641199999997</v>
      </c>
      <c r="BL46" s="19">
        <v>839.10671100000002</v>
      </c>
      <c r="BM46" s="19">
        <v>846.01312100000018</v>
      </c>
      <c r="BN46" s="19">
        <v>989.61614270500002</v>
      </c>
      <c r="BO46" s="19">
        <v>990.85994437900001</v>
      </c>
      <c r="BP46" s="19">
        <v>851.87631182200005</v>
      </c>
      <c r="BQ46" s="19">
        <v>869.255972445</v>
      </c>
      <c r="CB46" s="54"/>
      <c r="CC46" s="54"/>
      <c r="CD46" s="54"/>
      <c r="CE46" s="54"/>
      <c r="CF46" s="54"/>
      <c r="CG46" s="54"/>
      <c r="CH46" s="54"/>
    </row>
    <row r="47" spans="1:86">
      <c r="A47" s="72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69"/>
      <c r="P47" s="69"/>
      <c r="Q47" s="69"/>
      <c r="R47" s="69"/>
      <c r="S47" s="69"/>
      <c r="T47" s="69"/>
      <c r="U47" s="69"/>
      <c r="V47" s="69"/>
      <c r="W47" s="69"/>
      <c r="X47" s="19"/>
      <c r="Y47" s="19"/>
      <c r="Z47" s="19"/>
      <c r="AA47" s="70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69"/>
      <c r="AN47" s="69"/>
      <c r="AO47" s="69"/>
      <c r="AP47" s="69"/>
      <c r="AQ47" s="69"/>
      <c r="AR47" s="69"/>
      <c r="AS47" s="69"/>
      <c r="AT47" s="69"/>
      <c r="AU47" s="69"/>
      <c r="AV47" s="69"/>
      <c r="AW47" s="19"/>
      <c r="AX47" s="69"/>
      <c r="AY47" s="245"/>
      <c r="AZ47" s="245"/>
      <c r="BA47" s="245"/>
      <c r="BB47" s="244"/>
      <c r="BC47" s="19"/>
      <c r="BD47" s="19"/>
      <c r="BE47" s="19"/>
      <c r="BF47" s="19"/>
      <c r="BG47" s="19"/>
      <c r="BH47" s="19"/>
      <c r="BI47" s="19"/>
      <c r="BJ47" s="19"/>
      <c r="BK47" s="19"/>
      <c r="BL47" s="19"/>
      <c r="BM47" s="19"/>
      <c r="BN47" s="19"/>
      <c r="BO47" s="19"/>
      <c r="BP47" s="19"/>
      <c r="BQ47" s="19"/>
      <c r="CB47" s="54"/>
      <c r="CC47" s="54"/>
      <c r="CD47" s="54"/>
      <c r="CE47" s="54"/>
      <c r="CF47" s="54"/>
      <c r="CG47" s="54"/>
      <c r="CH47" s="54"/>
    </row>
    <row r="48" spans="1:86">
      <c r="A48" s="72" t="s">
        <v>319</v>
      </c>
      <c r="B48" s="19">
        <v>3.5110000000000001</v>
      </c>
      <c r="C48" s="19">
        <v>0.15</v>
      </c>
      <c r="D48" s="19">
        <v>0.09</v>
      </c>
      <c r="E48" s="19">
        <v>9.4450000000000003</v>
      </c>
      <c r="F48" s="19">
        <v>5.9450000000000003</v>
      </c>
      <c r="G48" s="19">
        <v>0.90800000000000003</v>
      </c>
      <c r="H48" s="19">
        <v>0.83399999999999996</v>
      </c>
      <c r="I48" s="19">
        <v>0.999</v>
      </c>
      <c r="J48" s="19">
        <v>1.0740000000000001</v>
      </c>
      <c r="K48" s="19">
        <v>2.4780000000000002</v>
      </c>
      <c r="L48" s="19">
        <v>2.8039999999999998</v>
      </c>
      <c r="M48" s="19">
        <v>2.1469999999999998</v>
      </c>
      <c r="N48" s="19">
        <v>1.0189999999999999</v>
      </c>
      <c r="O48" s="69">
        <v>2.899</v>
      </c>
      <c r="P48" s="69">
        <v>13.831</v>
      </c>
      <c r="Q48" s="69">
        <v>9.5670000000000002</v>
      </c>
      <c r="R48" s="69">
        <v>2.7829999999999999</v>
      </c>
      <c r="S48" s="69">
        <v>8.6140000000000008</v>
      </c>
      <c r="T48" s="69">
        <v>13.605</v>
      </c>
      <c r="U48" s="69">
        <v>19.225999999999999</v>
      </c>
      <c r="V48" s="69">
        <v>17.884</v>
      </c>
      <c r="W48" s="69">
        <v>34.006</v>
      </c>
      <c r="X48" s="19">
        <v>28.387</v>
      </c>
      <c r="Y48" s="19">
        <v>53.128999999999998</v>
      </c>
      <c r="Z48" s="19">
        <v>22.995000000000001</v>
      </c>
      <c r="AA48" s="70">
        <v>22.995000000000001</v>
      </c>
      <c r="AB48" s="19">
        <v>20.393999999999998</v>
      </c>
      <c r="AC48" s="19">
        <v>30.856999999999999</v>
      </c>
      <c r="AD48" s="19">
        <v>34.841000000000001</v>
      </c>
      <c r="AE48" s="19">
        <v>47.886000000000003</v>
      </c>
      <c r="AF48" s="19">
        <v>48.658999999999999</v>
      </c>
      <c r="AG48" s="19">
        <v>314.87299999999999</v>
      </c>
      <c r="AH48" s="19">
        <v>839.32500000000005</v>
      </c>
      <c r="AI48" s="19">
        <v>459.10899999999998</v>
      </c>
      <c r="AJ48" s="19">
        <v>374.82900000000001</v>
      </c>
      <c r="AK48" s="19">
        <v>470.44299999999998</v>
      </c>
      <c r="AL48" s="19">
        <v>737.69399999999996</v>
      </c>
      <c r="AM48" s="69">
        <v>369.81079999999997</v>
      </c>
      <c r="AN48" s="69">
        <v>246.7</v>
      </c>
      <c r="AO48" s="69">
        <v>338.4</v>
      </c>
      <c r="AP48" s="69">
        <v>156</v>
      </c>
      <c r="AQ48" s="69">
        <v>148.19999999999999</v>
      </c>
      <c r="AR48" s="69">
        <v>414.4</v>
      </c>
      <c r="AS48" s="69">
        <v>491.6</v>
      </c>
      <c r="AT48" s="69">
        <v>397.6</v>
      </c>
      <c r="AU48" s="69">
        <v>403.9</v>
      </c>
      <c r="AV48" s="69">
        <v>483.6</v>
      </c>
      <c r="AW48" s="19">
        <v>603.29999999999995</v>
      </c>
      <c r="AX48" s="69">
        <v>574.70000000000005</v>
      </c>
      <c r="AY48" s="245">
        <v>344.6</v>
      </c>
      <c r="AZ48" s="245">
        <v>492.1</v>
      </c>
      <c r="BA48" s="245">
        <v>579.05156799999997</v>
      </c>
      <c r="BB48" s="244">
        <v>445.75331299999993</v>
      </c>
      <c r="BC48" s="19">
        <v>453.511683</v>
      </c>
      <c r="BD48" s="19">
        <v>389.03612199999992</v>
      </c>
      <c r="BE48" s="19">
        <v>375.92355200000003</v>
      </c>
      <c r="BF48" s="19">
        <v>194.707348</v>
      </c>
      <c r="BG48" s="19">
        <v>445.76448199999999</v>
      </c>
      <c r="BH48" s="19">
        <v>430.814663</v>
      </c>
      <c r="BI48" s="19">
        <v>643.44311000000005</v>
      </c>
      <c r="BJ48" s="19">
        <v>341.68564199999992</v>
      </c>
      <c r="BK48" s="19">
        <v>1094.616655</v>
      </c>
      <c r="BL48" s="19">
        <v>884.98717199999987</v>
      </c>
      <c r="BM48" s="19">
        <v>1578.1388830000001</v>
      </c>
      <c r="BN48" s="19">
        <v>2052.983307986</v>
      </c>
      <c r="BO48" s="19">
        <v>2432.8240347269998</v>
      </c>
      <c r="BP48" s="19">
        <v>2707.6740528800001</v>
      </c>
      <c r="BQ48" s="19">
        <v>2842.2951817429998</v>
      </c>
      <c r="CB48" s="54"/>
      <c r="CC48" s="54"/>
      <c r="CD48" s="54"/>
      <c r="CE48" s="54"/>
      <c r="CF48" s="54"/>
      <c r="CG48" s="54"/>
      <c r="CH48" s="54"/>
    </row>
    <row r="49" spans="1:86">
      <c r="A49" s="72" t="s">
        <v>229</v>
      </c>
      <c r="B49" s="19" t="s">
        <v>13</v>
      </c>
      <c r="C49" s="19" t="s">
        <v>13</v>
      </c>
      <c r="D49" s="19" t="s">
        <v>13</v>
      </c>
      <c r="E49" s="19" t="s">
        <v>13</v>
      </c>
      <c r="F49" s="19" t="s">
        <v>13</v>
      </c>
      <c r="G49" s="19" t="s">
        <v>13</v>
      </c>
      <c r="H49" s="19" t="s">
        <v>13</v>
      </c>
      <c r="I49" s="19" t="s">
        <v>13</v>
      </c>
      <c r="J49" s="19" t="s">
        <v>13</v>
      </c>
      <c r="K49" s="19" t="s">
        <v>13</v>
      </c>
      <c r="L49" s="19" t="s">
        <v>13</v>
      </c>
      <c r="M49" s="19" t="s">
        <v>13</v>
      </c>
      <c r="N49" s="19" t="s">
        <v>13</v>
      </c>
      <c r="O49" s="69" t="s">
        <v>13</v>
      </c>
      <c r="P49" s="69" t="s">
        <v>13</v>
      </c>
      <c r="Q49" s="69" t="s">
        <v>13</v>
      </c>
      <c r="R49" s="69" t="s">
        <v>13</v>
      </c>
      <c r="S49" s="69" t="s">
        <v>13</v>
      </c>
      <c r="T49" s="69" t="s">
        <v>13</v>
      </c>
      <c r="U49" s="69" t="s">
        <v>13</v>
      </c>
      <c r="V49" s="69" t="s">
        <v>13</v>
      </c>
      <c r="W49" s="69" t="s">
        <v>13</v>
      </c>
      <c r="X49" s="19" t="s">
        <v>13</v>
      </c>
      <c r="Y49" s="19" t="s">
        <v>13</v>
      </c>
      <c r="Z49" s="19" t="s">
        <v>13</v>
      </c>
      <c r="AA49" s="70" t="s">
        <v>13</v>
      </c>
      <c r="AB49" s="19" t="s">
        <v>13</v>
      </c>
      <c r="AC49" s="19" t="s">
        <v>13</v>
      </c>
      <c r="AD49" s="19" t="s">
        <v>13</v>
      </c>
      <c r="AE49" s="19" t="s">
        <v>13</v>
      </c>
      <c r="AF49" s="19" t="s">
        <v>13</v>
      </c>
      <c r="AG49" s="19" t="s">
        <v>13</v>
      </c>
      <c r="AH49" s="19" t="s">
        <v>13</v>
      </c>
      <c r="AI49" s="19" t="s">
        <v>13</v>
      </c>
      <c r="AJ49" s="19" t="s">
        <v>13</v>
      </c>
      <c r="AK49" s="19" t="s">
        <v>13</v>
      </c>
      <c r="AL49" s="19" t="s">
        <v>13</v>
      </c>
      <c r="AM49" s="69" t="s">
        <v>13</v>
      </c>
      <c r="AN49" s="69" t="s">
        <v>13</v>
      </c>
      <c r="AO49" s="69" t="s">
        <v>13</v>
      </c>
      <c r="AP49" s="69" t="s">
        <v>13</v>
      </c>
      <c r="AQ49" s="69" t="s">
        <v>13</v>
      </c>
      <c r="AR49" s="69" t="s">
        <v>13</v>
      </c>
      <c r="AS49" s="69" t="s">
        <v>13</v>
      </c>
      <c r="AT49" s="69" t="s">
        <v>13</v>
      </c>
      <c r="AU49" s="69" t="s">
        <v>13</v>
      </c>
      <c r="AV49" s="69" t="s">
        <v>13</v>
      </c>
      <c r="AW49" s="19" t="s">
        <v>13</v>
      </c>
      <c r="AX49" s="69" t="s">
        <v>13</v>
      </c>
      <c r="AY49" s="245" t="s">
        <v>13</v>
      </c>
      <c r="AZ49" s="245" t="s">
        <v>13</v>
      </c>
      <c r="BA49" s="245" t="s">
        <v>13</v>
      </c>
      <c r="BB49" s="244" t="s">
        <v>13</v>
      </c>
      <c r="BC49" s="19" t="s">
        <v>13</v>
      </c>
      <c r="BD49" s="19" t="s">
        <v>13</v>
      </c>
      <c r="BE49" s="19" t="s">
        <v>13</v>
      </c>
      <c r="BF49" s="19">
        <v>3.5725699999999998</v>
      </c>
      <c r="BG49" s="19">
        <v>6.1079999999999997</v>
      </c>
      <c r="BH49" s="19">
        <v>60.860999999999997</v>
      </c>
      <c r="BI49" s="19">
        <v>20.796810000000001</v>
      </c>
      <c r="BJ49" s="19">
        <v>6.4924799999999996</v>
      </c>
      <c r="BK49" s="19">
        <v>9.2131900000000009</v>
      </c>
      <c r="BL49" s="19">
        <v>29.091419999999999</v>
      </c>
      <c r="BM49" s="19">
        <v>40.036527999999997</v>
      </c>
      <c r="BN49" s="19">
        <v>45.013606780000003</v>
      </c>
      <c r="BO49" s="19">
        <v>57.186682169999997</v>
      </c>
      <c r="BP49" s="19">
        <v>173.02770548300001</v>
      </c>
      <c r="BQ49" s="19">
        <v>82.465506235000007</v>
      </c>
      <c r="CB49" s="54"/>
      <c r="CC49" s="54"/>
      <c r="CD49" s="54"/>
      <c r="CE49" s="54"/>
      <c r="CF49" s="54"/>
      <c r="CG49" s="54"/>
      <c r="CH49" s="54"/>
    </row>
    <row r="50" spans="1:86">
      <c r="A50" s="72" t="s">
        <v>320</v>
      </c>
      <c r="B50" s="19" t="s">
        <v>13</v>
      </c>
      <c r="C50" s="19" t="s">
        <v>13</v>
      </c>
      <c r="D50" s="19" t="s">
        <v>13</v>
      </c>
      <c r="E50" s="19" t="s">
        <v>13</v>
      </c>
      <c r="F50" s="19" t="s">
        <v>13</v>
      </c>
      <c r="G50" s="19" t="s">
        <v>13</v>
      </c>
      <c r="H50" s="19" t="s">
        <v>13</v>
      </c>
      <c r="I50" s="19" t="s">
        <v>13</v>
      </c>
      <c r="J50" s="19" t="s">
        <v>13</v>
      </c>
      <c r="K50" s="19" t="s">
        <v>13</v>
      </c>
      <c r="L50" s="19" t="s">
        <v>13</v>
      </c>
      <c r="M50" s="19" t="s">
        <v>13</v>
      </c>
      <c r="N50" s="19" t="s">
        <v>13</v>
      </c>
      <c r="O50" s="69" t="s">
        <v>13</v>
      </c>
      <c r="P50" s="69" t="s">
        <v>13</v>
      </c>
      <c r="Q50" s="69" t="s">
        <v>13</v>
      </c>
      <c r="R50" s="69" t="s">
        <v>13</v>
      </c>
      <c r="S50" s="69" t="s">
        <v>13</v>
      </c>
      <c r="T50" s="69" t="s">
        <v>13</v>
      </c>
      <c r="U50" s="69" t="s">
        <v>13</v>
      </c>
      <c r="V50" s="69" t="s">
        <v>13</v>
      </c>
      <c r="W50" s="69" t="s">
        <v>13</v>
      </c>
      <c r="X50" s="19" t="s">
        <v>13</v>
      </c>
      <c r="Y50" s="19" t="s">
        <v>13</v>
      </c>
      <c r="Z50" s="19" t="s">
        <v>13</v>
      </c>
      <c r="AA50" s="70" t="s">
        <v>13</v>
      </c>
      <c r="AB50" s="19" t="s">
        <v>13</v>
      </c>
      <c r="AC50" s="19" t="s">
        <v>13</v>
      </c>
      <c r="AD50" s="19" t="s">
        <v>13</v>
      </c>
      <c r="AE50" s="19" t="s">
        <v>13</v>
      </c>
      <c r="AF50" s="19" t="s">
        <v>13</v>
      </c>
      <c r="AG50" s="19" t="s">
        <v>13</v>
      </c>
      <c r="AH50" s="19" t="s">
        <v>13</v>
      </c>
      <c r="AI50" s="19" t="s">
        <v>13</v>
      </c>
      <c r="AJ50" s="19" t="s">
        <v>13</v>
      </c>
      <c r="AK50" s="19" t="s">
        <v>13</v>
      </c>
      <c r="AL50" s="19" t="s">
        <v>13</v>
      </c>
      <c r="AM50" s="69" t="s">
        <v>13</v>
      </c>
      <c r="AN50" s="69" t="s">
        <v>13</v>
      </c>
      <c r="AO50" s="69" t="s">
        <v>13</v>
      </c>
      <c r="AP50" s="69" t="s">
        <v>13</v>
      </c>
      <c r="AQ50" s="69" t="s">
        <v>13</v>
      </c>
      <c r="AR50" s="69" t="s">
        <v>13</v>
      </c>
      <c r="AS50" s="69" t="s">
        <v>13</v>
      </c>
      <c r="AT50" s="69" t="s">
        <v>13</v>
      </c>
      <c r="AU50" s="69" t="s">
        <v>13</v>
      </c>
      <c r="AV50" s="69" t="s">
        <v>13</v>
      </c>
      <c r="AW50" s="19" t="s">
        <v>13</v>
      </c>
      <c r="AX50" s="69" t="s">
        <v>13</v>
      </c>
      <c r="AY50" s="245" t="s">
        <v>13</v>
      </c>
      <c r="AZ50" s="245" t="s">
        <v>13</v>
      </c>
      <c r="BA50" s="245" t="s">
        <v>13</v>
      </c>
      <c r="BB50" s="244" t="s">
        <v>13</v>
      </c>
      <c r="BC50" s="19" t="s">
        <v>13</v>
      </c>
      <c r="BD50" s="19" t="s">
        <v>13</v>
      </c>
      <c r="BE50" s="19" t="s">
        <v>13</v>
      </c>
      <c r="BF50" s="19">
        <v>5.7018800000000001</v>
      </c>
      <c r="BG50" s="19">
        <v>5.6135700000000002</v>
      </c>
      <c r="BH50" s="19">
        <v>17.831189999999999</v>
      </c>
      <c r="BI50" s="19">
        <v>8.4975699999999996</v>
      </c>
      <c r="BJ50" s="19">
        <v>6.7453799999999999</v>
      </c>
      <c r="BK50" s="19">
        <v>9.9550000000000001</v>
      </c>
      <c r="BL50" s="19">
        <v>14.674479999999999</v>
      </c>
      <c r="BM50" s="19">
        <v>10.598186999999999</v>
      </c>
      <c r="BN50" s="19">
        <v>122.38536787699999</v>
      </c>
      <c r="BO50" s="19">
        <v>27.104372481999999</v>
      </c>
      <c r="BP50" s="19">
        <v>18.65064053</v>
      </c>
      <c r="BQ50" s="19">
        <v>21.828785069999999</v>
      </c>
      <c r="CB50" s="54"/>
      <c r="CC50" s="54"/>
      <c r="CD50" s="54"/>
      <c r="CE50" s="54"/>
      <c r="CF50" s="54"/>
      <c r="CG50" s="54"/>
      <c r="CH50" s="54"/>
    </row>
    <row r="51" spans="1:86">
      <c r="A51" s="72" t="s">
        <v>79</v>
      </c>
      <c r="B51" s="19">
        <v>1.44E-2</v>
      </c>
      <c r="C51" s="19">
        <v>9.7000000000000003E-2</v>
      </c>
      <c r="D51" s="19">
        <v>7.4999999999999997E-2</v>
      </c>
      <c r="E51" s="19">
        <v>5.1890000000000001</v>
      </c>
      <c r="F51" s="19">
        <v>5.3250000000000002</v>
      </c>
      <c r="G51" s="19">
        <v>0.13500000000000001</v>
      </c>
      <c r="H51" s="19">
        <v>8.4000000000000005E-2</v>
      </c>
      <c r="I51" s="19">
        <v>0.13100000000000001</v>
      </c>
      <c r="J51" s="19">
        <v>0.17599999999999999</v>
      </c>
      <c r="K51" s="19">
        <v>1.7749999999999999</v>
      </c>
      <c r="L51" s="19">
        <v>1.431</v>
      </c>
      <c r="M51" s="19">
        <v>1.778</v>
      </c>
      <c r="N51" s="19">
        <v>0.93300000000000005</v>
      </c>
      <c r="O51" s="69">
        <v>2.7130000000000001</v>
      </c>
      <c r="P51" s="69">
        <v>13.757999999999999</v>
      </c>
      <c r="Q51" s="69">
        <v>9.3450000000000006</v>
      </c>
      <c r="R51" s="69">
        <v>2.62</v>
      </c>
      <c r="S51" s="69">
        <v>4.9160000000000004</v>
      </c>
      <c r="T51" s="69">
        <v>4.9710000000000001</v>
      </c>
      <c r="U51" s="69">
        <v>18.145</v>
      </c>
      <c r="V51" s="69">
        <v>16.122</v>
      </c>
      <c r="W51" s="69">
        <v>33.917999999999999</v>
      </c>
      <c r="X51" s="19">
        <v>27.396000000000001</v>
      </c>
      <c r="Y51" s="19">
        <v>49.811</v>
      </c>
      <c r="Z51" s="19">
        <v>21.768999999999998</v>
      </c>
      <c r="AA51" s="70">
        <v>18.2</v>
      </c>
      <c r="AB51" s="19">
        <v>8.4870000000000001</v>
      </c>
      <c r="AC51" s="19">
        <v>14.019</v>
      </c>
      <c r="AD51" s="19">
        <v>19.86</v>
      </c>
      <c r="AE51" s="19">
        <v>18.655000000000001</v>
      </c>
      <c r="AF51" s="19">
        <v>28.068000000000001</v>
      </c>
      <c r="AG51" s="19">
        <v>302.15199999999999</v>
      </c>
      <c r="AH51" s="19">
        <v>311.09899999999999</v>
      </c>
      <c r="AI51" s="19">
        <v>15.595000000000001</v>
      </c>
      <c r="AJ51" s="19">
        <v>27.568000000000001</v>
      </c>
      <c r="AK51" s="19">
        <v>16.888000000000002</v>
      </c>
      <c r="AL51" s="19">
        <v>59.344999999999999</v>
      </c>
      <c r="AM51" s="69">
        <v>57.168999999999997</v>
      </c>
      <c r="AN51" s="69">
        <v>47.1</v>
      </c>
      <c r="AO51" s="69">
        <v>54.1</v>
      </c>
      <c r="AP51" s="69">
        <v>59.2</v>
      </c>
      <c r="AQ51" s="69">
        <v>49.5</v>
      </c>
      <c r="AR51" s="69">
        <v>63</v>
      </c>
      <c r="AS51" s="69">
        <v>61.8</v>
      </c>
      <c r="AT51" s="69">
        <v>52.6</v>
      </c>
      <c r="AU51" s="69">
        <v>76</v>
      </c>
      <c r="AV51" s="69">
        <v>118.4</v>
      </c>
      <c r="AW51" s="19">
        <v>138.80000000000001</v>
      </c>
      <c r="AX51" s="69">
        <v>150</v>
      </c>
      <c r="AY51" s="245">
        <v>124.4</v>
      </c>
      <c r="AZ51" s="245">
        <v>112.1</v>
      </c>
      <c r="BA51" s="245">
        <v>130.616062</v>
      </c>
      <c r="BB51" s="244">
        <v>122.79294200000001</v>
      </c>
      <c r="BC51" s="19">
        <v>97.853163999999992</v>
      </c>
      <c r="BD51" s="19">
        <v>89.337135000000004</v>
      </c>
      <c r="BE51" s="19">
        <v>78.925973000000013</v>
      </c>
      <c r="BF51" s="19">
        <v>73.080377000000013</v>
      </c>
      <c r="BG51" s="19">
        <v>122.51398499999998</v>
      </c>
      <c r="BH51" s="19">
        <v>106.28052600000001</v>
      </c>
      <c r="BI51" s="19">
        <v>107.11574999999999</v>
      </c>
      <c r="BJ51" s="19">
        <v>109.24353999999998</v>
      </c>
      <c r="BK51" s="19">
        <v>401.97748600000006</v>
      </c>
      <c r="BL51" s="19">
        <v>348.87987199999998</v>
      </c>
      <c r="BM51" s="19">
        <v>657.29748300000006</v>
      </c>
      <c r="BN51" s="19">
        <v>572.15217365700005</v>
      </c>
      <c r="BO51" s="19">
        <v>326.00605807800002</v>
      </c>
      <c r="BP51" s="19">
        <v>330.89254942600002</v>
      </c>
      <c r="BQ51" s="19">
        <v>319.57589609500002</v>
      </c>
      <c r="CB51" s="54"/>
      <c r="CC51" s="54"/>
      <c r="CD51" s="54"/>
      <c r="CE51" s="54"/>
      <c r="CF51" s="54"/>
      <c r="CG51" s="54"/>
      <c r="CH51" s="54"/>
    </row>
    <row r="52" spans="1:86">
      <c r="A52" s="72" t="s">
        <v>228</v>
      </c>
      <c r="B52" s="19" t="s">
        <v>13</v>
      </c>
      <c r="C52" s="19" t="s">
        <v>13</v>
      </c>
      <c r="D52" s="19" t="s">
        <v>13</v>
      </c>
      <c r="E52" s="19" t="s">
        <v>13</v>
      </c>
      <c r="F52" s="19" t="s">
        <v>13</v>
      </c>
      <c r="G52" s="19" t="s">
        <v>13</v>
      </c>
      <c r="H52" s="19" t="s">
        <v>13</v>
      </c>
      <c r="I52" s="19" t="s">
        <v>13</v>
      </c>
      <c r="J52" s="19" t="s">
        <v>13</v>
      </c>
      <c r="K52" s="19" t="s">
        <v>13</v>
      </c>
      <c r="L52" s="19" t="s">
        <v>13</v>
      </c>
      <c r="M52" s="19" t="s">
        <v>13</v>
      </c>
      <c r="N52" s="19" t="s">
        <v>13</v>
      </c>
      <c r="O52" s="69" t="s">
        <v>13</v>
      </c>
      <c r="P52" s="69" t="s">
        <v>13</v>
      </c>
      <c r="Q52" s="69" t="s">
        <v>13</v>
      </c>
      <c r="R52" s="69" t="s">
        <v>13</v>
      </c>
      <c r="S52" s="69" t="s">
        <v>13</v>
      </c>
      <c r="T52" s="69" t="s">
        <v>13</v>
      </c>
      <c r="U52" s="69" t="s">
        <v>13</v>
      </c>
      <c r="V52" s="69" t="s">
        <v>13</v>
      </c>
      <c r="W52" s="69" t="s">
        <v>13</v>
      </c>
      <c r="X52" s="19" t="s">
        <v>13</v>
      </c>
      <c r="Y52" s="19" t="s">
        <v>13</v>
      </c>
      <c r="Z52" s="19" t="s">
        <v>13</v>
      </c>
      <c r="AA52" s="70" t="s">
        <v>13</v>
      </c>
      <c r="AB52" s="19" t="s">
        <v>13</v>
      </c>
      <c r="AC52" s="19" t="s">
        <v>13</v>
      </c>
      <c r="AD52" s="19" t="s">
        <v>13</v>
      </c>
      <c r="AE52" s="19" t="s">
        <v>13</v>
      </c>
      <c r="AF52" s="19" t="s">
        <v>13</v>
      </c>
      <c r="AG52" s="19" t="s">
        <v>13</v>
      </c>
      <c r="AH52" s="19" t="s">
        <v>13</v>
      </c>
      <c r="AI52" s="19" t="s">
        <v>13</v>
      </c>
      <c r="AJ52" s="19" t="s">
        <v>13</v>
      </c>
      <c r="AK52" s="19" t="s">
        <v>13</v>
      </c>
      <c r="AL52" s="19" t="s">
        <v>13</v>
      </c>
      <c r="AM52" s="69" t="s">
        <v>13</v>
      </c>
      <c r="AN52" s="69" t="s">
        <v>13</v>
      </c>
      <c r="AO52" s="69" t="s">
        <v>13</v>
      </c>
      <c r="AP52" s="69" t="s">
        <v>13</v>
      </c>
      <c r="AQ52" s="69" t="s">
        <v>13</v>
      </c>
      <c r="AR52" s="69" t="s">
        <v>13</v>
      </c>
      <c r="AS52" s="69" t="s">
        <v>13</v>
      </c>
      <c r="AT52" s="69" t="s">
        <v>13</v>
      </c>
      <c r="AU52" s="69" t="s">
        <v>13</v>
      </c>
      <c r="AV52" s="69" t="s">
        <v>13</v>
      </c>
      <c r="AW52" s="19" t="s">
        <v>13</v>
      </c>
      <c r="AX52" s="69" t="s">
        <v>13</v>
      </c>
      <c r="AY52" s="245" t="s">
        <v>13</v>
      </c>
      <c r="AZ52" s="245" t="s">
        <v>13</v>
      </c>
      <c r="BA52" s="245" t="s">
        <v>13</v>
      </c>
      <c r="BB52" s="244" t="s">
        <v>13</v>
      </c>
      <c r="BC52" s="19" t="s">
        <v>13</v>
      </c>
      <c r="BD52" s="19" t="s">
        <v>13</v>
      </c>
      <c r="BE52" s="19" t="s">
        <v>13</v>
      </c>
      <c r="BF52" s="19">
        <v>7.37113</v>
      </c>
      <c r="BG52" s="19">
        <v>194.72800000000001</v>
      </c>
      <c r="BH52" s="19">
        <v>39.136000000000003</v>
      </c>
      <c r="BI52" s="19">
        <v>387.46553</v>
      </c>
      <c r="BJ52" s="19">
        <v>124.20762999999999</v>
      </c>
      <c r="BK52" s="19">
        <v>328.73829000000001</v>
      </c>
      <c r="BL52" s="19">
        <v>192.32191999999998</v>
      </c>
      <c r="BM52" s="19">
        <v>391.69763900000004</v>
      </c>
      <c r="BN52" s="19">
        <v>563.90363979000006</v>
      </c>
      <c r="BO52" s="19">
        <v>485.07566398</v>
      </c>
      <c r="BP52" s="19">
        <v>722.96600898700001</v>
      </c>
      <c r="BQ52" s="19">
        <v>656.38201734400002</v>
      </c>
      <c r="CB52" s="54"/>
      <c r="CC52" s="54"/>
      <c r="CD52" s="54"/>
      <c r="CE52" s="54"/>
      <c r="CF52" s="54"/>
      <c r="CG52" s="54"/>
      <c r="CH52" s="54"/>
    </row>
    <row r="53" spans="1:86">
      <c r="A53" s="72" t="s">
        <v>78</v>
      </c>
      <c r="B53" s="19">
        <v>0</v>
      </c>
      <c r="C53" s="19">
        <v>0</v>
      </c>
      <c r="D53" s="19">
        <v>0</v>
      </c>
      <c r="E53" s="19">
        <v>0</v>
      </c>
      <c r="F53" s="19">
        <v>0</v>
      </c>
      <c r="G53" s="19">
        <v>0</v>
      </c>
      <c r="H53" s="19">
        <v>0</v>
      </c>
      <c r="I53" s="19">
        <v>0</v>
      </c>
      <c r="J53" s="19">
        <v>0</v>
      </c>
      <c r="K53" s="19">
        <v>0</v>
      </c>
      <c r="L53" s="19">
        <v>0</v>
      </c>
      <c r="M53" s="19">
        <v>0</v>
      </c>
      <c r="N53" s="19">
        <v>0</v>
      </c>
      <c r="O53" s="69">
        <v>0</v>
      </c>
      <c r="P53" s="69">
        <v>0</v>
      </c>
      <c r="Q53" s="69">
        <v>0</v>
      </c>
      <c r="R53" s="69">
        <v>0</v>
      </c>
      <c r="S53" s="69">
        <v>0</v>
      </c>
      <c r="T53" s="69">
        <v>0</v>
      </c>
      <c r="U53" s="69">
        <v>0</v>
      </c>
      <c r="V53" s="69">
        <v>0</v>
      </c>
      <c r="W53" s="69">
        <v>1.4E-2</v>
      </c>
      <c r="X53" s="19" t="s">
        <v>13</v>
      </c>
      <c r="Y53" s="19" t="s">
        <v>13</v>
      </c>
      <c r="Z53" s="19" t="s">
        <v>13</v>
      </c>
      <c r="AA53" s="70" t="s">
        <v>13</v>
      </c>
      <c r="AB53" s="19">
        <v>0.32</v>
      </c>
      <c r="AC53" s="19">
        <v>2.2000000000000002</v>
      </c>
      <c r="AD53" s="19">
        <v>0</v>
      </c>
      <c r="AE53" s="19">
        <v>10.151</v>
      </c>
      <c r="AF53" s="19">
        <v>0.191</v>
      </c>
      <c r="AG53" s="19">
        <v>0.79800000000000004</v>
      </c>
      <c r="AH53" s="19">
        <v>14.192</v>
      </c>
      <c r="AI53" s="19">
        <v>142.07900000000001</v>
      </c>
      <c r="AJ53" s="19">
        <v>129.905</v>
      </c>
      <c r="AK53" s="19">
        <v>69.085999999999999</v>
      </c>
      <c r="AL53" s="19">
        <v>129.47</v>
      </c>
      <c r="AM53" s="69">
        <v>36.798400000000001</v>
      </c>
      <c r="AN53" s="69">
        <v>44.2</v>
      </c>
      <c r="AO53" s="69">
        <v>47.6</v>
      </c>
      <c r="AP53" s="69">
        <v>47.9</v>
      </c>
      <c r="AQ53" s="69">
        <v>65</v>
      </c>
      <c r="AR53" s="69">
        <v>57.3</v>
      </c>
      <c r="AS53" s="69">
        <v>73.400000000000006</v>
      </c>
      <c r="AT53" s="69">
        <v>34.299999999999997</v>
      </c>
      <c r="AU53" s="69">
        <v>18.5</v>
      </c>
      <c r="AV53" s="69">
        <v>15.8</v>
      </c>
      <c r="AW53" s="19">
        <v>22.2</v>
      </c>
      <c r="AX53" s="69">
        <v>45.4</v>
      </c>
      <c r="AY53" s="245">
        <v>34.700000000000003</v>
      </c>
      <c r="AZ53" s="245">
        <v>35.6</v>
      </c>
      <c r="BA53" s="245">
        <v>29.275725000000001</v>
      </c>
      <c r="BB53" s="244">
        <v>19.869367999999998</v>
      </c>
      <c r="BC53" s="19">
        <v>6.6932240000000007</v>
      </c>
      <c r="BD53" s="19">
        <v>3.8211229999999996</v>
      </c>
      <c r="BE53" s="19">
        <v>4.3644199999999991</v>
      </c>
      <c r="BF53" s="19">
        <v>5.4055679999999997</v>
      </c>
      <c r="BG53" s="19">
        <v>5.6636449999999998</v>
      </c>
      <c r="BH53" s="19">
        <v>15.514188000000001</v>
      </c>
      <c r="BI53" s="19">
        <v>21.122993999999998</v>
      </c>
      <c r="BJ53" s="19">
        <v>18.303294999999999</v>
      </c>
      <c r="BK53" s="19">
        <v>15.248165</v>
      </c>
      <c r="BL53" s="19">
        <v>10.716963</v>
      </c>
      <c r="BM53" s="19">
        <v>6.4043489999999998</v>
      </c>
      <c r="BN53" s="19">
        <v>8.3573504799999991</v>
      </c>
      <c r="BO53" s="19">
        <v>6.8515637099999998</v>
      </c>
      <c r="BP53" s="19">
        <v>5.70401779</v>
      </c>
      <c r="BQ53" s="19">
        <v>9.3379362799999992</v>
      </c>
      <c r="CB53" s="54"/>
      <c r="CC53" s="54"/>
      <c r="CD53" s="54"/>
      <c r="CE53" s="54"/>
      <c r="CF53" s="54"/>
      <c r="CG53" s="54"/>
      <c r="CH53" s="54"/>
    </row>
    <row r="54" spans="1:86">
      <c r="A54" s="72" t="s">
        <v>316</v>
      </c>
      <c r="B54" s="19">
        <v>3.4965999999999999</v>
      </c>
      <c r="C54" s="19">
        <v>5.2999999999999992E-2</v>
      </c>
      <c r="D54" s="19">
        <v>1.4999999999999999E-2</v>
      </c>
      <c r="E54" s="19">
        <v>4.2560000000000002</v>
      </c>
      <c r="F54" s="19">
        <v>0.62</v>
      </c>
      <c r="G54" s="19">
        <v>0.77300000000000002</v>
      </c>
      <c r="H54" s="19">
        <v>0.75</v>
      </c>
      <c r="I54" s="19">
        <v>0.86799999999999999</v>
      </c>
      <c r="J54" s="19">
        <v>0.89800000000000013</v>
      </c>
      <c r="K54" s="19">
        <v>0.70300000000000029</v>
      </c>
      <c r="L54" s="19">
        <v>1.3729999999999998</v>
      </c>
      <c r="M54" s="19">
        <v>0.36899999999999977</v>
      </c>
      <c r="N54" s="19">
        <v>8.5999999999999854E-2</v>
      </c>
      <c r="O54" s="69">
        <v>0.18599999999999994</v>
      </c>
      <c r="P54" s="69">
        <v>7.3000000000000398E-2</v>
      </c>
      <c r="Q54" s="69">
        <v>0.22199999999999953</v>
      </c>
      <c r="R54" s="69">
        <v>0.16299999999999981</v>
      </c>
      <c r="S54" s="69">
        <v>3.6980000000000004</v>
      </c>
      <c r="T54" s="69">
        <v>8.6340000000000003</v>
      </c>
      <c r="U54" s="69">
        <v>1.0809999999999995</v>
      </c>
      <c r="V54" s="69">
        <v>1.7620000000000005</v>
      </c>
      <c r="W54" s="69">
        <v>7.3999999999998067E-2</v>
      </c>
      <c r="X54" s="19">
        <v>0.99099999999999966</v>
      </c>
      <c r="Y54" s="19">
        <v>3.3179999999999978</v>
      </c>
      <c r="Z54" s="19">
        <v>1.2260000000000026</v>
      </c>
      <c r="AA54" s="70">
        <v>4.7949999999999999</v>
      </c>
      <c r="AB54" s="19">
        <v>11.586999999999998</v>
      </c>
      <c r="AC54" s="19">
        <v>14.638</v>
      </c>
      <c r="AD54" s="19">
        <v>14.981000000000002</v>
      </c>
      <c r="AE54" s="19">
        <v>19.079999999999998</v>
      </c>
      <c r="AF54" s="19">
        <v>20.399999999999999</v>
      </c>
      <c r="AG54" s="19">
        <v>11.923000000000002</v>
      </c>
      <c r="AH54" s="19">
        <v>514.03400000000011</v>
      </c>
      <c r="AI54" s="19">
        <v>301.435</v>
      </c>
      <c r="AJ54" s="19">
        <v>217.35599999999999</v>
      </c>
      <c r="AK54" s="19">
        <v>384.5</v>
      </c>
      <c r="AL54" s="19">
        <v>548.87899999999991</v>
      </c>
      <c r="AM54" s="69">
        <v>275.84339999999997</v>
      </c>
      <c r="AN54" s="69">
        <v>155.4</v>
      </c>
      <c r="AO54" s="69">
        <v>236.8</v>
      </c>
      <c r="AP54" s="69">
        <v>48.9</v>
      </c>
      <c r="AQ54" s="69">
        <v>33.700000000000003</v>
      </c>
      <c r="AR54" s="69">
        <v>294.10000000000002</v>
      </c>
      <c r="AS54" s="69">
        <v>356.4</v>
      </c>
      <c r="AT54" s="69">
        <v>310.7</v>
      </c>
      <c r="AU54" s="69">
        <v>309.5</v>
      </c>
      <c r="AV54" s="69">
        <v>349.4</v>
      </c>
      <c r="AW54" s="19">
        <v>442.4</v>
      </c>
      <c r="AX54" s="69">
        <v>379.3</v>
      </c>
      <c r="AY54" s="245">
        <v>185.5</v>
      </c>
      <c r="AZ54" s="245">
        <v>344.3</v>
      </c>
      <c r="BA54" s="245">
        <v>419.15978099999995</v>
      </c>
      <c r="BB54" s="244">
        <v>303.09100300000006</v>
      </c>
      <c r="BC54" s="19">
        <v>348.96529500000003</v>
      </c>
      <c r="BD54" s="19">
        <v>295.87786399999999</v>
      </c>
      <c r="BE54" s="19">
        <v>292.63315900000003</v>
      </c>
      <c r="BF54" s="19">
        <v>99.575822999999986</v>
      </c>
      <c r="BG54" s="19">
        <v>111.13728200000003</v>
      </c>
      <c r="BH54" s="19">
        <v>191.19179899999997</v>
      </c>
      <c r="BI54" s="19">
        <v>98.444456000000059</v>
      </c>
      <c r="BJ54" s="19">
        <v>76.70084700000001</v>
      </c>
      <c r="BK54" s="19">
        <v>329.484464</v>
      </c>
      <c r="BL54" s="19">
        <v>289.30251699999997</v>
      </c>
      <c r="BM54" s="19">
        <v>472.10462699999999</v>
      </c>
      <c r="BN54" s="19">
        <v>741.17116940200003</v>
      </c>
      <c r="BO54" s="19">
        <v>1530.5996943069999</v>
      </c>
      <c r="BP54" s="19">
        <v>1456.4331306639999</v>
      </c>
      <c r="BQ54" s="19">
        <v>1752.705040719</v>
      </c>
      <c r="CB54" s="54"/>
      <c r="CC54" s="54"/>
      <c r="CD54" s="54"/>
      <c r="CE54" s="54"/>
      <c r="CF54" s="54"/>
      <c r="CG54" s="54"/>
      <c r="CH54" s="54"/>
    </row>
    <row r="55" spans="1:86">
      <c r="A55" s="72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69"/>
      <c r="P55" s="69"/>
      <c r="Q55" s="69"/>
      <c r="R55" s="69"/>
      <c r="S55" s="69"/>
      <c r="T55" s="69"/>
      <c r="U55" s="69"/>
      <c r="V55" s="69"/>
      <c r="W55" s="69"/>
      <c r="X55" s="19"/>
      <c r="Y55" s="19"/>
      <c r="Z55" s="19"/>
      <c r="AA55" s="70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69"/>
      <c r="AN55" s="69"/>
      <c r="AO55" s="69"/>
      <c r="AP55" s="69"/>
      <c r="AQ55" s="69"/>
      <c r="AR55" s="69"/>
      <c r="AS55" s="69"/>
      <c r="AT55" s="69"/>
      <c r="AU55" s="69"/>
      <c r="AV55" s="69"/>
      <c r="AW55" s="19"/>
      <c r="AX55" s="69"/>
      <c r="AY55" s="245"/>
      <c r="AZ55" s="245"/>
      <c r="BA55" s="245"/>
      <c r="BB55" s="244"/>
      <c r="BC55" s="19"/>
      <c r="BD55" s="19"/>
      <c r="BE55" s="19"/>
      <c r="BF55" s="19"/>
      <c r="BG55" s="19"/>
      <c r="BH55" s="19"/>
      <c r="BI55" s="19"/>
      <c r="BJ55" s="19"/>
      <c r="BK55" s="19"/>
      <c r="BL55" s="19"/>
      <c r="BM55" s="19"/>
      <c r="BN55" s="19"/>
      <c r="BO55" s="19"/>
      <c r="BP55" s="19"/>
      <c r="BQ55" s="19"/>
      <c r="CB55" s="54"/>
      <c r="CC55" s="54"/>
      <c r="CD55" s="54"/>
      <c r="CE55" s="54"/>
      <c r="CF55" s="54"/>
      <c r="CG55" s="54"/>
      <c r="CH55" s="54"/>
    </row>
    <row r="56" spans="1:86">
      <c r="A56" s="68" t="s">
        <v>321</v>
      </c>
      <c r="B56" s="73" t="s">
        <v>13</v>
      </c>
      <c r="C56" s="73" t="s">
        <v>13</v>
      </c>
      <c r="D56" s="73" t="s">
        <v>13</v>
      </c>
      <c r="E56" s="73">
        <v>4.1900000000000001E-3</v>
      </c>
      <c r="F56" s="73">
        <v>1.7649999999999999</v>
      </c>
      <c r="G56" s="73">
        <v>0.24</v>
      </c>
      <c r="H56" s="73">
        <v>5.8999999999999997E-2</v>
      </c>
      <c r="I56" s="73">
        <v>6.3E-2</v>
      </c>
      <c r="J56" s="73">
        <v>5.8400000000000001E-2</v>
      </c>
      <c r="K56" s="73">
        <v>4.8000000000000001E-2</v>
      </c>
      <c r="L56" s="73">
        <v>4.3999999999999997E-2</v>
      </c>
      <c r="M56" s="73">
        <v>2.3400000000000001E-2</v>
      </c>
      <c r="N56" s="73">
        <v>0.11</v>
      </c>
      <c r="O56" s="73">
        <v>0.104</v>
      </c>
      <c r="P56" s="73">
        <v>1.496</v>
      </c>
      <c r="Q56" s="73">
        <v>0.01</v>
      </c>
      <c r="R56" s="73">
        <v>3.1E-2</v>
      </c>
      <c r="S56" s="73">
        <v>1.8</v>
      </c>
      <c r="T56" s="73">
        <v>3.17</v>
      </c>
      <c r="U56" s="73">
        <v>3.4489999999999998</v>
      </c>
      <c r="V56" s="73">
        <v>1.2689999999999999</v>
      </c>
      <c r="W56" s="69">
        <v>0.36899999999999999</v>
      </c>
      <c r="X56" s="69">
        <v>1.0980000000000001</v>
      </c>
      <c r="Y56" s="69">
        <v>1.5049999999999999</v>
      </c>
      <c r="Z56" s="69">
        <v>3.1440000000000001</v>
      </c>
      <c r="AA56" s="70">
        <v>1.4</v>
      </c>
      <c r="AB56" s="69">
        <v>2.298</v>
      </c>
      <c r="AC56" s="69">
        <v>1.4530000000000001</v>
      </c>
      <c r="AD56" s="69">
        <v>1.159</v>
      </c>
      <c r="AE56" s="69">
        <v>2.36</v>
      </c>
      <c r="AF56" s="69">
        <v>0.48299999999999998</v>
      </c>
      <c r="AG56" s="69">
        <v>1.4159999999999999</v>
      </c>
      <c r="AH56" s="69">
        <v>1.1479999999999999</v>
      </c>
      <c r="AI56" s="69">
        <v>21.074000000000002</v>
      </c>
      <c r="AJ56" s="69">
        <v>3.7639999999999998</v>
      </c>
      <c r="AK56" s="69">
        <v>1.3620000000000001</v>
      </c>
      <c r="AL56" s="69">
        <v>11.629</v>
      </c>
      <c r="AM56" s="69">
        <v>9.5789000000000009</v>
      </c>
      <c r="AN56" s="69">
        <v>3.3</v>
      </c>
      <c r="AO56" s="69">
        <v>9.6999999999999993</v>
      </c>
      <c r="AP56" s="69">
        <v>10.8</v>
      </c>
      <c r="AQ56" s="69">
        <v>12.8</v>
      </c>
      <c r="AR56" s="69">
        <v>3.8</v>
      </c>
      <c r="AS56" s="69">
        <v>1.5</v>
      </c>
      <c r="AT56" s="69">
        <v>5.0999999999999996</v>
      </c>
      <c r="AU56" s="69">
        <v>4.5999999999999996</v>
      </c>
      <c r="AV56" s="69">
        <v>8.6999999999999993</v>
      </c>
      <c r="AW56" s="69">
        <v>9.6</v>
      </c>
      <c r="AX56" s="69">
        <v>1.7</v>
      </c>
      <c r="AY56" s="69">
        <v>2.2999999999999998</v>
      </c>
      <c r="AZ56" s="69">
        <v>3.1</v>
      </c>
      <c r="BA56" s="244">
        <v>1.6908030000000001</v>
      </c>
      <c r="BB56" s="244">
        <v>2.7131009999999995</v>
      </c>
      <c r="BC56" s="19">
        <v>3.0917260000000004</v>
      </c>
      <c r="BD56" s="19">
        <v>27.924579999999999</v>
      </c>
      <c r="BE56" s="19">
        <v>11.664808000000001</v>
      </c>
      <c r="BF56" s="19">
        <v>7.9218899999999994</v>
      </c>
      <c r="BG56" s="19">
        <v>6.0301459999999993</v>
      </c>
      <c r="BH56" s="19">
        <v>21.181082000000007</v>
      </c>
      <c r="BI56" s="19">
        <v>18.411815000000001</v>
      </c>
      <c r="BJ56" s="19">
        <v>16.077431000000001</v>
      </c>
      <c r="BK56" s="19">
        <v>50.076711000000003</v>
      </c>
      <c r="BL56" s="19">
        <v>64.836997000000011</v>
      </c>
      <c r="BM56" s="19">
        <v>110.39782199999999</v>
      </c>
      <c r="BN56" s="19">
        <v>99.317405015999995</v>
      </c>
      <c r="BO56" s="19">
        <v>122.32950751200001</v>
      </c>
      <c r="BP56" s="19">
        <v>104.87615341999999</v>
      </c>
      <c r="BQ56" s="19">
        <v>65.089862280000006</v>
      </c>
      <c r="CB56" s="54"/>
      <c r="CC56" s="54"/>
      <c r="CD56" s="54"/>
      <c r="CE56" s="54"/>
      <c r="CF56" s="54"/>
      <c r="CG56" s="54"/>
      <c r="CH56" s="54"/>
    </row>
    <row r="57" spans="1:86">
      <c r="A57" s="72" t="s">
        <v>322</v>
      </c>
      <c r="B57" s="69" t="s">
        <v>13</v>
      </c>
      <c r="C57" s="69" t="s">
        <v>13</v>
      </c>
      <c r="D57" s="69" t="s">
        <v>13</v>
      </c>
      <c r="E57" s="69">
        <v>1.1830000000000001</v>
      </c>
      <c r="F57" s="69">
        <v>2.0600000000000002E-3</v>
      </c>
      <c r="G57" s="69">
        <v>1.77E-2</v>
      </c>
      <c r="H57" s="69">
        <v>8.8599999999999998E-3</v>
      </c>
      <c r="I57" s="69">
        <v>1.52E-2</v>
      </c>
      <c r="J57" s="69">
        <v>5.3999999999999999E-2</v>
      </c>
      <c r="K57" s="69">
        <v>5.8000000000000003E-2</v>
      </c>
      <c r="L57" s="69">
        <v>6.5000000000000002E-2</v>
      </c>
      <c r="M57" s="69">
        <v>8.0600000000000005E-2</v>
      </c>
      <c r="N57" s="69">
        <v>3.5000000000000003E-2</v>
      </c>
      <c r="O57" s="69">
        <v>5.3999999999999999E-2</v>
      </c>
      <c r="P57" s="69">
        <v>8.2600000000000007E-2</v>
      </c>
      <c r="Q57" s="69">
        <v>8.5000000000000006E-2</v>
      </c>
      <c r="R57" s="69">
        <v>0.159</v>
      </c>
      <c r="S57" s="69">
        <v>0.58299999999999996</v>
      </c>
      <c r="T57" s="69">
        <v>0.63900000000000001</v>
      </c>
      <c r="U57" s="69">
        <v>0.21299999999999999</v>
      </c>
      <c r="V57" s="69">
        <v>0.59899999999999998</v>
      </c>
      <c r="W57" s="69">
        <v>1.0649999999999999</v>
      </c>
      <c r="X57" s="19">
        <v>0.97399999999999998</v>
      </c>
      <c r="Y57" s="19">
        <v>2.512</v>
      </c>
      <c r="Z57" s="19">
        <v>1.2949999999999999</v>
      </c>
      <c r="AA57" s="70">
        <v>7.7</v>
      </c>
      <c r="AB57" s="19">
        <v>4.2809999999999997</v>
      </c>
      <c r="AC57" s="19">
        <v>4.7279999999999998</v>
      </c>
      <c r="AD57" s="19">
        <v>4.6459999999999999</v>
      </c>
      <c r="AE57" s="19">
        <v>6.0919999999999996</v>
      </c>
      <c r="AF57" s="19">
        <v>6.4630000000000001</v>
      </c>
      <c r="AG57" s="19">
        <v>6.2460000000000004</v>
      </c>
      <c r="AH57" s="19">
        <v>6.6130000000000004</v>
      </c>
      <c r="AI57" s="19">
        <v>7.5049999999999999</v>
      </c>
      <c r="AJ57" s="19">
        <v>9.0850000000000009</v>
      </c>
      <c r="AK57" s="19">
        <v>5.7220000000000004</v>
      </c>
      <c r="AL57" s="19">
        <v>5.92</v>
      </c>
      <c r="AM57" s="69">
        <v>8.3460000000000001</v>
      </c>
      <c r="AN57" s="69">
        <v>10.4</v>
      </c>
      <c r="AO57" s="69">
        <v>10.199999999999999</v>
      </c>
      <c r="AP57" s="69">
        <v>10.4</v>
      </c>
      <c r="AQ57" s="69">
        <v>14</v>
      </c>
      <c r="AR57" s="69">
        <v>15.9</v>
      </c>
      <c r="AS57" s="69">
        <v>14.5</v>
      </c>
      <c r="AT57" s="69">
        <v>10</v>
      </c>
      <c r="AU57" s="69">
        <v>9.6999999999999993</v>
      </c>
      <c r="AV57" s="69">
        <v>19.7</v>
      </c>
      <c r="AW57" s="19">
        <v>20.9</v>
      </c>
      <c r="AX57" s="69">
        <v>25.1</v>
      </c>
      <c r="AY57" s="245">
        <v>21.8</v>
      </c>
      <c r="AZ57" s="245">
        <v>29.4</v>
      </c>
      <c r="BA57" s="245">
        <v>20.997108000000001</v>
      </c>
      <c r="BB57" s="245">
        <v>21.227477</v>
      </c>
      <c r="BC57" s="19">
        <v>17.198231</v>
      </c>
      <c r="BD57" s="19">
        <v>13.495650999999999</v>
      </c>
      <c r="BE57" s="19">
        <v>16.232281000000004</v>
      </c>
      <c r="BF57" s="19">
        <v>15.513017999999999</v>
      </c>
      <c r="BG57" s="19">
        <v>30.770044000000002</v>
      </c>
      <c r="BH57" s="19">
        <v>20.410519000000001</v>
      </c>
      <c r="BI57" s="19">
        <v>18.765772000000002</v>
      </c>
      <c r="BJ57" s="19">
        <v>21.735865</v>
      </c>
      <c r="BK57" s="19">
        <v>30.162831000000001</v>
      </c>
      <c r="BL57" s="19">
        <v>30.495090000000005</v>
      </c>
      <c r="BM57" s="19">
        <v>30.642790000000002</v>
      </c>
      <c r="BN57" s="19">
        <v>38.781087880000001</v>
      </c>
      <c r="BO57" s="19">
        <v>44.977031431999997</v>
      </c>
      <c r="BP57" s="19">
        <v>50.888134440000002</v>
      </c>
      <c r="BQ57" s="19">
        <v>52.260106919999998</v>
      </c>
      <c r="CB57" s="54"/>
      <c r="CC57" s="54"/>
      <c r="CD57" s="54"/>
      <c r="CE57" s="54"/>
      <c r="CF57" s="54"/>
      <c r="CG57" s="54"/>
      <c r="CH57" s="54"/>
    </row>
    <row r="58" spans="1:86">
      <c r="A58" s="68" t="s">
        <v>323</v>
      </c>
      <c r="B58" s="69" t="s">
        <v>13</v>
      </c>
      <c r="C58" s="69" t="s">
        <v>13</v>
      </c>
      <c r="D58" s="69" t="s">
        <v>13</v>
      </c>
      <c r="E58" s="69">
        <v>2.809999999994206E-3</v>
      </c>
      <c r="F58" s="69">
        <v>2.9399999999961185E-3</v>
      </c>
      <c r="G58" s="69">
        <v>3.2999999999933569E-3</v>
      </c>
      <c r="H58" s="69">
        <v>3.1400000000011766E-3</v>
      </c>
      <c r="I58" s="69">
        <v>1.8000000000077312E-3</v>
      </c>
      <c r="J58" s="69">
        <v>2.6000000000035439E-3</v>
      </c>
      <c r="K58" s="69">
        <v>2.9999999999995378E-3</v>
      </c>
      <c r="L58" s="69">
        <v>3.000000000011202E-3</v>
      </c>
      <c r="M58" s="69">
        <v>2.1440000000000001</v>
      </c>
      <c r="N58" s="69">
        <v>4.0000000000100094E-3</v>
      </c>
      <c r="O58" s="69">
        <v>3.0000000000022578E-3</v>
      </c>
      <c r="P58" s="69">
        <v>3.3999999999971831E-3</v>
      </c>
      <c r="Q58" s="69">
        <v>3.7</v>
      </c>
      <c r="R58" s="69">
        <v>4.1999999999993542E-2</v>
      </c>
      <c r="S58" s="69">
        <v>1.0609999999999919</v>
      </c>
      <c r="T58" s="69">
        <v>4.7410000000000005</v>
      </c>
      <c r="U58" s="69">
        <v>24.276999999999994</v>
      </c>
      <c r="V58" s="69">
        <v>14.202999999999991</v>
      </c>
      <c r="W58" s="69" t="s">
        <v>13</v>
      </c>
      <c r="X58" s="69" t="s">
        <v>13</v>
      </c>
      <c r="Y58" s="69">
        <v>8.9999999999999993E-3</v>
      </c>
      <c r="Z58" s="69">
        <v>0</v>
      </c>
      <c r="AA58" s="69" t="s">
        <v>13</v>
      </c>
      <c r="AB58" s="69" t="s">
        <v>13</v>
      </c>
      <c r="AC58" s="69" t="s">
        <v>13</v>
      </c>
      <c r="AD58" s="69">
        <v>0</v>
      </c>
      <c r="AE58" s="69">
        <v>1.647</v>
      </c>
      <c r="AF58" s="69">
        <v>2.524</v>
      </c>
      <c r="AG58" s="69">
        <v>4.5880000000000001</v>
      </c>
      <c r="AH58" s="69">
        <v>0.20100000000000001</v>
      </c>
      <c r="AI58" s="69">
        <v>2.0019999999999998</v>
      </c>
      <c r="AJ58" s="69">
        <v>0</v>
      </c>
      <c r="AK58" s="69">
        <v>2.5999999999999999E-2</v>
      </c>
      <c r="AL58" s="69">
        <v>6.9000000000000006E-2</v>
      </c>
      <c r="AM58" s="69">
        <v>8.3400000000000002E-2</v>
      </c>
      <c r="AN58" s="69">
        <v>1.3</v>
      </c>
      <c r="AO58" s="69">
        <v>0.4</v>
      </c>
      <c r="AP58" s="69">
        <v>2.8</v>
      </c>
      <c r="AQ58" s="69">
        <v>0</v>
      </c>
      <c r="AR58" s="69">
        <v>0</v>
      </c>
      <c r="AS58" s="69">
        <v>0.4</v>
      </c>
      <c r="AT58" s="69">
        <v>2.9</v>
      </c>
      <c r="AU58" s="69">
        <v>6.1</v>
      </c>
      <c r="AV58" s="69">
        <v>0.8</v>
      </c>
      <c r="AW58" s="69">
        <v>3.5</v>
      </c>
      <c r="AX58" s="69">
        <v>5.9</v>
      </c>
      <c r="AY58" s="245">
        <v>24.5</v>
      </c>
      <c r="AZ58" s="245">
        <v>55.3</v>
      </c>
      <c r="BA58" s="245">
        <v>97.011529999999993</v>
      </c>
      <c r="BB58" s="245">
        <v>42.997117000000003</v>
      </c>
      <c r="BC58" s="19">
        <v>18.028963000000001</v>
      </c>
      <c r="BD58" s="19">
        <v>18.264308</v>
      </c>
      <c r="BE58" s="19">
        <v>1.2967759999999999</v>
      </c>
      <c r="BF58" s="19">
        <v>2.7</v>
      </c>
      <c r="BG58" s="19">
        <v>2.6747960000000002</v>
      </c>
      <c r="BH58" s="19">
        <v>12.7165</v>
      </c>
      <c r="BI58" s="19">
        <v>7.0032059999999996</v>
      </c>
      <c r="BJ58" s="19">
        <v>3.8155169999999998</v>
      </c>
      <c r="BK58" s="19">
        <v>2.8686469999999997</v>
      </c>
      <c r="BL58" s="19">
        <v>2.8562859999999999</v>
      </c>
      <c r="BM58" s="19">
        <v>17.273129999997764</v>
      </c>
      <c r="BN58" s="19">
        <v>13.448697109999999</v>
      </c>
      <c r="BO58" s="19">
        <v>19.375694070000002</v>
      </c>
      <c r="BP58" s="19">
        <v>19.64485539</v>
      </c>
      <c r="BQ58" s="19">
        <v>20.764803029999999</v>
      </c>
      <c r="CB58" s="54"/>
      <c r="CC58" s="54"/>
      <c r="CD58" s="54"/>
      <c r="CE58" s="54"/>
      <c r="CF58" s="54"/>
      <c r="CG58" s="54"/>
      <c r="CH58" s="54"/>
    </row>
    <row r="59" spans="1:86">
      <c r="A59" s="68" t="s">
        <v>472</v>
      </c>
      <c r="B59" s="69" t="s">
        <v>13</v>
      </c>
      <c r="C59" s="69" t="s">
        <v>13</v>
      </c>
      <c r="D59" s="69" t="s">
        <v>13</v>
      </c>
      <c r="E59" s="69" t="s">
        <v>13</v>
      </c>
      <c r="F59" s="69" t="s">
        <v>13</v>
      </c>
      <c r="G59" s="69" t="s">
        <v>13</v>
      </c>
      <c r="H59" s="69" t="s">
        <v>13</v>
      </c>
      <c r="I59" s="69" t="s">
        <v>13</v>
      </c>
      <c r="J59" s="69" t="s">
        <v>13</v>
      </c>
      <c r="K59" s="69" t="s">
        <v>13</v>
      </c>
      <c r="L59" s="69" t="s">
        <v>13</v>
      </c>
      <c r="M59" s="69" t="s">
        <v>13</v>
      </c>
      <c r="N59" s="69" t="s">
        <v>13</v>
      </c>
      <c r="O59" s="69" t="s">
        <v>13</v>
      </c>
      <c r="P59" s="69" t="s">
        <v>13</v>
      </c>
      <c r="Q59" s="69" t="s">
        <v>13</v>
      </c>
      <c r="R59" s="69" t="s">
        <v>13</v>
      </c>
      <c r="S59" s="69" t="s">
        <v>13</v>
      </c>
      <c r="T59" s="69" t="s">
        <v>13</v>
      </c>
      <c r="U59" s="69" t="s">
        <v>13</v>
      </c>
      <c r="V59" s="69" t="s">
        <v>13</v>
      </c>
      <c r="W59" s="69" t="s">
        <v>13</v>
      </c>
      <c r="X59" s="69" t="s">
        <v>13</v>
      </c>
      <c r="Y59" s="69" t="s">
        <v>13</v>
      </c>
      <c r="Z59" s="69" t="s">
        <v>13</v>
      </c>
      <c r="AA59" s="70" t="s">
        <v>13</v>
      </c>
      <c r="AB59" s="69" t="s">
        <v>13</v>
      </c>
      <c r="AC59" s="69" t="s">
        <v>13</v>
      </c>
      <c r="AD59" s="69" t="s">
        <v>13</v>
      </c>
      <c r="AE59" s="69" t="s">
        <v>13</v>
      </c>
      <c r="AF59" s="69" t="s">
        <v>13</v>
      </c>
      <c r="AG59" s="69" t="s">
        <v>13</v>
      </c>
      <c r="AH59" s="69" t="s">
        <v>13</v>
      </c>
      <c r="AI59" s="69" t="s">
        <v>13</v>
      </c>
      <c r="AJ59" s="69" t="s">
        <v>13</v>
      </c>
      <c r="AK59" s="69" t="s">
        <v>13</v>
      </c>
      <c r="AL59" s="69" t="s">
        <v>13</v>
      </c>
      <c r="AM59" s="69" t="s">
        <v>13</v>
      </c>
      <c r="AN59" s="69" t="s">
        <v>13</v>
      </c>
      <c r="AO59" s="69" t="s">
        <v>13</v>
      </c>
      <c r="AP59" s="69" t="s">
        <v>13</v>
      </c>
      <c r="AQ59" s="69" t="s">
        <v>13</v>
      </c>
      <c r="AR59" s="69" t="s">
        <v>13</v>
      </c>
      <c r="AS59" s="69" t="s">
        <v>13</v>
      </c>
      <c r="AT59" s="69" t="s">
        <v>13</v>
      </c>
      <c r="AU59" s="69" t="s">
        <v>13</v>
      </c>
      <c r="AV59" s="69" t="s">
        <v>13</v>
      </c>
      <c r="AW59" s="69" t="s">
        <v>13</v>
      </c>
      <c r="AX59" s="69" t="s">
        <v>13</v>
      </c>
      <c r="AY59" s="69" t="s">
        <v>13</v>
      </c>
      <c r="AZ59" s="69" t="s">
        <v>13</v>
      </c>
      <c r="BA59" s="244" t="s">
        <v>13</v>
      </c>
      <c r="BB59" s="244" t="s">
        <v>13</v>
      </c>
      <c r="BC59" s="19" t="s">
        <v>13</v>
      </c>
      <c r="BD59" s="19" t="s">
        <v>13</v>
      </c>
      <c r="BE59" s="19" t="s">
        <v>13</v>
      </c>
      <c r="BF59" s="19" t="s">
        <v>13</v>
      </c>
      <c r="BG59" s="19" t="s">
        <v>13</v>
      </c>
      <c r="BH59" s="19" t="s">
        <v>13</v>
      </c>
      <c r="BI59" s="19" t="s">
        <v>13</v>
      </c>
      <c r="BJ59" s="19" t="s">
        <v>13</v>
      </c>
      <c r="BK59" s="19" t="s">
        <v>13</v>
      </c>
      <c r="BL59" s="19" t="s">
        <v>13</v>
      </c>
      <c r="BM59" s="19" t="s">
        <v>13</v>
      </c>
      <c r="BN59" s="19" t="s">
        <v>13</v>
      </c>
      <c r="BO59" s="19" t="s">
        <v>13</v>
      </c>
      <c r="BP59" s="19" t="s">
        <v>13</v>
      </c>
      <c r="BQ59" s="19" t="s">
        <v>13</v>
      </c>
      <c r="CB59" s="54"/>
      <c r="CC59" s="54"/>
      <c r="CD59" s="54"/>
      <c r="CE59" s="54"/>
      <c r="CF59" s="54"/>
      <c r="CG59" s="54"/>
      <c r="CH59" s="54"/>
    </row>
    <row r="60" spans="1:86" s="223" customFormat="1">
      <c r="A60" s="236"/>
      <c r="B60" s="237"/>
      <c r="C60" s="237"/>
      <c r="D60" s="237"/>
      <c r="E60" s="237"/>
      <c r="F60" s="237"/>
      <c r="G60" s="237"/>
      <c r="H60" s="237"/>
      <c r="I60" s="237"/>
      <c r="J60" s="237"/>
      <c r="K60" s="237"/>
      <c r="L60" s="237"/>
      <c r="M60" s="237"/>
      <c r="N60" s="237"/>
      <c r="O60" s="237"/>
      <c r="P60" s="237"/>
      <c r="Q60" s="237"/>
      <c r="R60" s="237"/>
      <c r="S60" s="237"/>
      <c r="T60" s="237"/>
      <c r="U60" s="237"/>
      <c r="V60" s="237"/>
      <c r="W60" s="237"/>
      <c r="X60" s="237"/>
      <c r="Y60" s="237"/>
      <c r="Z60" s="237"/>
      <c r="AA60" s="238"/>
      <c r="AB60" s="237"/>
      <c r="AC60" s="237"/>
      <c r="AD60" s="237"/>
      <c r="AE60" s="237"/>
      <c r="AF60" s="237"/>
      <c r="AG60" s="237"/>
      <c r="AH60" s="239"/>
      <c r="AI60" s="239"/>
      <c r="AJ60" s="239"/>
      <c r="AK60" s="239"/>
      <c r="AL60" s="239"/>
      <c r="AM60" s="240"/>
      <c r="AN60" s="240"/>
      <c r="AO60" s="240"/>
      <c r="AP60" s="240"/>
      <c r="AQ60" s="240"/>
      <c r="AR60" s="240"/>
      <c r="AS60" s="240"/>
      <c r="AT60" s="240"/>
      <c r="AU60" s="240"/>
      <c r="AV60" s="240"/>
      <c r="AW60" s="239"/>
      <c r="AX60" s="240"/>
      <c r="AY60" s="239"/>
      <c r="AZ60" s="239"/>
      <c r="BA60" s="241"/>
      <c r="BB60" s="241"/>
      <c r="BC60" s="242"/>
      <c r="BD60" s="242"/>
      <c r="BE60" s="242"/>
      <c r="BF60" s="242"/>
      <c r="BG60" s="242"/>
      <c r="BH60" s="242"/>
      <c r="BI60" s="242"/>
      <c r="BJ60" s="242"/>
      <c r="BK60" s="242"/>
      <c r="BL60" s="242"/>
      <c r="BM60" s="243"/>
      <c r="BN60" s="243"/>
      <c r="BO60" s="243"/>
      <c r="BP60" s="243"/>
      <c r="BQ60" s="243"/>
    </row>
    <row r="61" spans="1:86">
      <c r="AN61" s="63"/>
      <c r="AO61" s="63"/>
      <c r="AP61" s="63"/>
      <c r="AQ61" s="63"/>
      <c r="AR61" s="63"/>
      <c r="AS61" s="63"/>
      <c r="AT61" s="63"/>
      <c r="AU61" s="63"/>
      <c r="AV61" s="63"/>
      <c r="CB61" s="54"/>
      <c r="CC61" s="54"/>
      <c r="CD61" s="54"/>
      <c r="CE61" s="54"/>
      <c r="CF61" s="54"/>
      <c r="CG61" s="54"/>
      <c r="CH61" s="54"/>
    </row>
    <row r="62" spans="1:86">
      <c r="AN62" s="63"/>
      <c r="AO62" s="63"/>
      <c r="AP62" s="63"/>
      <c r="AQ62" s="63"/>
      <c r="AR62" s="63"/>
      <c r="AS62" s="63"/>
      <c r="AT62" s="63"/>
      <c r="AU62" s="63"/>
      <c r="AV62" s="63"/>
      <c r="BJ62" s="60"/>
      <c r="BK62" s="60"/>
      <c r="BL62" s="60"/>
      <c r="BM62" s="60"/>
      <c r="CB62" s="54"/>
      <c r="CC62" s="54"/>
      <c r="CD62" s="54"/>
      <c r="CE62" s="54"/>
      <c r="CF62" s="54"/>
      <c r="CG62" s="54"/>
      <c r="CH62" s="54"/>
    </row>
    <row r="63" spans="1:86">
      <c r="A63" s="197" t="s">
        <v>234</v>
      </c>
      <c r="AN63" s="63"/>
      <c r="AO63" s="63"/>
      <c r="AP63" s="63"/>
      <c r="AQ63" s="63"/>
      <c r="AR63" s="63"/>
      <c r="AS63" s="63"/>
      <c r="AT63" s="63"/>
      <c r="AU63" s="63"/>
      <c r="AV63" s="63"/>
      <c r="BJ63" s="60"/>
      <c r="BK63" s="60"/>
      <c r="BL63" s="60"/>
      <c r="BM63" s="60"/>
      <c r="CB63" s="54"/>
      <c r="CC63" s="54"/>
      <c r="CD63" s="54"/>
      <c r="CE63" s="54"/>
      <c r="CF63" s="54"/>
      <c r="CG63" s="54"/>
      <c r="CH63" s="54"/>
    </row>
    <row r="64" spans="1:86">
      <c r="A64" s="9" t="s">
        <v>222</v>
      </c>
      <c r="AN64" s="63"/>
      <c r="AO64" s="63"/>
      <c r="AP64" s="63"/>
      <c r="AQ64" s="63"/>
      <c r="AR64" s="63"/>
      <c r="AS64" s="63"/>
      <c r="AT64" s="63"/>
      <c r="AU64" s="63"/>
      <c r="AV64" s="63"/>
      <c r="BJ64" s="60"/>
      <c r="BK64" s="60"/>
      <c r="BL64" s="60"/>
      <c r="CB64" s="54"/>
      <c r="CC64" s="54"/>
      <c r="CD64" s="54"/>
      <c r="CE64" s="54"/>
      <c r="CF64" s="54"/>
      <c r="CG64" s="54"/>
      <c r="CH64" s="54"/>
    </row>
    <row r="65" spans="40:86">
      <c r="AN65" s="63"/>
      <c r="AO65" s="63"/>
      <c r="AP65" s="63"/>
      <c r="AQ65" s="63"/>
      <c r="AR65" s="63"/>
      <c r="AS65" s="63"/>
      <c r="AT65" s="63"/>
      <c r="AU65" s="63"/>
      <c r="AV65" s="63"/>
      <c r="CB65" s="54"/>
      <c r="CC65" s="54"/>
      <c r="CD65" s="54"/>
      <c r="CE65" s="54"/>
      <c r="CF65" s="54"/>
      <c r="CG65" s="54"/>
      <c r="CH65" s="54"/>
    </row>
    <row r="66" spans="40:86">
      <c r="AN66" s="63"/>
      <c r="AO66" s="63"/>
      <c r="AP66" s="63"/>
      <c r="AQ66" s="63"/>
      <c r="AR66" s="63"/>
      <c r="AS66" s="63"/>
      <c r="AT66" s="63"/>
      <c r="AU66" s="63"/>
      <c r="AV66" s="63"/>
      <c r="CB66" s="54"/>
      <c r="CC66" s="54"/>
      <c r="CD66" s="54"/>
      <c r="CE66" s="54"/>
      <c r="CF66" s="54"/>
      <c r="CG66" s="54"/>
      <c r="CH66" s="54"/>
    </row>
  </sheetData>
  <mergeCells count="2">
    <mergeCell ref="A1:BL1"/>
    <mergeCell ref="A2:BL2"/>
  </mergeCells>
  <hyperlinks>
    <hyperlink ref="A64" location="'indice cap.2'!A1" display="regresar al índice"/>
    <hyperlink ref="A63" location="'indice cap.2'!A1" display="Notas"/>
  </hyperlinks>
  <pageMargins left="0.70866141732283472" right="0.70866141732283472" top="0.74803149606299213" bottom="0.74803149606299213" header="0.31496062992125984" footer="0.31496062992125984"/>
  <pageSetup paperSize="9" scale="95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Q37"/>
  <sheetViews>
    <sheetView showGridLines="0" workbookViewId="0">
      <selection activeCell="Q15" sqref="Q15"/>
    </sheetView>
  </sheetViews>
  <sheetFormatPr baseColWidth="10" defaultRowHeight="12.75"/>
  <cols>
    <col min="1" max="1" width="6.5703125" style="80" customWidth="1"/>
    <col min="2" max="15" width="15.7109375" style="196" customWidth="1"/>
    <col min="16" max="16" width="6.42578125" style="196" customWidth="1"/>
    <col min="17" max="16384" width="11.42578125" style="196"/>
  </cols>
  <sheetData>
    <row r="1" spans="1:17">
      <c r="A1" s="335" t="s">
        <v>81</v>
      </c>
      <c r="B1" s="336"/>
      <c r="C1" s="336"/>
      <c r="D1" s="336"/>
      <c r="E1" s="336"/>
      <c r="F1" s="336"/>
      <c r="G1" s="336"/>
      <c r="H1" s="336"/>
      <c r="I1" s="336"/>
      <c r="J1" s="336"/>
      <c r="K1" s="336"/>
      <c r="L1" s="336"/>
      <c r="M1" s="336"/>
      <c r="N1" s="336"/>
      <c r="O1" s="336"/>
      <c r="P1" s="77"/>
      <c r="Q1" s="77"/>
    </row>
    <row r="2" spans="1:17">
      <c r="A2" s="335" t="s">
        <v>82</v>
      </c>
      <c r="B2" s="336"/>
      <c r="C2" s="336"/>
      <c r="D2" s="336"/>
      <c r="E2" s="336"/>
      <c r="F2" s="336"/>
      <c r="G2" s="336"/>
      <c r="H2" s="336"/>
      <c r="I2" s="336"/>
      <c r="J2" s="336"/>
      <c r="K2" s="336"/>
      <c r="L2" s="336"/>
      <c r="M2" s="336"/>
      <c r="N2" s="336"/>
      <c r="O2" s="336"/>
      <c r="P2" s="77"/>
      <c r="Q2" s="77"/>
    </row>
    <row r="3" spans="1:17">
      <c r="A3" s="78"/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</row>
    <row r="4" spans="1:17" s="82" customFormat="1" ht="51">
      <c r="A4" s="83" t="s">
        <v>55</v>
      </c>
      <c r="B4" s="84" t="s">
        <v>83</v>
      </c>
      <c r="C4" s="84" t="s">
        <v>242</v>
      </c>
      <c r="D4" s="84" t="s">
        <v>243</v>
      </c>
      <c r="E4" s="84" t="s">
        <v>244</v>
      </c>
      <c r="F4" s="84" t="s">
        <v>245</v>
      </c>
      <c r="G4" s="84" t="s">
        <v>246</v>
      </c>
      <c r="H4" s="84" t="s">
        <v>247</v>
      </c>
      <c r="I4" s="84" t="s">
        <v>248</v>
      </c>
      <c r="J4" s="84" t="s">
        <v>249</v>
      </c>
      <c r="K4" s="84" t="s">
        <v>250</v>
      </c>
      <c r="L4" s="84" t="s">
        <v>251</v>
      </c>
      <c r="M4" s="84" t="s">
        <v>252</v>
      </c>
      <c r="N4" s="84" t="s">
        <v>253</v>
      </c>
      <c r="O4" s="85" t="s">
        <v>254</v>
      </c>
    </row>
    <row r="5" spans="1:17">
      <c r="A5" s="78"/>
      <c r="B5" s="77"/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  <c r="N5" s="77"/>
      <c r="O5" s="77"/>
    </row>
    <row r="6" spans="1:17">
      <c r="A6" s="86">
        <v>1943</v>
      </c>
      <c r="B6" s="87">
        <v>15461</v>
      </c>
      <c r="C6" s="87">
        <v>1723</v>
      </c>
      <c r="D6" s="87">
        <v>993</v>
      </c>
      <c r="E6" s="87">
        <v>1869</v>
      </c>
      <c r="F6" s="87">
        <v>577</v>
      </c>
      <c r="G6" s="87">
        <v>919</v>
      </c>
      <c r="H6" s="87">
        <v>126</v>
      </c>
      <c r="I6" s="87">
        <v>4499</v>
      </c>
      <c r="J6" s="87">
        <v>485</v>
      </c>
      <c r="K6" s="87">
        <v>347</v>
      </c>
      <c r="L6" s="87">
        <v>500</v>
      </c>
      <c r="M6" s="87">
        <v>1033</v>
      </c>
      <c r="N6" s="87">
        <v>1614</v>
      </c>
      <c r="O6" s="87">
        <v>776</v>
      </c>
      <c r="Q6" s="80">
        <v>1</v>
      </c>
    </row>
    <row r="7" spans="1:17">
      <c r="A7" s="86">
        <v>1944</v>
      </c>
      <c r="B7" s="87">
        <v>23037</v>
      </c>
      <c r="C7" s="87">
        <v>4038</v>
      </c>
      <c r="D7" s="87">
        <v>1192</v>
      </c>
      <c r="E7" s="87">
        <v>2388</v>
      </c>
      <c r="F7" s="87">
        <v>327</v>
      </c>
      <c r="G7" s="87">
        <v>681</v>
      </c>
      <c r="H7" s="87">
        <v>149</v>
      </c>
      <c r="I7" s="87">
        <v>4755</v>
      </c>
      <c r="J7" s="87">
        <v>521</v>
      </c>
      <c r="K7" s="87">
        <v>482</v>
      </c>
      <c r="L7" s="87">
        <v>648</v>
      </c>
      <c r="M7" s="87">
        <v>1959</v>
      </c>
      <c r="N7" s="87">
        <v>3307</v>
      </c>
      <c r="O7" s="87">
        <v>2590</v>
      </c>
      <c r="Q7" s="80">
        <v>2</v>
      </c>
    </row>
    <row r="8" spans="1:17">
      <c r="A8" s="86">
        <v>1945</v>
      </c>
      <c r="B8" s="87">
        <v>23761</v>
      </c>
      <c r="C8" s="87">
        <v>4512</v>
      </c>
      <c r="D8" s="87">
        <v>1833</v>
      </c>
      <c r="E8" s="87">
        <v>2155</v>
      </c>
      <c r="F8" s="87">
        <v>442</v>
      </c>
      <c r="G8" s="87">
        <v>567</v>
      </c>
      <c r="H8" s="87">
        <v>149</v>
      </c>
      <c r="I8" s="87">
        <v>4600</v>
      </c>
      <c r="J8" s="87">
        <v>627</v>
      </c>
      <c r="K8" s="87">
        <v>495</v>
      </c>
      <c r="L8" s="87">
        <v>710</v>
      </c>
      <c r="M8" s="87">
        <v>2359</v>
      </c>
      <c r="N8" s="87">
        <v>4152</v>
      </c>
      <c r="O8" s="87">
        <v>1160</v>
      </c>
      <c r="Q8" s="80">
        <v>3</v>
      </c>
    </row>
    <row r="9" spans="1:17">
      <c r="A9" s="86">
        <v>1946</v>
      </c>
      <c r="B9" s="87">
        <v>30685</v>
      </c>
      <c r="C9" s="87">
        <v>4108</v>
      </c>
      <c r="D9" s="87">
        <v>2003</v>
      </c>
      <c r="E9" s="87">
        <v>2639</v>
      </c>
      <c r="F9" s="87">
        <v>722</v>
      </c>
      <c r="G9" s="87">
        <v>980</v>
      </c>
      <c r="H9" s="87">
        <v>127</v>
      </c>
      <c r="I9" s="87">
        <v>4843</v>
      </c>
      <c r="J9" s="87">
        <v>750</v>
      </c>
      <c r="K9" s="87">
        <v>692</v>
      </c>
      <c r="L9" s="87">
        <v>738</v>
      </c>
      <c r="M9" s="87">
        <v>3114</v>
      </c>
      <c r="N9" s="87">
        <v>8192</v>
      </c>
      <c r="O9" s="87">
        <v>1777</v>
      </c>
      <c r="Q9" s="80">
        <v>4</v>
      </c>
    </row>
    <row r="10" spans="1:17">
      <c r="A10" s="86">
        <v>1947</v>
      </c>
      <c r="B10" s="87">
        <v>44775</v>
      </c>
      <c r="C10" s="87">
        <v>6288</v>
      </c>
      <c r="D10" s="87">
        <v>1513</v>
      </c>
      <c r="E10" s="87">
        <v>3632</v>
      </c>
      <c r="F10" s="87">
        <v>1151</v>
      </c>
      <c r="G10" s="87">
        <v>1480</v>
      </c>
      <c r="H10" s="87">
        <v>128</v>
      </c>
      <c r="I10" s="87">
        <v>7244</v>
      </c>
      <c r="J10" s="87">
        <v>654</v>
      </c>
      <c r="K10" s="87">
        <v>881</v>
      </c>
      <c r="L10" s="87">
        <v>1213</v>
      </c>
      <c r="M10" s="87">
        <v>5389</v>
      </c>
      <c r="N10" s="87">
        <v>12378</v>
      </c>
      <c r="O10" s="87">
        <v>2824</v>
      </c>
      <c r="Q10" s="80">
        <v>5</v>
      </c>
    </row>
    <row r="11" spans="1:17">
      <c r="A11" s="86">
        <v>1948</v>
      </c>
      <c r="B11" s="87">
        <v>42084</v>
      </c>
      <c r="C11" s="87">
        <v>5553.7</v>
      </c>
      <c r="D11" s="87">
        <v>1109.7</v>
      </c>
      <c r="E11" s="87">
        <v>4046.7</v>
      </c>
      <c r="F11" s="87">
        <v>804.7</v>
      </c>
      <c r="G11" s="87">
        <v>1612.7</v>
      </c>
      <c r="H11" s="87">
        <v>71</v>
      </c>
      <c r="I11" s="87">
        <v>6503.7</v>
      </c>
      <c r="J11" s="87">
        <v>782</v>
      </c>
      <c r="K11" s="87">
        <v>977.7</v>
      </c>
      <c r="L11" s="87">
        <v>898.7</v>
      </c>
      <c r="M11" s="87">
        <v>5975.7</v>
      </c>
      <c r="N11" s="87">
        <v>12427</v>
      </c>
      <c r="O11" s="87">
        <v>1320.7</v>
      </c>
      <c r="Q11" s="80">
        <v>6</v>
      </c>
    </row>
    <row r="12" spans="1:17">
      <c r="A12" s="86">
        <v>1949</v>
      </c>
      <c r="B12" s="87">
        <v>40896</v>
      </c>
      <c r="C12" s="87">
        <v>5824.1</v>
      </c>
      <c r="D12" s="87">
        <v>646.1</v>
      </c>
      <c r="E12" s="87">
        <v>4242.1000000000004</v>
      </c>
      <c r="F12" s="87">
        <v>1210.0999999999999</v>
      </c>
      <c r="G12" s="87">
        <v>1363.1</v>
      </c>
      <c r="H12" s="87">
        <v>72</v>
      </c>
      <c r="I12" s="87">
        <v>5956.1</v>
      </c>
      <c r="J12" s="87">
        <v>460.1</v>
      </c>
      <c r="K12" s="87">
        <v>1283.0999999999999</v>
      </c>
      <c r="L12" s="87">
        <v>1170.0999999999999</v>
      </c>
      <c r="M12" s="87">
        <v>4312</v>
      </c>
      <c r="N12" s="87">
        <v>12669</v>
      </c>
      <c r="O12" s="87">
        <v>1688.1</v>
      </c>
      <c r="Q12" s="80">
        <v>7</v>
      </c>
    </row>
    <row r="13" spans="1:17">
      <c r="A13" s="86">
        <v>1950</v>
      </c>
      <c r="B13" s="87">
        <v>41640</v>
      </c>
      <c r="C13" s="87">
        <v>5372.833333333333</v>
      </c>
      <c r="D13" s="87">
        <v>439.83333333333331</v>
      </c>
      <c r="E13" s="87">
        <v>4647.833333333333</v>
      </c>
      <c r="F13" s="87">
        <v>1245.8333333333333</v>
      </c>
      <c r="G13" s="87">
        <v>1743.8333333333333</v>
      </c>
      <c r="H13" s="87">
        <v>69</v>
      </c>
      <c r="I13" s="87">
        <v>4574.833333333333</v>
      </c>
      <c r="J13" s="87">
        <v>391.83333333333331</v>
      </c>
      <c r="K13" s="87">
        <v>1214.8333333333333</v>
      </c>
      <c r="L13" s="87">
        <v>6167.833333333333</v>
      </c>
      <c r="M13" s="87">
        <v>1139.8333333333333</v>
      </c>
      <c r="N13" s="87">
        <v>12886.833333333334</v>
      </c>
      <c r="O13" s="87">
        <v>1744.8333333333333</v>
      </c>
      <c r="Q13" s="80">
        <v>8</v>
      </c>
    </row>
    <row r="14" spans="1:17">
      <c r="A14" s="86">
        <v>1951</v>
      </c>
      <c r="B14" s="87">
        <v>55033</v>
      </c>
      <c r="C14" s="87">
        <v>6931.8</v>
      </c>
      <c r="D14" s="87">
        <v>1217.8</v>
      </c>
      <c r="E14" s="87">
        <v>6190.8</v>
      </c>
      <c r="F14" s="87">
        <v>1843.8</v>
      </c>
      <c r="G14" s="87">
        <v>2663.8</v>
      </c>
      <c r="H14" s="87">
        <v>59</v>
      </c>
      <c r="I14" s="87">
        <v>6132.8</v>
      </c>
      <c r="J14" s="87">
        <v>736.8</v>
      </c>
      <c r="K14" s="87">
        <v>1879.8</v>
      </c>
      <c r="L14" s="87">
        <v>7227</v>
      </c>
      <c r="M14" s="87">
        <v>1356.8</v>
      </c>
      <c r="N14" s="87">
        <v>17178</v>
      </c>
      <c r="O14" s="87">
        <v>1614.8</v>
      </c>
      <c r="Q14" s="80">
        <v>9</v>
      </c>
    </row>
    <row r="15" spans="1:17">
      <c r="A15" s="86">
        <v>1952</v>
      </c>
      <c r="B15" s="87">
        <v>56538</v>
      </c>
      <c r="C15" s="87">
        <v>7714</v>
      </c>
      <c r="D15" s="87">
        <v>1274.2222222222222</v>
      </c>
      <c r="E15" s="87">
        <v>5919.2222222222226</v>
      </c>
      <c r="F15" s="87">
        <v>1748.2222222222222</v>
      </c>
      <c r="G15" s="87">
        <v>3097.2222222222222</v>
      </c>
      <c r="H15" s="87">
        <v>78</v>
      </c>
      <c r="I15" s="87">
        <v>7723</v>
      </c>
      <c r="J15" s="87">
        <v>391.22222222222223</v>
      </c>
      <c r="K15" s="87">
        <v>1854</v>
      </c>
      <c r="L15" s="87">
        <v>6944.2222222222226</v>
      </c>
      <c r="M15" s="87">
        <v>1129.2222222222222</v>
      </c>
      <c r="N15" s="87">
        <v>16702.222222222223</v>
      </c>
      <c r="O15" s="87">
        <v>1963.2222222222222</v>
      </c>
      <c r="Q15" s="80">
        <v>10</v>
      </c>
    </row>
    <row r="16" spans="1:17">
      <c r="A16" s="86">
        <v>1953</v>
      </c>
      <c r="B16" s="87">
        <v>72751</v>
      </c>
      <c r="C16" s="87">
        <v>7221.8888888888887</v>
      </c>
      <c r="D16" s="87">
        <v>3918</v>
      </c>
      <c r="E16" s="87">
        <v>7502</v>
      </c>
      <c r="F16" s="87">
        <v>2116.8888888888887</v>
      </c>
      <c r="G16" s="87">
        <v>2693.8888888888887</v>
      </c>
      <c r="H16" s="87">
        <v>168</v>
      </c>
      <c r="I16" s="87">
        <v>8940.8888888888887</v>
      </c>
      <c r="J16" s="87">
        <v>858.88888888888891</v>
      </c>
      <c r="K16" s="87">
        <v>1971.8888888888889</v>
      </c>
      <c r="L16" s="87">
        <v>12000.888888888889</v>
      </c>
      <c r="M16" s="87">
        <v>3066.8888888888887</v>
      </c>
      <c r="N16" s="87">
        <v>20455</v>
      </c>
      <c r="O16" s="87">
        <v>1835.8888888888889</v>
      </c>
      <c r="Q16" s="80">
        <v>11</v>
      </c>
    </row>
    <row r="17" spans="1:17">
      <c r="A17" s="86">
        <v>1954</v>
      </c>
      <c r="B17" s="87">
        <v>86045</v>
      </c>
      <c r="C17" s="87">
        <v>15481</v>
      </c>
      <c r="D17" s="87">
        <v>4250</v>
      </c>
      <c r="E17" s="87">
        <v>8437</v>
      </c>
      <c r="F17" s="87">
        <v>2732</v>
      </c>
      <c r="G17" s="87">
        <v>3186</v>
      </c>
      <c r="H17" s="87">
        <v>240</v>
      </c>
      <c r="I17" s="87">
        <v>9805</v>
      </c>
      <c r="J17" s="87">
        <v>601</v>
      </c>
      <c r="K17" s="87">
        <v>2291</v>
      </c>
      <c r="L17" s="87">
        <v>8901</v>
      </c>
      <c r="M17" s="87">
        <v>3280</v>
      </c>
      <c r="N17" s="87">
        <v>25381</v>
      </c>
      <c r="O17" s="87">
        <v>1460</v>
      </c>
      <c r="Q17" s="80">
        <v>12</v>
      </c>
    </row>
    <row r="18" spans="1:17">
      <c r="A18" s="86">
        <v>1955</v>
      </c>
      <c r="B18" s="87">
        <v>89663</v>
      </c>
      <c r="C18" s="87">
        <v>13083</v>
      </c>
      <c r="D18" s="87">
        <v>2345</v>
      </c>
      <c r="E18" s="87">
        <v>9846</v>
      </c>
      <c r="F18" s="87">
        <v>2716</v>
      </c>
      <c r="G18" s="87">
        <v>3618</v>
      </c>
      <c r="H18" s="87">
        <v>250</v>
      </c>
      <c r="I18" s="87">
        <v>8984</v>
      </c>
      <c r="J18" s="87">
        <v>797</v>
      </c>
      <c r="K18" s="87">
        <v>2665</v>
      </c>
      <c r="L18" s="87">
        <v>11152</v>
      </c>
      <c r="M18" s="87">
        <v>2823</v>
      </c>
      <c r="N18" s="87">
        <v>29615</v>
      </c>
      <c r="O18" s="87">
        <v>1769</v>
      </c>
      <c r="Q18" s="80">
        <v>13</v>
      </c>
    </row>
    <row r="19" spans="1:17">
      <c r="A19" s="86">
        <v>1956</v>
      </c>
      <c r="B19" s="87">
        <v>80168</v>
      </c>
      <c r="C19" s="87">
        <v>11166.142857142857</v>
      </c>
      <c r="D19" s="87">
        <v>2699</v>
      </c>
      <c r="E19" s="87">
        <v>8568</v>
      </c>
      <c r="F19" s="87">
        <v>2482.1428571428573</v>
      </c>
      <c r="G19" s="87">
        <v>3045.1428571428573</v>
      </c>
      <c r="H19" s="87">
        <v>113</v>
      </c>
      <c r="I19" s="87">
        <v>6790.1428571428569</v>
      </c>
      <c r="J19" s="87">
        <v>332.14285714285711</v>
      </c>
      <c r="K19" s="87">
        <v>3290</v>
      </c>
      <c r="L19" s="87">
        <v>11845</v>
      </c>
      <c r="M19" s="87">
        <v>2163.1428571428573</v>
      </c>
      <c r="N19" s="87">
        <v>27183</v>
      </c>
      <c r="O19" s="87">
        <v>491.14285714285711</v>
      </c>
      <c r="Q19" s="80">
        <v>14</v>
      </c>
    </row>
    <row r="20" spans="1:17">
      <c r="A20" s="221"/>
      <c r="B20" s="222"/>
      <c r="C20" s="222"/>
      <c r="D20" s="222"/>
      <c r="E20" s="222"/>
      <c r="F20" s="222"/>
      <c r="G20" s="222"/>
      <c r="H20" s="222"/>
      <c r="I20" s="222"/>
      <c r="J20" s="222"/>
      <c r="K20" s="222"/>
      <c r="L20" s="222"/>
      <c r="M20" s="222"/>
      <c r="N20" s="222"/>
      <c r="O20" s="222"/>
    </row>
    <row r="21" spans="1:17">
      <c r="A21" s="78"/>
      <c r="B21" s="220"/>
      <c r="C21" s="220"/>
      <c r="D21" s="220"/>
      <c r="E21" s="220"/>
      <c r="F21" s="220"/>
      <c r="G21" s="220"/>
      <c r="H21" s="220"/>
      <c r="I21" s="220"/>
      <c r="J21" s="220"/>
      <c r="K21" s="220"/>
      <c r="L21" s="220"/>
      <c r="M21" s="220"/>
      <c r="N21" s="220"/>
      <c r="O21" s="220"/>
    </row>
    <row r="23" spans="1:17">
      <c r="A23" s="197" t="s">
        <v>234</v>
      </c>
    </row>
    <row r="24" spans="1:17">
      <c r="A24" s="79" t="s">
        <v>222</v>
      </c>
      <c r="D24" s="246"/>
    </row>
    <row r="25" spans="1:17">
      <c r="D25" s="246"/>
    </row>
    <row r="26" spans="1:17">
      <c r="D26" s="246"/>
    </row>
    <row r="27" spans="1:17">
      <c r="D27" s="246"/>
    </row>
    <row r="28" spans="1:17">
      <c r="D28" s="246"/>
    </row>
    <row r="29" spans="1:17">
      <c r="D29" s="246"/>
    </row>
    <row r="30" spans="1:17">
      <c r="D30" s="246"/>
    </row>
    <row r="31" spans="1:17">
      <c r="D31" s="246"/>
    </row>
    <row r="32" spans="1:17">
      <c r="D32" s="246"/>
    </row>
    <row r="33" spans="4:4">
      <c r="D33" s="246"/>
    </row>
    <row r="34" spans="4:4">
      <c r="D34" s="246"/>
    </row>
    <row r="35" spans="4:4">
      <c r="D35" s="246"/>
    </row>
    <row r="36" spans="4:4">
      <c r="D36" s="246"/>
    </row>
    <row r="37" spans="4:4">
      <c r="D37" s="246"/>
    </row>
  </sheetData>
  <mergeCells count="2">
    <mergeCell ref="A1:O1"/>
    <mergeCell ref="A2:O2"/>
  </mergeCells>
  <hyperlinks>
    <hyperlink ref="A24" location="'indice cap.2'!A1" display="regresar al índice"/>
    <hyperlink ref="A23" location="'indice cap.2'!A1" display="Notas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73"/>
  <sheetViews>
    <sheetView showGridLines="0" workbookViewId="0">
      <selection sqref="A1:P1"/>
    </sheetView>
  </sheetViews>
  <sheetFormatPr baseColWidth="10" defaultRowHeight="12.75"/>
  <cols>
    <col min="1" max="1" width="8.5703125" style="77" customWidth="1"/>
    <col min="2" max="5" width="15.7109375" style="196" customWidth="1"/>
    <col min="6" max="6" width="15.85546875" style="226" customWidth="1"/>
    <col min="7" max="16" width="15.7109375" style="196" customWidth="1"/>
    <col min="17" max="17" width="14" style="196" customWidth="1"/>
    <col min="18" max="18" width="12.42578125" style="196" customWidth="1"/>
    <col min="19" max="19" width="10.7109375" style="196" customWidth="1"/>
    <col min="20" max="16384" width="11.42578125" style="196"/>
  </cols>
  <sheetData>
    <row r="1" spans="1:17" s="77" customFormat="1">
      <c r="A1" s="335" t="s">
        <v>331</v>
      </c>
      <c r="B1" s="336"/>
      <c r="C1" s="336"/>
      <c r="D1" s="336"/>
      <c r="E1" s="336"/>
      <c r="F1" s="336"/>
      <c r="G1" s="336"/>
      <c r="H1" s="336"/>
      <c r="I1" s="336"/>
      <c r="J1" s="336"/>
      <c r="K1" s="336"/>
      <c r="L1" s="336"/>
      <c r="M1" s="336"/>
      <c r="N1" s="336"/>
      <c r="O1" s="336"/>
      <c r="P1" s="336"/>
    </row>
    <row r="2" spans="1:17">
      <c r="A2" s="335" t="s">
        <v>82</v>
      </c>
      <c r="B2" s="336"/>
      <c r="C2" s="336"/>
      <c r="D2" s="336"/>
      <c r="E2" s="336"/>
      <c r="F2" s="336"/>
      <c r="G2" s="336"/>
      <c r="H2" s="336"/>
      <c r="I2" s="336"/>
      <c r="J2" s="336"/>
      <c r="K2" s="336"/>
      <c r="L2" s="336"/>
      <c r="M2" s="336"/>
      <c r="N2" s="336"/>
      <c r="O2" s="336"/>
      <c r="P2" s="336"/>
    </row>
    <row r="3" spans="1:17" ht="13.5" thickBot="1">
      <c r="A3" s="88"/>
      <c r="B3" s="88"/>
      <c r="C3" s="88"/>
      <c r="D3" s="310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</row>
    <row r="4" spans="1:17" ht="13.5" thickBot="1">
      <c r="A4" s="339" t="s">
        <v>259</v>
      </c>
      <c r="B4" s="337" t="s">
        <v>258</v>
      </c>
      <c r="C4" s="341" t="s">
        <v>84</v>
      </c>
      <c r="D4" s="342"/>
      <c r="E4" s="342"/>
      <c r="F4" s="247"/>
      <c r="G4" s="344" t="s">
        <v>257</v>
      </c>
      <c r="H4" s="345" t="s">
        <v>85</v>
      </c>
      <c r="I4" s="345"/>
      <c r="J4" s="345"/>
      <c r="K4" s="345"/>
      <c r="L4" s="345" t="s">
        <v>86</v>
      </c>
      <c r="M4" s="346"/>
      <c r="N4" s="346"/>
      <c r="O4" s="346"/>
      <c r="P4" s="337" t="s">
        <v>87</v>
      </c>
    </row>
    <row r="5" spans="1:17" s="80" customFormat="1" ht="69" customHeight="1">
      <c r="A5" s="340"/>
      <c r="B5" s="343"/>
      <c r="C5" s="227" t="s">
        <v>59</v>
      </c>
      <c r="D5" s="227" t="s">
        <v>88</v>
      </c>
      <c r="E5" s="227" t="s">
        <v>89</v>
      </c>
      <c r="F5" s="227" t="s">
        <v>324</v>
      </c>
      <c r="G5" s="343"/>
      <c r="H5" s="92" t="s">
        <v>59</v>
      </c>
      <c r="I5" s="92" t="s">
        <v>90</v>
      </c>
      <c r="J5" s="92" t="s">
        <v>91</v>
      </c>
      <c r="K5" s="92" t="s">
        <v>256</v>
      </c>
      <c r="L5" s="92" t="s">
        <v>59</v>
      </c>
      <c r="M5" s="92" t="s">
        <v>90</v>
      </c>
      <c r="N5" s="92" t="s">
        <v>91</v>
      </c>
      <c r="O5" s="92" t="s">
        <v>255</v>
      </c>
      <c r="P5" s="338"/>
    </row>
    <row r="6" spans="1:17">
      <c r="A6" s="88"/>
      <c r="B6" s="93" t="s">
        <v>329</v>
      </c>
      <c r="C6" s="94" t="s">
        <v>326</v>
      </c>
      <c r="D6" s="94" t="s">
        <v>65</v>
      </c>
      <c r="E6" s="94" t="s">
        <v>66</v>
      </c>
      <c r="F6" s="94" t="s">
        <v>92</v>
      </c>
      <c r="G6" s="94" t="s">
        <v>325</v>
      </c>
      <c r="H6" s="94" t="s">
        <v>327</v>
      </c>
      <c r="I6" s="94" t="s">
        <v>70</v>
      </c>
      <c r="J6" s="94" t="s">
        <v>71</v>
      </c>
      <c r="K6" s="94" t="s">
        <v>72</v>
      </c>
      <c r="L6" s="94" t="s">
        <v>328</v>
      </c>
      <c r="M6" s="94" t="s">
        <v>74</v>
      </c>
      <c r="N6" s="94" t="s">
        <v>93</v>
      </c>
      <c r="O6" s="94" t="s">
        <v>94</v>
      </c>
      <c r="P6" s="95" t="s">
        <v>330</v>
      </c>
    </row>
    <row r="7" spans="1:17">
      <c r="B7" s="77"/>
      <c r="C7" s="77"/>
      <c r="D7" s="77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</row>
    <row r="8" spans="1:17">
      <c r="A8" s="86">
        <v>1957</v>
      </c>
      <c r="B8" s="87">
        <v>91880</v>
      </c>
      <c r="C8" s="87">
        <v>17671.333333333332</v>
      </c>
      <c r="D8" s="87">
        <v>11070</v>
      </c>
      <c r="E8" s="87">
        <v>6601.333333333333</v>
      </c>
      <c r="F8" s="87" t="s">
        <v>13</v>
      </c>
      <c r="G8" s="87">
        <v>1393.3333333333333</v>
      </c>
      <c r="H8" s="87">
        <v>44132.333333333336</v>
      </c>
      <c r="I8" s="87">
        <v>2057.3333333333335</v>
      </c>
      <c r="J8" s="87">
        <v>38533</v>
      </c>
      <c r="K8" s="87">
        <v>3542</v>
      </c>
      <c r="L8" s="87">
        <v>28661.666666666668</v>
      </c>
      <c r="M8" s="87">
        <v>2147</v>
      </c>
      <c r="N8" s="87">
        <v>13488.333333333334</v>
      </c>
      <c r="O8" s="87">
        <v>13026.333333333334</v>
      </c>
      <c r="P8" s="87">
        <v>21.333333333333329</v>
      </c>
      <c r="Q8" s="196">
        <v>1</v>
      </c>
    </row>
    <row r="9" spans="1:17">
      <c r="A9" s="86">
        <v>1958</v>
      </c>
      <c r="B9" s="87">
        <v>87243</v>
      </c>
      <c r="C9" s="87">
        <v>16755</v>
      </c>
      <c r="D9" s="87">
        <v>10577</v>
      </c>
      <c r="E9" s="87">
        <v>6178</v>
      </c>
      <c r="F9" s="87" t="s">
        <v>13</v>
      </c>
      <c r="G9" s="87">
        <v>1253</v>
      </c>
      <c r="H9" s="87">
        <v>41072.5</v>
      </c>
      <c r="I9" s="87">
        <v>1948.5</v>
      </c>
      <c r="J9" s="87">
        <v>36103</v>
      </c>
      <c r="K9" s="87">
        <v>3021</v>
      </c>
      <c r="L9" s="87">
        <v>28095.5</v>
      </c>
      <c r="M9" s="87">
        <v>2049.5</v>
      </c>
      <c r="N9" s="87">
        <v>13346</v>
      </c>
      <c r="O9" s="87">
        <v>12700</v>
      </c>
      <c r="P9" s="87">
        <v>67</v>
      </c>
      <c r="Q9" s="196">
        <v>2</v>
      </c>
    </row>
    <row r="10" spans="1:17">
      <c r="A10" s="86">
        <v>1959</v>
      </c>
      <c r="B10" s="87">
        <v>92164</v>
      </c>
      <c r="C10" s="87">
        <v>17574</v>
      </c>
      <c r="D10" s="87">
        <v>10710</v>
      </c>
      <c r="E10" s="87">
        <v>6864</v>
      </c>
      <c r="F10" s="87" t="s">
        <v>13</v>
      </c>
      <c r="G10" s="87">
        <v>1685</v>
      </c>
      <c r="H10" s="87">
        <v>42616.5</v>
      </c>
      <c r="I10" s="87">
        <v>2295.8333333333335</v>
      </c>
      <c r="J10" s="87">
        <v>36585.833333333336</v>
      </c>
      <c r="K10" s="87">
        <v>3734.8333333333335</v>
      </c>
      <c r="L10" s="87">
        <v>30209.666666666668</v>
      </c>
      <c r="M10" s="87">
        <v>2412.8333333333335</v>
      </c>
      <c r="N10" s="87">
        <v>13638.833333333334</v>
      </c>
      <c r="O10" s="87">
        <v>14158</v>
      </c>
      <c r="P10" s="87">
        <v>78.833333333333329</v>
      </c>
      <c r="Q10" s="286">
        <v>3</v>
      </c>
    </row>
    <row r="11" spans="1:17">
      <c r="A11" s="86">
        <v>1960</v>
      </c>
      <c r="B11" s="87">
        <v>102202</v>
      </c>
      <c r="C11" s="87">
        <v>19171</v>
      </c>
      <c r="D11" s="87">
        <v>11212</v>
      </c>
      <c r="E11" s="87">
        <v>7959</v>
      </c>
      <c r="F11" s="87" t="s">
        <v>13</v>
      </c>
      <c r="G11" s="87">
        <v>3386.4</v>
      </c>
      <c r="H11" s="87">
        <v>47681.8</v>
      </c>
      <c r="I11" s="87">
        <v>2248.4</v>
      </c>
      <c r="J11" s="87">
        <v>41533.4</v>
      </c>
      <c r="K11" s="87">
        <v>3900</v>
      </c>
      <c r="L11" s="87">
        <v>31777.4</v>
      </c>
      <c r="M11" s="87">
        <v>2656.4</v>
      </c>
      <c r="N11" s="87">
        <v>13931</v>
      </c>
      <c r="O11" s="87">
        <v>15190</v>
      </c>
      <c r="P11" s="87">
        <v>185.4</v>
      </c>
      <c r="Q11" s="286">
        <v>4</v>
      </c>
    </row>
    <row r="12" spans="1:17">
      <c r="A12" s="86">
        <v>1961</v>
      </c>
      <c r="B12" s="87">
        <v>100784</v>
      </c>
      <c r="C12" s="87">
        <v>18215.571428571428</v>
      </c>
      <c r="D12" s="87">
        <v>10998.571428571429</v>
      </c>
      <c r="E12" s="87">
        <v>7217</v>
      </c>
      <c r="F12" s="87" t="s">
        <v>13</v>
      </c>
      <c r="G12" s="87">
        <v>3358.5714285714284</v>
      </c>
      <c r="H12" s="87">
        <v>47882.142857142855</v>
      </c>
      <c r="I12" s="87">
        <v>1968.5714285714287</v>
      </c>
      <c r="J12" s="87">
        <v>41874</v>
      </c>
      <c r="K12" s="87">
        <v>4039.5714285714284</v>
      </c>
      <c r="L12" s="87">
        <v>31261.142857142855</v>
      </c>
      <c r="M12" s="87">
        <v>2447.5714285714284</v>
      </c>
      <c r="N12" s="87">
        <v>14416</v>
      </c>
      <c r="O12" s="87">
        <v>14397.571428571429</v>
      </c>
      <c r="P12" s="87">
        <v>66.571428571428569</v>
      </c>
      <c r="Q12" s="286">
        <v>5</v>
      </c>
    </row>
    <row r="13" spans="1:17">
      <c r="A13" s="86">
        <v>1962</v>
      </c>
      <c r="B13" s="87">
        <v>97776</v>
      </c>
      <c r="C13" s="87">
        <v>18666</v>
      </c>
      <c r="D13" s="87">
        <v>12165</v>
      </c>
      <c r="E13" s="87">
        <v>6501</v>
      </c>
      <c r="F13" s="87" t="s">
        <v>13</v>
      </c>
      <c r="G13" s="87">
        <v>1616</v>
      </c>
      <c r="H13" s="87">
        <v>48131</v>
      </c>
      <c r="I13" s="87">
        <v>1715</v>
      </c>
      <c r="J13" s="87">
        <v>42759</v>
      </c>
      <c r="K13" s="87">
        <v>3657</v>
      </c>
      <c r="L13" s="87">
        <v>29128</v>
      </c>
      <c r="M13" s="87">
        <v>1748</v>
      </c>
      <c r="N13" s="87">
        <v>14132</v>
      </c>
      <c r="O13" s="87">
        <v>13248</v>
      </c>
      <c r="P13" s="87">
        <v>235</v>
      </c>
      <c r="Q13" s="286">
        <v>6</v>
      </c>
    </row>
    <row r="14" spans="1:17">
      <c r="A14" s="86">
        <v>1963</v>
      </c>
      <c r="B14" s="87">
        <v>110531</v>
      </c>
      <c r="C14" s="87">
        <v>19676.5</v>
      </c>
      <c r="D14" s="87">
        <v>12490.5</v>
      </c>
      <c r="E14" s="87">
        <v>7186</v>
      </c>
      <c r="F14" s="87" t="s">
        <v>13</v>
      </c>
      <c r="G14" s="87">
        <v>5262</v>
      </c>
      <c r="H14" s="87">
        <v>52601</v>
      </c>
      <c r="I14" s="87">
        <v>1723.5</v>
      </c>
      <c r="J14" s="87">
        <v>47244</v>
      </c>
      <c r="K14" s="87">
        <v>3633.5</v>
      </c>
      <c r="L14" s="87">
        <v>32863</v>
      </c>
      <c r="M14" s="87">
        <v>2071</v>
      </c>
      <c r="N14" s="87">
        <v>15995</v>
      </c>
      <c r="O14" s="87">
        <v>14797</v>
      </c>
      <c r="P14" s="87">
        <v>128.5</v>
      </c>
      <c r="Q14" s="286">
        <v>7</v>
      </c>
    </row>
    <row r="15" spans="1:17">
      <c r="A15" s="86">
        <v>1964</v>
      </c>
      <c r="B15" s="87">
        <v>138159</v>
      </c>
      <c r="C15" s="87">
        <v>23959</v>
      </c>
      <c r="D15" s="87">
        <v>15512</v>
      </c>
      <c r="E15" s="87">
        <v>8447</v>
      </c>
      <c r="F15" s="87" t="s">
        <v>13</v>
      </c>
      <c r="G15" s="87">
        <v>4000.1666666666665</v>
      </c>
      <c r="H15" s="87">
        <v>66412.333333333328</v>
      </c>
      <c r="I15" s="87">
        <v>3085.1666666666665</v>
      </c>
      <c r="J15" s="87">
        <v>59155</v>
      </c>
      <c r="K15" s="87">
        <v>4172.166666666667</v>
      </c>
      <c r="L15" s="87">
        <v>43712.333333333336</v>
      </c>
      <c r="M15" s="87">
        <v>3565.1666666666665</v>
      </c>
      <c r="N15" s="87">
        <v>23698.166666666668</v>
      </c>
      <c r="O15" s="87">
        <v>16449</v>
      </c>
      <c r="P15" s="87">
        <v>75.166666666666657</v>
      </c>
      <c r="Q15" s="286">
        <v>8</v>
      </c>
    </row>
    <row r="16" spans="1:17">
      <c r="A16" s="86">
        <v>1965</v>
      </c>
      <c r="B16" s="87">
        <v>165465</v>
      </c>
      <c r="C16" s="87">
        <v>31397</v>
      </c>
      <c r="D16" s="87">
        <v>20663</v>
      </c>
      <c r="E16" s="87">
        <v>10734</v>
      </c>
      <c r="F16" s="87" t="s">
        <v>13</v>
      </c>
      <c r="G16" s="87">
        <v>11608</v>
      </c>
      <c r="H16" s="87">
        <v>70133</v>
      </c>
      <c r="I16" s="87">
        <v>4000</v>
      </c>
      <c r="J16" s="87">
        <v>57783</v>
      </c>
      <c r="K16" s="87">
        <v>8350</v>
      </c>
      <c r="L16" s="87">
        <v>51877</v>
      </c>
      <c r="M16" s="87">
        <v>4394</v>
      </c>
      <c r="N16" s="87">
        <v>29666</v>
      </c>
      <c r="O16" s="87">
        <v>17817</v>
      </c>
      <c r="P16" s="87">
        <v>450</v>
      </c>
      <c r="Q16" s="286">
        <v>9</v>
      </c>
    </row>
    <row r="17" spans="1:17">
      <c r="A17" s="86">
        <v>1966</v>
      </c>
      <c r="B17" s="87">
        <v>174129</v>
      </c>
      <c r="C17" s="87">
        <v>33340</v>
      </c>
      <c r="D17" s="87">
        <v>21712</v>
      </c>
      <c r="E17" s="87">
        <v>11628</v>
      </c>
      <c r="F17" s="87" t="s">
        <v>13</v>
      </c>
      <c r="G17" s="87">
        <v>4873</v>
      </c>
      <c r="H17" s="87">
        <v>81885</v>
      </c>
      <c r="I17" s="87">
        <v>4254</v>
      </c>
      <c r="J17" s="87">
        <v>65402</v>
      </c>
      <c r="K17" s="87">
        <v>12229</v>
      </c>
      <c r="L17" s="87">
        <v>52724</v>
      </c>
      <c r="M17" s="87">
        <v>4193</v>
      </c>
      <c r="N17" s="87">
        <v>30180</v>
      </c>
      <c r="O17" s="87">
        <v>18351</v>
      </c>
      <c r="P17" s="87">
        <v>1307</v>
      </c>
      <c r="Q17" s="286">
        <v>10</v>
      </c>
    </row>
    <row r="18" spans="1:17">
      <c r="A18" s="86">
        <v>1967</v>
      </c>
      <c r="B18" s="87">
        <v>214210</v>
      </c>
      <c r="C18" s="87">
        <v>33179</v>
      </c>
      <c r="D18" s="87">
        <v>20582</v>
      </c>
      <c r="E18" s="87">
        <v>12597</v>
      </c>
      <c r="F18" s="87" t="s">
        <v>13</v>
      </c>
      <c r="G18" s="87">
        <v>20825</v>
      </c>
      <c r="H18" s="87">
        <v>91755</v>
      </c>
      <c r="I18" s="87">
        <v>4161</v>
      </c>
      <c r="J18" s="87">
        <v>75762</v>
      </c>
      <c r="K18" s="87">
        <v>11832</v>
      </c>
      <c r="L18" s="87">
        <v>68027</v>
      </c>
      <c r="M18" s="87">
        <v>4715</v>
      </c>
      <c r="N18" s="87">
        <v>40610</v>
      </c>
      <c r="O18" s="87">
        <v>22702</v>
      </c>
      <c r="P18" s="87">
        <v>424</v>
      </c>
      <c r="Q18" s="286">
        <v>11</v>
      </c>
    </row>
    <row r="19" spans="1:17">
      <c r="A19" s="86">
        <v>1968</v>
      </c>
      <c r="B19" s="87">
        <v>255465</v>
      </c>
      <c r="C19" s="87">
        <v>37270</v>
      </c>
      <c r="D19" s="87">
        <v>23562</v>
      </c>
      <c r="E19" s="87">
        <v>13708</v>
      </c>
      <c r="F19" s="87" t="s">
        <v>13</v>
      </c>
      <c r="G19" s="87">
        <v>9323</v>
      </c>
      <c r="H19" s="87">
        <v>130631</v>
      </c>
      <c r="I19" s="87">
        <v>4875</v>
      </c>
      <c r="J19" s="87">
        <v>101312</v>
      </c>
      <c r="K19" s="87">
        <v>24444</v>
      </c>
      <c r="L19" s="87">
        <v>77930</v>
      </c>
      <c r="M19" s="87">
        <v>6759</v>
      </c>
      <c r="N19" s="87">
        <v>41560</v>
      </c>
      <c r="O19" s="87">
        <v>29611</v>
      </c>
      <c r="P19" s="87">
        <v>311</v>
      </c>
      <c r="Q19" s="286">
        <v>12</v>
      </c>
    </row>
    <row r="20" spans="1:17">
      <c r="A20" s="86">
        <v>1969</v>
      </c>
      <c r="B20" s="87">
        <v>241838</v>
      </c>
      <c r="C20" s="87">
        <v>35056</v>
      </c>
      <c r="D20" s="87">
        <v>23762</v>
      </c>
      <c r="E20" s="87">
        <v>11294</v>
      </c>
      <c r="F20" s="87" t="s">
        <v>13</v>
      </c>
      <c r="G20" s="87">
        <v>15894</v>
      </c>
      <c r="H20" s="87">
        <v>114321</v>
      </c>
      <c r="I20" s="87">
        <v>5078</v>
      </c>
      <c r="J20" s="87">
        <v>96110</v>
      </c>
      <c r="K20" s="87">
        <v>13133</v>
      </c>
      <c r="L20" s="87">
        <v>75925</v>
      </c>
      <c r="M20" s="87">
        <v>6172</v>
      </c>
      <c r="N20" s="87">
        <v>37491</v>
      </c>
      <c r="O20" s="87">
        <v>32262</v>
      </c>
      <c r="P20" s="87">
        <v>642</v>
      </c>
      <c r="Q20" s="286">
        <v>13</v>
      </c>
    </row>
    <row r="21" spans="1:17">
      <c r="A21" s="86">
        <v>1970</v>
      </c>
      <c r="B21" s="87">
        <v>273849</v>
      </c>
      <c r="C21" s="87">
        <v>36198</v>
      </c>
      <c r="D21" s="87">
        <v>22289</v>
      </c>
      <c r="E21" s="87">
        <v>13909</v>
      </c>
      <c r="F21" s="87" t="s">
        <v>13</v>
      </c>
      <c r="G21" s="87">
        <v>17193</v>
      </c>
      <c r="H21" s="87">
        <v>137070</v>
      </c>
      <c r="I21" s="87">
        <v>5552</v>
      </c>
      <c r="J21" s="87">
        <v>116084</v>
      </c>
      <c r="K21" s="87">
        <v>15434</v>
      </c>
      <c r="L21" s="87">
        <v>82047</v>
      </c>
      <c r="M21" s="87">
        <v>7557</v>
      </c>
      <c r="N21" s="87">
        <v>41904</v>
      </c>
      <c r="O21" s="87">
        <v>32586</v>
      </c>
      <c r="P21" s="87">
        <v>1341</v>
      </c>
      <c r="Q21" s="286">
        <v>14</v>
      </c>
    </row>
    <row r="22" spans="1:17">
      <c r="A22" s="86">
        <v>1971</v>
      </c>
      <c r="B22" s="87">
        <v>340104</v>
      </c>
      <c r="C22" s="87">
        <v>38234</v>
      </c>
      <c r="D22" s="87">
        <v>24629</v>
      </c>
      <c r="E22" s="87">
        <v>13605</v>
      </c>
      <c r="F22" s="87" t="s">
        <v>13</v>
      </c>
      <c r="G22" s="87">
        <v>27688</v>
      </c>
      <c r="H22" s="87">
        <v>158592</v>
      </c>
      <c r="I22" s="87">
        <v>3695</v>
      </c>
      <c r="J22" s="87">
        <v>118163</v>
      </c>
      <c r="K22" s="87">
        <v>36734</v>
      </c>
      <c r="L22" s="87">
        <v>114349</v>
      </c>
      <c r="M22" s="87">
        <v>6670</v>
      </c>
      <c r="N22" s="87">
        <v>63120</v>
      </c>
      <c r="O22" s="87">
        <v>44559</v>
      </c>
      <c r="P22" s="87">
        <v>1241</v>
      </c>
      <c r="Q22" s="286">
        <v>15</v>
      </c>
    </row>
    <row r="23" spans="1:17">
      <c r="A23" s="86">
        <v>1972</v>
      </c>
      <c r="B23" s="87">
        <v>318599</v>
      </c>
      <c r="C23" s="87">
        <v>46228</v>
      </c>
      <c r="D23" s="87">
        <v>30057</v>
      </c>
      <c r="E23" s="87">
        <v>16171</v>
      </c>
      <c r="F23" s="87" t="s">
        <v>13</v>
      </c>
      <c r="G23" s="87">
        <v>10602</v>
      </c>
      <c r="H23" s="87">
        <v>135042</v>
      </c>
      <c r="I23" s="87">
        <v>4557</v>
      </c>
      <c r="J23" s="87">
        <v>105595</v>
      </c>
      <c r="K23" s="87">
        <v>24890</v>
      </c>
      <c r="L23" s="87">
        <v>125687</v>
      </c>
      <c r="M23" s="87">
        <v>4370</v>
      </c>
      <c r="N23" s="87">
        <v>76316</v>
      </c>
      <c r="O23" s="87">
        <v>45001</v>
      </c>
      <c r="P23" s="87">
        <v>1040</v>
      </c>
      <c r="Q23" s="286">
        <v>16</v>
      </c>
    </row>
    <row r="24" spans="1:17">
      <c r="A24" s="86">
        <v>1973</v>
      </c>
      <c r="B24" s="87">
        <v>397282</v>
      </c>
      <c r="C24" s="87">
        <v>64064</v>
      </c>
      <c r="D24" s="87">
        <v>37589</v>
      </c>
      <c r="E24" s="87">
        <v>26475</v>
      </c>
      <c r="F24" s="87" t="s">
        <v>13</v>
      </c>
      <c r="G24" s="87">
        <v>11183</v>
      </c>
      <c r="H24" s="87">
        <v>173829</v>
      </c>
      <c r="I24" s="87">
        <v>5746</v>
      </c>
      <c r="J24" s="87">
        <v>149349</v>
      </c>
      <c r="K24" s="87">
        <v>18734</v>
      </c>
      <c r="L24" s="87">
        <v>147856</v>
      </c>
      <c r="M24" s="87">
        <v>5695</v>
      </c>
      <c r="N24" s="87">
        <v>83992</v>
      </c>
      <c r="O24" s="87">
        <v>58169</v>
      </c>
      <c r="P24" s="87">
        <v>350</v>
      </c>
      <c r="Q24" s="286">
        <v>17</v>
      </c>
    </row>
    <row r="25" spans="1:17">
      <c r="A25" s="86">
        <v>1974</v>
      </c>
      <c r="B25" s="87">
        <v>958488</v>
      </c>
      <c r="C25" s="87">
        <v>116076</v>
      </c>
      <c r="D25" s="87">
        <v>74864</v>
      </c>
      <c r="E25" s="87">
        <v>41212</v>
      </c>
      <c r="F25" s="87" t="s">
        <v>13</v>
      </c>
      <c r="G25" s="87">
        <v>16284</v>
      </c>
      <c r="H25" s="87">
        <v>435295</v>
      </c>
      <c r="I25" s="87">
        <v>61041</v>
      </c>
      <c r="J25" s="87">
        <v>308410</v>
      </c>
      <c r="K25" s="87">
        <v>65844</v>
      </c>
      <c r="L25" s="87">
        <v>388570</v>
      </c>
      <c r="M25" s="87">
        <v>16686</v>
      </c>
      <c r="N25" s="87">
        <v>239588</v>
      </c>
      <c r="O25" s="87">
        <v>132296</v>
      </c>
      <c r="P25" s="87">
        <v>2263</v>
      </c>
      <c r="Q25" s="286">
        <v>18</v>
      </c>
    </row>
    <row r="26" spans="1:17">
      <c r="A26" s="86">
        <v>1975</v>
      </c>
      <c r="B26" s="87">
        <v>943244</v>
      </c>
      <c r="C26" s="87">
        <v>102576</v>
      </c>
      <c r="D26" s="87">
        <v>63512</v>
      </c>
      <c r="E26" s="87">
        <v>39064</v>
      </c>
      <c r="F26" s="87" t="s">
        <v>13</v>
      </c>
      <c r="G26" s="87">
        <v>13575</v>
      </c>
      <c r="H26" s="87">
        <v>375260</v>
      </c>
      <c r="I26" s="87">
        <v>24011</v>
      </c>
      <c r="J26" s="87">
        <v>292977</v>
      </c>
      <c r="K26" s="87">
        <v>58272</v>
      </c>
      <c r="L26" s="87">
        <v>448295</v>
      </c>
      <c r="M26" s="87">
        <v>25465</v>
      </c>
      <c r="N26" s="87">
        <v>286397</v>
      </c>
      <c r="O26" s="87">
        <v>136433</v>
      </c>
      <c r="P26" s="87">
        <v>3538</v>
      </c>
      <c r="Q26" s="286">
        <v>19</v>
      </c>
    </row>
    <row r="27" spans="1:17">
      <c r="A27" s="86">
        <v>1976</v>
      </c>
      <c r="B27" s="87">
        <v>993123</v>
      </c>
      <c r="C27" s="87">
        <v>99178</v>
      </c>
      <c r="D27" s="87">
        <v>58994</v>
      </c>
      <c r="E27" s="87">
        <v>40184</v>
      </c>
      <c r="F27" s="87" t="s">
        <v>13</v>
      </c>
      <c r="G27" s="87">
        <v>7419</v>
      </c>
      <c r="H27" s="87">
        <v>445805</v>
      </c>
      <c r="I27" s="87">
        <v>22949</v>
      </c>
      <c r="J27" s="87">
        <v>355374</v>
      </c>
      <c r="K27" s="87">
        <v>67482</v>
      </c>
      <c r="L27" s="87">
        <v>438294</v>
      </c>
      <c r="M27" s="87">
        <v>25502</v>
      </c>
      <c r="N27" s="87">
        <v>253918</v>
      </c>
      <c r="O27" s="87">
        <v>158874</v>
      </c>
      <c r="P27" s="87">
        <v>2427</v>
      </c>
      <c r="Q27" s="286">
        <v>20</v>
      </c>
    </row>
    <row r="28" spans="1:17">
      <c r="A28" s="86">
        <v>1977</v>
      </c>
      <c r="B28" s="87">
        <v>1508357</v>
      </c>
      <c r="C28" s="87">
        <v>167817</v>
      </c>
      <c r="D28" s="87">
        <v>85236</v>
      </c>
      <c r="E28" s="87">
        <v>82581</v>
      </c>
      <c r="F28" s="87" t="s">
        <v>13</v>
      </c>
      <c r="G28" s="87">
        <v>9375</v>
      </c>
      <c r="H28" s="87">
        <v>602796</v>
      </c>
      <c r="I28" s="87">
        <v>34559</v>
      </c>
      <c r="J28" s="87">
        <v>475932</v>
      </c>
      <c r="K28" s="87">
        <v>92305</v>
      </c>
      <c r="L28" s="87">
        <v>724435</v>
      </c>
      <c r="M28" s="87">
        <v>28019</v>
      </c>
      <c r="N28" s="87">
        <v>400510</v>
      </c>
      <c r="O28" s="87">
        <v>295906</v>
      </c>
      <c r="P28" s="87">
        <v>3934</v>
      </c>
      <c r="Q28" s="286">
        <v>21</v>
      </c>
    </row>
    <row r="29" spans="1:17">
      <c r="A29" s="86">
        <v>1978</v>
      </c>
      <c r="B29" s="87">
        <v>1630202</v>
      </c>
      <c r="C29" s="87">
        <v>178550</v>
      </c>
      <c r="D29" s="87">
        <v>85805</v>
      </c>
      <c r="E29" s="87">
        <v>92745</v>
      </c>
      <c r="F29" s="87" t="s">
        <v>13</v>
      </c>
      <c r="G29" s="87">
        <v>11099</v>
      </c>
      <c r="H29" s="87">
        <v>609697</v>
      </c>
      <c r="I29" s="87">
        <v>33297</v>
      </c>
      <c r="J29" s="87">
        <v>486987</v>
      </c>
      <c r="K29" s="87">
        <v>89413</v>
      </c>
      <c r="L29" s="87">
        <v>826933</v>
      </c>
      <c r="M29" s="87">
        <v>26353</v>
      </c>
      <c r="N29" s="87">
        <v>491900</v>
      </c>
      <c r="O29" s="87">
        <v>308680</v>
      </c>
      <c r="P29" s="87">
        <v>3923</v>
      </c>
      <c r="Q29" s="286">
        <v>22</v>
      </c>
    </row>
    <row r="30" spans="1:17">
      <c r="A30" s="86">
        <v>1979</v>
      </c>
      <c r="B30" s="87">
        <v>1985599</v>
      </c>
      <c r="C30" s="87">
        <v>180481</v>
      </c>
      <c r="D30" s="87">
        <v>86981</v>
      </c>
      <c r="E30" s="87">
        <v>93500</v>
      </c>
      <c r="F30" s="87" t="s">
        <v>13</v>
      </c>
      <c r="G30" s="87">
        <v>13541</v>
      </c>
      <c r="H30" s="87">
        <v>831319</v>
      </c>
      <c r="I30" s="87">
        <v>44437</v>
      </c>
      <c r="J30" s="87">
        <v>704129</v>
      </c>
      <c r="K30" s="87">
        <v>82753</v>
      </c>
      <c r="L30" s="87">
        <v>955343</v>
      </c>
      <c r="M30" s="87">
        <v>31298</v>
      </c>
      <c r="N30" s="87">
        <v>567212</v>
      </c>
      <c r="O30" s="87">
        <v>356833</v>
      </c>
      <c r="P30" s="87">
        <v>4915</v>
      </c>
      <c r="Q30" s="286">
        <v>23</v>
      </c>
    </row>
    <row r="31" spans="1:17">
      <c r="A31" s="86">
        <v>1980</v>
      </c>
      <c r="B31" s="87">
        <v>2249519</v>
      </c>
      <c r="C31" s="87">
        <v>250171</v>
      </c>
      <c r="D31" s="87">
        <v>123422</v>
      </c>
      <c r="E31" s="87">
        <v>126749</v>
      </c>
      <c r="F31" s="87" t="s">
        <v>13</v>
      </c>
      <c r="G31" s="87">
        <v>23281</v>
      </c>
      <c r="H31" s="87">
        <v>942978</v>
      </c>
      <c r="I31" s="87">
        <v>58072</v>
      </c>
      <c r="J31" s="87">
        <v>765016</v>
      </c>
      <c r="K31" s="87">
        <v>119890</v>
      </c>
      <c r="L31" s="87">
        <v>1016705</v>
      </c>
      <c r="M31" s="87">
        <v>38237</v>
      </c>
      <c r="N31" s="87">
        <v>570230</v>
      </c>
      <c r="O31" s="87">
        <v>408238</v>
      </c>
      <c r="P31" s="87">
        <v>16384</v>
      </c>
      <c r="Q31" s="286">
        <v>24</v>
      </c>
    </row>
    <row r="32" spans="1:17">
      <c r="A32" s="86">
        <v>1981</v>
      </c>
      <c r="B32" s="87">
        <v>2246162</v>
      </c>
      <c r="C32" s="87">
        <v>202722</v>
      </c>
      <c r="D32" s="87">
        <v>104297</v>
      </c>
      <c r="E32" s="87">
        <v>98425</v>
      </c>
      <c r="F32" s="87" t="s">
        <v>13</v>
      </c>
      <c r="G32" s="87">
        <v>25752</v>
      </c>
      <c r="H32" s="87">
        <v>922676</v>
      </c>
      <c r="I32" s="87">
        <v>63004</v>
      </c>
      <c r="J32" s="87">
        <v>769909</v>
      </c>
      <c r="K32" s="87">
        <v>89763</v>
      </c>
      <c r="L32" s="87">
        <v>1085516</v>
      </c>
      <c r="M32" s="87">
        <v>44050</v>
      </c>
      <c r="N32" s="87">
        <v>547154</v>
      </c>
      <c r="O32" s="87">
        <v>494312</v>
      </c>
      <c r="P32" s="87">
        <v>9496</v>
      </c>
      <c r="Q32" s="286">
        <v>25</v>
      </c>
    </row>
    <row r="33" spans="1:17">
      <c r="A33" s="86">
        <v>1982</v>
      </c>
      <c r="B33" s="87">
        <v>1988374</v>
      </c>
      <c r="C33" s="87">
        <v>224820</v>
      </c>
      <c r="D33" s="87">
        <v>128404</v>
      </c>
      <c r="E33" s="87">
        <v>96416</v>
      </c>
      <c r="F33" s="87" t="s">
        <v>13</v>
      </c>
      <c r="G33" s="87">
        <v>26479</v>
      </c>
      <c r="H33" s="87">
        <v>917310</v>
      </c>
      <c r="I33" s="87">
        <v>59586</v>
      </c>
      <c r="J33" s="87">
        <v>796990</v>
      </c>
      <c r="K33" s="87">
        <v>60734</v>
      </c>
      <c r="L33" s="87">
        <v>815733</v>
      </c>
      <c r="M33" s="87">
        <v>36970</v>
      </c>
      <c r="N33" s="87">
        <v>513221</v>
      </c>
      <c r="O33" s="87">
        <v>265542</v>
      </c>
      <c r="P33" s="87">
        <v>4032</v>
      </c>
      <c r="Q33" s="286">
        <v>26</v>
      </c>
    </row>
    <row r="34" spans="1:17">
      <c r="A34" s="86">
        <v>1983</v>
      </c>
      <c r="B34" s="87">
        <v>1464954</v>
      </c>
      <c r="C34" s="87">
        <v>183710</v>
      </c>
      <c r="D34" s="87">
        <v>110627</v>
      </c>
      <c r="E34" s="87">
        <v>73083</v>
      </c>
      <c r="F34" s="87" t="s">
        <v>13</v>
      </c>
      <c r="G34" s="87">
        <v>19263</v>
      </c>
      <c r="H34" s="87">
        <v>843393</v>
      </c>
      <c r="I34" s="87">
        <v>61928</v>
      </c>
      <c r="J34" s="87">
        <v>741164</v>
      </c>
      <c r="K34" s="87">
        <v>40301</v>
      </c>
      <c r="L34" s="87">
        <v>402782</v>
      </c>
      <c r="M34" s="87">
        <v>14938</v>
      </c>
      <c r="N34" s="87">
        <v>266392</v>
      </c>
      <c r="O34" s="87">
        <v>121452</v>
      </c>
      <c r="P34" s="87">
        <v>15806</v>
      </c>
      <c r="Q34" s="286">
        <v>27</v>
      </c>
    </row>
    <row r="35" spans="1:17">
      <c r="A35" s="86">
        <v>1984</v>
      </c>
      <c r="B35" s="87">
        <v>1715777</v>
      </c>
      <c r="C35" s="87">
        <v>143162</v>
      </c>
      <c r="D35" s="87">
        <v>92939</v>
      </c>
      <c r="E35" s="87">
        <v>50223</v>
      </c>
      <c r="F35" s="87" t="s">
        <v>13</v>
      </c>
      <c r="G35" s="87">
        <v>21727</v>
      </c>
      <c r="H35" s="87">
        <v>960700</v>
      </c>
      <c r="I35" s="87">
        <v>83375</v>
      </c>
      <c r="J35" s="87">
        <v>826527</v>
      </c>
      <c r="K35" s="87">
        <v>50798</v>
      </c>
      <c r="L35" s="87">
        <v>588331</v>
      </c>
      <c r="M35" s="87">
        <v>31058</v>
      </c>
      <c r="N35" s="87">
        <v>392649</v>
      </c>
      <c r="O35" s="87">
        <v>164624</v>
      </c>
      <c r="P35" s="87">
        <v>1857</v>
      </c>
      <c r="Q35" s="286">
        <v>28</v>
      </c>
    </row>
    <row r="36" spans="1:17">
      <c r="A36" s="86">
        <v>1985</v>
      </c>
      <c r="B36" s="87">
        <v>1766724</v>
      </c>
      <c r="C36" s="87">
        <v>152486</v>
      </c>
      <c r="D36" s="87">
        <v>94240</v>
      </c>
      <c r="E36" s="87">
        <v>58246</v>
      </c>
      <c r="F36" s="87" t="s">
        <v>13</v>
      </c>
      <c r="G36" s="87">
        <v>198304</v>
      </c>
      <c r="H36" s="87">
        <v>890411</v>
      </c>
      <c r="I36" s="87">
        <v>71673</v>
      </c>
      <c r="J36" s="87">
        <v>768928</v>
      </c>
      <c r="K36" s="87">
        <v>49810</v>
      </c>
      <c r="L36" s="87">
        <v>525524</v>
      </c>
      <c r="M36" s="87">
        <v>34102</v>
      </c>
      <c r="N36" s="87">
        <v>338694</v>
      </c>
      <c r="O36" s="87">
        <v>152728</v>
      </c>
      <c r="P36" s="87">
        <v>0</v>
      </c>
      <c r="Q36" s="286">
        <v>29</v>
      </c>
    </row>
    <row r="37" spans="1:17">
      <c r="A37" s="86">
        <v>1986</v>
      </c>
      <c r="B37" s="87">
        <v>1810224</v>
      </c>
      <c r="C37" s="87">
        <v>169610</v>
      </c>
      <c r="D37" s="87">
        <v>102096</v>
      </c>
      <c r="E37" s="87">
        <v>67514</v>
      </c>
      <c r="F37" s="87" t="s">
        <v>13</v>
      </c>
      <c r="G37" s="87">
        <v>113384</v>
      </c>
      <c r="H37" s="87">
        <v>851239</v>
      </c>
      <c r="I37" s="87">
        <v>62852</v>
      </c>
      <c r="J37" s="87">
        <v>726421</v>
      </c>
      <c r="K37" s="87">
        <v>61966</v>
      </c>
      <c r="L37" s="87">
        <v>672127</v>
      </c>
      <c r="M37" s="87">
        <v>35048</v>
      </c>
      <c r="N37" s="87">
        <v>407519</v>
      </c>
      <c r="O37" s="87">
        <v>229560</v>
      </c>
      <c r="P37" s="87">
        <v>3864</v>
      </c>
      <c r="Q37" s="286">
        <v>30</v>
      </c>
    </row>
    <row r="38" spans="1:17" s="89" customFormat="1">
      <c r="A38" s="86">
        <v>1987</v>
      </c>
      <c r="B38" s="87">
        <v>2158136.6149083758</v>
      </c>
      <c r="C38" s="87">
        <v>208400</v>
      </c>
      <c r="D38" s="87">
        <v>124848</v>
      </c>
      <c r="E38" s="87">
        <v>83552</v>
      </c>
      <c r="F38" s="87" t="s">
        <v>13</v>
      </c>
      <c r="G38" s="87">
        <v>294499.61490837549</v>
      </c>
      <c r="H38" s="87">
        <v>917930</v>
      </c>
      <c r="I38" s="87">
        <v>52713</v>
      </c>
      <c r="J38" s="87">
        <v>791718</v>
      </c>
      <c r="K38" s="87">
        <v>73499</v>
      </c>
      <c r="L38" s="87">
        <v>732021</v>
      </c>
      <c r="M38" s="87">
        <v>28821</v>
      </c>
      <c r="N38" s="87">
        <v>500803</v>
      </c>
      <c r="O38" s="87">
        <v>202397</v>
      </c>
      <c r="P38" s="87">
        <v>5286</v>
      </c>
      <c r="Q38" s="286">
        <v>31</v>
      </c>
    </row>
    <row r="39" spans="1:17">
      <c r="A39" s="86">
        <v>1988</v>
      </c>
      <c r="B39" s="87">
        <v>1713525</v>
      </c>
      <c r="C39" s="87">
        <v>164570</v>
      </c>
      <c r="D39" s="87">
        <v>101158</v>
      </c>
      <c r="E39" s="87">
        <v>63412</v>
      </c>
      <c r="F39" s="87" t="s">
        <v>13</v>
      </c>
      <c r="G39" s="87">
        <v>58732</v>
      </c>
      <c r="H39" s="87">
        <v>820928</v>
      </c>
      <c r="I39" s="87">
        <v>62128</v>
      </c>
      <c r="J39" s="87">
        <v>707497</v>
      </c>
      <c r="K39" s="87">
        <v>51303</v>
      </c>
      <c r="L39" s="87">
        <v>665772</v>
      </c>
      <c r="M39" s="87">
        <v>12332</v>
      </c>
      <c r="N39" s="87">
        <v>404174</v>
      </c>
      <c r="O39" s="87">
        <v>249266</v>
      </c>
      <c r="P39" s="87">
        <v>3523</v>
      </c>
      <c r="Q39" s="286">
        <v>32</v>
      </c>
    </row>
    <row r="40" spans="1:17">
      <c r="A40" s="86">
        <v>1989</v>
      </c>
      <c r="B40" s="87">
        <v>1854781</v>
      </c>
      <c r="C40" s="87">
        <v>184356</v>
      </c>
      <c r="D40" s="87">
        <v>136806</v>
      </c>
      <c r="E40" s="87">
        <v>47550</v>
      </c>
      <c r="F40" s="87" t="s">
        <v>13</v>
      </c>
      <c r="G40" s="87">
        <v>71115</v>
      </c>
      <c r="H40" s="87">
        <v>981737</v>
      </c>
      <c r="I40" s="87">
        <v>90618</v>
      </c>
      <c r="J40" s="87">
        <v>838997</v>
      </c>
      <c r="K40" s="87">
        <v>52122</v>
      </c>
      <c r="L40" s="87">
        <v>608386</v>
      </c>
      <c r="M40" s="87">
        <v>13428</v>
      </c>
      <c r="N40" s="87">
        <v>389312</v>
      </c>
      <c r="O40" s="87">
        <v>205646</v>
      </c>
      <c r="P40" s="87">
        <v>9187</v>
      </c>
      <c r="Q40" s="286">
        <v>33</v>
      </c>
    </row>
    <row r="41" spans="1:17">
      <c r="A41" s="86">
        <v>1990</v>
      </c>
      <c r="B41" s="87">
        <v>1865125.71</v>
      </c>
      <c r="C41" s="87">
        <v>177855.81</v>
      </c>
      <c r="D41" s="87">
        <v>105843.17</v>
      </c>
      <c r="E41" s="87">
        <v>72012.639999999999</v>
      </c>
      <c r="F41" s="87" t="s">
        <v>13</v>
      </c>
      <c r="G41" s="87">
        <v>94626.8</v>
      </c>
      <c r="H41" s="87">
        <v>979465.74</v>
      </c>
      <c r="I41" s="87">
        <v>84979.31</v>
      </c>
      <c r="J41" s="87">
        <v>802937.87</v>
      </c>
      <c r="K41" s="87">
        <v>91548.56</v>
      </c>
      <c r="L41" s="87">
        <v>609324.28</v>
      </c>
      <c r="M41" s="87">
        <v>27313.72</v>
      </c>
      <c r="N41" s="87">
        <v>368803.94</v>
      </c>
      <c r="O41" s="87">
        <v>213206.62</v>
      </c>
      <c r="P41" s="87">
        <v>3853.08</v>
      </c>
      <c r="Q41" s="286">
        <v>34</v>
      </c>
    </row>
    <row r="42" spans="1:17">
      <c r="A42" s="86">
        <v>1991</v>
      </c>
      <c r="B42" s="87">
        <v>2399039.6800000002</v>
      </c>
      <c r="C42" s="87">
        <v>248522.37</v>
      </c>
      <c r="D42" s="87">
        <v>159972.92000000001</v>
      </c>
      <c r="E42" s="87">
        <v>88549.45</v>
      </c>
      <c r="F42" s="87" t="s">
        <v>13</v>
      </c>
      <c r="G42" s="87">
        <v>91685.1</v>
      </c>
      <c r="H42" s="87">
        <v>1169939.01</v>
      </c>
      <c r="I42" s="87">
        <v>114407.76</v>
      </c>
      <c r="J42" s="87">
        <v>981680.51</v>
      </c>
      <c r="K42" s="87">
        <v>73850.740000000005</v>
      </c>
      <c r="L42" s="87">
        <v>887601.69</v>
      </c>
      <c r="M42" s="87">
        <v>24600.54</v>
      </c>
      <c r="N42" s="87">
        <v>522933.83</v>
      </c>
      <c r="O42" s="87">
        <v>340067.32</v>
      </c>
      <c r="P42" s="87">
        <v>1291.51</v>
      </c>
      <c r="Q42" s="286">
        <v>35</v>
      </c>
    </row>
    <row r="43" spans="1:17">
      <c r="A43" s="86">
        <v>1992</v>
      </c>
      <c r="B43" s="87">
        <v>2430977.83</v>
      </c>
      <c r="C43" s="87">
        <v>385437.77</v>
      </c>
      <c r="D43" s="87">
        <v>166624.32999999999</v>
      </c>
      <c r="E43" s="87">
        <v>218813.44</v>
      </c>
      <c r="F43" s="87" t="s">
        <v>13</v>
      </c>
      <c r="G43" s="87">
        <v>101237.62</v>
      </c>
      <c r="H43" s="87">
        <v>1024918.07</v>
      </c>
      <c r="I43" s="87">
        <v>111536.82</v>
      </c>
      <c r="J43" s="87">
        <v>835747.98</v>
      </c>
      <c r="K43" s="87">
        <v>77633.27</v>
      </c>
      <c r="L43" s="87">
        <v>917007.74</v>
      </c>
      <c r="M43" s="87">
        <v>22920.26</v>
      </c>
      <c r="N43" s="87">
        <v>532512.06999999995</v>
      </c>
      <c r="O43" s="87">
        <v>361575.41</v>
      </c>
      <c r="P43" s="87">
        <v>2376.63</v>
      </c>
      <c r="Q43" s="286">
        <v>36</v>
      </c>
    </row>
    <row r="44" spans="1:17">
      <c r="A44" s="86">
        <v>1993</v>
      </c>
      <c r="B44" s="87">
        <v>2562222.9900000002</v>
      </c>
      <c r="C44" s="87">
        <v>542105.18999999994</v>
      </c>
      <c r="D44" s="87">
        <v>248152.63</v>
      </c>
      <c r="E44" s="87">
        <v>293952.56</v>
      </c>
      <c r="F44" s="87" t="s">
        <v>13</v>
      </c>
      <c r="G44" s="87">
        <v>87634.18</v>
      </c>
      <c r="H44" s="87">
        <v>946260.94</v>
      </c>
      <c r="I44" s="87">
        <v>81870.89</v>
      </c>
      <c r="J44" s="87">
        <v>787971.13</v>
      </c>
      <c r="K44" s="87">
        <v>76418.92</v>
      </c>
      <c r="L44" s="87">
        <v>984269.67</v>
      </c>
      <c r="M44" s="87">
        <v>30250.31</v>
      </c>
      <c r="N44" s="87">
        <v>593023.37</v>
      </c>
      <c r="O44" s="87">
        <v>360995.99</v>
      </c>
      <c r="P44" s="87">
        <v>1953.01</v>
      </c>
      <c r="Q44" s="286">
        <v>37</v>
      </c>
    </row>
    <row r="45" spans="1:17">
      <c r="A45" s="86">
        <v>1994</v>
      </c>
      <c r="B45" s="87">
        <v>3622018.9</v>
      </c>
      <c r="C45" s="87">
        <v>809905.2</v>
      </c>
      <c r="D45" s="87">
        <v>345340.4</v>
      </c>
      <c r="E45" s="87">
        <v>464564.8</v>
      </c>
      <c r="F45" s="87" t="s">
        <v>13</v>
      </c>
      <c r="G45" s="87">
        <v>103823.33</v>
      </c>
      <c r="H45" s="87">
        <v>1317667.54</v>
      </c>
      <c r="I45" s="87">
        <v>130530.26</v>
      </c>
      <c r="J45" s="87">
        <v>1086368.06</v>
      </c>
      <c r="K45" s="87">
        <v>100769.22</v>
      </c>
      <c r="L45" s="87">
        <v>1390087.82</v>
      </c>
      <c r="M45" s="87">
        <v>35069.230000000003</v>
      </c>
      <c r="N45" s="87">
        <v>651178.06000000006</v>
      </c>
      <c r="O45" s="87">
        <v>703840.53</v>
      </c>
      <c r="P45" s="87">
        <v>535.01</v>
      </c>
      <c r="Q45" s="286">
        <v>38</v>
      </c>
    </row>
    <row r="46" spans="1:17">
      <c r="A46" s="86">
        <v>1995</v>
      </c>
      <c r="B46" s="87">
        <v>4152635.58</v>
      </c>
      <c r="C46" s="87">
        <v>823189.24</v>
      </c>
      <c r="D46" s="87">
        <v>441653.58</v>
      </c>
      <c r="E46" s="87">
        <v>381535.66</v>
      </c>
      <c r="F46" s="87" t="s">
        <v>13</v>
      </c>
      <c r="G46" s="87">
        <v>240885.92</v>
      </c>
      <c r="H46" s="87">
        <v>1709161.19</v>
      </c>
      <c r="I46" s="87">
        <v>196152.88</v>
      </c>
      <c r="J46" s="87">
        <v>1387545.12</v>
      </c>
      <c r="K46" s="87">
        <v>125463.19</v>
      </c>
      <c r="L46" s="87">
        <v>1378174.19</v>
      </c>
      <c r="M46" s="87">
        <v>45768.82</v>
      </c>
      <c r="N46" s="87">
        <v>752087.37</v>
      </c>
      <c r="O46" s="87">
        <v>580318</v>
      </c>
      <c r="P46" s="87">
        <v>1225.04</v>
      </c>
      <c r="Q46" s="286">
        <v>39</v>
      </c>
    </row>
    <row r="47" spans="1:17">
      <c r="A47" s="86">
        <v>1996</v>
      </c>
      <c r="B47" s="87">
        <v>3931720.24</v>
      </c>
      <c r="C47" s="87">
        <v>856568.35</v>
      </c>
      <c r="D47" s="87">
        <v>501863.02</v>
      </c>
      <c r="E47" s="87">
        <v>354705.33</v>
      </c>
      <c r="F47" s="87" t="s">
        <v>13</v>
      </c>
      <c r="G47" s="87">
        <v>162367.74</v>
      </c>
      <c r="H47" s="87">
        <v>1758672.95</v>
      </c>
      <c r="I47" s="87">
        <v>243734.67</v>
      </c>
      <c r="J47" s="87">
        <v>1350842.02</v>
      </c>
      <c r="K47" s="87">
        <v>164096.26</v>
      </c>
      <c r="L47" s="87">
        <v>1153047.75</v>
      </c>
      <c r="M47" s="87">
        <v>37320.129999999997</v>
      </c>
      <c r="N47" s="87">
        <v>738023.68</v>
      </c>
      <c r="O47" s="87">
        <v>377703.94</v>
      </c>
      <c r="P47" s="87">
        <v>1063.45</v>
      </c>
      <c r="Q47" s="286">
        <v>40</v>
      </c>
    </row>
    <row r="48" spans="1:17">
      <c r="A48" s="86">
        <v>1997</v>
      </c>
      <c r="B48" s="87">
        <v>4954833.5199999996</v>
      </c>
      <c r="C48" s="87">
        <v>1039659.84</v>
      </c>
      <c r="D48" s="87">
        <v>611603.76</v>
      </c>
      <c r="E48" s="87">
        <v>428056.08</v>
      </c>
      <c r="F48" s="87" t="s">
        <v>13</v>
      </c>
      <c r="G48" s="87">
        <v>437433.88</v>
      </c>
      <c r="H48" s="87">
        <v>1996345.47</v>
      </c>
      <c r="I48" s="87">
        <v>279692.7</v>
      </c>
      <c r="J48" s="87">
        <v>1535875.44</v>
      </c>
      <c r="K48" s="87">
        <v>180777.33</v>
      </c>
      <c r="L48" s="87">
        <v>1480540.11</v>
      </c>
      <c r="M48" s="87">
        <v>47868.49</v>
      </c>
      <c r="N48" s="87">
        <v>968544.23</v>
      </c>
      <c r="O48" s="87">
        <v>464127.39</v>
      </c>
      <c r="P48" s="87">
        <v>854.22</v>
      </c>
      <c r="Q48" s="286">
        <v>41</v>
      </c>
    </row>
    <row r="49" spans="1:17">
      <c r="A49" s="86">
        <v>1998</v>
      </c>
      <c r="B49" s="87">
        <v>5575733.8499999996</v>
      </c>
      <c r="C49" s="87">
        <v>1170816.8400000001</v>
      </c>
      <c r="D49" s="87">
        <v>713529.2</v>
      </c>
      <c r="E49" s="87">
        <v>457287.64</v>
      </c>
      <c r="F49" s="87" t="s">
        <v>13</v>
      </c>
      <c r="G49" s="87">
        <v>325577.88</v>
      </c>
      <c r="H49" s="87">
        <v>2205047.25</v>
      </c>
      <c r="I49" s="87">
        <v>272604.09999999998</v>
      </c>
      <c r="J49" s="87">
        <v>1736023.73</v>
      </c>
      <c r="K49" s="87">
        <v>196419.42</v>
      </c>
      <c r="L49" s="87">
        <v>1873511.14</v>
      </c>
      <c r="M49" s="87">
        <v>56143.56</v>
      </c>
      <c r="N49" s="87">
        <v>1163422.55</v>
      </c>
      <c r="O49" s="87">
        <v>653945.03</v>
      </c>
      <c r="P49" s="87">
        <v>780.74</v>
      </c>
      <c r="Q49" s="286">
        <v>42</v>
      </c>
    </row>
    <row r="50" spans="1:17">
      <c r="A50" s="86">
        <v>1999</v>
      </c>
      <c r="B50" s="87">
        <v>3017255.57</v>
      </c>
      <c r="C50" s="87">
        <v>621168.05000000005</v>
      </c>
      <c r="D50" s="87">
        <v>444645.8</v>
      </c>
      <c r="E50" s="87">
        <v>176522.25</v>
      </c>
      <c r="F50" s="87" t="s">
        <v>13</v>
      </c>
      <c r="G50" s="87">
        <v>243838.39</v>
      </c>
      <c r="H50" s="87">
        <v>1335475.3600000001</v>
      </c>
      <c r="I50" s="87">
        <v>200214.68</v>
      </c>
      <c r="J50" s="87">
        <v>1047132.02</v>
      </c>
      <c r="K50" s="87">
        <v>88128.66</v>
      </c>
      <c r="L50" s="87">
        <v>815058.33</v>
      </c>
      <c r="M50" s="87">
        <v>18934.37</v>
      </c>
      <c r="N50" s="87">
        <v>549096.22</v>
      </c>
      <c r="O50" s="87">
        <v>247027.74</v>
      </c>
      <c r="P50" s="87">
        <v>1715.44</v>
      </c>
      <c r="Q50" s="286">
        <v>43</v>
      </c>
    </row>
    <row r="51" spans="1:17" s="77" customFormat="1">
      <c r="A51" s="86">
        <v>2000</v>
      </c>
      <c r="B51" s="96">
        <v>3721200.93</v>
      </c>
      <c r="C51" s="87">
        <v>821386.2</v>
      </c>
      <c r="D51" s="96">
        <v>493360.32</v>
      </c>
      <c r="E51" s="96">
        <v>328025.88</v>
      </c>
      <c r="F51" s="96" t="s">
        <v>13</v>
      </c>
      <c r="G51" s="96">
        <v>298203.55</v>
      </c>
      <c r="H51" s="96">
        <v>1657763.75</v>
      </c>
      <c r="I51" s="96">
        <v>237425.68</v>
      </c>
      <c r="J51" s="96">
        <v>1329786.71</v>
      </c>
      <c r="K51" s="96">
        <v>90551.360000000001</v>
      </c>
      <c r="L51" s="96">
        <v>941847.49</v>
      </c>
      <c r="M51" s="96">
        <v>26727.48</v>
      </c>
      <c r="N51" s="96">
        <v>563798.63</v>
      </c>
      <c r="O51" s="96">
        <v>351321.38</v>
      </c>
      <c r="P51" s="96">
        <v>1999.94</v>
      </c>
      <c r="Q51" s="286">
        <v>44</v>
      </c>
    </row>
    <row r="52" spans="1:17" s="77" customFormat="1">
      <c r="A52" s="86">
        <v>2001</v>
      </c>
      <c r="B52" s="96">
        <v>5362856.07</v>
      </c>
      <c r="C52" s="87">
        <v>1419041.03</v>
      </c>
      <c r="D52" s="96">
        <v>765130.33</v>
      </c>
      <c r="E52" s="96">
        <v>653910.69999999995</v>
      </c>
      <c r="F52" s="96" t="s">
        <v>13</v>
      </c>
      <c r="G52" s="96">
        <v>296629.99</v>
      </c>
      <c r="H52" s="96">
        <v>1983211.13</v>
      </c>
      <c r="I52" s="96">
        <v>254890.44</v>
      </c>
      <c r="J52" s="96">
        <v>1548687.37</v>
      </c>
      <c r="K52" s="96">
        <v>179633.32</v>
      </c>
      <c r="L52" s="96">
        <v>1660999.69</v>
      </c>
      <c r="M52" s="96">
        <v>42075.09</v>
      </c>
      <c r="N52" s="96">
        <v>939985.35</v>
      </c>
      <c r="O52" s="96">
        <v>678939.25</v>
      </c>
      <c r="P52" s="96">
        <v>2974.23</v>
      </c>
      <c r="Q52" s="286">
        <v>45</v>
      </c>
    </row>
    <row r="53" spans="1:17" s="77" customFormat="1">
      <c r="A53" s="86">
        <v>2002</v>
      </c>
      <c r="B53" s="96">
        <v>6431065.1900000004</v>
      </c>
      <c r="C53" s="87">
        <v>1802098.45</v>
      </c>
      <c r="D53" s="96">
        <v>969903.79</v>
      </c>
      <c r="E53" s="96">
        <v>832194.66</v>
      </c>
      <c r="F53" s="96" t="s">
        <v>13</v>
      </c>
      <c r="G53" s="96">
        <v>284428.64</v>
      </c>
      <c r="H53" s="96">
        <v>2320161.85</v>
      </c>
      <c r="I53" s="96">
        <v>266408.23</v>
      </c>
      <c r="J53" s="96">
        <v>1701654.87</v>
      </c>
      <c r="K53" s="96">
        <v>352098.75</v>
      </c>
      <c r="L53" s="96">
        <v>2022240.48</v>
      </c>
      <c r="M53" s="96">
        <v>31863.16</v>
      </c>
      <c r="N53" s="96">
        <v>1221424.97</v>
      </c>
      <c r="O53" s="96">
        <v>768952.35</v>
      </c>
      <c r="P53" s="96">
        <v>2135.77</v>
      </c>
      <c r="Q53" s="286">
        <v>46</v>
      </c>
    </row>
    <row r="54" spans="1:17" s="77" customFormat="1">
      <c r="A54" s="86">
        <v>2003</v>
      </c>
      <c r="B54" s="96">
        <v>6702741</v>
      </c>
      <c r="C54" s="87">
        <v>1875381.89</v>
      </c>
      <c r="D54" s="96">
        <v>1071320.92</v>
      </c>
      <c r="E54" s="96">
        <v>804060.97</v>
      </c>
      <c r="F54" s="96" t="s">
        <v>13</v>
      </c>
      <c r="G54" s="96">
        <v>809870.96</v>
      </c>
      <c r="H54" s="96">
        <v>2221491.9900000002</v>
      </c>
      <c r="I54" s="96">
        <v>288572.46999999997</v>
      </c>
      <c r="J54" s="96">
        <v>1745778.66</v>
      </c>
      <c r="K54" s="96">
        <v>187140.86</v>
      </c>
      <c r="L54" s="96">
        <v>1795160.6</v>
      </c>
      <c r="M54" s="96">
        <v>36806.99</v>
      </c>
      <c r="N54" s="96">
        <v>1181320.78</v>
      </c>
      <c r="O54" s="96">
        <v>577032.82999999996</v>
      </c>
      <c r="P54" s="96">
        <v>835.56</v>
      </c>
      <c r="Q54" s="286">
        <v>47</v>
      </c>
    </row>
    <row r="55" spans="1:17" s="77" customFormat="1">
      <c r="A55" s="86">
        <v>2004</v>
      </c>
      <c r="B55" s="96">
        <v>8226263.6600000001</v>
      </c>
      <c r="C55" s="87">
        <v>2191383.52</v>
      </c>
      <c r="D55" s="96">
        <v>1267853.3999999999</v>
      </c>
      <c r="E55" s="96">
        <v>923530.12</v>
      </c>
      <c r="F55" s="96" t="s">
        <v>13</v>
      </c>
      <c r="G55" s="96">
        <v>1138417.1399999999</v>
      </c>
      <c r="H55" s="96">
        <v>2839522.99</v>
      </c>
      <c r="I55" s="96">
        <v>392072.72</v>
      </c>
      <c r="J55" s="96">
        <v>2237143.1800000002</v>
      </c>
      <c r="K55" s="96">
        <v>210307.09</v>
      </c>
      <c r="L55" s="96">
        <v>2055475.34</v>
      </c>
      <c r="M55" s="96">
        <v>38833.519999999997</v>
      </c>
      <c r="N55" s="96">
        <v>1349979.82</v>
      </c>
      <c r="O55" s="96">
        <v>666662</v>
      </c>
      <c r="P55" s="96">
        <v>1464.67</v>
      </c>
      <c r="Q55" s="286">
        <v>48</v>
      </c>
    </row>
    <row r="56" spans="1:17" s="77" customFormat="1">
      <c r="A56" s="86">
        <v>2005</v>
      </c>
      <c r="B56" s="96">
        <v>10286883.640000001</v>
      </c>
      <c r="C56" s="87">
        <v>2511641.21</v>
      </c>
      <c r="D56" s="96">
        <v>1433789.4399999999</v>
      </c>
      <c r="E56" s="96">
        <v>1077851.77</v>
      </c>
      <c r="F56" s="96" t="s">
        <v>13</v>
      </c>
      <c r="G56" s="96">
        <v>1814604.9</v>
      </c>
      <c r="H56" s="96">
        <v>3241815.59</v>
      </c>
      <c r="I56" s="96">
        <v>401107.04</v>
      </c>
      <c r="J56" s="96">
        <v>2540025.89</v>
      </c>
      <c r="K56" s="96">
        <v>300682.65999999997</v>
      </c>
      <c r="L56" s="96">
        <v>2713118.31</v>
      </c>
      <c r="M56" s="96">
        <v>44944.61</v>
      </c>
      <c r="N56" s="96">
        <v>1719991.02</v>
      </c>
      <c r="O56" s="96">
        <v>948182.68</v>
      </c>
      <c r="P56" s="96">
        <v>5703.63</v>
      </c>
      <c r="Q56" s="286">
        <v>49</v>
      </c>
    </row>
    <row r="57" spans="1:17" s="77" customFormat="1">
      <c r="A57" s="86">
        <v>2006</v>
      </c>
      <c r="B57" s="96">
        <v>12113559.859999999</v>
      </c>
      <c r="C57" s="87">
        <v>2763979.02</v>
      </c>
      <c r="D57" s="96">
        <v>1589577.86</v>
      </c>
      <c r="E57" s="96">
        <v>1174401.1599999999</v>
      </c>
      <c r="F57" s="96" t="s">
        <v>13</v>
      </c>
      <c r="G57" s="96">
        <v>2541333.67</v>
      </c>
      <c r="H57" s="96">
        <v>3804389.44</v>
      </c>
      <c r="I57" s="96">
        <v>433066.91</v>
      </c>
      <c r="J57" s="96">
        <v>2993537.5</v>
      </c>
      <c r="K57" s="96">
        <v>377785.03</v>
      </c>
      <c r="L57" s="96">
        <v>3002126.7</v>
      </c>
      <c r="M57" s="96">
        <v>46685.9</v>
      </c>
      <c r="N57" s="96">
        <v>1810799.25</v>
      </c>
      <c r="O57" s="96">
        <v>1144641.55</v>
      </c>
      <c r="P57" s="96">
        <v>1731.03</v>
      </c>
      <c r="Q57" s="286">
        <v>50</v>
      </c>
    </row>
    <row r="58" spans="1:17" s="77" customFormat="1">
      <c r="A58" s="86">
        <v>2007</v>
      </c>
      <c r="B58" s="96">
        <v>13893461.52</v>
      </c>
      <c r="C58" s="87">
        <v>3099181.07</v>
      </c>
      <c r="D58" s="96">
        <v>1904103.32</v>
      </c>
      <c r="E58" s="96">
        <v>1195077.75</v>
      </c>
      <c r="F58" s="96" t="s">
        <v>13</v>
      </c>
      <c r="G58" s="96">
        <v>2765289.38</v>
      </c>
      <c r="H58" s="96">
        <v>4514036.83</v>
      </c>
      <c r="I58" s="96">
        <v>580097.99</v>
      </c>
      <c r="J58" s="96">
        <v>3514610.76</v>
      </c>
      <c r="K58" s="96">
        <v>419328.08</v>
      </c>
      <c r="L58" s="96">
        <v>3511785.21</v>
      </c>
      <c r="M58" s="96">
        <v>55700.32</v>
      </c>
      <c r="N58" s="96">
        <v>2139094.1800000002</v>
      </c>
      <c r="O58" s="96">
        <v>1316990.71</v>
      </c>
      <c r="P58" s="96">
        <v>3169.03</v>
      </c>
      <c r="Q58" s="301">
        <v>51</v>
      </c>
    </row>
    <row r="59" spans="1:17" s="77" customFormat="1">
      <c r="A59" s="86">
        <v>2008</v>
      </c>
      <c r="B59" s="96">
        <v>18851930.620000001</v>
      </c>
      <c r="C59" s="87">
        <v>4113632.44</v>
      </c>
      <c r="D59" s="96">
        <v>2498743.25</v>
      </c>
      <c r="E59" s="96">
        <v>1614889.19</v>
      </c>
      <c r="F59" s="96" t="s">
        <v>13</v>
      </c>
      <c r="G59" s="96">
        <v>3562056.64</v>
      </c>
      <c r="H59" s="96">
        <v>6393441.3600000003</v>
      </c>
      <c r="I59" s="96">
        <v>886769.58</v>
      </c>
      <c r="J59" s="96">
        <v>4984191.3499999996</v>
      </c>
      <c r="K59" s="96">
        <v>522480.43</v>
      </c>
      <c r="L59" s="96">
        <v>4767665.04</v>
      </c>
      <c r="M59" s="96">
        <v>92932.34</v>
      </c>
      <c r="N59" s="96">
        <v>2991191.93</v>
      </c>
      <c r="O59" s="96">
        <v>1683540.77</v>
      </c>
      <c r="P59" s="96">
        <v>15135.14</v>
      </c>
      <c r="Q59" s="301">
        <v>52</v>
      </c>
    </row>
    <row r="60" spans="1:17" s="77" customFormat="1" ht="15" customHeight="1">
      <c r="A60" s="86">
        <v>2009</v>
      </c>
      <c r="B60" s="96">
        <v>15089892.35</v>
      </c>
      <c r="C60" s="87">
        <v>3264353.25</v>
      </c>
      <c r="D60" s="96">
        <v>1984944.13</v>
      </c>
      <c r="E60" s="96">
        <v>1279409.1200000001</v>
      </c>
      <c r="F60" s="96" t="s">
        <v>13</v>
      </c>
      <c r="G60" s="96">
        <v>2641585.25</v>
      </c>
      <c r="H60" s="96">
        <v>5015751.54</v>
      </c>
      <c r="I60" s="96">
        <v>670210.88</v>
      </c>
      <c r="J60" s="96">
        <v>3798286.85</v>
      </c>
      <c r="K60" s="96">
        <v>547253.81000000006</v>
      </c>
      <c r="L60" s="96">
        <v>4120057.3</v>
      </c>
      <c r="M60" s="96">
        <v>95616.16</v>
      </c>
      <c r="N60" s="96">
        <v>2740396.91</v>
      </c>
      <c r="O60" s="96">
        <v>1284044.23</v>
      </c>
      <c r="P60" s="96">
        <v>48145.01</v>
      </c>
      <c r="Q60" s="301">
        <v>53</v>
      </c>
    </row>
    <row r="61" spans="1:17" s="77" customFormat="1">
      <c r="A61" s="86">
        <v>2010</v>
      </c>
      <c r="B61" s="96">
        <v>20590854.640000001</v>
      </c>
      <c r="C61" s="87">
        <v>4371146.7</v>
      </c>
      <c r="D61" s="96">
        <v>2371887.02</v>
      </c>
      <c r="E61" s="96">
        <v>1999259.68</v>
      </c>
      <c r="F61" s="96" t="s">
        <v>13</v>
      </c>
      <c r="G61" s="96">
        <v>4338499.82</v>
      </c>
      <c r="H61" s="96">
        <v>6401762.0999999996</v>
      </c>
      <c r="I61" s="96">
        <v>840665.82</v>
      </c>
      <c r="J61" s="96">
        <v>4975267.5999999996</v>
      </c>
      <c r="K61" s="96">
        <v>585828.68000000005</v>
      </c>
      <c r="L61" s="96">
        <v>5395429.1399999997</v>
      </c>
      <c r="M61" s="96">
        <v>91088.81</v>
      </c>
      <c r="N61" s="96">
        <v>3535793.86</v>
      </c>
      <c r="O61" s="96">
        <v>1768546.47</v>
      </c>
      <c r="P61" s="96">
        <v>84016.88</v>
      </c>
      <c r="Q61" s="301">
        <v>54</v>
      </c>
    </row>
    <row r="62" spans="1:17" s="77" customFormat="1">
      <c r="A62" s="86">
        <v>2011</v>
      </c>
      <c r="B62" s="96">
        <v>24437614.57</v>
      </c>
      <c r="C62" s="87">
        <v>5157509.6100000003</v>
      </c>
      <c r="D62" s="96">
        <v>2861741.69</v>
      </c>
      <c r="E62" s="96">
        <v>2144220.17</v>
      </c>
      <c r="F62" s="96">
        <v>151547.75</v>
      </c>
      <c r="G62" s="96">
        <v>5369298.29</v>
      </c>
      <c r="H62" s="96">
        <v>7741869.3300000001</v>
      </c>
      <c r="I62" s="96">
        <v>1011038.84</v>
      </c>
      <c r="J62" s="96">
        <v>5877400.4199999999</v>
      </c>
      <c r="K62" s="96">
        <v>853430.07</v>
      </c>
      <c r="L62" s="96">
        <v>6124036.7699999996</v>
      </c>
      <c r="M62" s="96">
        <v>107866.36</v>
      </c>
      <c r="N62" s="96">
        <v>4208712.9400000004</v>
      </c>
      <c r="O62" s="96">
        <v>1807457.47</v>
      </c>
      <c r="P62" s="96">
        <v>44900.57</v>
      </c>
      <c r="Q62" s="301">
        <v>55</v>
      </c>
    </row>
    <row r="63" spans="1:17" s="77" customFormat="1">
      <c r="A63" s="86">
        <v>2012</v>
      </c>
      <c r="B63" s="96">
        <v>25476970.940000001</v>
      </c>
      <c r="C63" s="87">
        <v>5265199.0599999996</v>
      </c>
      <c r="D63" s="96">
        <v>2930545.75</v>
      </c>
      <c r="E63" s="96">
        <v>2161889.9500000002</v>
      </c>
      <c r="F63" s="96">
        <v>172763.36</v>
      </c>
      <c r="G63" s="96">
        <v>5611734.7699999996</v>
      </c>
      <c r="H63" s="96">
        <v>7821625.4800000004</v>
      </c>
      <c r="I63" s="96">
        <v>1058543.69</v>
      </c>
      <c r="J63" s="96">
        <v>5795522.6200000001</v>
      </c>
      <c r="K63" s="96">
        <v>967559.17</v>
      </c>
      <c r="L63" s="96">
        <v>6732093.9299999997</v>
      </c>
      <c r="M63" s="96">
        <v>120527.9</v>
      </c>
      <c r="N63" s="96">
        <v>4642135.9400000004</v>
      </c>
      <c r="O63" s="96">
        <v>1969430.09</v>
      </c>
      <c r="P63" s="96">
        <v>46317.7</v>
      </c>
      <c r="Q63" s="301">
        <v>56</v>
      </c>
    </row>
    <row r="64" spans="1:17" s="77" customFormat="1">
      <c r="A64" s="86">
        <v>2013</v>
      </c>
      <c r="B64" s="96">
        <v>27021280.690000001</v>
      </c>
      <c r="C64" s="87">
        <v>5447583.1699999999</v>
      </c>
      <c r="D64" s="96">
        <v>2997286.47</v>
      </c>
      <c r="E64" s="96">
        <v>2210151.2200000002</v>
      </c>
      <c r="F64" s="96">
        <v>240145.48</v>
      </c>
      <c r="G64" s="96">
        <v>6109693.1200000001</v>
      </c>
      <c r="H64" s="96">
        <v>8332052.4500000002</v>
      </c>
      <c r="I64" s="96">
        <v>1123983.49</v>
      </c>
      <c r="J64" s="96">
        <v>6197793.3700000001</v>
      </c>
      <c r="K64" s="96">
        <v>1010275.59</v>
      </c>
      <c r="L64" s="96">
        <v>7065382.6500000004</v>
      </c>
      <c r="M64" s="96">
        <v>125482.82</v>
      </c>
      <c r="N64" s="96">
        <v>5076563.17</v>
      </c>
      <c r="O64" s="96">
        <v>1863336.66</v>
      </c>
      <c r="P64" s="96">
        <v>66569.3</v>
      </c>
      <c r="Q64" s="301">
        <v>57</v>
      </c>
    </row>
    <row r="65" spans="1:17" s="77" customFormat="1">
      <c r="A65" s="86">
        <v>2014</v>
      </c>
      <c r="B65" s="96">
        <v>27726277.559999999</v>
      </c>
      <c r="C65" s="87">
        <v>5451407.1399999997</v>
      </c>
      <c r="D65" s="96">
        <v>3013522.61</v>
      </c>
      <c r="E65" s="96">
        <v>2229838.14</v>
      </c>
      <c r="F65" s="96">
        <v>208046.39</v>
      </c>
      <c r="G65" s="96">
        <v>6616550.7199999997</v>
      </c>
      <c r="H65" s="96">
        <v>8617616.4800000004</v>
      </c>
      <c r="I65" s="96">
        <v>1350649.57</v>
      </c>
      <c r="J65" s="96">
        <v>6147177.2599999998</v>
      </c>
      <c r="K65" s="96">
        <v>1119789.6499999999</v>
      </c>
      <c r="L65" s="96">
        <v>6980515.9199999999</v>
      </c>
      <c r="M65" s="96">
        <v>128364.9</v>
      </c>
      <c r="N65" s="96">
        <v>4898316.59</v>
      </c>
      <c r="O65" s="96">
        <v>1953834.43</v>
      </c>
      <c r="P65" s="96">
        <v>60187.3</v>
      </c>
      <c r="Q65" s="301">
        <v>58</v>
      </c>
    </row>
    <row r="66" spans="1:17" s="77" customFormat="1">
      <c r="A66" s="86">
        <v>2015</v>
      </c>
      <c r="B66" s="96">
        <v>21517971.460000001</v>
      </c>
      <c r="C66" s="87">
        <v>4418841.08</v>
      </c>
      <c r="D66" s="96">
        <v>2695073.12</v>
      </c>
      <c r="E66" s="96">
        <v>1593088.6</v>
      </c>
      <c r="F66" s="96">
        <v>130679.36</v>
      </c>
      <c r="G66" s="96">
        <v>4171093.24</v>
      </c>
      <c r="H66" s="96">
        <v>7302070.75</v>
      </c>
      <c r="I66" s="96">
        <v>1199108.3899999999</v>
      </c>
      <c r="J66" s="96">
        <v>5445123.9699999997</v>
      </c>
      <c r="K66" s="96">
        <v>657838.39</v>
      </c>
      <c r="L66" s="96">
        <v>5562755.1200000001</v>
      </c>
      <c r="M66" s="96">
        <v>143803.53</v>
      </c>
      <c r="N66" s="96">
        <v>3947686.18</v>
      </c>
      <c r="O66" s="96">
        <v>1471265.41</v>
      </c>
      <c r="P66" s="96">
        <v>63211.27</v>
      </c>
      <c r="Q66" s="301">
        <v>59</v>
      </c>
    </row>
    <row r="67" spans="1:17" s="77" customFormat="1">
      <c r="A67" s="86">
        <v>2016</v>
      </c>
      <c r="B67" s="96">
        <v>16324204.614443</v>
      </c>
      <c r="C67" s="87">
        <v>3516446.6040550005</v>
      </c>
      <c r="D67" s="96">
        <v>2139759.7664419999</v>
      </c>
      <c r="E67" s="96">
        <v>1241175.0230439999</v>
      </c>
      <c r="F67" s="96">
        <v>135511.81456899998</v>
      </c>
      <c r="G67" s="96">
        <v>2631850.9463559999</v>
      </c>
      <c r="H67" s="96">
        <v>6026735.3633580003</v>
      </c>
      <c r="I67" s="96">
        <v>1112231.978112</v>
      </c>
      <c r="J67" s="96">
        <v>4501446.6764449999</v>
      </c>
      <c r="K67" s="96">
        <v>413056.70880099997</v>
      </c>
      <c r="L67" s="96">
        <v>4087598.4226640007</v>
      </c>
      <c r="M67" s="96">
        <v>117058.09198000003</v>
      </c>
      <c r="N67" s="96">
        <v>2978156.1353079998</v>
      </c>
      <c r="O67" s="96">
        <v>992384.19537600002</v>
      </c>
      <c r="P67" s="96">
        <v>61573.278009999995</v>
      </c>
      <c r="Q67" s="301">
        <v>60</v>
      </c>
    </row>
    <row r="68" spans="1:17" s="89" customFormat="1">
      <c r="A68" s="217"/>
      <c r="B68" s="217"/>
      <c r="C68" s="217"/>
      <c r="D68" s="217"/>
      <c r="E68" s="217"/>
      <c r="F68" s="217"/>
      <c r="G68" s="217"/>
      <c r="H68" s="217"/>
      <c r="I68" s="217"/>
      <c r="J68" s="217"/>
      <c r="K68" s="217"/>
      <c r="L68" s="217"/>
      <c r="M68" s="217"/>
      <c r="N68" s="218"/>
      <c r="O68" s="218"/>
      <c r="P68" s="219"/>
      <c r="Q68" s="91"/>
    </row>
    <row r="69" spans="1:17" s="89" customFormat="1">
      <c r="N69" s="90"/>
      <c r="O69" s="90"/>
      <c r="P69" s="91"/>
      <c r="Q69" s="91"/>
    </row>
    <row r="70" spans="1:17">
      <c r="E70" s="305"/>
      <c r="G70" s="305"/>
      <c r="J70" s="305"/>
      <c r="N70" s="305"/>
      <c r="O70" s="305"/>
      <c r="P70" s="305"/>
    </row>
    <row r="71" spans="1:17">
      <c r="A71" s="197" t="s">
        <v>234</v>
      </c>
      <c r="E71" s="311"/>
      <c r="G71" s="305"/>
      <c r="J71" s="305"/>
      <c r="N71" s="305"/>
      <c r="O71" s="305"/>
      <c r="P71" s="305"/>
    </row>
    <row r="72" spans="1:17">
      <c r="G72" s="305"/>
      <c r="J72" s="305"/>
      <c r="N72" s="305"/>
      <c r="O72" s="305"/>
      <c r="P72" s="305"/>
    </row>
    <row r="73" spans="1:17">
      <c r="A73" s="79" t="s">
        <v>222</v>
      </c>
      <c r="G73" s="305"/>
      <c r="J73" s="305"/>
    </row>
  </sheetData>
  <mergeCells count="9">
    <mergeCell ref="A1:P1"/>
    <mergeCell ref="A2:P2"/>
    <mergeCell ref="P4:P5"/>
    <mergeCell ref="A4:A5"/>
    <mergeCell ref="C4:E4"/>
    <mergeCell ref="B4:B5"/>
    <mergeCell ref="G4:G5"/>
    <mergeCell ref="H4:K4"/>
    <mergeCell ref="L4:O4"/>
  </mergeCells>
  <hyperlinks>
    <hyperlink ref="A73" location="'indice cap.2'!A1" display="regresar al índice"/>
    <hyperlink ref="A71" location="'indice cap.2'!A1" display="Notas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S68"/>
  <sheetViews>
    <sheetView showGridLines="0" workbookViewId="0">
      <selection activeCell="F10" sqref="F10"/>
    </sheetView>
  </sheetViews>
  <sheetFormatPr baseColWidth="10" defaultRowHeight="12.75"/>
  <cols>
    <col min="1" max="1" width="13.7109375" style="8" customWidth="1"/>
    <col min="2" max="58" width="11.42578125" style="8" customWidth="1"/>
    <col min="59" max="59" width="10" style="8" customWidth="1"/>
    <col min="60" max="62" width="9.85546875" style="8" customWidth="1"/>
    <col min="63" max="64" width="9.28515625" style="8" customWidth="1"/>
    <col min="65" max="65" width="9.5703125" style="8" customWidth="1"/>
    <col min="66" max="66" width="8.85546875" style="8" customWidth="1"/>
    <col min="67" max="67" width="9.28515625" style="8" customWidth="1"/>
    <col min="68" max="68" width="8.5703125" style="8" customWidth="1"/>
    <col min="69" max="70" width="9.5703125" style="8" customWidth="1"/>
    <col min="71" max="16384" width="11.42578125" style="8"/>
  </cols>
  <sheetData>
    <row r="1" spans="1:70" s="54" customFormat="1">
      <c r="A1" s="331" t="s">
        <v>475</v>
      </c>
      <c r="B1" s="332"/>
      <c r="C1" s="332"/>
      <c r="D1" s="332"/>
      <c r="E1" s="332"/>
      <c r="F1" s="332"/>
      <c r="G1" s="332"/>
      <c r="H1" s="332"/>
      <c r="I1" s="332"/>
      <c r="J1" s="332"/>
      <c r="K1" s="332"/>
      <c r="L1" s="332"/>
      <c r="M1" s="332"/>
      <c r="N1" s="332"/>
      <c r="O1" s="332"/>
      <c r="P1" s="332"/>
      <c r="Q1" s="332"/>
      <c r="R1" s="332"/>
      <c r="S1" s="332"/>
      <c r="T1" s="332"/>
      <c r="U1" s="332"/>
      <c r="V1" s="332"/>
      <c r="W1" s="332"/>
      <c r="X1" s="332"/>
      <c r="Y1" s="332"/>
      <c r="Z1" s="332"/>
      <c r="AA1" s="332"/>
      <c r="AB1" s="332"/>
      <c r="AC1" s="332"/>
      <c r="AD1" s="332"/>
      <c r="AE1" s="332"/>
      <c r="AF1" s="332"/>
      <c r="AG1" s="332"/>
      <c r="AH1" s="332"/>
      <c r="AI1" s="332"/>
      <c r="AJ1" s="332"/>
      <c r="AK1" s="332"/>
      <c r="AL1" s="332"/>
      <c r="AM1" s="332"/>
      <c r="AN1" s="332"/>
      <c r="AO1" s="332"/>
      <c r="AP1" s="332"/>
      <c r="AQ1" s="332"/>
      <c r="AR1" s="332"/>
      <c r="AS1" s="332"/>
      <c r="AT1" s="332"/>
      <c r="AU1" s="332"/>
      <c r="AV1" s="332"/>
      <c r="AW1" s="332"/>
      <c r="AX1" s="332"/>
      <c r="AY1" s="332"/>
      <c r="AZ1" s="332"/>
      <c r="BA1" s="332"/>
      <c r="BB1" s="332"/>
      <c r="BC1" s="332"/>
      <c r="BD1" s="332"/>
      <c r="BE1" s="332"/>
      <c r="BF1" s="332"/>
      <c r="BG1" s="332"/>
      <c r="BH1" s="332"/>
      <c r="BI1" s="332"/>
      <c r="BJ1" s="332"/>
      <c r="BK1" s="332"/>
      <c r="BL1" s="332"/>
      <c r="BM1" s="235"/>
      <c r="BN1" s="235"/>
      <c r="BO1" s="235"/>
      <c r="BP1" s="235"/>
      <c r="BQ1" s="235"/>
    </row>
    <row r="2" spans="1:70">
      <c r="A2" s="335" t="s">
        <v>95</v>
      </c>
      <c r="B2" s="335"/>
      <c r="C2" s="335"/>
      <c r="D2" s="335"/>
      <c r="E2" s="335"/>
      <c r="F2" s="335"/>
      <c r="G2" s="335"/>
      <c r="H2" s="335"/>
      <c r="I2" s="335"/>
      <c r="J2" s="335"/>
      <c r="K2" s="335"/>
      <c r="L2" s="335"/>
      <c r="M2" s="335"/>
      <c r="N2" s="335"/>
      <c r="O2" s="335"/>
      <c r="P2" s="335"/>
      <c r="Q2" s="335"/>
      <c r="R2" s="335"/>
      <c r="S2" s="335"/>
      <c r="T2" s="335"/>
      <c r="U2" s="335"/>
      <c r="V2" s="335"/>
      <c r="W2" s="335"/>
      <c r="X2" s="335"/>
      <c r="Y2" s="335"/>
      <c r="Z2" s="335"/>
      <c r="AA2" s="335"/>
      <c r="AB2" s="335"/>
      <c r="AC2" s="335"/>
      <c r="AD2" s="335"/>
      <c r="AE2" s="335"/>
      <c r="AF2" s="335"/>
      <c r="AG2" s="335"/>
      <c r="AH2" s="335"/>
      <c r="AI2" s="335"/>
      <c r="AJ2" s="335"/>
      <c r="AK2" s="335"/>
      <c r="AL2" s="335"/>
      <c r="AM2" s="335"/>
      <c r="AN2" s="335"/>
      <c r="AO2" s="335"/>
      <c r="AP2" s="335"/>
      <c r="AQ2" s="335"/>
      <c r="AR2" s="335"/>
      <c r="AS2" s="335"/>
      <c r="AT2" s="335"/>
      <c r="AU2" s="335"/>
      <c r="AV2" s="335"/>
      <c r="AW2" s="335"/>
      <c r="AX2" s="335"/>
      <c r="AY2" s="335"/>
      <c r="AZ2" s="335"/>
      <c r="BA2" s="335"/>
      <c r="BB2" s="335"/>
      <c r="BC2" s="335"/>
      <c r="BD2" s="335"/>
      <c r="BE2" s="335"/>
      <c r="BF2" s="335"/>
      <c r="BG2" s="335"/>
      <c r="BH2" s="335"/>
      <c r="BI2" s="335"/>
      <c r="BJ2" s="335"/>
      <c r="BK2" s="335"/>
      <c r="BL2" s="335"/>
      <c r="BM2" s="335"/>
      <c r="BN2" s="335"/>
      <c r="BO2" s="335"/>
      <c r="BP2" s="335"/>
      <c r="BQ2" s="335"/>
      <c r="BR2" s="335"/>
    </row>
    <row r="3" spans="1:70">
      <c r="A3" s="98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308"/>
      <c r="BH3" s="308"/>
      <c r="BI3" s="309"/>
      <c r="BJ3" s="59"/>
      <c r="BK3" s="59"/>
      <c r="BL3" s="59"/>
      <c r="BM3" s="59"/>
      <c r="BN3" s="59"/>
    </row>
    <row r="4" spans="1:70" s="107" customFormat="1" ht="21.75" customHeight="1">
      <c r="A4" s="103" t="s">
        <v>76</v>
      </c>
      <c r="B4" s="66">
        <v>1948</v>
      </c>
      <c r="C4" s="66">
        <v>1949</v>
      </c>
      <c r="D4" s="66">
        <v>1950</v>
      </c>
      <c r="E4" s="66">
        <v>1951</v>
      </c>
      <c r="F4" s="66">
        <v>1952</v>
      </c>
      <c r="G4" s="66">
        <v>1953</v>
      </c>
      <c r="H4" s="66">
        <v>1954</v>
      </c>
      <c r="I4" s="66">
        <v>1955</v>
      </c>
      <c r="J4" s="66">
        <v>1956</v>
      </c>
      <c r="K4" s="66">
        <v>1957</v>
      </c>
      <c r="L4" s="66">
        <v>1958</v>
      </c>
      <c r="M4" s="66">
        <v>1959</v>
      </c>
      <c r="N4" s="66">
        <v>1960</v>
      </c>
      <c r="O4" s="66">
        <v>1961</v>
      </c>
      <c r="P4" s="66">
        <v>1962</v>
      </c>
      <c r="Q4" s="66">
        <v>1963</v>
      </c>
      <c r="R4" s="66">
        <v>1964</v>
      </c>
      <c r="S4" s="66">
        <v>1965</v>
      </c>
      <c r="T4" s="66">
        <v>1966</v>
      </c>
      <c r="U4" s="66">
        <v>1967</v>
      </c>
      <c r="V4" s="66">
        <v>1968</v>
      </c>
      <c r="W4" s="66">
        <v>1969</v>
      </c>
      <c r="X4" s="104" t="s">
        <v>14</v>
      </c>
      <c r="Y4" s="104" t="s">
        <v>15</v>
      </c>
      <c r="Z4" s="104" t="s">
        <v>16</v>
      </c>
      <c r="AA4" s="104" t="s">
        <v>17</v>
      </c>
      <c r="AB4" s="104" t="s">
        <v>18</v>
      </c>
      <c r="AC4" s="104" t="s">
        <v>19</v>
      </c>
      <c r="AD4" s="104" t="s">
        <v>20</v>
      </c>
      <c r="AE4" s="104" t="s">
        <v>21</v>
      </c>
      <c r="AF4" s="104" t="s">
        <v>22</v>
      </c>
      <c r="AG4" s="104" t="s">
        <v>23</v>
      </c>
      <c r="AH4" s="104" t="s">
        <v>24</v>
      </c>
      <c r="AI4" s="104" t="s">
        <v>25</v>
      </c>
      <c r="AJ4" s="104" t="s">
        <v>26</v>
      </c>
      <c r="AK4" s="104" t="s">
        <v>27</v>
      </c>
      <c r="AL4" s="104" t="s">
        <v>28</v>
      </c>
      <c r="AM4" s="104" t="s">
        <v>29</v>
      </c>
      <c r="AN4" s="104" t="s">
        <v>30</v>
      </c>
      <c r="AO4" s="104" t="s">
        <v>31</v>
      </c>
      <c r="AP4" s="104" t="s">
        <v>32</v>
      </c>
      <c r="AQ4" s="104" t="s">
        <v>33</v>
      </c>
      <c r="AR4" s="104" t="s">
        <v>34</v>
      </c>
      <c r="AS4" s="104" t="s">
        <v>35</v>
      </c>
      <c r="AT4" s="104" t="s">
        <v>36</v>
      </c>
      <c r="AU4" s="104" t="s">
        <v>40</v>
      </c>
      <c r="AV4" s="104" t="s">
        <v>41</v>
      </c>
      <c r="AW4" s="104" t="s">
        <v>42</v>
      </c>
      <c r="AX4" s="104" t="s">
        <v>43</v>
      </c>
      <c r="AY4" s="105">
        <v>1997</v>
      </c>
      <c r="AZ4" s="105">
        <v>1998</v>
      </c>
      <c r="BA4" s="105">
        <v>1999</v>
      </c>
      <c r="BB4" s="105">
        <v>2000</v>
      </c>
      <c r="BC4" s="105">
        <v>2001</v>
      </c>
      <c r="BD4" s="105">
        <v>2002</v>
      </c>
      <c r="BE4" s="105">
        <v>2003</v>
      </c>
      <c r="BF4" s="105">
        <v>2004</v>
      </c>
      <c r="BG4" s="105">
        <v>2005</v>
      </c>
      <c r="BH4" s="105">
        <v>2006</v>
      </c>
      <c r="BI4" s="105">
        <v>2007</v>
      </c>
      <c r="BJ4" s="105">
        <v>2008</v>
      </c>
      <c r="BK4" s="105">
        <v>2009</v>
      </c>
      <c r="BL4" s="105">
        <v>2010</v>
      </c>
      <c r="BM4" s="106">
        <v>2011</v>
      </c>
      <c r="BN4" s="105">
        <v>2012</v>
      </c>
      <c r="BO4" s="105">
        <v>2013</v>
      </c>
      <c r="BP4" s="105">
        <v>2014</v>
      </c>
      <c r="BQ4" s="105">
        <v>2015</v>
      </c>
      <c r="BR4" s="105">
        <v>2016</v>
      </c>
    </row>
    <row r="5" spans="1:70">
      <c r="A5" s="98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306"/>
      <c r="BH5" s="306"/>
      <c r="BI5" s="306"/>
      <c r="BJ5" s="306"/>
      <c r="BK5" s="306"/>
      <c r="BL5" s="306"/>
      <c r="BM5" s="306"/>
      <c r="BN5" s="306"/>
      <c r="BO5" s="307"/>
      <c r="BP5" s="307"/>
      <c r="BQ5" s="307"/>
      <c r="BR5" s="307"/>
    </row>
    <row r="6" spans="1:70" s="10" customFormat="1">
      <c r="A6" s="108" t="s">
        <v>77</v>
      </c>
      <c r="B6" s="248">
        <v>42.084879999999998</v>
      </c>
      <c r="C6" s="248">
        <v>40.896000000000001</v>
      </c>
      <c r="D6" s="248">
        <v>41.64</v>
      </c>
      <c r="E6" s="248">
        <v>55.033000000000001</v>
      </c>
      <c r="F6" s="248">
        <v>56.537999999999997</v>
      </c>
      <c r="G6" s="248">
        <v>72.751000000000005</v>
      </c>
      <c r="H6" s="248">
        <v>86.045000000000002</v>
      </c>
      <c r="I6" s="248">
        <v>89.662999999999997</v>
      </c>
      <c r="J6" s="248">
        <v>80.168000000000006</v>
      </c>
      <c r="K6" s="248">
        <v>91.88</v>
      </c>
      <c r="L6" s="248">
        <v>87.242999999999995</v>
      </c>
      <c r="M6" s="248">
        <v>92.164000000000001</v>
      </c>
      <c r="N6" s="248">
        <v>102.202</v>
      </c>
      <c r="O6" s="248">
        <v>100.78400000000001</v>
      </c>
      <c r="P6" s="248">
        <v>97.775999999999996</v>
      </c>
      <c r="Q6" s="248">
        <v>110.53100000000001</v>
      </c>
      <c r="R6" s="248">
        <v>138.15899999999999</v>
      </c>
      <c r="S6" s="248">
        <v>165.465</v>
      </c>
      <c r="T6" s="248">
        <v>174.12899999999999</v>
      </c>
      <c r="U6" s="248">
        <v>214.21</v>
      </c>
      <c r="V6" s="248">
        <v>255.465</v>
      </c>
      <c r="W6" s="248">
        <v>241.83799999999999</v>
      </c>
      <c r="X6" s="248">
        <v>273.84899999999999</v>
      </c>
      <c r="Y6" s="248">
        <v>340.10399999999998</v>
      </c>
      <c r="Z6" s="248">
        <v>318.59899999999999</v>
      </c>
      <c r="AA6" s="248">
        <v>397.28199999999998</v>
      </c>
      <c r="AB6" s="248">
        <v>958.48800000000006</v>
      </c>
      <c r="AC6" s="248">
        <v>943.24400000000003</v>
      </c>
      <c r="AD6" s="248">
        <v>993.12300000000005</v>
      </c>
      <c r="AE6" s="248">
        <v>1508.357</v>
      </c>
      <c r="AF6" s="248">
        <v>1630.202</v>
      </c>
      <c r="AG6" s="248">
        <v>1985.5989999999999</v>
      </c>
      <c r="AH6" s="248">
        <v>2249.5189999999998</v>
      </c>
      <c r="AI6" s="248">
        <v>2246.1619999999998</v>
      </c>
      <c r="AJ6" s="248">
        <v>1988.374</v>
      </c>
      <c r="AK6" s="248">
        <v>1464.954</v>
      </c>
      <c r="AL6" s="248">
        <v>1715.777</v>
      </c>
      <c r="AM6" s="248">
        <v>1766.7227</v>
      </c>
      <c r="AN6" s="248">
        <v>1810.221</v>
      </c>
      <c r="AO6" s="248">
        <v>2158.136</v>
      </c>
      <c r="AP6" s="248">
        <v>1713.5250000000001</v>
      </c>
      <c r="AQ6" s="248">
        <v>1854.8</v>
      </c>
      <c r="AR6" s="248">
        <v>1865.1</v>
      </c>
      <c r="AS6" s="248">
        <v>2399</v>
      </c>
      <c r="AT6" s="248">
        <v>2431</v>
      </c>
      <c r="AU6" s="248">
        <v>2562.1999999999998</v>
      </c>
      <c r="AV6" s="248">
        <v>3622</v>
      </c>
      <c r="AW6" s="248">
        <v>4152.6000000000004</v>
      </c>
      <c r="AX6" s="249">
        <v>3931.7</v>
      </c>
      <c r="AY6" s="249">
        <v>4954.8</v>
      </c>
      <c r="AZ6" s="249">
        <v>5575.7</v>
      </c>
      <c r="BA6" s="249">
        <v>3017.3</v>
      </c>
      <c r="BB6" s="250">
        <v>3721.2007979999998</v>
      </c>
      <c r="BC6" s="250">
        <v>5362.8560160000006</v>
      </c>
      <c r="BD6" s="250">
        <v>6431.1494160000002</v>
      </c>
      <c r="BE6" s="250">
        <v>6702.7417665622097</v>
      </c>
      <c r="BF6" s="250">
        <v>8226.2648155897605</v>
      </c>
      <c r="BG6" s="250">
        <v>10286.796522000001</v>
      </c>
      <c r="BH6" s="250">
        <v>12113.576014000002</v>
      </c>
      <c r="BI6" s="249">
        <v>13893.387060000001</v>
      </c>
      <c r="BJ6" s="249">
        <v>18851.930533000002</v>
      </c>
      <c r="BK6" s="249">
        <v>15089.892312</v>
      </c>
      <c r="BL6" s="249">
        <v>20590.854611999999</v>
      </c>
      <c r="BM6" s="249">
        <v>24437.614550620005</v>
      </c>
      <c r="BN6" s="249">
        <v>25476.970865187996</v>
      </c>
      <c r="BO6" s="249">
        <v>27021.280730469</v>
      </c>
      <c r="BP6" s="249">
        <v>27726.277575406999</v>
      </c>
      <c r="BQ6" s="249">
        <v>21517.971430219</v>
      </c>
      <c r="BR6" s="249">
        <v>16324.204614484001</v>
      </c>
    </row>
    <row r="7" spans="1:70" ht="7.5" customHeight="1">
      <c r="A7" s="68"/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  <c r="AA7" s="69"/>
      <c r="AB7" s="69"/>
      <c r="AC7" s="69"/>
      <c r="AD7" s="69"/>
      <c r="AE7" s="69"/>
      <c r="AF7" s="69"/>
      <c r="AG7" s="69"/>
      <c r="AH7" s="69"/>
      <c r="AI7" s="69"/>
      <c r="AJ7" s="69"/>
      <c r="AK7" s="69"/>
      <c r="AL7" s="69"/>
      <c r="AM7" s="69"/>
      <c r="AN7" s="69"/>
      <c r="AO7" s="69"/>
      <c r="AP7" s="69"/>
      <c r="AQ7" s="69"/>
      <c r="AR7" s="69"/>
      <c r="AS7" s="69"/>
      <c r="AT7" s="69"/>
      <c r="AU7" s="69"/>
      <c r="AV7" s="69"/>
      <c r="AW7" s="69"/>
      <c r="AX7" s="19"/>
      <c r="AY7" s="19"/>
      <c r="AZ7" s="19"/>
      <c r="BA7" s="19"/>
      <c r="BB7" s="244"/>
      <c r="BC7" s="244"/>
      <c r="BD7" s="244"/>
      <c r="BE7" s="244"/>
      <c r="BF7" s="244"/>
      <c r="BG7" s="244"/>
      <c r="BH7" s="244"/>
      <c r="BI7" s="19"/>
      <c r="BJ7" s="19"/>
      <c r="BK7" s="19"/>
      <c r="BL7" s="19"/>
      <c r="BM7" s="19"/>
      <c r="BN7" s="19"/>
      <c r="BO7" s="19"/>
      <c r="BP7" s="19"/>
      <c r="BQ7" s="19"/>
      <c r="BR7" s="19"/>
    </row>
    <row r="8" spans="1:70">
      <c r="A8" s="68" t="s">
        <v>294</v>
      </c>
      <c r="B8" s="69">
        <v>34.673000000000002</v>
      </c>
      <c r="C8" s="69">
        <v>33.22</v>
      </c>
      <c r="D8" s="69">
        <v>29.832999999999998</v>
      </c>
      <c r="E8" s="69">
        <v>38.897000000000006</v>
      </c>
      <c r="F8" s="69">
        <v>40.835999999999999</v>
      </c>
      <c r="G8" s="69">
        <v>52</v>
      </c>
      <c r="H8" s="69">
        <v>57.587999999999994</v>
      </c>
      <c r="I8" s="69">
        <v>58.778999999999996</v>
      </c>
      <c r="J8" s="69">
        <v>50.278999999999996</v>
      </c>
      <c r="K8" s="69">
        <v>57.575000000000003</v>
      </c>
      <c r="L8" s="69">
        <v>52.518999999999998</v>
      </c>
      <c r="M8" s="69">
        <v>58.009</v>
      </c>
      <c r="N8" s="69">
        <v>57.586999999999996</v>
      </c>
      <c r="O8" s="69">
        <v>56.678000000000004</v>
      </c>
      <c r="P8" s="69">
        <v>53.704999999999998</v>
      </c>
      <c r="Q8" s="69">
        <v>63.318999999999996</v>
      </c>
      <c r="R8" s="69">
        <v>77.420999999999992</v>
      </c>
      <c r="S8" s="69">
        <v>93.683999999999997</v>
      </c>
      <c r="T8" s="69">
        <v>94.272000000000006</v>
      </c>
      <c r="U8" s="69">
        <v>122.878</v>
      </c>
      <c r="V8" s="69">
        <v>140.453</v>
      </c>
      <c r="W8" s="69">
        <v>133.92699999999999</v>
      </c>
      <c r="X8" s="69">
        <v>159.43</v>
      </c>
      <c r="Y8" s="69">
        <v>187.43299999999999</v>
      </c>
      <c r="Z8" s="69">
        <v>169.81100000000001</v>
      </c>
      <c r="AA8" s="69">
        <v>200.41200000000001</v>
      </c>
      <c r="AB8" s="69">
        <v>498.53100000000001</v>
      </c>
      <c r="AC8" s="69">
        <v>533.96100000000001</v>
      </c>
      <c r="AD8" s="69">
        <v>537.66999999999996</v>
      </c>
      <c r="AE8" s="69">
        <v>814.09900000000005</v>
      </c>
      <c r="AF8" s="69">
        <v>818.53200000000004</v>
      </c>
      <c r="AG8" s="69">
        <v>981.90499999999997</v>
      </c>
      <c r="AH8" s="69">
        <v>1209.2919999999999</v>
      </c>
      <c r="AI8" s="69">
        <v>1141.4590000000001</v>
      </c>
      <c r="AJ8" s="69">
        <v>1101.8979999999999</v>
      </c>
      <c r="AK8" s="69">
        <v>824.22199999999998</v>
      </c>
      <c r="AL8" s="69">
        <v>936.00800000000004</v>
      </c>
      <c r="AM8" s="69">
        <v>1083.7233000000001</v>
      </c>
      <c r="AN8" s="69">
        <v>919.56899999999996</v>
      </c>
      <c r="AO8" s="69">
        <v>1166.8789999999999</v>
      </c>
      <c r="AP8" s="69">
        <v>925.82899999999995</v>
      </c>
      <c r="AQ8" s="69">
        <v>1096.3</v>
      </c>
      <c r="AR8" s="69">
        <v>1112.5</v>
      </c>
      <c r="AS8" s="69">
        <v>1376.5</v>
      </c>
      <c r="AT8" s="69">
        <v>1426.8</v>
      </c>
      <c r="AU8" s="69">
        <v>1428.8</v>
      </c>
      <c r="AV8" s="69">
        <v>2111.1999999999998</v>
      </c>
      <c r="AW8" s="69">
        <v>2742.7</v>
      </c>
      <c r="AX8" s="19">
        <v>2667.2</v>
      </c>
      <c r="AY8" s="19">
        <v>3342.9</v>
      </c>
      <c r="AZ8" s="19">
        <v>3725.9</v>
      </c>
      <c r="BA8" s="19">
        <v>2123.5</v>
      </c>
      <c r="BB8" s="244">
        <v>2552.1212990000004</v>
      </c>
      <c r="BC8" s="244">
        <v>3624.0619039999992</v>
      </c>
      <c r="BD8" s="244">
        <v>4400.1272920000001</v>
      </c>
      <c r="BE8" s="244">
        <v>4743.2024340885873</v>
      </c>
      <c r="BF8" s="244">
        <v>5898.8432147481017</v>
      </c>
      <c r="BG8" s="19">
        <v>6853.738386</v>
      </c>
      <c r="BH8" s="19">
        <v>8136.5323910000025</v>
      </c>
      <c r="BI8" s="19">
        <v>9305.4013189999987</v>
      </c>
      <c r="BJ8" s="19">
        <v>12333.908512</v>
      </c>
      <c r="BK8" s="19">
        <v>10063.332694999999</v>
      </c>
      <c r="BL8" s="19">
        <v>14124.474584999998</v>
      </c>
      <c r="BM8" s="19">
        <v>16149.857681000001</v>
      </c>
      <c r="BN8" s="19">
        <v>15880.300276</v>
      </c>
      <c r="BO8" s="19">
        <v>16565.300409714</v>
      </c>
      <c r="BP8" s="19">
        <v>17227.429924421001</v>
      </c>
      <c r="BQ8" s="19">
        <v>12334.750197129</v>
      </c>
      <c r="BR8" s="19">
        <v>9629.8565612710008</v>
      </c>
    </row>
    <row r="9" spans="1:70" ht="9" customHeight="1">
      <c r="A9" s="68"/>
      <c r="B9" s="74"/>
      <c r="C9" s="74"/>
      <c r="D9" s="74"/>
      <c r="E9" s="74"/>
      <c r="F9" s="74"/>
      <c r="G9" s="74"/>
      <c r="H9" s="74"/>
      <c r="I9" s="74"/>
      <c r="J9" s="74"/>
      <c r="K9" s="74"/>
      <c r="L9" s="74"/>
      <c r="M9" s="74"/>
      <c r="N9" s="74"/>
      <c r="O9" s="74"/>
      <c r="P9" s="74"/>
      <c r="Q9" s="74"/>
      <c r="R9" s="74"/>
      <c r="S9" s="19"/>
      <c r="T9" s="19"/>
      <c r="U9" s="19"/>
      <c r="V9" s="74"/>
      <c r="W9" s="69"/>
      <c r="X9" s="69"/>
      <c r="Y9" s="69"/>
      <c r="Z9" s="69"/>
      <c r="AA9" s="69"/>
      <c r="AB9" s="69"/>
      <c r="AC9" s="69"/>
      <c r="AD9" s="69"/>
      <c r="AE9" s="69"/>
      <c r="AF9" s="69"/>
      <c r="AG9" s="69"/>
      <c r="AH9" s="69"/>
      <c r="AI9" s="69"/>
      <c r="AJ9" s="69"/>
      <c r="AK9" s="69"/>
      <c r="AL9" s="69"/>
      <c r="AM9" s="69"/>
      <c r="AN9" s="69"/>
      <c r="AO9" s="69"/>
      <c r="AP9" s="69"/>
      <c r="AQ9" s="69"/>
      <c r="AR9" s="69"/>
      <c r="AS9" s="69"/>
      <c r="AT9" s="69"/>
      <c r="AU9" s="69"/>
      <c r="AV9" s="69"/>
      <c r="AW9" s="69"/>
      <c r="AX9" s="19"/>
      <c r="AY9" s="19"/>
      <c r="AZ9" s="19"/>
      <c r="BA9" s="19"/>
      <c r="BB9" s="244"/>
      <c r="BC9" s="244"/>
      <c r="BD9" s="244"/>
      <c r="BE9" s="244"/>
      <c r="BF9" s="244"/>
      <c r="BG9" s="244"/>
      <c r="BH9" s="244"/>
      <c r="BI9" s="19"/>
      <c r="BJ9" s="19"/>
      <c r="BK9" s="19"/>
      <c r="BL9" s="19"/>
      <c r="BM9" s="19"/>
      <c r="BN9" s="19"/>
      <c r="BO9" s="19"/>
      <c r="BP9" s="19"/>
      <c r="BQ9" s="19"/>
      <c r="BR9" s="19"/>
    </row>
    <row r="10" spans="1:70">
      <c r="A10" s="68" t="s">
        <v>295</v>
      </c>
      <c r="B10" s="69">
        <v>30.577000000000002</v>
      </c>
      <c r="C10" s="69">
        <v>31.228000000000002</v>
      </c>
      <c r="D10" s="69">
        <v>28.401</v>
      </c>
      <c r="E10" s="69">
        <v>36.228000000000002</v>
      </c>
      <c r="F10" s="69">
        <v>36.558</v>
      </c>
      <c r="G10" s="69">
        <v>41.947000000000003</v>
      </c>
      <c r="H10" s="69">
        <v>45.923999999999999</v>
      </c>
      <c r="I10" s="69">
        <v>46.956000000000003</v>
      </c>
      <c r="J10" s="69">
        <v>41.66</v>
      </c>
      <c r="K10" s="69">
        <v>47.784999999999997</v>
      </c>
      <c r="L10" s="69">
        <v>42.966999999999999</v>
      </c>
      <c r="M10" s="69">
        <v>47.234000000000002</v>
      </c>
      <c r="N10" s="69">
        <v>49.366999999999997</v>
      </c>
      <c r="O10" s="69">
        <v>48.311999999999998</v>
      </c>
      <c r="P10" s="69">
        <v>42.353000000000002</v>
      </c>
      <c r="Q10" s="69">
        <v>51.887</v>
      </c>
      <c r="R10" s="69">
        <v>59.494999999999997</v>
      </c>
      <c r="S10" s="69">
        <v>66.233999999999995</v>
      </c>
      <c r="T10" s="69">
        <v>76.814999999999998</v>
      </c>
      <c r="U10" s="69">
        <v>86.632000000000005</v>
      </c>
      <c r="V10" s="69">
        <v>111.47799999999999</v>
      </c>
      <c r="W10" s="69">
        <v>94.900999999999996</v>
      </c>
      <c r="X10" s="69">
        <v>118.896</v>
      </c>
      <c r="Y10" s="69">
        <v>129.43199999999999</v>
      </c>
      <c r="Z10" s="69">
        <v>120.747</v>
      </c>
      <c r="AA10" s="69">
        <v>133.97900000000001</v>
      </c>
      <c r="AB10" s="69">
        <v>356.53100000000001</v>
      </c>
      <c r="AC10" s="69">
        <v>379.089</v>
      </c>
      <c r="AD10" s="69">
        <v>375.20800000000003</v>
      </c>
      <c r="AE10" s="69">
        <v>579.125</v>
      </c>
      <c r="AF10" s="69">
        <v>568.96299999999997</v>
      </c>
      <c r="AG10" s="69">
        <v>686.94100000000003</v>
      </c>
      <c r="AH10" s="69">
        <v>862.38300000000004</v>
      </c>
      <c r="AI10" s="69">
        <v>757.30899999999997</v>
      </c>
      <c r="AJ10" s="69">
        <v>741.18399999999997</v>
      </c>
      <c r="AK10" s="69">
        <v>498.221</v>
      </c>
      <c r="AL10" s="69">
        <v>527.96699999999998</v>
      </c>
      <c r="AM10" s="69">
        <v>620.221</v>
      </c>
      <c r="AN10" s="69">
        <v>547.16399999999999</v>
      </c>
      <c r="AO10" s="69">
        <v>558.75599999999997</v>
      </c>
      <c r="AP10" s="69">
        <v>567.59</v>
      </c>
      <c r="AQ10" s="69">
        <v>625.9</v>
      </c>
      <c r="AR10" s="69">
        <v>610.79999999999995</v>
      </c>
      <c r="AS10" s="69">
        <v>740.6</v>
      </c>
      <c r="AT10" s="69">
        <v>822.5</v>
      </c>
      <c r="AU10" s="69">
        <v>864.1</v>
      </c>
      <c r="AV10" s="69">
        <v>950.3</v>
      </c>
      <c r="AW10" s="69">
        <v>1301.7</v>
      </c>
      <c r="AX10" s="69">
        <v>1222.4000000000001</v>
      </c>
      <c r="AY10" s="19">
        <v>1516.4</v>
      </c>
      <c r="AZ10" s="19">
        <v>1680.4</v>
      </c>
      <c r="BA10" s="19">
        <v>918.5</v>
      </c>
      <c r="BB10" s="244">
        <v>932.06617300000016</v>
      </c>
      <c r="BC10" s="244">
        <v>1326.4421360000001</v>
      </c>
      <c r="BD10" s="244">
        <v>1480.8721620000001</v>
      </c>
      <c r="BE10" s="244">
        <v>1433.564868507875</v>
      </c>
      <c r="BF10" s="244">
        <v>1690.936970438388</v>
      </c>
      <c r="BG10" s="244">
        <v>2031.9094529999998</v>
      </c>
      <c r="BH10" s="244">
        <v>2738.8121350000001</v>
      </c>
      <c r="BI10" s="19">
        <v>2868.6086640000003</v>
      </c>
      <c r="BJ10" s="19">
        <v>3748.2105520000005</v>
      </c>
      <c r="BK10" s="19">
        <v>3962.3654709999996</v>
      </c>
      <c r="BL10" s="19">
        <v>5736.4452010000005</v>
      </c>
      <c r="BM10" s="19">
        <v>6120.617212000001</v>
      </c>
      <c r="BN10" s="19">
        <v>6802.4062459999996</v>
      </c>
      <c r="BO10" s="19">
        <v>7755.0937216410002</v>
      </c>
      <c r="BP10" s="19">
        <v>8750.8307521080005</v>
      </c>
      <c r="BQ10" s="19">
        <v>5806.1942264050003</v>
      </c>
      <c r="BR10" s="19">
        <v>4116.5378226840003</v>
      </c>
    </row>
    <row r="11" spans="1:70">
      <c r="A11" s="68" t="s">
        <v>296</v>
      </c>
      <c r="B11" s="69" t="s">
        <v>13</v>
      </c>
      <c r="C11" s="69" t="s">
        <v>13</v>
      </c>
      <c r="D11" s="69" t="s">
        <v>13</v>
      </c>
      <c r="E11" s="69" t="s">
        <v>13</v>
      </c>
      <c r="F11" s="69" t="s">
        <v>13</v>
      </c>
      <c r="G11" s="69" t="s">
        <v>13</v>
      </c>
      <c r="H11" s="69" t="s">
        <v>13</v>
      </c>
      <c r="I11" s="69" t="s">
        <v>13</v>
      </c>
      <c r="J11" s="69" t="s">
        <v>13</v>
      </c>
      <c r="K11" s="69" t="s">
        <v>13</v>
      </c>
      <c r="L11" s="69" t="s">
        <v>13</v>
      </c>
      <c r="M11" s="69" t="s">
        <v>13</v>
      </c>
      <c r="N11" s="69" t="s">
        <v>13</v>
      </c>
      <c r="O11" s="69" t="s">
        <v>13</v>
      </c>
      <c r="P11" s="69" t="s">
        <v>13</v>
      </c>
      <c r="Q11" s="69" t="s">
        <v>13</v>
      </c>
      <c r="R11" s="69" t="s">
        <v>13</v>
      </c>
      <c r="S11" s="69" t="s">
        <v>13</v>
      </c>
      <c r="T11" s="69" t="s">
        <v>13</v>
      </c>
      <c r="U11" s="69" t="s">
        <v>13</v>
      </c>
      <c r="V11" s="69" t="s">
        <v>13</v>
      </c>
      <c r="W11" s="69" t="s">
        <v>13</v>
      </c>
      <c r="X11" s="69" t="s">
        <v>13</v>
      </c>
      <c r="Y11" s="69" t="s">
        <v>13</v>
      </c>
      <c r="Z11" s="69" t="s">
        <v>13</v>
      </c>
      <c r="AA11" s="69" t="s">
        <v>13</v>
      </c>
      <c r="AB11" s="69" t="s">
        <v>13</v>
      </c>
      <c r="AC11" s="69" t="s">
        <v>13</v>
      </c>
      <c r="AD11" s="69" t="s">
        <v>13</v>
      </c>
      <c r="AE11" s="69" t="s">
        <v>13</v>
      </c>
      <c r="AF11" s="69" t="s">
        <v>13</v>
      </c>
      <c r="AG11" s="69" t="s">
        <v>13</v>
      </c>
      <c r="AH11" s="69" t="s">
        <v>13</v>
      </c>
      <c r="AI11" s="69" t="s">
        <v>13</v>
      </c>
      <c r="AJ11" s="69" t="s">
        <v>13</v>
      </c>
      <c r="AK11" s="69" t="s">
        <v>13</v>
      </c>
      <c r="AL11" s="69" t="s">
        <v>13</v>
      </c>
      <c r="AM11" s="69" t="s">
        <v>13</v>
      </c>
      <c r="AN11" s="69" t="s">
        <v>13</v>
      </c>
      <c r="AO11" s="69" t="s">
        <v>13</v>
      </c>
      <c r="AP11" s="69" t="s">
        <v>13</v>
      </c>
      <c r="AQ11" s="69" t="s">
        <v>13</v>
      </c>
      <c r="AR11" s="69" t="s">
        <v>13</v>
      </c>
      <c r="AS11" s="69" t="s">
        <v>13</v>
      </c>
      <c r="AT11" s="69" t="s">
        <v>13</v>
      </c>
      <c r="AU11" s="69" t="s">
        <v>13</v>
      </c>
      <c r="AV11" s="69" t="s">
        <v>13</v>
      </c>
      <c r="AW11" s="69" t="s">
        <v>13</v>
      </c>
      <c r="AX11" s="19" t="s">
        <v>13</v>
      </c>
      <c r="AY11" s="19" t="s">
        <v>13</v>
      </c>
      <c r="AZ11" s="19" t="s">
        <v>13</v>
      </c>
      <c r="BA11" s="19" t="s">
        <v>13</v>
      </c>
      <c r="BB11" s="244" t="s">
        <v>13</v>
      </c>
      <c r="BC11" s="244" t="s">
        <v>13</v>
      </c>
      <c r="BD11" s="244" t="s">
        <v>13</v>
      </c>
      <c r="BE11" s="244" t="s">
        <v>13</v>
      </c>
      <c r="BF11" s="244" t="s">
        <v>13</v>
      </c>
      <c r="BG11" s="244">
        <v>118.19062</v>
      </c>
      <c r="BH11" s="244">
        <v>153.13220000000001</v>
      </c>
      <c r="BI11" s="244">
        <v>209.05128999999999</v>
      </c>
      <c r="BJ11" s="244">
        <v>242.19546</v>
      </c>
      <c r="BK11" s="244">
        <v>172.67771999999999</v>
      </c>
      <c r="BL11" s="244">
        <v>265.17692</v>
      </c>
      <c r="BM11" s="244">
        <v>272.06961000000001</v>
      </c>
      <c r="BN11" s="244">
        <v>311.29822999999999</v>
      </c>
      <c r="BO11" s="244">
        <v>256.75344825600001</v>
      </c>
      <c r="BP11" s="244">
        <v>263.45749264699998</v>
      </c>
      <c r="BQ11" s="244">
        <v>275.26657070599998</v>
      </c>
      <c r="BR11" s="244">
        <v>190.21593435299999</v>
      </c>
    </row>
    <row r="12" spans="1:70" ht="10.5" customHeight="1">
      <c r="A12" s="68"/>
      <c r="B12" s="69"/>
      <c r="C12" s="69"/>
      <c r="D12" s="69"/>
      <c r="E12" s="69"/>
      <c r="F12" s="69"/>
      <c r="G12" s="69"/>
      <c r="H12" s="69"/>
      <c r="I12" s="69"/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  <c r="AB12" s="69"/>
      <c r="AC12" s="69"/>
      <c r="AD12" s="69"/>
      <c r="AE12" s="69"/>
      <c r="AF12" s="69"/>
      <c r="AG12" s="69"/>
      <c r="AH12" s="69"/>
      <c r="AI12" s="69"/>
      <c r="AJ12" s="69"/>
      <c r="AK12" s="69"/>
      <c r="AL12" s="69"/>
      <c r="AM12" s="69"/>
      <c r="AN12" s="69"/>
      <c r="AO12" s="69"/>
      <c r="AP12" s="69"/>
      <c r="AQ12" s="69"/>
      <c r="AR12" s="69"/>
      <c r="AS12" s="69"/>
      <c r="AT12" s="69"/>
      <c r="AU12" s="69"/>
      <c r="AV12" s="69"/>
      <c r="AW12" s="69"/>
      <c r="AX12" s="19"/>
      <c r="AY12" s="19"/>
      <c r="AZ12" s="19"/>
      <c r="BA12" s="19"/>
      <c r="BB12" s="244"/>
      <c r="BC12" s="244"/>
      <c r="BD12" s="244"/>
      <c r="BE12" s="244"/>
      <c r="BF12" s="244"/>
      <c r="BG12" s="244"/>
      <c r="BH12" s="244"/>
      <c r="BI12" s="244"/>
      <c r="BJ12" s="244"/>
      <c r="BK12" s="244"/>
      <c r="BL12" s="244"/>
      <c r="BM12" s="244"/>
      <c r="BN12" s="244"/>
      <c r="BO12" s="244"/>
      <c r="BP12" s="244"/>
      <c r="BQ12" s="244"/>
      <c r="BR12" s="244"/>
    </row>
    <row r="13" spans="1:70">
      <c r="A13" s="68" t="s">
        <v>297</v>
      </c>
      <c r="B13" s="69" t="s">
        <v>13</v>
      </c>
      <c r="C13" s="69" t="s">
        <v>13</v>
      </c>
      <c r="D13" s="69" t="s">
        <v>13</v>
      </c>
      <c r="E13" s="69" t="s">
        <v>13</v>
      </c>
      <c r="F13" s="69" t="s">
        <v>13</v>
      </c>
      <c r="G13" s="69" t="s">
        <v>13</v>
      </c>
      <c r="H13" s="69" t="s">
        <v>13</v>
      </c>
      <c r="I13" s="69" t="s">
        <v>13</v>
      </c>
      <c r="J13" s="69" t="s">
        <v>13</v>
      </c>
      <c r="K13" s="69" t="s">
        <v>13</v>
      </c>
      <c r="L13" s="69" t="s">
        <v>13</v>
      </c>
      <c r="M13" s="69" t="s">
        <v>13</v>
      </c>
      <c r="N13" s="69" t="s">
        <v>13</v>
      </c>
      <c r="O13" s="69" t="s">
        <v>13</v>
      </c>
      <c r="P13" s="69" t="s">
        <v>13</v>
      </c>
      <c r="Q13" s="69" t="s">
        <v>13</v>
      </c>
      <c r="R13" s="69" t="s">
        <v>13</v>
      </c>
      <c r="S13" s="69">
        <v>6.9000000000000006E-2</v>
      </c>
      <c r="T13" s="69">
        <v>6.9000000000000006E-2</v>
      </c>
      <c r="U13" s="69">
        <v>0.129</v>
      </c>
      <c r="V13" s="69">
        <v>9.7000000000000003E-2</v>
      </c>
      <c r="W13" s="69">
        <v>0.16700000000000001</v>
      </c>
      <c r="X13" s="69">
        <v>0.48299999999999998</v>
      </c>
      <c r="Y13" s="69">
        <v>0.52100000000000002</v>
      </c>
      <c r="Z13" s="69">
        <v>0.35199999999999998</v>
      </c>
      <c r="AA13" s="69">
        <v>0.71099999999999997</v>
      </c>
      <c r="AB13" s="69">
        <v>1.625</v>
      </c>
      <c r="AC13" s="69">
        <v>11.058999999999999</v>
      </c>
      <c r="AD13" s="69">
        <v>3.9140000000000001</v>
      </c>
      <c r="AE13" s="69">
        <v>4.319</v>
      </c>
      <c r="AF13" s="69">
        <v>3.3690000000000002</v>
      </c>
      <c r="AG13" s="69">
        <v>7.7080000000000002</v>
      </c>
      <c r="AH13" s="69">
        <v>5.0599999999999996</v>
      </c>
      <c r="AI13" s="69">
        <v>16.597999999999999</v>
      </c>
      <c r="AJ13" s="69">
        <v>13.813000000000001</v>
      </c>
      <c r="AK13" s="69">
        <v>29.207999999999998</v>
      </c>
      <c r="AL13" s="69">
        <v>23.123999999999999</v>
      </c>
      <c r="AM13" s="69">
        <v>7.0979000000000001</v>
      </c>
      <c r="AN13" s="69">
        <v>11.266</v>
      </c>
      <c r="AO13" s="69">
        <v>14.667</v>
      </c>
      <c r="AP13" s="69">
        <v>16.506</v>
      </c>
      <c r="AQ13" s="69">
        <v>24.212</v>
      </c>
      <c r="AR13" s="69">
        <v>27.7</v>
      </c>
      <c r="AS13" s="69">
        <v>23.7</v>
      </c>
      <c r="AT13" s="69">
        <v>24.2</v>
      </c>
      <c r="AU13" s="69">
        <v>5.3</v>
      </c>
      <c r="AV13" s="69">
        <v>4.5999999999999996</v>
      </c>
      <c r="AW13" s="69">
        <v>8.6999999999999993</v>
      </c>
      <c r="AX13" s="19">
        <v>12.9</v>
      </c>
      <c r="AY13" s="19">
        <v>14.2</v>
      </c>
      <c r="AZ13" s="19">
        <v>16.3</v>
      </c>
      <c r="BA13" s="19">
        <v>15.7</v>
      </c>
      <c r="BB13" s="244">
        <v>15.498252000000001</v>
      </c>
      <c r="BC13" s="244">
        <v>30.222787999999994</v>
      </c>
      <c r="BD13" s="244">
        <v>17.715700000000002</v>
      </c>
      <c r="BE13" s="244">
        <v>39.122158999999996</v>
      </c>
      <c r="BF13" s="244">
        <v>36.508515999999993</v>
      </c>
      <c r="BG13" s="244">
        <v>100.74691199999998</v>
      </c>
      <c r="BH13" s="244">
        <v>58.941364000000007</v>
      </c>
      <c r="BI13" s="244">
        <v>37.005009999999999</v>
      </c>
      <c r="BJ13" s="244">
        <v>53.373113999999994</v>
      </c>
      <c r="BK13" s="244">
        <v>40.77149</v>
      </c>
      <c r="BL13" s="244">
        <v>102.24186000000002</v>
      </c>
      <c r="BM13" s="244">
        <v>88.734112999999994</v>
      </c>
      <c r="BN13" s="244">
        <v>94.412380999999982</v>
      </c>
      <c r="BO13" s="244">
        <v>107.29280150699999</v>
      </c>
      <c r="BP13" s="244">
        <v>104.025579612</v>
      </c>
      <c r="BQ13" s="244">
        <v>96.396531331999995</v>
      </c>
      <c r="BR13" s="244">
        <v>94.674241703000007</v>
      </c>
    </row>
    <row r="14" spans="1:70">
      <c r="A14" s="68"/>
      <c r="B14" s="69"/>
      <c r="C14" s="69"/>
      <c r="D14" s="69"/>
      <c r="E14" s="69"/>
      <c r="F14" s="69"/>
      <c r="G14" s="69"/>
      <c r="H14" s="69"/>
      <c r="I14" s="69"/>
      <c r="J14" s="69"/>
      <c r="K14" s="69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9"/>
      <c r="AH14" s="69"/>
      <c r="AI14" s="69"/>
      <c r="AJ14" s="69"/>
      <c r="AK14" s="69"/>
      <c r="AL14" s="69"/>
      <c r="AM14" s="69"/>
      <c r="AN14" s="69"/>
      <c r="AO14" s="69"/>
      <c r="AP14" s="69"/>
      <c r="AQ14" s="69"/>
      <c r="AR14" s="69"/>
      <c r="AS14" s="69"/>
      <c r="AT14" s="69"/>
      <c r="AU14" s="69"/>
      <c r="AV14" s="69"/>
      <c r="AW14" s="69"/>
      <c r="AX14" s="19"/>
      <c r="AY14" s="19"/>
      <c r="AZ14" s="19"/>
      <c r="BA14" s="19"/>
      <c r="BB14" s="244"/>
      <c r="BC14" s="244"/>
      <c r="BD14" s="244"/>
      <c r="BE14" s="244"/>
      <c r="BF14" s="244"/>
      <c r="BG14" s="244"/>
      <c r="BH14" s="244"/>
      <c r="BI14" s="244"/>
      <c r="BJ14" s="244"/>
      <c r="BK14" s="244"/>
      <c r="BL14" s="244"/>
      <c r="BM14" s="244"/>
      <c r="BN14" s="244"/>
      <c r="BO14" s="244"/>
      <c r="BP14" s="244"/>
      <c r="BQ14" s="244"/>
      <c r="BR14" s="244"/>
    </row>
    <row r="15" spans="1:70">
      <c r="A15" s="68" t="s">
        <v>298</v>
      </c>
      <c r="B15" s="69">
        <v>3.137864</v>
      </c>
      <c r="C15" s="69">
        <v>1.16971</v>
      </c>
      <c r="D15" s="69">
        <v>1.3466899999999999</v>
      </c>
      <c r="E15" s="69">
        <v>2.3168470000000001</v>
      </c>
      <c r="F15" s="69">
        <v>3.4402670000000004</v>
      </c>
      <c r="G15" s="69">
        <v>5.0102600000000006</v>
      </c>
      <c r="H15" s="69">
        <v>4.0524000000000004</v>
      </c>
      <c r="I15" s="69">
        <v>6.2609999999999992</v>
      </c>
      <c r="J15" s="69">
        <v>4.5760699999999996</v>
      </c>
      <c r="K15" s="69">
        <v>6.28653</v>
      </c>
      <c r="L15" s="69">
        <v>5.4203899999999994</v>
      </c>
      <c r="M15" s="69">
        <v>5.2058599999999995</v>
      </c>
      <c r="N15" s="69">
        <v>3.1949300000000003</v>
      </c>
      <c r="O15" s="69">
        <v>2.7014</v>
      </c>
      <c r="P15" s="69">
        <v>6.4879999999999995</v>
      </c>
      <c r="Q15" s="69">
        <v>4.7957000000000001</v>
      </c>
      <c r="R15" s="69">
        <v>11.190999999999999</v>
      </c>
      <c r="S15" s="69">
        <v>19.469000000000001</v>
      </c>
      <c r="T15" s="69">
        <v>11.504000000000001</v>
      </c>
      <c r="U15" s="69">
        <v>28.895</v>
      </c>
      <c r="V15" s="69">
        <v>20.56</v>
      </c>
      <c r="W15" s="69">
        <v>31.02</v>
      </c>
      <c r="X15" s="69">
        <v>34.677</v>
      </c>
      <c r="Y15" s="69">
        <v>50.472000000000001</v>
      </c>
      <c r="Z15" s="69">
        <v>38.831000000000003</v>
      </c>
      <c r="AA15" s="69">
        <v>57.639000000000003</v>
      </c>
      <c r="AB15" s="69">
        <v>117.947</v>
      </c>
      <c r="AC15" s="69">
        <v>124.095</v>
      </c>
      <c r="AD15" s="69">
        <v>140.43700000000001</v>
      </c>
      <c r="AE15" s="69">
        <v>180.31399999999999</v>
      </c>
      <c r="AF15" s="69">
        <v>206.15799999999999</v>
      </c>
      <c r="AG15" s="69">
        <v>235.40199999999999</v>
      </c>
      <c r="AH15" s="69">
        <v>276.22199999999998</v>
      </c>
      <c r="AI15" s="69">
        <v>253.04599999999999</v>
      </c>
      <c r="AJ15" s="69">
        <v>258.89499999999998</v>
      </c>
      <c r="AK15" s="69">
        <v>235.02600000000001</v>
      </c>
      <c r="AL15" s="69">
        <v>330.70100000000002</v>
      </c>
      <c r="AM15" s="69">
        <v>380.45420000000001</v>
      </c>
      <c r="AN15" s="69">
        <v>312.44900000000001</v>
      </c>
      <c r="AO15" s="69">
        <v>503.40899999999999</v>
      </c>
      <c r="AP15" s="69">
        <v>296.23900000000003</v>
      </c>
      <c r="AQ15" s="69">
        <v>387.5</v>
      </c>
      <c r="AR15" s="69">
        <v>412.9</v>
      </c>
      <c r="AS15" s="69">
        <v>528.4</v>
      </c>
      <c r="AT15" s="69">
        <v>480.5</v>
      </c>
      <c r="AU15" s="69">
        <v>429.6</v>
      </c>
      <c r="AV15" s="69">
        <v>1010</v>
      </c>
      <c r="AW15" s="69">
        <v>1235.7</v>
      </c>
      <c r="AX15" s="19">
        <v>1246.3</v>
      </c>
      <c r="AY15" s="19">
        <v>1516.1</v>
      </c>
      <c r="AZ15" s="19">
        <v>1700.1</v>
      </c>
      <c r="BA15" s="19">
        <v>1016.3</v>
      </c>
      <c r="BB15" s="244">
        <v>1396.035967</v>
      </c>
      <c r="BC15" s="244">
        <v>1916.944585</v>
      </c>
      <c r="BD15" s="244">
        <v>2512.4286240000001</v>
      </c>
      <c r="BE15" s="244">
        <v>2699.1254310728377</v>
      </c>
      <c r="BF15" s="244">
        <v>3546.7511498713252</v>
      </c>
      <c r="BG15" s="244">
        <v>4047.3613599999999</v>
      </c>
      <c r="BH15" s="244">
        <v>4549.0219699999998</v>
      </c>
      <c r="BI15" s="244">
        <v>5479.8101499999993</v>
      </c>
      <c r="BJ15" s="244">
        <v>7694.0240849999991</v>
      </c>
      <c r="BK15" s="244">
        <v>5260.8012839999992</v>
      </c>
      <c r="BL15" s="244">
        <v>6423.0001110000003</v>
      </c>
      <c r="BM15" s="244">
        <v>7396.0532470000007</v>
      </c>
      <c r="BN15" s="244">
        <v>8232.7923289999999</v>
      </c>
      <c r="BO15" s="244">
        <v>8300.2083740800008</v>
      </c>
      <c r="BP15" s="244">
        <v>7868.8716293570096</v>
      </c>
      <c r="BQ15" s="244">
        <v>6072.49253515899</v>
      </c>
      <c r="BR15" s="244">
        <v>5162.0300283480001</v>
      </c>
    </row>
    <row r="16" spans="1:70">
      <c r="A16" s="68" t="s">
        <v>299</v>
      </c>
      <c r="B16" s="69">
        <v>0.14799999999999999</v>
      </c>
      <c r="C16" s="69">
        <v>2.1499999999999998E-2</v>
      </c>
      <c r="D16" s="69">
        <v>1.4E-2</v>
      </c>
      <c r="E16" s="69">
        <v>9.5579999999999998E-2</v>
      </c>
      <c r="F16" s="69">
        <v>0.90007000000000004</v>
      </c>
      <c r="G16" s="69">
        <v>0.41599999999999998</v>
      </c>
      <c r="H16" s="69">
        <v>3.9300000000000002E-2</v>
      </c>
      <c r="I16" s="69">
        <v>1.9E-2</v>
      </c>
      <c r="J16" s="69">
        <v>2.8E-3</v>
      </c>
      <c r="K16" s="69">
        <v>2.1399999999999999E-2</v>
      </c>
      <c r="L16" s="69">
        <v>2.7899999999999999E-3</v>
      </c>
      <c r="M16" s="69">
        <v>9.5099999999999994E-3</v>
      </c>
      <c r="N16" s="69">
        <v>4.0800000000000003E-2</v>
      </c>
      <c r="O16" s="69">
        <v>6.6500000000000004E-2</v>
      </c>
      <c r="P16" s="69">
        <v>7.0000000000000007E-2</v>
      </c>
      <c r="Q16" s="69">
        <v>0.187</v>
      </c>
      <c r="R16" s="69">
        <v>0.29499999999999998</v>
      </c>
      <c r="S16" s="69">
        <v>0.53600000000000003</v>
      </c>
      <c r="T16" s="69">
        <v>0.36899999999999999</v>
      </c>
      <c r="U16" s="69">
        <v>1.907</v>
      </c>
      <c r="V16" s="69">
        <v>1.4370000000000001</v>
      </c>
      <c r="W16" s="69">
        <v>2.0910000000000002</v>
      </c>
      <c r="X16" s="69">
        <v>2.2210000000000001</v>
      </c>
      <c r="Y16" s="69">
        <v>1.962</v>
      </c>
      <c r="Z16" s="69">
        <v>3.5790000000000002</v>
      </c>
      <c r="AA16" s="69">
        <v>6.1109999999999998</v>
      </c>
      <c r="AB16" s="69">
        <v>17.425999999999998</v>
      </c>
      <c r="AC16" s="69">
        <v>12.382999999999999</v>
      </c>
      <c r="AD16" s="69">
        <v>15.933</v>
      </c>
      <c r="AE16" s="69">
        <v>20.536000000000001</v>
      </c>
      <c r="AF16" s="69">
        <v>20.001000000000001</v>
      </c>
      <c r="AG16" s="69">
        <v>16.917999999999999</v>
      </c>
      <c r="AH16" s="69">
        <v>13.074999999999999</v>
      </c>
      <c r="AI16" s="69">
        <v>18.962</v>
      </c>
      <c r="AJ16" s="69">
        <v>24.387</v>
      </c>
      <c r="AK16" s="69">
        <v>15.912000000000001</v>
      </c>
      <c r="AL16" s="69">
        <v>20.254999999999999</v>
      </c>
      <c r="AM16" s="69">
        <v>37.797600000000003</v>
      </c>
      <c r="AN16" s="69">
        <v>14.433999999999999</v>
      </c>
      <c r="AO16" s="69">
        <v>13.833</v>
      </c>
      <c r="AP16" s="69">
        <v>17.506</v>
      </c>
      <c r="AQ16" s="69">
        <v>34.347000000000001</v>
      </c>
      <c r="AR16" s="19">
        <v>30.9</v>
      </c>
      <c r="AS16" s="19">
        <v>66.099999999999994</v>
      </c>
      <c r="AT16" s="19">
        <v>75.2</v>
      </c>
      <c r="AU16" s="19">
        <v>37.200000000000003</v>
      </c>
      <c r="AV16" s="19">
        <v>50</v>
      </c>
      <c r="AW16" s="19">
        <v>74.2</v>
      </c>
      <c r="AX16" s="19">
        <v>82.9</v>
      </c>
      <c r="AY16" s="19">
        <v>98.7</v>
      </c>
      <c r="AZ16" s="19">
        <v>135.69999999999999</v>
      </c>
      <c r="BA16" s="19">
        <v>71</v>
      </c>
      <c r="BB16" s="19">
        <v>58.564872999999999</v>
      </c>
      <c r="BC16" s="19">
        <v>94.633419000000004</v>
      </c>
      <c r="BD16" s="19">
        <v>169.09956099999999</v>
      </c>
      <c r="BE16" s="19">
        <v>175.09371099999998</v>
      </c>
      <c r="BF16" s="19">
        <v>247.35298599999996</v>
      </c>
      <c r="BG16" s="244">
        <v>345.92444600000005</v>
      </c>
      <c r="BH16" s="244">
        <v>415.739327</v>
      </c>
      <c r="BI16" s="244">
        <v>439.89034900000001</v>
      </c>
      <c r="BJ16" s="244">
        <v>601.20391800000004</v>
      </c>
      <c r="BK16" s="244">
        <v>495.28508700000009</v>
      </c>
      <c r="BL16" s="244">
        <v>584.87922399999991</v>
      </c>
      <c r="BM16" s="244">
        <v>543.73992600000008</v>
      </c>
      <c r="BN16" s="244">
        <v>479.91259200000002</v>
      </c>
      <c r="BO16" s="244">
        <v>415.42468858000001</v>
      </c>
      <c r="BP16" s="244">
        <v>501.167780843</v>
      </c>
      <c r="BQ16" s="244">
        <v>235.070802262</v>
      </c>
      <c r="BR16" s="244">
        <v>218.19173080100001</v>
      </c>
    </row>
    <row r="17" spans="1:70">
      <c r="A17" s="68" t="s">
        <v>300</v>
      </c>
      <c r="B17" s="69">
        <v>0.65500000000000003</v>
      </c>
      <c r="C17" s="69">
        <v>8.4900000000000003E-2</v>
      </c>
      <c r="D17" s="69">
        <v>1.84E-2</v>
      </c>
      <c r="E17" s="69">
        <v>2.6499999999999999E-2</v>
      </c>
      <c r="F17" s="69">
        <v>2.2000000000000001E-3</v>
      </c>
      <c r="G17" s="69">
        <v>7.1999999999999998E-3</v>
      </c>
      <c r="H17" s="69">
        <v>3.0999999999999999E-3</v>
      </c>
      <c r="I17" s="69">
        <v>0.88400000000000001</v>
      </c>
      <c r="J17" s="69">
        <v>7.4000000000000003E-3</v>
      </c>
      <c r="K17" s="69">
        <v>3.5300000000000002E-3</v>
      </c>
      <c r="L17" s="69">
        <v>1.06E-2</v>
      </c>
      <c r="M17" s="69">
        <v>5.3499999999999997E-3</v>
      </c>
      <c r="N17" s="69">
        <v>3.13E-3</v>
      </c>
      <c r="O17" s="69">
        <v>2.29E-2</v>
      </c>
      <c r="P17" s="69">
        <v>3.9E-2</v>
      </c>
      <c r="Q17" s="69">
        <v>1.0699999999999999E-2</v>
      </c>
      <c r="R17" s="69">
        <v>0.16800000000000001</v>
      </c>
      <c r="S17" s="19">
        <v>0.21199999999999999</v>
      </c>
      <c r="T17" s="19">
        <v>0.20899999999999999</v>
      </c>
      <c r="U17" s="19">
        <v>0.59899999999999998</v>
      </c>
      <c r="V17" s="69">
        <v>0.21099999999999999</v>
      </c>
      <c r="W17" s="69">
        <v>0.30299999999999999</v>
      </c>
      <c r="X17" s="69">
        <v>0.66500000000000004</v>
      </c>
      <c r="Y17" s="69">
        <v>1.335</v>
      </c>
      <c r="Z17" s="69">
        <v>3.6560000000000001</v>
      </c>
      <c r="AA17" s="69">
        <v>8.2989999999999995</v>
      </c>
      <c r="AB17" s="69">
        <v>23.971</v>
      </c>
      <c r="AC17" s="69">
        <v>25.952000000000002</v>
      </c>
      <c r="AD17" s="69">
        <v>16.756</v>
      </c>
      <c r="AE17" s="69">
        <v>25.718</v>
      </c>
      <c r="AF17" s="69">
        <v>51.335999999999999</v>
      </c>
      <c r="AG17" s="69">
        <v>40.229999999999997</v>
      </c>
      <c r="AH17" s="69">
        <v>55.045999999999999</v>
      </c>
      <c r="AI17" s="69">
        <v>83.111000000000004</v>
      </c>
      <c r="AJ17" s="69">
        <v>77.927000000000007</v>
      </c>
      <c r="AK17" s="69">
        <v>73.620999999999995</v>
      </c>
      <c r="AL17" s="69">
        <v>172.65199999999999</v>
      </c>
      <c r="AM17" s="69">
        <v>144.46610000000001</v>
      </c>
      <c r="AN17" s="69">
        <v>110.03</v>
      </c>
      <c r="AO17" s="69">
        <v>117.35299999999999</v>
      </c>
      <c r="AP17" s="69">
        <v>109.76600000000001</v>
      </c>
      <c r="AQ17" s="69">
        <v>173.69499999999999</v>
      </c>
      <c r="AR17" s="69">
        <v>112</v>
      </c>
      <c r="AS17" s="69">
        <v>131.1</v>
      </c>
      <c r="AT17" s="69">
        <v>116.3</v>
      </c>
      <c r="AU17" s="69">
        <v>93.8</v>
      </c>
      <c r="AV17" s="69">
        <v>227</v>
      </c>
      <c r="AW17" s="69">
        <v>186.4</v>
      </c>
      <c r="AX17" s="19">
        <v>155.9</v>
      </c>
      <c r="AY17" s="19">
        <v>145.69999999999999</v>
      </c>
      <c r="AZ17" s="19">
        <v>197.3</v>
      </c>
      <c r="BA17" s="19">
        <v>95.9</v>
      </c>
      <c r="BB17" s="244">
        <v>136.74221399999999</v>
      </c>
      <c r="BC17" s="244">
        <v>194.62157099999996</v>
      </c>
      <c r="BD17" s="244">
        <v>405.93209800000005</v>
      </c>
      <c r="BE17" s="244">
        <v>367.29359500000004</v>
      </c>
      <c r="BF17" s="244">
        <v>479.27219700000006</v>
      </c>
      <c r="BG17" s="244">
        <v>685.18255699999997</v>
      </c>
      <c r="BH17" s="244">
        <v>883.96068099999991</v>
      </c>
      <c r="BI17" s="244">
        <v>743.33272199999999</v>
      </c>
      <c r="BJ17" s="244">
        <v>894.28089699999998</v>
      </c>
      <c r="BK17" s="244">
        <v>673.46125400000005</v>
      </c>
      <c r="BL17" s="244">
        <v>853.81503199999997</v>
      </c>
      <c r="BM17" s="244">
        <v>938.07991000000004</v>
      </c>
      <c r="BN17" s="244">
        <v>928.65761000000009</v>
      </c>
      <c r="BO17" s="244">
        <v>871.01828120100004</v>
      </c>
      <c r="BP17" s="244">
        <v>863.15356141200004</v>
      </c>
      <c r="BQ17" s="244">
        <v>712.30933471000003</v>
      </c>
      <c r="BR17" s="244">
        <v>671.948733963</v>
      </c>
    </row>
    <row r="18" spans="1:70">
      <c r="A18" s="68" t="s">
        <v>468</v>
      </c>
      <c r="B18" s="69">
        <v>0.82899999999999996</v>
      </c>
      <c r="C18" s="69">
        <v>0.45500000000000002</v>
      </c>
      <c r="D18" s="69">
        <v>0.64600000000000002</v>
      </c>
      <c r="E18" s="69">
        <v>0.995</v>
      </c>
      <c r="F18" s="69">
        <v>0.97699999999999998</v>
      </c>
      <c r="G18" s="69">
        <v>1.3460000000000001</v>
      </c>
      <c r="H18" s="69">
        <v>1.67</v>
      </c>
      <c r="I18" s="69">
        <v>0.92</v>
      </c>
      <c r="J18" s="69">
        <v>0.998</v>
      </c>
      <c r="K18" s="69">
        <v>1.2649999999999999</v>
      </c>
      <c r="L18" s="69">
        <v>0.91900000000000004</v>
      </c>
      <c r="M18" s="69">
        <v>0.79800000000000004</v>
      </c>
      <c r="N18" s="69">
        <v>0.73199999999999998</v>
      </c>
      <c r="O18" s="69">
        <v>0.375</v>
      </c>
      <c r="P18" s="69">
        <v>0.60899999999999999</v>
      </c>
      <c r="Q18" s="69">
        <v>0.61799999999999999</v>
      </c>
      <c r="R18" s="69">
        <v>1.296</v>
      </c>
      <c r="S18" s="69">
        <v>1.5529999999999999</v>
      </c>
      <c r="T18" s="69">
        <v>1.702</v>
      </c>
      <c r="U18" s="69">
        <v>1.8069999999999999</v>
      </c>
      <c r="V18" s="69">
        <v>2.56</v>
      </c>
      <c r="W18" s="69">
        <v>3.214</v>
      </c>
      <c r="X18" s="69">
        <v>3.6019999999999999</v>
      </c>
      <c r="Y18" s="69">
        <v>4.6059999999999999</v>
      </c>
      <c r="Z18" s="69">
        <v>2.4609999999999999</v>
      </c>
      <c r="AA18" s="69">
        <v>1.032</v>
      </c>
      <c r="AB18" s="69">
        <v>4.6130000000000004</v>
      </c>
      <c r="AC18" s="69">
        <v>24.574999999999999</v>
      </c>
      <c r="AD18" s="69">
        <v>21.873000000000001</v>
      </c>
      <c r="AE18" s="69">
        <v>24.986999999999998</v>
      </c>
      <c r="AF18" s="69">
        <v>17.498000000000001</v>
      </c>
      <c r="AG18" s="69">
        <v>32.164999999999999</v>
      </c>
      <c r="AH18" s="69">
        <v>17.669</v>
      </c>
      <c r="AI18" s="69">
        <v>16.702000000000002</v>
      </c>
      <c r="AJ18" s="69">
        <v>34.786999999999999</v>
      </c>
      <c r="AK18" s="69">
        <v>42.146000000000001</v>
      </c>
      <c r="AL18" s="69">
        <v>33.878</v>
      </c>
      <c r="AM18" s="69">
        <v>33.754100000000001</v>
      </c>
      <c r="AN18" s="69">
        <v>37.220999999999997</v>
      </c>
      <c r="AO18" s="69">
        <v>38.085999999999999</v>
      </c>
      <c r="AP18" s="69">
        <v>33.442</v>
      </c>
      <c r="AQ18" s="69">
        <v>30.327000000000002</v>
      </c>
      <c r="AR18" s="69">
        <v>36.6</v>
      </c>
      <c r="AS18" s="69">
        <v>64.7</v>
      </c>
      <c r="AT18" s="69">
        <v>57.8</v>
      </c>
      <c r="AU18" s="69">
        <v>50.2</v>
      </c>
      <c r="AV18" s="69">
        <v>66.599999999999994</v>
      </c>
      <c r="AW18" s="69">
        <v>111.7</v>
      </c>
      <c r="AX18" s="19">
        <v>145</v>
      </c>
      <c r="AY18" s="19">
        <v>164.7</v>
      </c>
      <c r="AZ18" s="19">
        <v>201.4</v>
      </c>
      <c r="BA18" s="19">
        <v>122.5</v>
      </c>
      <c r="BB18" s="244">
        <v>211.69262500000002</v>
      </c>
      <c r="BC18" s="244">
        <v>265.854873</v>
      </c>
      <c r="BD18" s="244">
        <v>300.92850500000003</v>
      </c>
      <c r="BE18" s="244">
        <v>356.03990299999998</v>
      </c>
      <c r="BF18" s="244">
        <v>412.91830400000003</v>
      </c>
      <c r="BG18" s="244">
        <v>409.91337299999998</v>
      </c>
      <c r="BH18" s="244">
        <v>490.54675999999995</v>
      </c>
      <c r="BI18" s="244">
        <v>510.21998200000002</v>
      </c>
      <c r="BJ18" s="244">
        <v>582.58946600000013</v>
      </c>
      <c r="BK18" s="244">
        <v>498.76059199999997</v>
      </c>
      <c r="BL18" s="244">
        <v>564.25411099999997</v>
      </c>
      <c r="BM18" s="244">
        <v>618.78345600000011</v>
      </c>
      <c r="BN18" s="244">
        <v>628.04227400000002</v>
      </c>
      <c r="BO18" s="244">
        <v>627.97422797299998</v>
      </c>
      <c r="BP18" s="244">
        <v>582.59726781799998</v>
      </c>
      <c r="BQ18" s="244">
        <v>550.61900093199995</v>
      </c>
      <c r="BR18" s="244">
        <v>479.63053600000001</v>
      </c>
    </row>
    <row r="19" spans="1:70">
      <c r="A19" s="68" t="s">
        <v>301</v>
      </c>
      <c r="B19" s="69">
        <v>0.32900000000000001</v>
      </c>
      <c r="C19" s="69">
        <v>3.4500000000000003E-2</v>
      </c>
      <c r="D19" s="69">
        <v>7.6999999999999999E-2</v>
      </c>
      <c r="E19" s="69">
        <v>6.4000000000000001E-2</v>
      </c>
      <c r="F19" s="69">
        <v>0.11</v>
      </c>
      <c r="G19" s="69">
        <v>5.6000000000000001E-2</v>
      </c>
      <c r="H19" s="69">
        <v>5.5E-2</v>
      </c>
      <c r="I19" s="69">
        <v>6.0999999999999999E-2</v>
      </c>
      <c r="J19" s="69">
        <v>0.20100000000000001</v>
      </c>
      <c r="K19" s="69">
        <v>0.33200000000000002</v>
      </c>
      <c r="L19" s="69">
        <v>0.28100000000000003</v>
      </c>
      <c r="M19" s="69">
        <v>0.28499999999999998</v>
      </c>
      <c r="N19" s="69">
        <v>0.379</v>
      </c>
      <c r="O19" s="69">
        <v>0.28499999999999998</v>
      </c>
      <c r="P19" s="69">
        <v>0.50900000000000001</v>
      </c>
      <c r="Q19" s="69">
        <v>0.623</v>
      </c>
      <c r="R19" s="69">
        <v>0.84799999999999998</v>
      </c>
      <c r="S19" s="69">
        <v>1.4410000000000001</v>
      </c>
      <c r="T19" s="69">
        <v>1.206</v>
      </c>
      <c r="U19" s="69">
        <v>1.873</v>
      </c>
      <c r="V19" s="69">
        <v>1.222</v>
      </c>
      <c r="W19" s="69">
        <v>1.238</v>
      </c>
      <c r="X19" s="69">
        <v>1.6950000000000001</v>
      </c>
      <c r="Y19" s="69">
        <v>3.004</v>
      </c>
      <c r="Z19" s="69">
        <v>3.9969999999999999</v>
      </c>
      <c r="AA19" s="69">
        <v>5.9039999999999999</v>
      </c>
      <c r="AB19" s="69">
        <v>9.5329999999999995</v>
      </c>
      <c r="AC19" s="69">
        <v>8.5540000000000003</v>
      </c>
      <c r="AD19" s="69">
        <v>11.863</v>
      </c>
      <c r="AE19" s="69">
        <v>33.436</v>
      </c>
      <c r="AF19" s="69">
        <v>21.628</v>
      </c>
      <c r="AG19" s="69">
        <v>23.39</v>
      </c>
      <c r="AH19" s="69">
        <v>22.361999999999998</v>
      </c>
      <c r="AI19" s="69">
        <v>23.739000000000001</v>
      </c>
      <c r="AJ19" s="69">
        <v>21.402000000000001</v>
      </c>
      <c r="AK19" s="69">
        <v>16.893000000000001</v>
      </c>
      <c r="AL19" s="69">
        <v>27.021999999999998</v>
      </c>
      <c r="AM19" s="69">
        <v>47.074800000000003</v>
      </c>
      <c r="AN19" s="69">
        <v>58.912999999999997</v>
      </c>
      <c r="AO19" s="69">
        <v>91.995000000000005</v>
      </c>
      <c r="AP19" s="69">
        <v>56.835000000000001</v>
      </c>
      <c r="AQ19" s="69">
        <v>55.677</v>
      </c>
      <c r="AR19" s="69">
        <v>51.5</v>
      </c>
      <c r="AS19" s="69">
        <v>31.6</v>
      </c>
      <c r="AT19" s="69">
        <v>54.4</v>
      </c>
      <c r="AU19" s="69">
        <v>58.3</v>
      </c>
      <c r="AV19" s="69">
        <v>150.80000000000001</v>
      </c>
      <c r="AW19" s="69">
        <v>149.6</v>
      </c>
      <c r="AX19" s="19">
        <v>199.2</v>
      </c>
      <c r="AY19" s="19">
        <v>168</v>
      </c>
      <c r="AZ19" s="19">
        <v>156.1</v>
      </c>
      <c r="BA19" s="19">
        <v>96.1</v>
      </c>
      <c r="BB19" s="244">
        <v>117.934247</v>
      </c>
      <c r="BC19" s="244">
        <v>169.479502</v>
      </c>
      <c r="BD19" s="244">
        <v>191.04211599999999</v>
      </c>
      <c r="BE19" s="244">
        <v>183.13951</v>
      </c>
      <c r="BF19" s="244">
        <v>236.07223399999998</v>
      </c>
      <c r="BG19" s="244">
        <v>303.03107599999998</v>
      </c>
      <c r="BH19" s="244">
        <v>357.65743500000002</v>
      </c>
      <c r="BI19" s="244">
        <v>404.99662099999995</v>
      </c>
      <c r="BJ19" s="244">
        <v>656.09602799999993</v>
      </c>
      <c r="BK19" s="244">
        <v>581.39660100000003</v>
      </c>
      <c r="BL19" s="244">
        <v>727.60872200000006</v>
      </c>
      <c r="BM19" s="244">
        <v>869.85792800000013</v>
      </c>
      <c r="BN19" s="244">
        <v>895.77316700000006</v>
      </c>
      <c r="BO19" s="244">
        <v>963.25420500999996</v>
      </c>
      <c r="BP19" s="244">
        <v>966.54888756699995</v>
      </c>
      <c r="BQ19" s="244">
        <v>655.59883686600006</v>
      </c>
      <c r="BR19" s="244">
        <v>490.67801173499998</v>
      </c>
    </row>
    <row r="20" spans="1:70">
      <c r="A20" s="68" t="s">
        <v>469</v>
      </c>
      <c r="B20" s="69" t="s">
        <v>13</v>
      </c>
      <c r="C20" s="69" t="s">
        <v>13</v>
      </c>
      <c r="D20" s="69" t="s">
        <v>13</v>
      </c>
      <c r="E20" s="69" t="s">
        <v>13</v>
      </c>
      <c r="F20" s="69" t="s">
        <v>13</v>
      </c>
      <c r="G20" s="69" t="s">
        <v>13</v>
      </c>
      <c r="H20" s="69" t="s">
        <v>13</v>
      </c>
      <c r="I20" s="69" t="s">
        <v>13</v>
      </c>
      <c r="J20" s="69" t="s">
        <v>13</v>
      </c>
      <c r="K20" s="69" t="s">
        <v>13</v>
      </c>
      <c r="L20" s="69" t="s">
        <v>13</v>
      </c>
      <c r="M20" s="69" t="s">
        <v>13</v>
      </c>
      <c r="N20" s="69" t="s">
        <v>13</v>
      </c>
      <c r="O20" s="69" t="s">
        <v>13</v>
      </c>
      <c r="P20" s="69" t="s">
        <v>13</v>
      </c>
      <c r="Q20" s="69" t="s">
        <v>13</v>
      </c>
      <c r="R20" s="69" t="s">
        <v>13</v>
      </c>
      <c r="S20" s="69" t="s">
        <v>13</v>
      </c>
      <c r="T20" s="69" t="s">
        <v>13</v>
      </c>
      <c r="U20" s="69" t="s">
        <v>13</v>
      </c>
      <c r="V20" s="69" t="s">
        <v>13</v>
      </c>
      <c r="W20" s="69" t="s">
        <v>13</v>
      </c>
      <c r="X20" s="69" t="s">
        <v>13</v>
      </c>
      <c r="Y20" s="69" t="s">
        <v>13</v>
      </c>
      <c r="Z20" s="69" t="s">
        <v>13</v>
      </c>
      <c r="AA20" s="69" t="s">
        <v>13</v>
      </c>
      <c r="AB20" s="69" t="s">
        <v>13</v>
      </c>
      <c r="AC20" s="69" t="s">
        <v>13</v>
      </c>
      <c r="AD20" s="69" t="s">
        <v>13</v>
      </c>
      <c r="AE20" s="69" t="s">
        <v>13</v>
      </c>
      <c r="AF20" s="69" t="s">
        <v>13</v>
      </c>
      <c r="AG20" s="69" t="s">
        <v>13</v>
      </c>
      <c r="AH20" s="69" t="s">
        <v>13</v>
      </c>
      <c r="AI20" s="69" t="s">
        <v>13</v>
      </c>
      <c r="AJ20" s="69" t="s">
        <v>13</v>
      </c>
      <c r="AK20" s="69" t="s">
        <v>13</v>
      </c>
      <c r="AL20" s="69" t="s">
        <v>13</v>
      </c>
      <c r="AM20" s="69" t="s">
        <v>13</v>
      </c>
      <c r="AN20" s="69" t="s">
        <v>13</v>
      </c>
      <c r="AO20" s="69" t="s">
        <v>13</v>
      </c>
      <c r="AP20" s="69" t="s">
        <v>13</v>
      </c>
      <c r="AQ20" s="69" t="s">
        <v>13</v>
      </c>
      <c r="AR20" s="69" t="s">
        <v>13</v>
      </c>
      <c r="AS20" s="69" t="s">
        <v>13</v>
      </c>
      <c r="AT20" s="69" t="s">
        <v>13</v>
      </c>
      <c r="AU20" s="69" t="s">
        <v>13</v>
      </c>
      <c r="AV20" s="69" t="s">
        <v>13</v>
      </c>
      <c r="AW20" s="69" t="s">
        <v>13</v>
      </c>
      <c r="AX20" s="19" t="s">
        <v>13</v>
      </c>
      <c r="AY20" s="19" t="s">
        <v>13</v>
      </c>
      <c r="AZ20" s="19" t="s">
        <v>13</v>
      </c>
      <c r="BA20" s="19" t="s">
        <v>13</v>
      </c>
      <c r="BB20" s="244" t="s">
        <v>13</v>
      </c>
      <c r="BC20" s="244" t="s">
        <v>13</v>
      </c>
      <c r="BD20" s="244" t="s">
        <v>13</v>
      </c>
      <c r="BE20" s="244" t="s">
        <v>13</v>
      </c>
      <c r="BF20" s="244" t="s">
        <v>13</v>
      </c>
      <c r="BG20" s="244" t="s">
        <v>13</v>
      </c>
      <c r="BH20" s="244" t="s">
        <v>13</v>
      </c>
      <c r="BI20" s="244" t="s">
        <v>13</v>
      </c>
      <c r="BJ20" s="244" t="s">
        <v>13</v>
      </c>
      <c r="BK20" s="244" t="s">
        <v>13</v>
      </c>
      <c r="BL20" s="244" t="s">
        <v>13</v>
      </c>
      <c r="BM20" s="244" t="s">
        <v>13</v>
      </c>
      <c r="BN20" s="244">
        <v>1601.2759999999996</v>
      </c>
      <c r="BO20" s="244">
        <v>1765.1314891879999</v>
      </c>
      <c r="BP20" s="244">
        <v>1442.0489905320001</v>
      </c>
      <c r="BQ20" s="244">
        <v>1021.562596382</v>
      </c>
      <c r="BR20" s="244">
        <v>888.56055834899996</v>
      </c>
    </row>
    <row r="21" spans="1:70">
      <c r="A21" s="68" t="s">
        <v>470</v>
      </c>
      <c r="B21" s="69" t="s">
        <v>13</v>
      </c>
      <c r="C21" s="69" t="s">
        <v>13</v>
      </c>
      <c r="D21" s="69" t="s">
        <v>13</v>
      </c>
      <c r="E21" s="69" t="s">
        <v>13</v>
      </c>
      <c r="F21" s="69" t="s">
        <v>13</v>
      </c>
      <c r="G21" s="69" t="s">
        <v>13</v>
      </c>
      <c r="H21" s="69" t="s">
        <v>13</v>
      </c>
      <c r="I21" s="69" t="s">
        <v>13</v>
      </c>
      <c r="J21" s="69" t="s">
        <v>13</v>
      </c>
      <c r="K21" s="69" t="s">
        <v>13</v>
      </c>
      <c r="L21" s="69" t="s">
        <v>13</v>
      </c>
      <c r="M21" s="69" t="s">
        <v>13</v>
      </c>
      <c r="N21" s="69" t="s">
        <v>13</v>
      </c>
      <c r="O21" s="69" t="s">
        <v>13</v>
      </c>
      <c r="P21" s="69" t="s">
        <v>13</v>
      </c>
      <c r="Q21" s="69" t="s">
        <v>13</v>
      </c>
      <c r="R21" s="69" t="s">
        <v>13</v>
      </c>
      <c r="S21" s="69" t="s">
        <v>13</v>
      </c>
      <c r="T21" s="69" t="s">
        <v>13</v>
      </c>
      <c r="U21" s="69" t="s">
        <v>13</v>
      </c>
      <c r="V21" s="69" t="s">
        <v>13</v>
      </c>
      <c r="W21" s="69" t="s">
        <v>13</v>
      </c>
      <c r="X21" s="69" t="s">
        <v>13</v>
      </c>
      <c r="Y21" s="69" t="s">
        <v>13</v>
      </c>
      <c r="Z21" s="69" t="s">
        <v>13</v>
      </c>
      <c r="AA21" s="69" t="s">
        <v>13</v>
      </c>
      <c r="AB21" s="69" t="s">
        <v>13</v>
      </c>
      <c r="AC21" s="69" t="s">
        <v>13</v>
      </c>
      <c r="AD21" s="69" t="s">
        <v>13</v>
      </c>
      <c r="AE21" s="69" t="s">
        <v>13</v>
      </c>
      <c r="AF21" s="69" t="s">
        <v>13</v>
      </c>
      <c r="AG21" s="69" t="s">
        <v>13</v>
      </c>
      <c r="AH21" s="69" t="s">
        <v>13</v>
      </c>
      <c r="AI21" s="69" t="s">
        <v>13</v>
      </c>
      <c r="AJ21" s="69" t="s">
        <v>13</v>
      </c>
      <c r="AK21" s="69" t="s">
        <v>13</v>
      </c>
      <c r="AL21" s="69" t="s">
        <v>13</v>
      </c>
      <c r="AM21" s="69" t="s">
        <v>13</v>
      </c>
      <c r="AN21" s="69" t="s">
        <v>13</v>
      </c>
      <c r="AO21" s="69" t="s">
        <v>13</v>
      </c>
      <c r="AP21" s="69" t="s">
        <v>13</v>
      </c>
      <c r="AQ21" s="69" t="s">
        <v>13</v>
      </c>
      <c r="AR21" s="69" t="s">
        <v>13</v>
      </c>
      <c r="AS21" s="69" t="s">
        <v>13</v>
      </c>
      <c r="AT21" s="69" t="s">
        <v>13</v>
      </c>
      <c r="AU21" s="69" t="s">
        <v>13</v>
      </c>
      <c r="AV21" s="69" t="s">
        <v>13</v>
      </c>
      <c r="AW21" s="69" t="s">
        <v>13</v>
      </c>
      <c r="AX21" s="19" t="s">
        <v>13</v>
      </c>
      <c r="AY21" s="19" t="s">
        <v>13</v>
      </c>
      <c r="AZ21" s="19" t="s">
        <v>13</v>
      </c>
      <c r="BA21" s="19" t="s">
        <v>13</v>
      </c>
      <c r="BB21" s="244" t="s">
        <v>13</v>
      </c>
      <c r="BC21" s="244" t="s">
        <v>13</v>
      </c>
      <c r="BD21" s="244" t="s">
        <v>13</v>
      </c>
      <c r="BE21" s="244" t="s">
        <v>13</v>
      </c>
      <c r="BF21" s="244" t="s">
        <v>13</v>
      </c>
      <c r="BG21" s="244" t="s">
        <v>13</v>
      </c>
      <c r="BH21" s="244" t="s">
        <v>13</v>
      </c>
      <c r="BI21" s="244">
        <v>1316.1563359999998</v>
      </c>
      <c r="BJ21" s="244">
        <v>2525.9021350000003</v>
      </c>
      <c r="BK21" s="244">
        <v>739.27431200000012</v>
      </c>
      <c r="BL21" s="244">
        <v>549.761844</v>
      </c>
      <c r="BM21" s="244">
        <v>954.76931000000013</v>
      </c>
      <c r="BN21" s="244">
        <v>241.54211100000003</v>
      </c>
      <c r="BO21" s="244">
        <v>50.228518999999999</v>
      </c>
      <c r="BP21" s="244">
        <v>33.819944712999998</v>
      </c>
      <c r="BQ21" s="244">
        <v>9.6244618729999996</v>
      </c>
      <c r="BR21" s="244">
        <v>9.5676559749999992</v>
      </c>
    </row>
    <row r="22" spans="1:70">
      <c r="A22" s="68" t="s">
        <v>80</v>
      </c>
      <c r="B22" s="69">
        <v>0.33800000000000002</v>
      </c>
      <c r="C22" s="69">
        <v>3.0099999999999998E-2</v>
      </c>
      <c r="D22" s="69">
        <v>1.0149999999999999E-2</v>
      </c>
      <c r="E22" s="69">
        <v>6.0200000000000002E-3</v>
      </c>
      <c r="F22" s="69">
        <v>0</v>
      </c>
      <c r="G22" s="69">
        <v>0</v>
      </c>
      <c r="H22" s="69">
        <v>0</v>
      </c>
      <c r="I22" s="69">
        <v>0</v>
      </c>
      <c r="J22" s="69">
        <v>0</v>
      </c>
      <c r="K22" s="69">
        <v>0</v>
      </c>
      <c r="L22" s="69">
        <v>0</v>
      </c>
      <c r="M22" s="69">
        <v>0</v>
      </c>
      <c r="N22" s="69">
        <v>0</v>
      </c>
      <c r="O22" s="69">
        <v>0</v>
      </c>
      <c r="P22" s="69">
        <v>0</v>
      </c>
      <c r="Q22" s="69">
        <v>0</v>
      </c>
      <c r="R22" s="69">
        <v>0</v>
      </c>
      <c r="S22" s="69">
        <v>0.13700000000000001</v>
      </c>
      <c r="T22" s="69">
        <v>0.112</v>
      </c>
      <c r="U22" s="69">
        <v>0.19899999999999998</v>
      </c>
      <c r="V22" s="69">
        <v>0.435</v>
      </c>
      <c r="W22" s="69">
        <v>0.746</v>
      </c>
      <c r="X22" s="69">
        <v>0.68699999999999994</v>
      </c>
      <c r="Y22" s="69">
        <v>0.98699999999999999</v>
      </c>
      <c r="Z22" s="69">
        <v>0.34200000000000003</v>
      </c>
      <c r="AA22" s="69">
        <v>0.61499999999999999</v>
      </c>
      <c r="AB22" s="69">
        <v>0.746</v>
      </c>
      <c r="AC22" s="69">
        <v>0.51200000000000001</v>
      </c>
      <c r="AD22" s="69">
        <v>0.38300000000000001</v>
      </c>
      <c r="AE22" s="69">
        <v>0.59200000000000008</v>
      </c>
      <c r="AF22" s="69">
        <v>0.60199999999999998</v>
      </c>
      <c r="AG22" s="69">
        <v>1.5419999999999998</v>
      </c>
      <c r="AH22" s="69">
        <v>1.099</v>
      </c>
      <c r="AI22" s="69">
        <v>0.78100000000000003</v>
      </c>
      <c r="AJ22" s="69">
        <v>0.58199999999999996</v>
      </c>
      <c r="AK22" s="69">
        <v>1.2030000000000001</v>
      </c>
      <c r="AL22" s="69">
        <v>1.9590000000000001</v>
      </c>
      <c r="AM22" s="69">
        <v>1.2576000000000001</v>
      </c>
      <c r="AN22" s="69">
        <v>0.71200000000000008</v>
      </c>
      <c r="AO22" s="69">
        <v>0.996</v>
      </c>
      <c r="AP22" s="69">
        <v>0.54899999999999993</v>
      </c>
      <c r="AQ22" s="69">
        <v>0.6</v>
      </c>
      <c r="AR22" s="69">
        <v>0.9</v>
      </c>
      <c r="AS22" s="69">
        <v>2</v>
      </c>
      <c r="AT22" s="69">
        <v>2.2999999999999998</v>
      </c>
      <c r="AU22" s="69">
        <v>6.3</v>
      </c>
      <c r="AV22" s="69">
        <v>5</v>
      </c>
      <c r="AW22" s="69">
        <v>9.8000000000000007</v>
      </c>
      <c r="AX22" s="19">
        <v>10.6</v>
      </c>
      <c r="AY22" s="19">
        <v>21</v>
      </c>
      <c r="AZ22" s="19">
        <v>33.5</v>
      </c>
      <c r="BA22" s="19">
        <v>19.7</v>
      </c>
      <c r="BB22" s="244">
        <v>24.554234000000001</v>
      </c>
      <c r="BC22" s="244">
        <v>19.334807000000001</v>
      </c>
      <c r="BD22" s="244">
        <v>28.995590999999997</v>
      </c>
      <c r="BE22" s="244">
        <v>49.997371803150003</v>
      </c>
      <c r="BF22" s="244">
        <v>77.5274247753552</v>
      </c>
      <c r="BG22" s="244">
        <v>70.171866000000009</v>
      </c>
      <c r="BH22" s="244">
        <v>70.698608000000007</v>
      </c>
      <c r="BI22" s="244">
        <v>94.877257999999998</v>
      </c>
      <c r="BJ22" s="244">
        <v>51.31915</v>
      </c>
      <c r="BK22" s="244">
        <v>56.918195000000004</v>
      </c>
      <c r="BL22" s="244">
        <v>65.210303999999994</v>
      </c>
      <c r="BM22" s="244">
        <v>99.293021999999993</v>
      </c>
      <c r="BN22" s="244">
        <v>98.462810000000005</v>
      </c>
      <c r="BO22" s="244">
        <v>91.747715267999993</v>
      </c>
      <c r="BP22" s="244">
        <v>140.510913832</v>
      </c>
      <c r="BQ22" s="244">
        <v>150.33443342800001</v>
      </c>
      <c r="BR22" s="244">
        <v>101.747076408</v>
      </c>
    </row>
    <row r="23" spans="1:70" ht="9" customHeight="1">
      <c r="A23" s="68"/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  <c r="AA23" s="69"/>
      <c r="AB23" s="69"/>
      <c r="AC23" s="69"/>
      <c r="AD23" s="69"/>
      <c r="AE23" s="69"/>
      <c r="AF23" s="69"/>
      <c r="AG23" s="69"/>
      <c r="AH23" s="69"/>
      <c r="AI23" s="69"/>
      <c r="AJ23" s="69"/>
      <c r="AK23" s="69"/>
      <c r="AL23" s="69"/>
      <c r="AM23" s="69"/>
      <c r="AN23" s="69"/>
      <c r="AO23" s="69"/>
      <c r="AP23" s="69"/>
      <c r="AQ23" s="69"/>
      <c r="AR23" s="69"/>
      <c r="AS23" s="69"/>
      <c r="AT23" s="69"/>
      <c r="AU23" s="69"/>
      <c r="AV23" s="69"/>
      <c r="AW23" s="69"/>
      <c r="AX23" s="19"/>
      <c r="AY23" s="19"/>
      <c r="AZ23" s="19"/>
      <c r="BA23" s="19"/>
      <c r="BB23" s="244"/>
      <c r="BC23" s="244"/>
      <c r="BD23" s="244"/>
      <c r="BE23" s="244"/>
      <c r="BF23" s="244"/>
      <c r="BG23" s="244"/>
      <c r="BH23" s="244"/>
      <c r="BI23" s="244"/>
      <c r="BJ23" s="244"/>
      <c r="BK23" s="244"/>
      <c r="BL23" s="244"/>
      <c r="BM23" s="244"/>
      <c r="BN23" s="244"/>
      <c r="BO23" s="244"/>
      <c r="BP23" s="244"/>
      <c r="BQ23" s="244"/>
      <c r="BR23" s="244"/>
    </row>
    <row r="24" spans="1:70">
      <c r="A24" s="68" t="s">
        <v>302</v>
      </c>
      <c r="B24" s="69">
        <v>0.83886399999999994</v>
      </c>
      <c r="C24" s="69">
        <v>0.54371000000000003</v>
      </c>
      <c r="D24" s="69">
        <v>0.58113999999999999</v>
      </c>
      <c r="E24" s="69">
        <v>1.1297469999999998</v>
      </c>
      <c r="F24" s="69">
        <v>1.4509970000000001</v>
      </c>
      <c r="G24" s="69">
        <v>3.18506</v>
      </c>
      <c r="H24" s="69">
        <v>2.2850000000000001</v>
      </c>
      <c r="I24" s="69">
        <v>4.3769999999999998</v>
      </c>
      <c r="J24" s="69">
        <v>3.36687</v>
      </c>
      <c r="K24" s="69">
        <v>4.6646000000000001</v>
      </c>
      <c r="L24" s="69">
        <v>4.2069999999999999</v>
      </c>
      <c r="M24" s="69">
        <v>4.1079999999999997</v>
      </c>
      <c r="N24" s="69">
        <v>2.04</v>
      </c>
      <c r="O24" s="69">
        <v>1.952</v>
      </c>
      <c r="P24" s="69">
        <v>5.2610000000000001</v>
      </c>
      <c r="Q24" s="69">
        <v>3.3570000000000002</v>
      </c>
      <c r="R24" s="69">
        <v>8.5839999999999996</v>
      </c>
      <c r="S24" s="69">
        <v>15.59</v>
      </c>
      <c r="T24" s="69">
        <v>7.9060000000000006</v>
      </c>
      <c r="U24" s="69">
        <v>22.51</v>
      </c>
      <c r="V24" s="69">
        <v>14.695</v>
      </c>
      <c r="W24" s="69">
        <v>23.427999999999997</v>
      </c>
      <c r="X24" s="69">
        <v>25.807000000000002</v>
      </c>
      <c r="Y24" s="69">
        <v>38.578000000000003</v>
      </c>
      <c r="Z24" s="69">
        <v>24.795999999999999</v>
      </c>
      <c r="AA24" s="69">
        <v>35.677999999999997</v>
      </c>
      <c r="AB24" s="69">
        <v>61.657999999999994</v>
      </c>
      <c r="AC24" s="69">
        <v>52.119000000000007</v>
      </c>
      <c r="AD24" s="69">
        <v>73.629000000000005</v>
      </c>
      <c r="AE24" s="69">
        <v>75.045000000000002</v>
      </c>
      <c r="AF24" s="69">
        <v>95.093000000000004</v>
      </c>
      <c r="AG24" s="69">
        <v>121.157</v>
      </c>
      <c r="AH24" s="69">
        <v>166.971</v>
      </c>
      <c r="AI24" s="69">
        <v>109.751</v>
      </c>
      <c r="AJ24" s="69">
        <v>99.9</v>
      </c>
      <c r="AK24" s="69">
        <v>85.251000000000005</v>
      </c>
      <c r="AL24" s="69">
        <v>74.935000000000002</v>
      </c>
      <c r="AM24" s="69">
        <v>116.10400000000001</v>
      </c>
      <c r="AN24" s="69">
        <v>91.13900000000001</v>
      </c>
      <c r="AO24" s="69">
        <v>241.14599999999999</v>
      </c>
      <c r="AP24" s="69">
        <v>78.141000000000005</v>
      </c>
      <c r="AQ24" s="69">
        <v>92.893000000000001</v>
      </c>
      <c r="AR24" s="69">
        <v>180.9</v>
      </c>
      <c r="AS24" s="69">
        <v>233</v>
      </c>
      <c r="AT24" s="69">
        <v>174.6</v>
      </c>
      <c r="AU24" s="69">
        <v>183.9</v>
      </c>
      <c r="AV24" s="69">
        <v>510.7</v>
      </c>
      <c r="AW24" s="69">
        <v>704</v>
      </c>
      <c r="AX24" s="19">
        <v>652.70000000000005</v>
      </c>
      <c r="AY24" s="19">
        <v>917.9</v>
      </c>
      <c r="AZ24" s="19">
        <v>976.2</v>
      </c>
      <c r="BA24" s="19">
        <v>611.1</v>
      </c>
      <c r="BB24" s="244">
        <v>846.547774</v>
      </c>
      <c r="BC24" s="244">
        <v>1173.0204130000002</v>
      </c>
      <c r="BD24" s="244">
        <v>1416.4307529999999</v>
      </c>
      <c r="BE24" s="244">
        <v>1567.5613402696877</v>
      </c>
      <c r="BF24" s="244">
        <v>2093.60800409597</v>
      </c>
      <c r="BG24" s="244">
        <v>2232.8192120000003</v>
      </c>
      <c r="BH24" s="244">
        <v>2329.6718860000001</v>
      </c>
      <c r="BI24" s="244">
        <v>1970.3368819999998</v>
      </c>
      <c r="BJ24" s="244">
        <v>2382.6811780000003</v>
      </c>
      <c r="BK24" s="244">
        <v>2215.7345689999997</v>
      </c>
      <c r="BL24" s="244">
        <v>3077.4605889999998</v>
      </c>
      <c r="BM24" s="244">
        <v>3371.5296950000006</v>
      </c>
      <c r="BN24" s="244">
        <v>3359.1257649999998</v>
      </c>
      <c r="BO24" s="244">
        <v>3515.42924786</v>
      </c>
      <c r="BP24" s="244">
        <v>3339.0242826399999</v>
      </c>
      <c r="BQ24" s="244">
        <v>2737.3730687060001</v>
      </c>
      <c r="BR24" s="244">
        <v>2301.7057251169999</v>
      </c>
    </row>
    <row r="25" spans="1:70">
      <c r="A25" s="68" t="s">
        <v>303</v>
      </c>
      <c r="B25" s="69">
        <v>0</v>
      </c>
      <c r="C25" s="69">
        <v>0</v>
      </c>
      <c r="D25" s="69">
        <v>0</v>
      </c>
      <c r="E25" s="69">
        <v>2.6530000000000001E-2</v>
      </c>
      <c r="F25" s="69">
        <v>0</v>
      </c>
      <c r="G25" s="69">
        <v>0</v>
      </c>
      <c r="H25" s="69">
        <v>0</v>
      </c>
      <c r="I25" s="69">
        <v>0</v>
      </c>
      <c r="J25" s="69">
        <v>0</v>
      </c>
      <c r="K25" s="69">
        <v>0</v>
      </c>
      <c r="L25" s="69">
        <v>0</v>
      </c>
      <c r="M25" s="69">
        <v>0</v>
      </c>
      <c r="N25" s="69">
        <v>0</v>
      </c>
      <c r="O25" s="69">
        <v>0</v>
      </c>
      <c r="P25" s="69">
        <v>0</v>
      </c>
      <c r="Q25" s="69">
        <v>0</v>
      </c>
      <c r="R25" s="69">
        <v>0</v>
      </c>
      <c r="S25" s="69">
        <v>7.0000000000000001E-3</v>
      </c>
      <c r="T25" s="69">
        <v>8.9999999999999993E-3</v>
      </c>
      <c r="U25" s="69">
        <v>2E-3</v>
      </c>
      <c r="V25" s="69">
        <v>3.0000000000000001E-3</v>
      </c>
      <c r="W25" s="69">
        <v>1E-3</v>
      </c>
      <c r="X25" s="69">
        <v>3.0000000000000001E-3</v>
      </c>
      <c r="Y25" s="69">
        <v>6.0000000000000001E-3</v>
      </c>
      <c r="Z25" s="69">
        <v>4.0000000000000001E-3</v>
      </c>
      <c r="AA25" s="69">
        <v>2E-3</v>
      </c>
      <c r="AB25" s="69">
        <v>4.3999999999999997E-2</v>
      </c>
      <c r="AC25" s="69">
        <v>0.154</v>
      </c>
      <c r="AD25" s="69">
        <v>0.53700000000000003</v>
      </c>
      <c r="AE25" s="69">
        <v>0.34899999999999998</v>
      </c>
      <c r="AF25" s="69">
        <v>1.266</v>
      </c>
      <c r="AG25" s="69">
        <v>1.206</v>
      </c>
      <c r="AH25" s="69">
        <v>1.6990000000000001</v>
      </c>
      <c r="AI25" s="69">
        <v>1.331</v>
      </c>
      <c r="AJ25" s="69">
        <v>1.292</v>
      </c>
      <c r="AK25" s="69">
        <v>2.1999999999999999E-2</v>
      </c>
      <c r="AL25" s="69">
        <v>5.0999999999999997E-2</v>
      </c>
      <c r="AM25" s="69">
        <v>8.2000000000000003E-2</v>
      </c>
      <c r="AN25" s="69">
        <v>0.247</v>
      </c>
      <c r="AO25" s="69">
        <v>0.22900000000000001</v>
      </c>
      <c r="AP25" s="69">
        <v>0.107</v>
      </c>
      <c r="AQ25" s="69">
        <v>0.17</v>
      </c>
      <c r="AR25" s="69">
        <v>0.2</v>
      </c>
      <c r="AS25" s="69">
        <v>0.7</v>
      </c>
      <c r="AT25" s="69">
        <v>0.5</v>
      </c>
      <c r="AU25" s="69">
        <v>0.1</v>
      </c>
      <c r="AV25" s="69">
        <v>0.4</v>
      </c>
      <c r="AW25" s="69">
        <v>2.9</v>
      </c>
      <c r="AX25" s="19">
        <v>6.2</v>
      </c>
      <c r="AY25" s="19">
        <v>2.8</v>
      </c>
      <c r="AZ25" s="19">
        <v>16.3</v>
      </c>
      <c r="BA25" s="19">
        <v>6.4</v>
      </c>
      <c r="BB25" s="244">
        <v>6.9829860000000004</v>
      </c>
      <c r="BC25" s="244">
        <v>7.2709219999999997</v>
      </c>
      <c r="BD25" s="244">
        <v>6.0357990000000008</v>
      </c>
      <c r="BE25" s="244">
        <v>9.9001770000000011</v>
      </c>
      <c r="BF25" s="244">
        <v>1.9208769999999999</v>
      </c>
      <c r="BG25" s="244">
        <v>2.6358800000000002</v>
      </c>
      <c r="BH25" s="244">
        <v>5.5644599999999995</v>
      </c>
      <c r="BI25" s="244">
        <v>9.5619389999999989</v>
      </c>
      <c r="BJ25" s="244">
        <v>18.374811999999999</v>
      </c>
      <c r="BK25" s="244">
        <v>12.151764</v>
      </c>
      <c r="BL25" s="244">
        <v>19.537312</v>
      </c>
      <c r="BM25" s="244">
        <v>8.6823740000000011</v>
      </c>
      <c r="BN25" s="244">
        <v>31.082409999999999</v>
      </c>
      <c r="BO25" s="244">
        <v>109.453247688</v>
      </c>
      <c r="BP25" s="244">
        <v>113.977479452</v>
      </c>
      <c r="BQ25" s="244">
        <v>183.41085311099999</v>
      </c>
      <c r="BR25" s="244">
        <v>191.905460463</v>
      </c>
    </row>
    <row r="26" spans="1:70">
      <c r="A26" s="68" t="s">
        <v>304</v>
      </c>
      <c r="B26" s="69">
        <v>9.7940000000000006E-3</v>
      </c>
      <c r="C26" s="69">
        <v>6.6100000000000004E-3</v>
      </c>
      <c r="D26" s="69">
        <v>3.8039999999999997E-2</v>
      </c>
      <c r="E26" s="69">
        <v>0.99589700000000003</v>
      </c>
      <c r="F26" s="69">
        <v>3.1476999999999998E-2</v>
      </c>
      <c r="G26" s="69">
        <v>0.47199999999999998</v>
      </c>
      <c r="H26" s="69">
        <v>0.23200000000000001</v>
      </c>
      <c r="I26" s="69">
        <v>1.1020000000000001</v>
      </c>
      <c r="J26" s="69">
        <v>0.22500000000000001</v>
      </c>
      <c r="K26" s="69">
        <v>0.21199999999999999</v>
      </c>
      <c r="L26" s="69">
        <v>0.13500000000000001</v>
      </c>
      <c r="M26" s="69">
        <v>0.34200000000000003</v>
      </c>
      <c r="N26" s="69">
        <v>0.37</v>
      </c>
      <c r="O26" s="69">
        <v>0.33400000000000002</v>
      </c>
      <c r="P26" s="69">
        <v>1.9790000000000001</v>
      </c>
      <c r="Q26" s="69">
        <v>0.753</v>
      </c>
      <c r="R26" s="69">
        <v>3.5209999999999999</v>
      </c>
      <c r="S26" s="69">
        <v>4.4859999999999998</v>
      </c>
      <c r="T26" s="69">
        <v>4.9740000000000002</v>
      </c>
      <c r="U26" s="69">
        <v>5.306</v>
      </c>
      <c r="V26" s="69">
        <v>6.59</v>
      </c>
      <c r="W26" s="69">
        <v>8.2739999999999991</v>
      </c>
      <c r="X26" s="69">
        <v>13.250999999999999</v>
      </c>
      <c r="Y26" s="69">
        <v>28.236000000000001</v>
      </c>
      <c r="Z26" s="69">
        <v>18.997</v>
      </c>
      <c r="AA26" s="69">
        <v>24.635000000000002</v>
      </c>
      <c r="AB26" s="69">
        <v>37.253999999999998</v>
      </c>
      <c r="AC26" s="69">
        <v>33.587000000000003</v>
      </c>
      <c r="AD26" s="69">
        <v>54.069000000000003</v>
      </c>
      <c r="AE26" s="69">
        <v>46.478999999999999</v>
      </c>
      <c r="AF26" s="69">
        <v>41.073999999999998</v>
      </c>
      <c r="AG26" s="69">
        <v>45.249000000000002</v>
      </c>
      <c r="AH26" s="69">
        <v>63.881</v>
      </c>
      <c r="AI26" s="69">
        <v>47.844000000000001</v>
      </c>
      <c r="AJ26" s="69">
        <v>47.445</v>
      </c>
      <c r="AK26" s="69">
        <v>49.606000000000002</v>
      </c>
      <c r="AL26" s="69">
        <v>41.985999999999997</v>
      </c>
      <c r="AM26" s="69">
        <v>38.011099999999999</v>
      </c>
      <c r="AN26" s="69">
        <v>45.755000000000003</v>
      </c>
      <c r="AO26" s="69">
        <v>43.280999999999999</v>
      </c>
      <c r="AP26" s="69">
        <v>34.770000000000003</v>
      </c>
      <c r="AQ26" s="69">
        <v>45.024999999999999</v>
      </c>
      <c r="AR26" s="69">
        <v>57.1</v>
      </c>
      <c r="AS26" s="69">
        <v>94.3</v>
      </c>
      <c r="AT26" s="69">
        <v>99.9</v>
      </c>
      <c r="AU26" s="69">
        <v>97.6</v>
      </c>
      <c r="AV26" s="69">
        <v>297.89999999999998</v>
      </c>
      <c r="AW26" s="69">
        <v>393.1</v>
      </c>
      <c r="AX26" s="19">
        <v>416</v>
      </c>
      <c r="AY26" s="19">
        <v>511.1</v>
      </c>
      <c r="AZ26" s="19">
        <v>592.20000000000005</v>
      </c>
      <c r="BA26" s="19">
        <v>363.4</v>
      </c>
      <c r="BB26" s="244">
        <v>500.30774199999991</v>
      </c>
      <c r="BC26" s="244">
        <v>770.39977799999997</v>
      </c>
      <c r="BD26" s="244">
        <v>902.34841100000006</v>
      </c>
      <c r="BE26" s="244">
        <v>1001.7690152696877</v>
      </c>
      <c r="BF26" s="244">
        <v>1315.5704470959699</v>
      </c>
      <c r="BG26" s="244">
        <v>1397.019029</v>
      </c>
      <c r="BH26" s="244">
        <v>1546.543259</v>
      </c>
      <c r="BI26" s="244">
        <v>1522.2061279999998</v>
      </c>
      <c r="BJ26" s="244">
        <v>1791.3727140000001</v>
      </c>
      <c r="BK26" s="244">
        <v>1537.89878</v>
      </c>
      <c r="BL26" s="244">
        <v>2022.3289629999997</v>
      </c>
      <c r="BM26" s="244">
        <v>2220.9181899999999</v>
      </c>
      <c r="BN26" s="244">
        <v>2198.2014939999999</v>
      </c>
      <c r="BO26" s="244">
        <v>2288.152169509</v>
      </c>
      <c r="BP26" s="244">
        <v>2201.3077168750001</v>
      </c>
      <c r="BQ26" s="244">
        <v>1765.4719538459999</v>
      </c>
      <c r="BR26" s="244">
        <v>1421.0970013260001</v>
      </c>
    </row>
    <row r="27" spans="1:70">
      <c r="A27" s="68" t="s">
        <v>305</v>
      </c>
      <c r="B27" s="69">
        <v>0.82299999999999995</v>
      </c>
      <c r="C27" s="69">
        <v>0.53200000000000003</v>
      </c>
      <c r="D27" s="69">
        <v>0.52800000000000002</v>
      </c>
      <c r="E27" s="69">
        <v>6.0200000000000002E-3</v>
      </c>
      <c r="F27" s="69">
        <v>1.413</v>
      </c>
      <c r="G27" s="69">
        <v>2.7050000000000001</v>
      </c>
      <c r="H27" s="69">
        <v>1.841</v>
      </c>
      <c r="I27" s="69">
        <v>3.2269999999999999</v>
      </c>
      <c r="J27" s="69">
        <v>3.1379999999999999</v>
      </c>
      <c r="K27" s="69">
        <v>4.3570000000000002</v>
      </c>
      <c r="L27" s="69">
        <v>1.732</v>
      </c>
      <c r="M27" s="69">
        <v>1.361</v>
      </c>
      <c r="N27" s="69">
        <v>1.6180000000000001</v>
      </c>
      <c r="O27" s="69">
        <v>0.501</v>
      </c>
      <c r="P27" s="69">
        <v>0.54100000000000004</v>
      </c>
      <c r="Q27" s="69">
        <v>0.998</v>
      </c>
      <c r="R27" s="69">
        <v>0.67</v>
      </c>
      <c r="S27" s="69">
        <v>0.60099999999999998</v>
      </c>
      <c r="T27" s="69">
        <v>0.76400000000000001</v>
      </c>
      <c r="U27" s="69">
        <v>0.875</v>
      </c>
      <c r="V27" s="69">
        <v>1.571</v>
      </c>
      <c r="W27" s="69">
        <v>2.0390000000000001</v>
      </c>
      <c r="X27" s="69">
        <v>4.4029999999999996</v>
      </c>
      <c r="Y27" s="69">
        <v>3.177</v>
      </c>
      <c r="Z27" s="69">
        <v>2.8420000000000001</v>
      </c>
      <c r="AA27" s="69">
        <v>3.988</v>
      </c>
      <c r="AB27" s="69">
        <v>11.494</v>
      </c>
      <c r="AC27" s="69">
        <v>11.909000000000001</v>
      </c>
      <c r="AD27" s="69">
        <v>14.222</v>
      </c>
      <c r="AE27" s="69">
        <v>22.928999999999998</v>
      </c>
      <c r="AF27" s="69">
        <v>45.219000000000001</v>
      </c>
      <c r="AG27" s="69">
        <v>59.948999999999998</v>
      </c>
      <c r="AH27" s="69">
        <v>79.033000000000001</v>
      </c>
      <c r="AI27" s="69">
        <v>37.984000000000002</v>
      </c>
      <c r="AJ27" s="69">
        <v>35.953000000000003</v>
      </c>
      <c r="AK27" s="69">
        <v>29.152000000000001</v>
      </c>
      <c r="AL27" s="69">
        <v>30.152999999999999</v>
      </c>
      <c r="AM27" s="69">
        <v>73.586100000000002</v>
      </c>
      <c r="AN27" s="69">
        <v>36.506</v>
      </c>
      <c r="AO27" s="69">
        <v>24.09</v>
      </c>
      <c r="AP27" s="69">
        <v>21.76</v>
      </c>
      <c r="AQ27" s="69">
        <v>30.530999999999999</v>
      </c>
      <c r="AR27" s="69">
        <v>28.6</v>
      </c>
      <c r="AS27" s="69">
        <v>35.299999999999997</v>
      </c>
      <c r="AT27" s="69">
        <v>32.799999999999997</v>
      </c>
      <c r="AU27" s="69">
        <v>38.6</v>
      </c>
      <c r="AV27" s="69">
        <v>52.4</v>
      </c>
      <c r="AW27" s="69">
        <v>39.299999999999997</v>
      </c>
      <c r="AX27" s="19">
        <v>42.4</v>
      </c>
      <c r="AY27" s="19">
        <v>65.5</v>
      </c>
      <c r="AZ27" s="19">
        <v>98.4</v>
      </c>
      <c r="BA27" s="19">
        <v>48.1</v>
      </c>
      <c r="BB27" s="244">
        <v>74.805903999999984</v>
      </c>
      <c r="BC27" s="244">
        <v>101.72474900000002</v>
      </c>
      <c r="BD27" s="244">
        <v>154.81172700000002</v>
      </c>
      <c r="BE27" s="244">
        <v>177.31558699999999</v>
      </c>
      <c r="BF27" s="244">
        <v>245.01604800000001</v>
      </c>
      <c r="BG27" s="244">
        <v>382.500832</v>
      </c>
      <c r="BH27" s="244">
        <v>347.25314500000002</v>
      </c>
      <c r="BI27" s="244">
        <v>438.56881500000009</v>
      </c>
      <c r="BJ27" s="244">
        <v>572.93365200000005</v>
      </c>
      <c r="BK27" s="244">
        <v>665.68402499999991</v>
      </c>
      <c r="BL27" s="244">
        <v>1035.5943140000002</v>
      </c>
      <c r="BM27" s="244">
        <v>1141.9291309999999</v>
      </c>
      <c r="BN27" s="244">
        <v>1129.8418609999999</v>
      </c>
      <c r="BO27" s="244">
        <v>1117.8238306630001</v>
      </c>
      <c r="BP27" s="244">
        <v>1023.739086313</v>
      </c>
      <c r="BQ27" s="244">
        <v>788.49026174899996</v>
      </c>
      <c r="BR27" s="244">
        <v>688.70326332800005</v>
      </c>
    </row>
    <row r="28" spans="1:70">
      <c r="A28" s="68" t="s">
        <v>306</v>
      </c>
      <c r="B28" s="69">
        <v>6.0699999999999999E-3</v>
      </c>
      <c r="C28" s="69">
        <v>5.1000000000000004E-3</v>
      </c>
      <c r="D28" s="69">
        <v>1.5100000000000001E-2</v>
      </c>
      <c r="E28" s="69">
        <v>0.1013</v>
      </c>
      <c r="F28" s="69">
        <v>6.5199999999999998E-3</v>
      </c>
      <c r="G28" s="69">
        <v>8.0599999999999995E-3</v>
      </c>
      <c r="H28" s="69">
        <v>0.21199999999999999</v>
      </c>
      <c r="I28" s="69">
        <v>4.8000000000000001E-2</v>
      </c>
      <c r="J28" s="69">
        <v>3.8700000000000002E-3</v>
      </c>
      <c r="K28" s="69">
        <v>9.5600000000000004E-2</v>
      </c>
      <c r="L28" s="69">
        <v>2.34</v>
      </c>
      <c r="M28" s="69">
        <v>2.4049999999999998</v>
      </c>
      <c r="N28" s="69">
        <v>5.1999999999999998E-2</v>
      </c>
      <c r="O28" s="69">
        <v>1.117</v>
      </c>
      <c r="P28" s="69">
        <v>2.7410000000000001</v>
      </c>
      <c r="Q28" s="69">
        <v>1.6060000000000001</v>
      </c>
      <c r="R28" s="69">
        <v>4.3929999999999998</v>
      </c>
      <c r="S28" s="69">
        <v>10.496</v>
      </c>
      <c r="T28" s="69">
        <v>2.1589999999999998</v>
      </c>
      <c r="U28" s="69">
        <v>16.327000000000002</v>
      </c>
      <c r="V28" s="69">
        <v>6.5309999999999997</v>
      </c>
      <c r="W28" s="69">
        <v>13.114000000000001</v>
      </c>
      <c r="X28" s="69">
        <v>8.15</v>
      </c>
      <c r="Y28" s="69">
        <v>7.1589999999999998</v>
      </c>
      <c r="Z28" s="69">
        <v>2.9529999999999998</v>
      </c>
      <c r="AA28" s="69">
        <v>7.0529999999999999</v>
      </c>
      <c r="AB28" s="69">
        <v>12.866</v>
      </c>
      <c r="AC28" s="69">
        <v>6.4690000000000003</v>
      </c>
      <c r="AD28" s="69">
        <v>4.8010000000000002</v>
      </c>
      <c r="AE28" s="69">
        <v>5.2880000000000003</v>
      </c>
      <c r="AF28" s="69">
        <v>7.5339999999999998</v>
      </c>
      <c r="AG28" s="69">
        <v>14.753</v>
      </c>
      <c r="AH28" s="69">
        <v>22.358000000000001</v>
      </c>
      <c r="AI28" s="69">
        <v>22.591999999999999</v>
      </c>
      <c r="AJ28" s="69">
        <v>15.21</v>
      </c>
      <c r="AK28" s="69">
        <v>6.4710000000000001</v>
      </c>
      <c r="AL28" s="69">
        <v>2.7450000000000001</v>
      </c>
      <c r="AM28" s="69">
        <v>4.4248000000000003</v>
      </c>
      <c r="AN28" s="69">
        <v>8.6310000000000002</v>
      </c>
      <c r="AO28" s="69">
        <v>173.54599999999999</v>
      </c>
      <c r="AP28" s="69">
        <v>21.504000000000001</v>
      </c>
      <c r="AQ28" s="69">
        <v>17.167000000000002</v>
      </c>
      <c r="AR28" s="69">
        <v>95.1</v>
      </c>
      <c r="AS28" s="69">
        <v>102.7</v>
      </c>
      <c r="AT28" s="69">
        <v>41.4</v>
      </c>
      <c r="AU28" s="69">
        <v>47.5</v>
      </c>
      <c r="AV28" s="69">
        <v>160</v>
      </c>
      <c r="AW28" s="69">
        <v>268.7</v>
      </c>
      <c r="AX28" s="19">
        <v>188.2</v>
      </c>
      <c r="AY28" s="19">
        <v>338.4</v>
      </c>
      <c r="AZ28" s="19">
        <v>269.39999999999998</v>
      </c>
      <c r="BA28" s="19">
        <v>193.2</v>
      </c>
      <c r="BB28" s="244">
        <v>264.451142</v>
      </c>
      <c r="BC28" s="244">
        <v>293.57670100000001</v>
      </c>
      <c r="BD28" s="244">
        <v>353.23481599999997</v>
      </c>
      <c r="BE28" s="244">
        <v>378.57656100000003</v>
      </c>
      <c r="BF28" s="244">
        <v>531.10063200000002</v>
      </c>
      <c r="BG28" s="244">
        <v>450.66347100000002</v>
      </c>
      <c r="BH28" s="244">
        <v>430.31102200000004</v>
      </c>
      <c r="BI28" s="244" t="s">
        <v>13</v>
      </c>
      <c r="BJ28" s="244" t="s">
        <v>13</v>
      </c>
      <c r="BK28" s="244" t="s">
        <v>13</v>
      </c>
      <c r="BL28" s="244" t="s">
        <v>13</v>
      </c>
      <c r="BM28" s="244" t="s">
        <v>13</v>
      </c>
      <c r="BN28" s="244" t="s">
        <v>13</v>
      </c>
      <c r="BO28" s="244" t="s">
        <v>13</v>
      </c>
      <c r="BP28" s="244" t="s">
        <v>13</v>
      </c>
      <c r="BQ28" s="244" t="s">
        <v>13</v>
      </c>
      <c r="BR28" s="244" t="s">
        <v>13</v>
      </c>
    </row>
    <row r="29" spans="1:70" ht="8.25" customHeight="1">
      <c r="A29" s="68"/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69"/>
      <c r="AJ29" s="69"/>
      <c r="AK29" s="69"/>
      <c r="AL29" s="69"/>
      <c r="AM29" s="69"/>
      <c r="AN29" s="69"/>
      <c r="AO29" s="69"/>
      <c r="AP29" s="69"/>
      <c r="AQ29" s="69"/>
      <c r="AR29" s="69"/>
      <c r="AS29" s="69"/>
      <c r="AT29" s="69"/>
      <c r="AU29" s="69"/>
      <c r="AV29" s="69"/>
      <c r="AW29" s="69"/>
      <c r="AX29" s="19"/>
      <c r="AY29" s="19"/>
      <c r="AZ29" s="19"/>
      <c r="BA29" s="19"/>
      <c r="BB29" s="244"/>
      <c r="BC29" s="244"/>
      <c r="BD29" s="244"/>
      <c r="BE29" s="244"/>
      <c r="BF29" s="244"/>
      <c r="BG29" s="244"/>
      <c r="BH29" s="244"/>
      <c r="BI29" s="244"/>
      <c r="BJ29" s="244"/>
      <c r="BK29" s="244"/>
      <c r="BL29" s="244"/>
      <c r="BM29" s="244"/>
      <c r="BN29" s="244"/>
      <c r="BO29" s="244"/>
      <c r="BP29" s="244"/>
      <c r="BQ29" s="244"/>
      <c r="BR29" s="244"/>
    </row>
    <row r="30" spans="1:70">
      <c r="A30" s="68" t="s">
        <v>307</v>
      </c>
      <c r="B30" s="69">
        <v>0.9581360000000001</v>
      </c>
      <c r="C30" s="69">
        <v>0.8222899999999973</v>
      </c>
      <c r="D30" s="69">
        <v>8.5309999999998665E-2</v>
      </c>
      <c r="E30" s="69">
        <v>0.35215300000000394</v>
      </c>
      <c r="F30" s="69">
        <v>0.83773299999999828</v>
      </c>
      <c r="G30" s="69">
        <v>5.0427399999999967</v>
      </c>
      <c r="H30" s="69">
        <v>7.6115999999999939</v>
      </c>
      <c r="I30" s="69">
        <v>5.5619999999999941</v>
      </c>
      <c r="J30" s="69">
        <v>4.0429300000000001</v>
      </c>
      <c r="K30" s="69">
        <v>3.5034699999999992</v>
      </c>
      <c r="L30" s="69">
        <v>4.1316100000000002</v>
      </c>
      <c r="M30" s="69">
        <v>5.5691399999999991</v>
      </c>
      <c r="N30" s="69">
        <v>5.0250699999999986</v>
      </c>
      <c r="O30" s="69">
        <v>5.6646000000000072</v>
      </c>
      <c r="P30" s="69">
        <v>4.8639999999999972</v>
      </c>
      <c r="Q30" s="69">
        <v>6.636299999999995</v>
      </c>
      <c r="R30" s="69">
        <v>6.7350000000000003</v>
      </c>
      <c r="S30" s="69">
        <v>7.9120000000000026</v>
      </c>
      <c r="T30" s="69">
        <v>5.8840000000000074</v>
      </c>
      <c r="U30" s="69">
        <v>7.2219999999999942</v>
      </c>
      <c r="V30" s="69">
        <v>8.3180000000000085</v>
      </c>
      <c r="W30" s="69">
        <v>7.8389999999999986</v>
      </c>
      <c r="X30" s="69">
        <v>5.3740000000000094</v>
      </c>
      <c r="Y30" s="69">
        <v>7.0080000000000027</v>
      </c>
      <c r="Z30" s="69">
        <v>9.8810000000000073</v>
      </c>
      <c r="AA30" s="69">
        <v>8.0829999999999913</v>
      </c>
      <c r="AB30" s="69">
        <v>22.427999999999997</v>
      </c>
      <c r="AC30" s="69">
        <v>19.718000000000018</v>
      </c>
      <c r="AD30" s="69">
        <v>18.110999999999933</v>
      </c>
      <c r="AE30" s="69">
        <v>50.341000000000065</v>
      </c>
      <c r="AF30" s="69">
        <v>40.042000000000087</v>
      </c>
      <c r="AG30" s="69">
        <v>51.853999999999928</v>
      </c>
      <c r="AH30" s="69">
        <v>65.626999999999896</v>
      </c>
      <c r="AI30" s="69">
        <v>114.50600000000009</v>
      </c>
      <c r="AJ30" s="69">
        <v>88.005999999999972</v>
      </c>
      <c r="AK30" s="69">
        <v>61.766999999999996</v>
      </c>
      <c r="AL30" s="69">
        <v>54.216000000000008</v>
      </c>
      <c r="AM30" s="69">
        <v>75.950200000000109</v>
      </c>
      <c r="AN30" s="69">
        <v>48.689999999999941</v>
      </c>
      <c r="AO30" s="69">
        <v>90.046999999999912</v>
      </c>
      <c r="AP30" s="69">
        <v>45.493999999999915</v>
      </c>
      <c r="AQ30" s="69">
        <v>58.8</v>
      </c>
      <c r="AR30" s="69">
        <v>61.2</v>
      </c>
      <c r="AS30" s="69">
        <v>83.8</v>
      </c>
      <c r="AT30" s="69">
        <v>99.6</v>
      </c>
      <c r="AU30" s="69">
        <v>129.80000000000001</v>
      </c>
      <c r="AV30" s="69">
        <v>146.19999999999999</v>
      </c>
      <c r="AW30" s="69">
        <v>196.7</v>
      </c>
      <c r="AX30" s="19">
        <v>185.6</v>
      </c>
      <c r="AY30" s="19">
        <v>296.2</v>
      </c>
      <c r="AZ30" s="19">
        <v>329.1</v>
      </c>
      <c r="BA30" s="19">
        <v>173</v>
      </c>
      <c r="BB30" s="244">
        <v>208.52090699999999</v>
      </c>
      <c r="BC30" s="244">
        <v>350.45239500000002</v>
      </c>
      <c r="BD30" s="244">
        <v>389.11080599999997</v>
      </c>
      <c r="BE30" s="244">
        <v>571.38997550787508</v>
      </c>
      <c r="BF30" s="244">
        <v>624.64657843838802</v>
      </c>
      <c r="BG30" s="244">
        <v>555.53004099999998</v>
      </c>
      <c r="BH30" s="244">
        <v>636.62472200000002</v>
      </c>
      <c r="BI30" s="244">
        <v>710.90397499999995</v>
      </c>
      <c r="BJ30" s="244">
        <v>596.10530099999994</v>
      </c>
      <c r="BK30" s="244">
        <v>626.71672999999998</v>
      </c>
      <c r="BL30" s="244">
        <v>1597.6104929999997</v>
      </c>
      <c r="BM30" s="244">
        <v>2272.3926939999997</v>
      </c>
      <c r="BN30" s="244">
        <v>439.347846</v>
      </c>
      <c r="BO30" s="244">
        <v>145.95206422999999</v>
      </c>
      <c r="BP30" s="244">
        <v>240.244470697</v>
      </c>
      <c r="BQ30" s="244">
        <v>84.400333527000001</v>
      </c>
      <c r="BR30" s="244">
        <v>66.398534182999995</v>
      </c>
    </row>
    <row r="31" spans="1:70" ht="8.25" customHeight="1">
      <c r="A31" s="68"/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69"/>
      <c r="AJ31" s="69"/>
      <c r="AK31" s="69"/>
      <c r="AL31" s="69"/>
      <c r="AM31" s="69"/>
      <c r="AN31" s="69"/>
      <c r="AO31" s="69"/>
      <c r="AP31" s="69"/>
      <c r="AQ31" s="69"/>
      <c r="AR31" s="69"/>
      <c r="AS31" s="69"/>
      <c r="AT31" s="69"/>
      <c r="AU31" s="69"/>
      <c r="AV31" s="69"/>
      <c r="AW31" s="69"/>
      <c r="AX31" s="19"/>
      <c r="AY31" s="19"/>
      <c r="AZ31" s="19"/>
      <c r="BA31" s="19"/>
      <c r="BB31" s="244"/>
      <c r="BC31" s="244"/>
      <c r="BD31" s="244"/>
      <c r="BE31" s="244"/>
      <c r="BF31" s="244"/>
      <c r="BG31" s="244"/>
      <c r="BH31" s="244"/>
      <c r="BI31" s="244"/>
      <c r="BJ31" s="244"/>
      <c r="BK31" s="244"/>
      <c r="BL31" s="244"/>
      <c r="BM31" s="244"/>
      <c r="BN31" s="244"/>
      <c r="BO31" s="244"/>
      <c r="BP31" s="244"/>
      <c r="BQ31" s="244"/>
      <c r="BR31" s="244"/>
    </row>
    <row r="32" spans="1:70">
      <c r="A32" s="68" t="s">
        <v>308</v>
      </c>
      <c r="B32" s="69">
        <v>7.1120000000000001</v>
      </c>
      <c r="C32" s="69">
        <v>7.2350000000000003</v>
      </c>
      <c r="D32" s="69">
        <v>11.227</v>
      </c>
      <c r="E32" s="69">
        <v>15.323</v>
      </c>
      <c r="F32" s="69">
        <v>14.211</v>
      </c>
      <c r="G32" s="69">
        <v>19.452000000000002</v>
      </c>
      <c r="H32" s="69">
        <v>26.716000000000001</v>
      </c>
      <c r="I32" s="69">
        <v>29.161999999999999</v>
      </c>
      <c r="J32" s="69">
        <v>28.491</v>
      </c>
      <c r="K32" s="69">
        <v>32.505000000000003</v>
      </c>
      <c r="L32" s="69">
        <v>32.737000000000002</v>
      </c>
      <c r="M32" s="69">
        <v>31.949000000000002</v>
      </c>
      <c r="N32" s="69">
        <v>40.822000000000003</v>
      </c>
      <c r="O32" s="69">
        <v>39.941000000000003</v>
      </c>
      <c r="P32" s="69">
        <v>37.881999999999998</v>
      </c>
      <c r="Q32" s="69">
        <v>40.761000000000003</v>
      </c>
      <c r="R32" s="69">
        <v>50.55</v>
      </c>
      <c r="S32" s="69">
        <v>58.591999999999999</v>
      </c>
      <c r="T32" s="69">
        <v>65.415999999999997</v>
      </c>
      <c r="U32" s="69">
        <v>74.022000000000006</v>
      </c>
      <c r="V32" s="69">
        <v>95.323999999999998</v>
      </c>
      <c r="W32" s="69">
        <v>83.745999999999995</v>
      </c>
      <c r="X32" s="69">
        <v>84.757999999999996</v>
      </c>
      <c r="Y32" s="69">
        <v>95.668000000000006</v>
      </c>
      <c r="Z32" s="69">
        <v>103.928</v>
      </c>
      <c r="AA32" s="69">
        <v>134.029</v>
      </c>
      <c r="AB32" s="69">
        <v>303.10399999999998</v>
      </c>
      <c r="AC32" s="69">
        <v>259.39</v>
      </c>
      <c r="AD32" s="69">
        <v>279.113</v>
      </c>
      <c r="AE32" s="69">
        <v>400.46199999999999</v>
      </c>
      <c r="AF32" s="69">
        <v>528.84100000000001</v>
      </c>
      <c r="AG32" s="69">
        <v>647.55999999999995</v>
      </c>
      <c r="AH32" s="69">
        <v>628.69799999999998</v>
      </c>
      <c r="AI32" s="69">
        <v>589.34400000000005</v>
      </c>
      <c r="AJ32" s="69">
        <v>540.17899999999997</v>
      </c>
      <c r="AK32" s="69">
        <v>437.87</v>
      </c>
      <c r="AL32" s="69">
        <v>438.81799999999998</v>
      </c>
      <c r="AM32" s="69">
        <v>420.226</v>
      </c>
      <c r="AN32" s="69">
        <v>528.68700000000001</v>
      </c>
      <c r="AO32" s="69">
        <v>566.64499999999998</v>
      </c>
      <c r="AP32" s="69">
        <v>453.93200000000002</v>
      </c>
      <c r="AQ32" s="69">
        <v>493.49900000000002</v>
      </c>
      <c r="AR32" s="69">
        <v>503.2</v>
      </c>
      <c r="AS32" s="69">
        <v>642.4</v>
      </c>
      <c r="AT32" s="69">
        <v>549.79999999999995</v>
      </c>
      <c r="AU32" s="69">
        <v>644.20000000000005</v>
      </c>
      <c r="AV32" s="69">
        <v>697.5</v>
      </c>
      <c r="AW32" s="69">
        <v>779.8</v>
      </c>
      <c r="AX32" s="19">
        <v>794.2</v>
      </c>
      <c r="AY32" s="19">
        <v>924.8</v>
      </c>
      <c r="AZ32" s="19">
        <v>956.8</v>
      </c>
      <c r="BA32" s="19">
        <v>528.20000000000005</v>
      </c>
      <c r="BB32" s="244">
        <v>545.06468400000006</v>
      </c>
      <c r="BC32" s="244">
        <v>814.56175900000005</v>
      </c>
      <c r="BD32" s="244">
        <v>1012.8598319999999</v>
      </c>
      <c r="BE32" s="244">
        <v>940.24152347362246</v>
      </c>
      <c r="BF32" s="244">
        <v>1064.4592768416585</v>
      </c>
      <c r="BG32" s="244">
        <v>1277.255641</v>
      </c>
      <c r="BH32" s="244">
        <v>1485.4598500000002</v>
      </c>
      <c r="BI32" s="244">
        <v>1440.117958</v>
      </c>
      <c r="BJ32" s="244">
        <v>1874.0245809999997</v>
      </c>
      <c r="BK32" s="244">
        <v>1770.6286610000002</v>
      </c>
      <c r="BL32" s="244">
        <v>2010.6621479999997</v>
      </c>
      <c r="BM32" s="244">
        <v>2613.9174590000002</v>
      </c>
      <c r="BN32" s="244">
        <v>3274.7675709999999</v>
      </c>
      <c r="BO32" s="244">
        <v>3210.2871428510002</v>
      </c>
      <c r="BP32" s="244">
        <v>3287.98626912699</v>
      </c>
      <c r="BQ32" s="244">
        <v>2796.10087841</v>
      </c>
      <c r="BR32" s="244">
        <v>2170.1165896839998</v>
      </c>
    </row>
    <row r="33" spans="1:70" ht="9" customHeight="1">
      <c r="A33" s="68"/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  <c r="AA33" s="69"/>
      <c r="AB33" s="69"/>
      <c r="AC33" s="69"/>
      <c r="AD33" s="69"/>
      <c r="AE33" s="69"/>
      <c r="AF33" s="69"/>
      <c r="AG33" s="69"/>
      <c r="AH33" s="69"/>
      <c r="AI33" s="69"/>
      <c r="AJ33" s="69"/>
      <c r="AK33" s="69"/>
      <c r="AL33" s="69"/>
      <c r="AM33" s="69"/>
      <c r="AN33" s="69"/>
      <c r="AO33" s="69"/>
      <c r="AP33" s="69"/>
      <c r="AQ33" s="69"/>
      <c r="AR33" s="69"/>
      <c r="AS33" s="69"/>
      <c r="AT33" s="69"/>
      <c r="AU33" s="69"/>
      <c r="AV33" s="69"/>
      <c r="AW33" s="69"/>
      <c r="AX33" s="19"/>
      <c r="AY33" s="19"/>
      <c r="AZ33" s="19"/>
      <c r="BA33" s="19"/>
      <c r="BB33" s="244"/>
      <c r="BC33" s="244"/>
      <c r="BD33" s="244"/>
      <c r="BE33" s="244"/>
      <c r="BF33" s="244"/>
      <c r="BG33" s="244"/>
      <c r="BH33" s="244"/>
      <c r="BI33" s="244"/>
      <c r="BJ33" s="244"/>
      <c r="BK33" s="244"/>
      <c r="BL33" s="244"/>
      <c r="BM33" s="244"/>
      <c r="BN33" s="244"/>
      <c r="BO33" s="244"/>
      <c r="BP33" s="244"/>
      <c r="BQ33" s="244"/>
      <c r="BR33" s="244"/>
    </row>
    <row r="34" spans="1:70">
      <c r="A34" s="68" t="s">
        <v>309</v>
      </c>
      <c r="B34" s="74">
        <v>6.0493400000000008</v>
      </c>
      <c r="C34" s="74">
        <v>6.4249999999999998</v>
      </c>
      <c r="D34" s="74">
        <v>9.8560999999999996</v>
      </c>
      <c r="E34" s="74">
        <v>14.266</v>
      </c>
      <c r="F34" s="74">
        <v>13.0398</v>
      </c>
      <c r="G34" s="74">
        <v>18.02</v>
      </c>
      <c r="H34" s="74">
        <v>25.006</v>
      </c>
      <c r="I34" s="74">
        <v>26.788</v>
      </c>
      <c r="J34" s="74">
        <v>25.492999999999999</v>
      </c>
      <c r="K34" s="74">
        <v>29.094999999999999</v>
      </c>
      <c r="L34" s="74">
        <v>27.842999999999996</v>
      </c>
      <c r="M34" s="74">
        <v>28.992000000000001</v>
      </c>
      <c r="N34" s="74">
        <v>34.856999999999999</v>
      </c>
      <c r="O34" s="74">
        <v>36.522100000000002</v>
      </c>
      <c r="P34" s="74">
        <v>29.922000000000001</v>
      </c>
      <c r="Q34" s="74">
        <v>35.977000000000004</v>
      </c>
      <c r="R34" s="74">
        <v>40.667999999999999</v>
      </c>
      <c r="S34" s="69">
        <v>47.22</v>
      </c>
      <c r="T34" s="69">
        <v>53.311</v>
      </c>
      <c r="U34" s="69">
        <v>61.066000000000003</v>
      </c>
      <c r="V34" s="69">
        <v>79.61699999999999</v>
      </c>
      <c r="W34" s="69">
        <v>66.201999999999998</v>
      </c>
      <c r="X34" s="69">
        <v>66.748999999999995</v>
      </c>
      <c r="Y34" s="69">
        <v>77.837999999999994</v>
      </c>
      <c r="Z34" s="69">
        <v>82.968999999999994</v>
      </c>
      <c r="AA34" s="69">
        <v>111.655</v>
      </c>
      <c r="AB34" s="69">
        <v>243.15200000000002</v>
      </c>
      <c r="AC34" s="69">
        <v>214.82899999999998</v>
      </c>
      <c r="AD34" s="69">
        <v>204.035</v>
      </c>
      <c r="AE34" s="69">
        <v>275.42599999999999</v>
      </c>
      <c r="AF34" s="69">
        <v>400.298</v>
      </c>
      <c r="AG34" s="69">
        <v>488.31900000000002</v>
      </c>
      <c r="AH34" s="69">
        <v>454.411</v>
      </c>
      <c r="AI34" s="69">
        <v>452.548</v>
      </c>
      <c r="AJ34" s="69">
        <v>425.60400000000004</v>
      </c>
      <c r="AK34" s="69">
        <v>357.04400000000004</v>
      </c>
      <c r="AL34" s="69">
        <v>313.90200000000004</v>
      </c>
      <c r="AM34" s="69">
        <v>330.71699999999998</v>
      </c>
      <c r="AN34" s="69">
        <v>416.87900000000002</v>
      </c>
      <c r="AO34" s="69">
        <v>458.47480000000002</v>
      </c>
      <c r="AP34" s="69">
        <v>357.99699999999996</v>
      </c>
      <c r="AQ34" s="69">
        <v>398.3</v>
      </c>
      <c r="AR34" s="69">
        <v>415.9</v>
      </c>
      <c r="AS34" s="69">
        <v>520.70000000000005</v>
      </c>
      <c r="AT34" s="69">
        <v>461.5</v>
      </c>
      <c r="AU34" s="69">
        <v>561.79999999999995</v>
      </c>
      <c r="AV34" s="69">
        <v>581.29999999999995</v>
      </c>
      <c r="AW34" s="69">
        <v>638</v>
      </c>
      <c r="AX34" s="19">
        <v>699.6</v>
      </c>
      <c r="AY34" s="19">
        <v>806.6</v>
      </c>
      <c r="AZ34" s="19">
        <v>820.2</v>
      </c>
      <c r="BA34" s="19">
        <v>427.1</v>
      </c>
      <c r="BB34" s="244">
        <v>412.21170600000005</v>
      </c>
      <c r="BC34" s="244">
        <v>665.02150799999993</v>
      </c>
      <c r="BD34" s="244">
        <v>889.49553100000003</v>
      </c>
      <c r="BE34" s="244">
        <v>824.4285084736224</v>
      </c>
      <c r="BF34" s="244">
        <v>843.8654798416585</v>
      </c>
      <c r="BG34" s="244">
        <v>1068.9161649999999</v>
      </c>
      <c r="BH34" s="244">
        <v>1210.4287829999998</v>
      </c>
      <c r="BI34" s="244">
        <v>1240.345589</v>
      </c>
      <c r="BJ34" s="244">
        <v>1578.5428569999999</v>
      </c>
      <c r="BK34" s="244">
        <v>1580.6759410000002</v>
      </c>
      <c r="BL34" s="244">
        <v>1828.7404150000002</v>
      </c>
      <c r="BM34" s="244">
        <v>2318.5676659999999</v>
      </c>
      <c r="BN34" s="244">
        <v>2914.2090230000003</v>
      </c>
      <c r="BO34" s="244">
        <v>2908.8398307450002</v>
      </c>
      <c r="BP34" s="244">
        <v>2986.1796184529899</v>
      </c>
      <c r="BQ34" s="244">
        <v>2482.917346749</v>
      </c>
      <c r="BR34" s="244">
        <v>1857.3809896969999</v>
      </c>
    </row>
    <row r="35" spans="1:70">
      <c r="A35" s="68" t="s">
        <v>471</v>
      </c>
      <c r="B35" s="69">
        <v>2.3400000000000001E-3</v>
      </c>
      <c r="C35" s="69">
        <v>0.26800000000000002</v>
      </c>
      <c r="D35" s="69">
        <v>2.073</v>
      </c>
      <c r="E35" s="69">
        <v>4.0860000000000003</v>
      </c>
      <c r="F35" s="69">
        <v>3.4529999999999998</v>
      </c>
      <c r="G35" s="69">
        <v>5.827</v>
      </c>
      <c r="H35" s="69">
        <v>9.6020000000000003</v>
      </c>
      <c r="I35" s="69">
        <v>9.9580000000000002</v>
      </c>
      <c r="J35" s="69">
        <v>9.3569999999999993</v>
      </c>
      <c r="K35" s="69">
        <v>11.198</v>
      </c>
      <c r="L35" s="69">
        <v>11.179</v>
      </c>
      <c r="M35" s="69">
        <v>10.912000000000001</v>
      </c>
      <c r="N35" s="69">
        <v>13.13</v>
      </c>
      <c r="O35" s="69">
        <v>11.978</v>
      </c>
      <c r="P35" s="69">
        <v>13.02</v>
      </c>
      <c r="Q35" s="69">
        <v>12.3</v>
      </c>
      <c r="R35" s="69">
        <v>18.606999999999999</v>
      </c>
      <c r="S35" s="69">
        <v>20.937000000000001</v>
      </c>
      <c r="T35" s="69">
        <v>26.236999999999998</v>
      </c>
      <c r="U35" s="69">
        <v>29.337</v>
      </c>
      <c r="V35" s="69">
        <v>30.63</v>
      </c>
      <c r="W35" s="69">
        <v>29.748000000000001</v>
      </c>
      <c r="X35" s="69">
        <v>30.952999999999999</v>
      </c>
      <c r="Y35" s="69">
        <v>37.631</v>
      </c>
      <c r="Z35" s="69">
        <v>35.939</v>
      </c>
      <c r="AA35" s="69">
        <v>47.572000000000003</v>
      </c>
      <c r="AB35" s="69">
        <v>101.342</v>
      </c>
      <c r="AC35" s="69">
        <v>97.165000000000006</v>
      </c>
      <c r="AD35" s="69">
        <v>86.578000000000003</v>
      </c>
      <c r="AE35" s="69">
        <v>119.795</v>
      </c>
      <c r="AF35" s="69">
        <v>161.31</v>
      </c>
      <c r="AG35" s="69">
        <v>165.66499999999999</v>
      </c>
      <c r="AH35" s="69">
        <v>167.523</v>
      </c>
      <c r="AI35" s="69">
        <v>189.49600000000001</v>
      </c>
      <c r="AJ35" s="69">
        <v>159.208</v>
      </c>
      <c r="AK35" s="69">
        <v>137.327</v>
      </c>
      <c r="AL35" s="69">
        <v>128.05600000000001</v>
      </c>
      <c r="AM35" s="69">
        <v>146.74770000000001</v>
      </c>
      <c r="AN35" s="69">
        <v>172.274</v>
      </c>
      <c r="AO35" s="69">
        <v>172.83580000000001</v>
      </c>
      <c r="AP35" s="69">
        <v>108.884</v>
      </c>
      <c r="AQ35" s="69">
        <v>125.2</v>
      </c>
      <c r="AR35" s="69">
        <v>147.1</v>
      </c>
      <c r="AS35" s="69">
        <v>158.6</v>
      </c>
      <c r="AT35" s="69">
        <v>134.80000000000001</v>
      </c>
      <c r="AU35" s="69">
        <v>132.4</v>
      </c>
      <c r="AV35" s="69">
        <v>217</v>
      </c>
      <c r="AW35" s="69">
        <v>191.1</v>
      </c>
      <c r="AX35" s="19">
        <v>162.4</v>
      </c>
      <c r="AY35" s="19">
        <v>200.2</v>
      </c>
      <c r="AZ35" s="19">
        <v>228.4</v>
      </c>
      <c r="BA35" s="19">
        <v>126</v>
      </c>
      <c r="BB35" s="244">
        <v>117.77386399999999</v>
      </c>
      <c r="BC35" s="244">
        <v>178.19745300000002</v>
      </c>
      <c r="BD35" s="244">
        <v>181.49778100000003</v>
      </c>
      <c r="BE35" s="244">
        <v>178.100527</v>
      </c>
      <c r="BF35" s="244">
        <v>206.55421799999999</v>
      </c>
      <c r="BG35" s="244">
        <v>232.16159099999999</v>
      </c>
      <c r="BH35" s="244">
        <v>237.30157600000001</v>
      </c>
      <c r="BI35" s="244">
        <v>288.39612500000004</v>
      </c>
      <c r="BJ35" s="244">
        <v>375.73849899999999</v>
      </c>
      <c r="BK35" s="244">
        <v>384.29320999999993</v>
      </c>
      <c r="BL35" s="244">
        <v>475.64675599999998</v>
      </c>
      <c r="BM35" s="244">
        <v>568.46884</v>
      </c>
      <c r="BN35" s="244">
        <v>592.20770900000002</v>
      </c>
      <c r="BO35" s="244">
        <v>577.482999866</v>
      </c>
      <c r="BP35" s="244">
        <v>577.49663084199995</v>
      </c>
      <c r="BQ35" s="244">
        <v>496.99748187500001</v>
      </c>
      <c r="BR35" s="244">
        <v>398.24624865700002</v>
      </c>
    </row>
    <row r="36" spans="1:70">
      <c r="A36" s="68" t="s">
        <v>310</v>
      </c>
      <c r="B36" s="69">
        <v>1.5920000000000001</v>
      </c>
      <c r="C36" s="69">
        <v>1.6080000000000001</v>
      </c>
      <c r="D36" s="69">
        <v>3.09</v>
      </c>
      <c r="E36" s="69">
        <v>3.4369999999999998</v>
      </c>
      <c r="F36" s="69">
        <v>2.8679999999999999</v>
      </c>
      <c r="G36" s="69">
        <v>4.282</v>
      </c>
      <c r="H36" s="69">
        <v>5.2069999999999999</v>
      </c>
      <c r="I36" s="69">
        <v>5.1420000000000003</v>
      </c>
      <c r="J36" s="69">
        <v>5.923</v>
      </c>
      <c r="K36" s="69">
        <v>7.04</v>
      </c>
      <c r="L36" s="69">
        <v>6.87</v>
      </c>
      <c r="M36" s="69">
        <v>5.742</v>
      </c>
      <c r="N36" s="69">
        <v>8.452</v>
      </c>
      <c r="O36" s="69">
        <v>9.6999999999999993</v>
      </c>
      <c r="P36" s="69">
        <v>3.5950000000000002</v>
      </c>
      <c r="Q36" s="69">
        <v>10.19</v>
      </c>
      <c r="R36" s="69">
        <v>4.3780000000000001</v>
      </c>
      <c r="S36" s="69">
        <v>5.3650000000000002</v>
      </c>
      <c r="T36" s="69">
        <v>5.1790000000000003</v>
      </c>
      <c r="U36" s="69">
        <v>4.5979999999999999</v>
      </c>
      <c r="V36" s="69">
        <v>4.8550000000000004</v>
      </c>
      <c r="W36" s="69">
        <v>6.64</v>
      </c>
      <c r="X36" s="69">
        <v>4.7160000000000002</v>
      </c>
      <c r="Y36" s="69">
        <v>4.4749999999999996</v>
      </c>
      <c r="Z36" s="69">
        <v>3.6150000000000002</v>
      </c>
      <c r="AA36" s="69">
        <v>5.585</v>
      </c>
      <c r="AB36" s="69">
        <v>12.365</v>
      </c>
      <c r="AC36" s="69">
        <v>5.8079999999999998</v>
      </c>
      <c r="AD36" s="69">
        <v>7.7190000000000003</v>
      </c>
      <c r="AE36" s="69">
        <v>7.8849999999999998</v>
      </c>
      <c r="AF36" s="69">
        <v>10.975</v>
      </c>
      <c r="AG36" s="69">
        <v>12.073</v>
      </c>
      <c r="AH36" s="69">
        <v>11.568</v>
      </c>
      <c r="AI36" s="69">
        <v>14.282</v>
      </c>
      <c r="AJ36" s="69">
        <v>10.227</v>
      </c>
      <c r="AK36" s="69">
        <v>8.0169999999999995</v>
      </c>
      <c r="AL36" s="69">
        <v>20.044</v>
      </c>
      <c r="AM36" s="69">
        <v>11.5526</v>
      </c>
      <c r="AN36" s="69">
        <v>12.223000000000001</v>
      </c>
      <c r="AO36" s="69">
        <v>13.554</v>
      </c>
      <c r="AP36" s="69">
        <v>13.497</v>
      </c>
      <c r="AQ36" s="69">
        <v>22.52</v>
      </c>
      <c r="AR36" s="69">
        <v>16.2</v>
      </c>
      <c r="AS36" s="69">
        <v>17.399999999999999</v>
      </c>
      <c r="AT36" s="69">
        <v>21.4</v>
      </c>
      <c r="AU36" s="69">
        <v>19.399999999999999</v>
      </c>
      <c r="AV36" s="69">
        <v>34.5</v>
      </c>
      <c r="AW36" s="69">
        <v>59.2</v>
      </c>
      <c r="AX36" s="19">
        <v>69</v>
      </c>
      <c r="AY36" s="19">
        <v>49.9</v>
      </c>
      <c r="AZ36" s="19">
        <v>62.5</v>
      </c>
      <c r="BA36" s="19">
        <v>37.1</v>
      </c>
      <c r="BB36" s="244">
        <v>53.496312999999994</v>
      </c>
      <c r="BC36" s="244">
        <v>100.88821499999997</v>
      </c>
      <c r="BD36" s="244">
        <v>146.84371300000001</v>
      </c>
      <c r="BE36" s="244">
        <v>100.15922</v>
      </c>
      <c r="BF36" s="244">
        <v>88.996528000000012</v>
      </c>
      <c r="BG36" s="244">
        <v>104.81185799999999</v>
      </c>
      <c r="BH36" s="244">
        <v>105.12911900000002</v>
      </c>
      <c r="BI36" s="244">
        <v>99.003285999999974</v>
      </c>
      <c r="BJ36" s="244">
        <v>205.483362</v>
      </c>
      <c r="BK36" s="244">
        <v>194.228217</v>
      </c>
      <c r="BL36" s="244">
        <v>297.11491400000006</v>
      </c>
      <c r="BM36" s="244">
        <v>313.05781599999995</v>
      </c>
      <c r="BN36" s="244">
        <v>327.02580499999993</v>
      </c>
      <c r="BO36" s="244">
        <v>328.01466034600003</v>
      </c>
      <c r="BP36" s="244">
        <v>398.81779412399999</v>
      </c>
      <c r="BQ36" s="244">
        <v>411.93940010300003</v>
      </c>
      <c r="BR36" s="244">
        <v>241.001018907</v>
      </c>
    </row>
    <row r="37" spans="1:70">
      <c r="A37" s="68" t="s">
        <v>311</v>
      </c>
      <c r="B37" s="69">
        <v>0.113</v>
      </c>
      <c r="C37" s="69">
        <v>0.24199999999999999</v>
      </c>
      <c r="D37" s="69">
        <v>5.5100000000000003E-2</v>
      </c>
      <c r="E37" s="69">
        <v>9.5000000000000001E-2</v>
      </c>
      <c r="F37" s="69">
        <v>0.17080000000000001</v>
      </c>
      <c r="G37" s="69">
        <v>0.24199999999999999</v>
      </c>
      <c r="H37" s="69">
        <v>0.3</v>
      </c>
      <c r="I37" s="69">
        <v>0.29099999999999998</v>
      </c>
      <c r="J37" s="69">
        <v>0.13900000000000001</v>
      </c>
      <c r="K37" s="69">
        <v>0.24199999999999999</v>
      </c>
      <c r="L37" s="69">
        <v>0.14399999999999999</v>
      </c>
      <c r="M37" s="69">
        <v>0.21199999999999999</v>
      </c>
      <c r="N37" s="69">
        <v>0.185</v>
      </c>
      <c r="O37" s="69">
        <v>0.2001</v>
      </c>
      <c r="P37" s="69">
        <v>0.33800000000000002</v>
      </c>
      <c r="Q37" s="69">
        <v>0.39500000000000002</v>
      </c>
      <c r="R37" s="69">
        <v>0.62</v>
      </c>
      <c r="S37" s="69">
        <v>0.81499999999999995</v>
      </c>
      <c r="T37" s="69">
        <v>0.88900000000000001</v>
      </c>
      <c r="U37" s="69">
        <v>0.755</v>
      </c>
      <c r="V37" s="69">
        <v>1.105</v>
      </c>
      <c r="W37" s="69">
        <v>1.661</v>
      </c>
      <c r="X37" s="69">
        <v>2.4390000000000001</v>
      </c>
      <c r="Y37" s="69">
        <v>2.1720000000000002</v>
      </c>
      <c r="Z37" s="69">
        <v>4.2869999999999999</v>
      </c>
      <c r="AA37" s="69">
        <v>5.843</v>
      </c>
      <c r="AB37" s="69">
        <v>21.666</v>
      </c>
      <c r="AC37" s="69">
        <v>17.181999999999999</v>
      </c>
      <c r="AD37" s="69">
        <v>15.744999999999999</v>
      </c>
      <c r="AE37" s="69">
        <v>25.908000000000001</v>
      </c>
      <c r="AF37" s="69">
        <v>39.869</v>
      </c>
      <c r="AG37" s="69">
        <v>42.158000000000001</v>
      </c>
      <c r="AH37" s="69">
        <v>40.134</v>
      </c>
      <c r="AI37" s="69">
        <v>35.447000000000003</v>
      </c>
      <c r="AJ37" s="69">
        <v>49.945999999999998</v>
      </c>
      <c r="AK37" s="69">
        <v>41.389000000000003</v>
      </c>
      <c r="AL37" s="69">
        <v>36.588000000000001</v>
      </c>
      <c r="AM37" s="69">
        <v>43.301600000000001</v>
      </c>
      <c r="AN37" s="69">
        <v>61.582000000000001</v>
      </c>
      <c r="AO37" s="69">
        <v>65.322999999999993</v>
      </c>
      <c r="AP37" s="69">
        <v>67.825000000000003</v>
      </c>
      <c r="AQ37" s="69">
        <v>54.305</v>
      </c>
      <c r="AR37" s="69">
        <v>44.2</v>
      </c>
      <c r="AS37" s="69">
        <v>41</v>
      </c>
      <c r="AT37" s="69">
        <v>61.6</v>
      </c>
      <c r="AU37" s="69">
        <v>111.1</v>
      </c>
      <c r="AV37" s="69">
        <v>82.9</v>
      </c>
      <c r="AW37" s="69">
        <v>93</v>
      </c>
      <c r="AX37" s="19">
        <v>189.8</v>
      </c>
      <c r="AY37" s="19">
        <v>172.4</v>
      </c>
      <c r="AZ37" s="19">
        <v>112.3</v>
      </c>
      <c r="BA37" s="19">
        <v>76.5</v>
      </c>
      <c r="BB37" s="244">
        <v>58.868132000000003</v>
      </c>
      <c r="BC37" s="244">
        <v>101.185254</v>
      </c>
      <c r="BD37" s="244">
        <v>137.669611</v>
      </c>
      <c r="BE37" s="244">
        <v>139.15171600000002</v>
      </c>
      <c r="BF37" s="244">
        <v>123.38648599999999</v>
      </c>
      <c r="BG37" s="244">
        <v>139.85776000000001</v>
      </c>
      <c r="BH37" s="244">
        <v>146.879965</v>
      </c>
      <c r="BI37" s="244">
        <v>178.80687699999999</v>
      </c>
      <c r="BJ37" s="244">
        <v>222.31811099999999</v>
      </c>
      <c r="BK37" s="244">
        <v>167.85077799999999</v>
      </c>
      <c r="BL37" s="244">
        <v>268.83062999999999</v>
      </c>
      <c r="BM37" s="244">
        <v>325.00098100000002</v>
      </c>
      <c r="BN37" s="244">
        <v>612.53037600000005</v>
      </c>
      <c r="BO37" s="244">
        <v>737.48521740299998</v>
      </c>
      <c r="BP37" s="244">
        <v>617.619559385</v>
      </c>
      <c r="BQ37" s="244">
        <v>430.10747044499999</v>
      </c>
      <c r="BR37" s="244">
        <v>357.28337951700001</v>
      </c>
    </row>
    <row r="38" spans="1:70">
      <c r="A38" s="68" t="s">
        <v>312</v>
      </c>
      <c r="B38" s="69">
        <v>0.47599999999999998</v>
      </c>
      <c r="C38" s="69">
        <v>0.45400000000000001</v>
      </c>
      <c r="D38" s="69">
        <v>0.495</v>
      </c>
      <c r="E38" s="69">
        <v>0.69699999999999995</v>
      </c>
      <c r="F38" s="69">
        <v>0.90200000000000002</v>
      </c>
      <c r="G38" s="69">
        <v>1.0780000000000001</v>
      </c>
      <c r="H38" s="69">
        <v>1.0740000000000001</v>
      </c>
      <c r="I38" s="69">
        <v>1.2210000000000001</v>
      </c>
      <c r="J38" s="69">
        <v>1.121</v>
      </c>
      <c r="K38" s="69">
        <v>0.94199999999999995</v>
      </c>
      <c r="L38" s="69">
        <v>0.83299999999999996</v>
      </c>
      <c r="M38" s="69">
        <v>1.2529999999999999</v>
      </c>
      <c r="N38" s="69">
        <v>1.514</v>
      </c>
      <c r="O38" s="69">
        <v>2.14</v>
      </c>
      <c r="P38" s="69">
        <v>2.266</v>
      </c>
      <c r="Q38" s="69">
        <v>1.3140000000000001</v>
      </c>
      <c r="R38" s="69">
        <v>2.9239999999999999</v>
      </c>
      <c r="S38" s="69">
        <v>2.8769999999999998</v>
      </c>
      <c r="T38" s="69">
        <v>3.9940000000000002</v>
      </c>
      <c r="U38" s="69">
        <v>5.4669999999999996</v>
      </c>
      <c r="V38" s="69">
        <v>16.422000000000001</v>
      </c>
      <c r="W38" s="69">
        <v>4.7530000000000001</v>
      </c>
      <c r="X38" s="69">
        <v>4.8940000000000001</v>
      </c>
      <c r="Y38" s="69">
        <v>3.7010000000000001</v>
      </c>
      <c r="Z38" s="69">
        <v>4.5</v>
      </c>
      <c r="AA38" s="69">
        <v>10.744999999999999</v>
      </c>
      <c r="AB38" s="69">
        <v>17.934000000000001</v>
      </c>
      <c r="AC38" s="69">
        <v>20.686</v>
      </c>
      <c r="AD38" s="69">
        <v>15.311</v>
      </c>
      <c r="AE38" s="69">
        <v>16.012</v>
      </c>
      <c r="AF38" s="69">
        <v>23.291</v>
      </c>
      <c r="AG38" s="69">
        <v>27.571000000000002</v>
      </c>
      <c r="AH38" s="69">
        <v>29.527000000000001</v>
      </c>
      <c r="AI38" s="69">
        <v>29.824999999999999</v>
      </c>
      <c r="AJ38" s="69">
        <v>28.552</v>
      </c>
      <c r="AK38" s="69">
        <v>31.814</v>
      </c>
      <c r="AL38" s="69">
        <v>29.204000000000001</v>
      </c>
      <c r="AM38" s="69">
        <v>21.002700000000001</v>
      </c>
      <c r="AN38" s="69">
        <v>30.370999999999999</v>
      </c>
      <c r="AO38" s="69">
        <v>41.344000000000001</v>
      </c>
      <c r="AP38" s="69">
        <v>37.767000000000003</v>
      </c>
      <c r="AQ38" s="69">
        <v>39.024000000000001</v>
      </c>
      <c r="AR38" s="69">
        <v>39.700000000000003</v>
      </c>
      <c r="AS38" s="69">
        <v>92.3</v>
      </c>
      <c r="AT38" s="69">
        <v>71.599999999999994</v>
      </c>
      <c r="AU38" s="69">
        <v>45.9</v>
      </c>
      <c r="AV38" s="69">
        <v>37.5</v>
      </c>
      <c r="AW38" s="69">
        <v>57.3</v>
      </c>
      <c r="AX38" s="19">
        <v>35.4</v>
      </c>
      <c r="AY38" s="19">
        <v>85.6</v>
      </c>
      <c r="AZ38" s="19">
        <v>47.5</v>
      </c>
      <c r="BA38" s="19">
        <v>36.299999999999997</v>
      </c>
      <c r="BB38" s="244">
        <v>30.176667999999996</v>
      </c>
      <c r="BC38" s="244">
        <v>42.574787000000001</v>
      </c>
      <c r="BD38" s="244">
        <v>59.094989999999996</v>
      </c>
      <c r="BE38" s="244">
        <v>50.44009299999999</v>
      </c>
      <c r="BF38" s="244">
        <v>49.595722000000002</v>
      </c>
      <c r="BG38" s="244">
        <v>63.637125000000005</v>
      </c>
      <c r="BH38" s="244">
        <v>70.065760999999995</v>
      </c>
      <c r="BI38" s="244">
        <v>77.097137000000004</v>
      </c>
      <c r="BJ38" s="244">
        <v>89.793294999999986</v>
      </c>
      <c r="BK38" s="244">
        <v>98.594302999999996</v>
      </c>
      <c r="BL38" s="244">
        <v>89.518010000000004</v>
      </c>
      <c r="BM38" s="244">
        <v>136.98822699999999</v>
      </c>
      <c r="BN38" s="244">
        <v>163.802018</v>
      </c>
      <c r="BO38" s="244">
        <v>126.80705330399999</v>
      </c>
      <c r="BP38" s="244">
        <v>138.97416912099999</v>
      </c>
      <c r="BQ38" s="244">
        <v>120.246617457</v>
      </c>
      <c r="BR38" s="244">
        <v>132.49580498099999</v>
      </c>
    </row>
    <row r="39" spans="1:70">
      <c r="A39" s="68" t="s">
        <v>313</v>
      </c>
      <c r="B39" s="69">
        <v>0.41599999999999998</v>
      </c>
      <c r="C39" s="69">
        <v>0.625</v>
      </c>
      <c r="D39" s="69">
        <v>0.91500000000000004</v>
      </c>
      <c r="E39" s="69">
        <v>1.103</v>
      </c>
      <c r="F39" s="69">
        <v>0.81899999999999995</v>
      </c>
      <c r="G39" s="69">
        <v>1.3580000000000001</v>
      </c>
      <c r="H39" s="69">
        <v>1.4550000000000001</v>
      </c>
      <c r="I39" s="69">
        <v>2.641</v>
      </c>
      <c r="J39" s="69">
        <v>2.3159999999999998</v>
      </c>
      <c r="K39" s="69">
        <v>2.593</v>
      </c>
      <c r="L39" s="69">
        <v>3.0310000000000001</v>
      </c>
      <c r="M39" s="69">
        <v>3.47</v>
      </c>
      <c r="N39" s="69">
        <v>3.9710000000000001</v>
      </c>
      <c r="O39" s="69">
        <v>4.5090000000000003</v>
      </c>
      <c r="P39" s="69">
        <v>2.6629999999999998</v>
      </c>
      <c r="Q39" s="69">
        <v>2.9460000000000002</v>
      </c>
      <c r="R39" s="69">
        <v>2.5059999999999998</v>
      </c>
      <c r="S39" s="69">
        <v>3.2719999999999998</v>
      </c>
      <c r="T39" s="69">
        <v>3.3220000000000001</v>
      </c>
      <c r="U39" s="69">
        <v>3.548</v>
      </c>
      <c r="V39" s="69">
        <v>3.7570000000000001</v>
      </c>
      <c r="W39" s="69">
        <v>3.9980000000000002</v>
      </c>
      <c r="X39" s="69">
        <v>3.7290000000000001</v>
      </c>
      <c r="Y39" s="69">
        <v>4.165</v>
      </c>
      <c r="Z39" s="69">
        <v>6.36</v>
      </c>
      <c r="AA39" s="69">
        <v>5.6139999999999999</v>
      </c>
      <c r="AB39" s="69">
        <v>16.491</v>
      </c>
      <c r="AC39" s="69">
        <v>11.077</v>
      </c>
      <c r="AD39" s="69">
        <v>10.417</v>
      </c>
      <c r="AE39" s="69">
        <v>16.576000000000001</v>
      </c>
      <c r="AF39" s="69">
        <v>14.952999999999999</v>
      </c>
      <c r="AG39" s="69">
        <v>16.100000000000001</v>
      </c>
      <c r="AH39" s="69">
        <v>23.321999999999999</v>
      </c>
      <c r="AI39" s="69">
        <v>24.343</v>
      </c>
      <c r="AJ39" s="69">
        <v>22.876999999999999</v>
      </c>
      <c r="AK39" s="69">
        <v>13.903</v>
      </c>
      <c r="AL39" s="69">
        <v>17.388999999999999</v>
      </c>
      <c r="AM39" s="69">
        <v>17.857900000000001</v>
      </c>
      <c r="AN39" s="69">
        <v>29.690999999999999</v>
      </c>
      <c r="AO39" s="69">
        <v>25.959</v>
      </c>
      <c r="AP39" s="69">
        <v>18.603000000000002</v>
      </c>
      <c r="AQ39" s="69">
        <v>17.864000000000001</v>
      </c>
      <c r="AR39" s="69">
        <v>19.600000000000001</v>
      </c>
      <c r="AS39" s="69">
        <v>23.2</v>
      </c>
      <c r="AT39" s="69">
        <v>15</v>
      </c>
      <c r="AU39" s="69">
        <v>14.2</v>
      </c>
      <c r="AV39" s="69">
        <v>24</v>
      </c>
      <c r="AW39" s="69">
        <v>39.700000000000003</v>
      </c>
      <c r="AX39" s="19">
        <v>49.5</v>
      </c>
      <c r="AY39" s="19">
        <v>53.9</v>
      </c>
      <c r="AZ39" s="19">
        <v>57.7</v>
      </c>
      <c r="BA39" s="19">
        <v>32.299999999999997</v>
      </c>
      <c r="BB39" s="244">
        <v>35.258597999999999</v>
      </c>
      <c r="BC39" s="244">
        <v>43.435448999999998</v>
      </c>
      <c r="BD39" s="244">
        <v>51.41057099999999</v>
      </c>
      <c r="BE39" s="244">
        <v>85.014926473622509</v>
      </c>
      <c r="BF39" s="244">
        <v>159.03111384165848</v>
      </c>
      <c r="BG39" s="244">
        <v>178.33378699999997</v>
      </c>
      <c r="BH39" s="244">
        <v>237.92067599999999</v>
      </c>
      <c r="BI39" s="244">
        <v>172.87801899999999</v>
      </c>
      <c r="BJ39" s="244">
        <v>141.43734600000002</v>
      </c>
      <c r="BK39" s="244">
        <v>156.30547400000003</v>
      </c>
      <c r="BL39" s="244">
        <v>133.939976</v>
      </c>
      <c r="BM39" s="244">
        <v>237.00786399999998</v>
      </c>
      <c r="BN39" s="244">
        <v>212.25972700000005</v>
      </c>
      <c r="BO39" s="244">
        <v>291.01347474200003</v>
      </c>
      <c r="BP39" s="244">
        <v>480.50961802900002</v>
      </c>
      <c r="BQ39" s="244">
        <v>369.64442686500001</v>
      </c>
      <c r="BR39" s="244">
        <v>259.37183596</v>
      </c>
    </row>
    <row r="40" spans="1:70">
      <c r="A40" s="68" t="s">
        <v>314</v>
      </c>
      <c r="B40" s="69">
        <v>0.81399999999999995</v>
      </c>
      <c r="C40" s="69">
        <v>0.93</v>
      </c>
      <c r="D40" s="69">
        <v>0.77500000000000002</v>
      </c>
      <c r="E40" s="69">
        <v>1.54</v>
      </c>
      <c r="F40" s="69">
        <v>1.4710000000000001</v>
      </c>
      <c r="G40" s="69">
        <v>1.591</v>
      </c>
      <c r="H40" s="69">
        <v>2.3050000000000002</v>
      </c>
      <c r="I40" s="69">
        <v>1.927</v>
      </c>
      <c r="J40" s="69">
        <v>1.84</v>
      </c>
      <c r="K40" s="69">
        <v>2.0619999999999998</v>
      </c>
      <c r="L40" s="69">
        <v>1.51</v>
      </c>
      <c r="M40" s="69">
        <v>1.9570000000000001</v>
      </c>
      <c r="N40" s="69">
        <v>1.786</v>
      </c>
      <c r="O40" s="69">
        <v>2.0209999999999999</v>
      </c>
      <c r="P40" s="69">
        <v>2.5070000000000001</v>
      </c>
      <c r="Q40" s="69">
        <v>2.6520000000000001</v>
      </c>
      <c r="R40" s="69">
        <v>4.0960000000000001</v>
      </c>
      <c r="S40" s="69">
        <v>4.508</v>
      </c>
      <c r="T40" s="69">
        <v>4.3280000000000003</v>
      </c>
      <c r="U40" s="69">
        <v>5.8609999999999998</v>
      </c>
      <c r="V40" s="69">
        <v>8.6940000000000008</v>
      </c>
      <c r="W40" s="69">
        <v>7.86</v>
      </c>
      <c r="X40" s="69">
        <v>8.5350000000000001</v>
      </c>
      <c r="Y40" s="69">
        <v>11.297000000000001</v>
      </c>
      <c r="Z40" s="69">
        <v>8.734</v>
      </c>
      <c r="AA40" s="69">
        <v>12.832000000000001</v>
      </c>
      <c r="AB40" s="69">
        <v>32.841999999999999</v>
      </c>
      <c r="AC40" s="69">
        <v>22.084</v>
      </c>
      <c r="AD40" s="69">
        <v>26.81</v>
      </c>
      <c r="AE40" s="69">
        <v>36.707999999999998</v>
      </c>
      <c r="AF40" s="69">
        <v>79.072000000000003</v>
      </c>
      <c r="AG40" s="69">
        <v>148.197</v>
      </c>
      <c r="AH40" s="69">
        <v>114.59</v>
      </c>
      <c r="AI40" s="69">
        <v>83.361999999999995</v>
      </c>
      <c r="AJ40" s="69">
        <v>70.665000000000006</v>
      </c>
      <c r="AK40" s="69">
        <v>73.507999999999996</v>
      </c>
      <c r="AL40" s="69">
        <v>39.314999999999998</v>
      </c>
      <c r="AM40" s="69">
        <v>45.432299999999998</v>
      </c>
      <c r="AN40" s="69">
        <v>57.018999999999998</v>
      </c>
      <c r="AO40" s="69">
        <v>80.622</v>
      </c>
      <c r="AP40" s="69">
        <v>64.174000000000007</v>
      </c>
      <c r="AQ40" s="69">
        <v>83.784999999999997</v>
      </c>
      <c r="AR40" s="69">
        <v>103.3</v>
      </c>
      <c r="AS40" s="69">
        <v>141</v>
      </c>
      <c r="AT40" s="69">
        <v>121.8</v>
      </c>
      <c r="AU40" s="69">
        <v>193</v>
      </c>
      <c r="AV40" s="69">
        <v>138.1</v>
      </c>
      <c r="AW40" s="69">
        <v>103.2</v>
      </c>
      <c r="AX40" s="19">
        <v>107.1</v>
      </c>
      <c r="AY40" s="19">
        <v>133.19999999999999</v>
      </c>
      <c r="AZ40" s="19">
        <v>175.3</v>
      </c>
      <c r="BA40" s="19">
        <v>56</v>
      </c>
      <c r="BB40" s="244">
        <v>54.160558000000002</v>
      </c>
      <c r="BC40" s="244">
        <v>109.76801899999998</v>
      </c>
      <c r="BD40" s="244">
        <v>142.54584700000001</v>
      </c>
      <c r="BE40" s="244">
        <v>111.581643</v>
      </c>
      <c r="BF40" s="244">
        <v>96.908709999999999</v>
      </c>
      <c r="BG40" s="244">
        <v>115.923436</v>
      </c>
      <c r="BH40" s="244">
        <v>170.71141699999998</v>
      </c>
      <c r="BI40" s="244">
        <v>161.69796499999995</v>
      </c>
      <c r="BJ40" s="244">
        <v>201.70155300000002</v>
      </c>
      <c r="BK40" s="244">
        <v>242.12764899999999</v>
      </c>
      <c r="BL40" s="244">
        <v>274.639657</v>
      </c>
      <c r="BM40" s="244">
        <v>283.72661499999998</v>
      </c>
      <c r="BN40" s="244">
        <v>284.124595</v>
      </c>
      <c r="BO40" s="244">
        <v>291.576182969</v>
      </c>
      <c r="BP40" s="244">
        <v>325.80133481600001</v>
      </c>
      <c r="BQ40" s="244">
        <v>343.78381518100002</v>
      </c>
      <c r="BR40" s="244">
        <v>257.824512922</v>
      </c>
    </row>
    <row r="41" spans="1:70">
      <c r="A41" s="68" t="s">
        <v>315</v>
      </c>
      <c r="B41" s="69">
        <v>2.6360000000000001</v>
      </c>
      <c r="C41" s="69">
        <v>2.298</v>
      </c>
      <c r="D41" s="69">
        <v>2.4529999999999998</v>
      </c>
      <c r="E41" s="69">
        <v>3.3079999999999998</v>
      </c>
      <c r="F41" s="69">
        <v>3.3559999999999999</v>
      </c>
      <c r="G41" s="69">
        <v>3.6419999999999999</v>
      </c>
      <c r="H41" s="69">
        <v>5.0629999999999997</v>
      </c>
      <c r="I41" s="69">
        <v>5.6079999999999997</v>
      </c>
      <c r="J41" s="69">
        <v>4.7969999999999997</v>
      </c>
      <c r="K41" s="69">
        <v>5.0179999999999998</v>
      </c>
      <c r="L41" s="69">
        <v>4.2759999999999998</v>
      </c>
      <c r="M41" s="69">
        <v>5.4459999999999997</v>
      </c>
      <c r="N41" s="69">
        <v>5.819</v>
      </c>
      <c r="O41" s="69">
        <v>5.9740000000000002</v>
      </c>
      <c r="P41" s="69">
        <v>5.5330000000000004</v>
      </c>
      <c r="Q41" s="69">
        <v>6.18</v>
      </c>
      <c r="R41" s="69">
        <v>7.5369999999999999</v>
      </c>
      <c r="S41" s="69">
        <v>9.4459999999999997</v>
      </c>
      <c r="T41" s="69">
        <v>9.3620000000000001</v>
      </c>
      <c r="U41" s="69">
        <v>11.5</v>
      </c>
      <c r="V41" s="69">
        <v>14.154</v>
      </c>
      <c r="W41" s="69">
        <v>11.542</v>
      </c>
      <c r="X41" s="69">
        <v>11.483000000000001</v>
      </c>
      <c r="Y41" s="69">
        <v>14.397</v>
      </c>
      <c r="Z41" s="69">
        <v>19.533999999999999</v>
      </c>
      <c r="AA41" s="69">
        <v>21.873000000000001</v>
      </c>
      <c r="AB41" s="69">
        <v>36.735999999999997</v>
      </c>
      <c r="AC41" s="69">
        <v>36.917000000000002</v>
      </c>
      <c r="AD41" s="69">
        <v>35.655000000000001</v>
      </c>
      <c r="AE41" s="69">
        <v>48.447000000000003</v>
      </c>
      <c r="AF41" s="69">
        <v>61.664000000000001</v>
      </c>
      <c r="AG41" s="69">
        <v>70.043999999999997</v>
      </c>
      <c r="AH41" s="69">
        <v>59.292000000000002</v>
      </c>
      <c r="AI41" s="69">
        <v>65.778999999999996</v>
      </c>
      <c r="AJ41" s="69">
        <v>60.103999999999999</v>
      </c>
      <c r="AK41" s="69">
        <v>45.856999999999999</v>
      </c>
      <c r="AL41" s="69">
        <v>31.736000000000001</v>
      </c>
      <c r="AM41" s="69">
        <v>36.384399999999999</v>
      </c>
      <c r="AN41" s="69">
        <v>45.021999999999998</v>
      </c>
      <c r="AO41" s="69">
        <v>48.758000000000003</v>
      </c>
      <c r="AP41" s="69">
        <v>35.332000000000001</v>
      </c>
      <c r="AQ41" s="69">
        <v>45.569000000000003</v>
      </c>
      <c r="AR41" s="69">
        <v>31.9</v>
      </c>
      <c r="AS41" s="69">
        <v>38.9</v>
      </c>
      <c r="AT41" s="69">
        <v>25.3</v>
      </c>
      <c r="AU41" s="69">
        <v>37.9</v>
      </c>
      <c r="AV41" s="69">
        <v>35</v>
      </c>
      <c r="AW41" s="69">
        <v>51.7</v>
      </c>
      <c r="AX41" s="19">
        <v>49</v>
      </c>
      <c r="AY41" s="19">
        <v>57.9</v>
      </c>
      <c r="AZ41" s="19">
        <v>63.9</v>
      </c>
      <c r="BA41" s="19">
        <v>30.2</v>
      </c>
      <c r="BB41" s="244">
        <v>39.661929000000001</v>
      </c>
      <c r="BC41" s="244">
        <v>43.936863000000002</v>
      </c>
      <c r="BD41" s="244">
        <v>64.174618000000009</v>
      </c>
      <c r="BE41" s="244">
        <v>47.909717000000001</v>
      </c>
      <c r="BF41" s="244">
        <v>53.594567999999988</v>
      </c>
      <c r="BG41" s="244">
        <v>69.827058000000008</v>
      </c>
      <c r="BH41" s="244">
        <v>67.103576000000004</v>
      </c>
      <c r="BI41" s="244">
        <v>69.401011999999994</v>
      </c>
      <c r="BJ41" s="244">
        <v>73.122029999999995</v>
      </c>
      <c r="BK41" s="244">
        <v>111.16367699999998</v>
      </c>
      <c r="BL41" s="244">
        <v>76.947856999999999</v>
      </c>
      <c r="BM41" s="244">
        <v>145.29158899999999</v>
      </c>
      <c r="BN41" s="244">
        <v>486.31830200000002</v>
      </c>
      <c r="BO41" s="244">
        <v>341.11245943900002</v>
      </c>
      <c r="BP41" s="244">
        <v>150.53127165399999</v>
      </c>
      <c r="BQ41" s="244">
        <v>86.493200303999998</v>
      </c>
      <c r="BR41" s="244">
        <v>51.156130210000001</v>
      </c>
    </row>
    <row r="42" spans="1:70">
      <c r="A42" s="68" t="s">
        <v>316</v>
      </c>
      <c r="B42" s="69" t="s">
        <v>13</v>
      </c>
      <c r="C42" s="69" t="s">
        <v>13</v>
      </c>
      <c r="D42" s="69" t="s">
        <v>13</v>
      </c>
      <c r="E42" s="69" t="s">
        <v>13</v>
      </c>
      <c r="F42" s="69" t="s">
        <v>13</v>
      </c>
      <c r="G42" s="69" t="s">
        <v>13</v>
      </c>
      <c r="H42" s="69" t="s">
        <v>13</v>
      </c>
      <c r="I42" s="69" t="s">
        <v>13</v>
      </c>
      <c r="J42" s="69" t="s">
        <v>13</v>
      </c>
      <c r="K42" s="69" t="s">
        <v>13</v>
      </c>
      <c r="L42" s="69" t="s">
        <v>13</v>
      </c>
      <c r="M42" s="69" t="s">
        <v>13</v>
      </c>
      <c r="N42" s="69" t="s">
        <v>13</v>
      </c>
      <c r="O42" s="69" t="s">
        <v>13</v>
      </c>
      <c r="P42" s="69" t="s">
        <v>13</v>
      </c>
      <c r="Q42" s="69" t="s">
        <v>13</v>
      </c>
      <c r="R42" s="69" t="s">
        <v>13</v>
      </c>
      <c r="S42" s="69" t="s">
        <v>13</v>
      </c>
      <c r="T42" s="69" t="s">
        <v>13</v>
      </c>
      <c r="U42" s="69" t="s">
        <v>13</v>
      </c>
      <c r="V42" s="69" t="s">
        <v>13</v>
      </c>
      <c r="W42" s="69" t="s">
        <v>13</v>
      </c>
      <c r="X42" s="69" t="s">
        <v>13</v>
      </c>
      <c r="Y42" s="69" t="s">
        <v>13</v>
      </c>
      <c r="Z42" s="69" t="s">
        <v>13</v>
      </c>
      <c r="AA42" s="69">
        <v>1.5909999999999833</v>
      </c>
      <c r="AB42" s="69">
        <v>3.7760000000000495</v>
      </c>
      <c r="AC42" s="69">
        <v>3.9099999999999859</v>
      </c>
      <c r="AD42" s="69">
        <v>5.7999999999999883</v>
      </c>
      <c r="AE42" s="69">
        <v>4.0949999999999998</v>
      </c>
      <c r="AF42" s="69">
        <v>9.1640000000000157</v>
      </c>
      <c r="AG42" s="69">
        <v>6.5109999999999815</v>
      </c>
      <c r="AH42" s="69">
        <v>8.4550000000000001</v>
      </c>
      <c r="AI42" s="69">
        <v>10.013999999999982</v>
      </c>
      <c r="AJ42" s="69">
        <v>24.024999999999999</v>
      </c>
      <c r="AK42" s="69">
        <v>5.2290000000000205</v>
      </c>
      <c r="AL42" s="69">
        <v>11.57</v>
      </c>
      <c r="AM42" s="69">
        <v>8.4378000000000171</v>
      </c>
      <c r="AN42" s="69">
        <v>8.6970000000000525</v>
      </c>
      <c r="AO42" s="69">
        <v>10.079000000000022</v>
      </c>
      <c r="AP42" s="69">
        <v>11.914999999999935</v>
      </c>
      <c r="AQ42" s="69">
        <v>10.033000000000065</v>
      </c>
      <c r="AR42" s="69">
        <v>14</v>
      </c>
      <c r="AS42" s="69">
        <v>8.3000000000000007</v>
      </c>
      <c r="AT42" s="69">
        <v>10</v>
      </c>
      <c r="AU42" s="69">
        <v>8</v>
      </c>
      <c r="AV42" s="69">
        <v>12.3</v>
      </c>
      <c r="AW42" s="69">
        <v>42.7</v>
      </c>
      <c r="AX42" s="19">
        <v>37.299999999999997</v>
      </c>
      <c r="AY42" s="19">
        <v>53.5</v>
      </c>
      <c r="AZ42" s="19">
        <v>72.5</v>
      </c>
      <c r="BA42" s="19">
        <v>32.799999999999997</v>
      </c>
      <c r="BB42" s="244">
        <v>22.815644000000006</v>
      </c>
      <c r="BC42" s="244">
        <v>45.035467999999995</v>
      </c>
      <c r="BD42" s="244">
        <v>106.15827899999998</v>
      </c>
      <c r="BE42" s="244">
        <v>112.070666</v>
      </c>
      <c r="BF42" s="244">
        <v>65.798134000000005</v>
      </c>
      <c r="BG42" s="244">
        <v>163.43449200000001</v>
      </c>
      <c r="BH42" s="244">
        <v>174.32853499999999</v>
      </c>
      <c r="BI42" s="244">
        <v>193.05407600000001</v>
      </c>
      <c r="BJ42" s="244">
        <v>268.90958000000001</v>
      </c>
      <c r="BK42" s="244">
        <v>226.16217699999999</v>
      </c>
      <c r="BL42" s="244">
        <v>212.072665</v>
      </c>
      <c r="BM42" s="244">
        <v>308.92856899999992</v>
      </c>
      <c r="BN42" s="244">
        <v>235.93448800000002</v>
      </c>
      <c r="BO42" s="244">
        <v>215.34778267600001</v>
      </c>
      <c r="BP42" s="244">
        <v>296.42924048200001</v>
      </c>
      <c r="BQ42" s="244">
        <v>223.70493451900001</v>
      </c>
      <c r="BR42" s="244">
        <v>160.002058543</v>
      </c>
    </row>
    <row r="43" spans="1:70" ht="9.75" customHeight="1">
      <c r="A43" s="68"/>
      <c r="B43" s="69"/>
      <c r="C43" s="69"/>
      <c r="D43" s="69"/>
      <c r="E43" s="69"/>
      <c r="F43" s="69"/>
      <c r="G43" s="69"/>
      <c r="H43" s="69"/>
      <c r="I43" s="69"/>
      <c r="J43" s="69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69"/>
      <c r="Y43" s="69"/>
      <c r="Z43" s="69"/>
      <c r="AA43" s="69"/>
      <c r="AB43" s="69"/>
      <c r="AC43" s="69"/>
      <c r="AD43" s="69"/>
      <c r="AE43" s="69"/>
      <c r="AF43" s="69"/>
      <c r="AG43" s="69"/>
      <c r="AH43" s="69"/>
      <c r="AI43" s="69"/>
      <c r="AJ43" s="69"/>
      <c r="AK43" s="69"/>
      <c r="AL43" s="69"/>
      <c r="AM43" s="69"/>
      <c r="AN43" s="69"/>
      <c r="AO43" s="69"/>
      <c r="AP43" s="69"/>
      <c r="AQ43" s="69"/>
      <c r="AR43" s="69"/>
      <c r="AS43" s="69"/>
      <c r="AT43" s="69"/>
      <c r="AU43" s="69"/>
      <c r="AV43" s="69"/>
      <c r="AW43" s="69"/>
      <c r="AX43" s="19"/>
      <c r="AY43" s="19"/>
      <c r="AZ43" s="19"/>
      <c r="BA43" s="19"/>
      <c r="BB43" s="244"/>
      <c r="BC43" s="244"/>
      <c r="BD43" s="244"/>
      <c r="BE43" s="244"/>
      <c r="BF43" s="244"/>
      <c r="BG43" s="244"/>
      <c r="BH43" s="244"/>
      <c r="BI43" s="244"/>
      <c r="BJ43" s="244"/>
      <c r="BK43" s="244"/>
      <c r="BL43" s="244"/>
      <c r="BM43" s="244"/>
      <c r="BN43" s="244"/>
      <c r="BO43" s="244"/>
      <c r="BP43" s="244"/>
      <c r="BQ43" s="244"/>
      <c r="BR43" s="244"/>
    </row>
    <row r="44" spans="1:70">
      <c r="A44" s="68" t="s">
        <v>317</v>
      </c>
      <c r="B44" s="69" t="s">
        <v>13</v>
      </c>
      <c r="C44" s="69" t="s">
        <v>13</v>
      </c>
      <c r="D44" s="69" t="s">
        <v>13</v>
      </c>
      <c r="E44" s="69" t="s">
        <v>13</v>
      </c>
      <c r="F44" s="69" t="s">
        <v>13</v>
      </c>
      <c r="G44" s="69" t="s">
        <v>13</v>
      </c>
      <c r="H44" s="69" t="s">
        <v>13</v>
      </c>
      <c r="I44" s="69" t="s">
        <v>13</v>
      </c>
      <c r="J44" s="69" t="s">
        <v>13</v>
      </c>
      <c r="K44" s="69" t="s">
        <v>13</v>
      </c>
      <c r="L44" s="69" t="s">
        <v>13</v>
      </c>
      <c r="M44" s="69" t="s">
        <v>13</v>
      </c>
      <c r="N44" s="69" t="s">
        <v>13</v>
      </c>
      <c r="O44" s="69" t="s">
        <v>13</v>
      </c>
      <c r="P44" s="69" t="s">
        <v>13</v>
      </c>
      <c r="Q44" s="69" t="s">
        <v>13</v>
      </c>
      <c r="R44" s="69" t="s">
        <v>13</v>
      </c>
      <c r="S44" s="69">
        <v>10.263</v>
      </c>
      <c r="T44" s="69">
        <v>11.106</v>
      </c>
      <c r="U44" s="69">
        <v>11.709</v>
      </c>
      <c r="V44" s="69">
        <v>13.939</v>
      </c>
      <c r="W44" s="69">
        <v>14.445</v>
      </c>
      <c r="X44" s="69">
        <v>13.24</v>
      </c>
      <c r="Y44" s="69">
        <v>12.455</v>
      </c>
      <c r="Z44" s="69">
        <v>16.282000000000004</v>
      </c>
      <c r="AA44" s="69">
        <v>17.600000000000001</v>
      </c>
      <c r="AB44" s="69">
        <v>46.713999999999999</v>
      </c>
      <c r="AC44" s="69">
        <v>37.396999999999998</v>
      </c>
      <c r="AD44" s="69">
        <v>63.750999999999998</v>
      </c>
      <c r="AE44" s="69">
        <v>108.014</v>
      </c>
      <c r="AF44" s="69">
        <v>100.849</v>
      </c>
      <c r="AG44" s="69">
        <v>114.893</v>
      </c>
      <c r="AH44" s="69">
        <v>144.239</v>
      </c>
      <c r="AI44" s="69">
        <v>103.517</v>
      </c>
      <c r="AJ44" s="69">
        <v>94.379000000000005</v>
      </c>
      <c r="AK44" s="69">
        <v>61.781999999999996</v>
      </c>
      <c r="AL44" s="69">
        <v>101.038</v>
      </c>
      <c r="AM44" s="69">
        <v>69.454300000000003</v>
      </c>
      <c r="AN44" s="69">
        <v>85.483000000000004</v>
      </c>
      <c r="AO44" s="69">
        <v>82.888000000000005</v>
      </c>
      <c r="AP44" s="69">
        <v>52.646000000000001</v>
      </c>
      <c r="AQ44" s="69">
        <v>62.338999999999999</v>
      </c>
      <c r="AR44" s="69">
        <v>71.5</v>
      </c>
      <c r="AS44" s="69">
        <v>82.5</v>
      </c>
      <c r="AT44" s="69">
        <v>65.7</v>
      </c>
      <c r="AU44" s="69">
        <v>49.8</v>
      </c>
      <c r="AV44" s="69">
        <v>68.8</v>
      </c>
      <c r="AW44" s="69">
        <v>43.3</v>
      </c>
      <c r="AX44" s="19">
        <v>41.7</v>
      </c>
      <c r="AY44" s="19">
        <v>40.6</v>
      </c>
      <c r="AZ44" s="19">
        <v>38.700000000000003</v>
      </c>
      <c r="BA44" s="19">
        <v>36</v>
      </c>
      <c r="BB44" s="244">
        <v>29.946358</v>
      </c>
      <c r="BC44" s="69">
        <v>38.952663000000001</v>
      </c>
      <c r="BD44" s="69">
        <v>37.592125000000003</v>
      </c>
      <c r="BE44" s="69">
        <v>29.600909000000001</v>
      </c>
      <c r="BF44" s="69">
        <v>64.931660999999991</v>
      </c>
      <c r="BG44" s="244">
        <v>60.129131999999998</v>
      </c>
      <c r="BH44" s="244">
        <v>63.307999000000002</v>
      </c>
      <c r="BI44" s="244">
        <v>72.51101899999999</v>
      </c>
      <c r="BJ44" s="244">
        <v>88.060144999999991</v>
      </c>
      <c r="BK44" s="244">
        <v>89.748128000000008</v>
      </c>
      <c r="BL44" s="244">
        <v>105.800121</v>
      </c>
      <c r="BM44" s="244">
        <v>139.93851799999999</v>
      </c>
      <c r="BN44" s="244">
        <v>176.89244299999999</v>
      </c>
      <c r="BO44" s="244">
        <v>161.52222617499999</v>
      </c>
      <c r="BP44" s="244">
        <v>179.77852050600001</v>
      </c>
      <c r="BQ44" s="244">
        <v>139.70289129099999</v>
      </c>
      <c r="BR44" s="244">
        <v>139.53278589600001</v>
      </c>
    </row>
    <row r="45" spans="1:70" ht="9.75" customHeight="1">
      <c r="A45" s="68"/>
      <c r="B45" s="69"/>
      <c r="C45" s="69"/>
      <c r="D45" s="69"/>
      <c r="E45" s="69"/>
      <c r="F45" s="69"/>
      <c r="G45" s="69"/>
      <c r="H45" s="69"/>
      <c r="I45" s="69"/>
      <c r="J45" s="69"/>
      <c r="K45" s="69"/>
      <c r="L45" s="69"/>
      <c r="M45" s="69"/>
      <c r="N45" s="69"/>
      <c r="O45" s="69"/>
      <c r="P45" s="69"/>
      <c r="Q45" s="69"/>
      <c r="R45" s="69"/>
      <c r="S45" s="69"/>
      <c r="T45" s="69"/>
      <c r="U45" s="69"/>
      <c r="V45" s="69"/>
      <c r="W45" s="69"/>
      <c r="X45" s="69"/>
      <c r="Y45" s="69"/>
      <c r="Z45" s="69"/>
      <c r="AA45" s="69"/>
      <c r="AB45" s="69"/>
      <c r="AC45" s="69"/>
      <c r="AD45" s="69"/>
      <c r="AE45" s="69"/>
      <c r="AF45" s="69"/>
      <c r="AG45" s="69"/>
      <c r="AH45" s="69"/>
      <c r="AI45" s="69"/>
      <c r="AJ45" s="69"/>
      <c r="AK45" s="69"/>
      <c r="AL45" s="69"/>
      <c r="AM45" s="69"/>
      <c r="AN45" s="69"/>
      <c r="AO45" s="69"/>
      <c r="AP45" s="69"/>
      <c r="AQ45" s="69"/>
      <c r="AR45" s="69"/>
      <c r="AS45" s="69"/>
      <c r="AT45" s="69"/>
      <c r="AU45" s="69"/>
      <c r="AV45" s="69"/>
      <c r="AW45" s="69"/>
      <c r="AX45" s="19"/>
      <c r="AY45" s="19"/>
      <c r="AZ45" s="19"/>
      <c r="BA45" s="19"/>
      <c r="BB45" s="244"/>
      <c r="BC45" s="69"/>
      <c r="BD45" s="69"/>
      <c r="BE45" s="69"/>
      <c r="BF45" s="69"/>
      <c r="BG45" s="244"/>
      <c r="BH45" s="244"/>
      <c r="BI45" s="244"/>
      <c r="BJ45" s="244"/>
      <c r="BK45" s="244"/>
      <c r="BL45" s="244"/>
      <c r="BM45" s="244"/>
      <c r="BN45" s="244"/>
      <c r="BO45" s="244"/>
      <c r="BP45" s="244"/>
      <c r="BQ45" s="244"/>
      <c r="BR45" s="244"/>
    </row>
    <row r="46" spans="1:70">
      <c r="A46" s="68" t="s">
        <v>318</v>
      </c>
      <c r="B46" s="69">
        <v>1.0626599999999993</v>
      </c>
      <c r="C46" s="69">
        <v>0.81</v>
      </c>
      <c r="D46" s="69">
        <v>1.3709000000000007</v>
      </c>
      <c r="E46" s="69">
        <v>1.0570000000000004</v>
      </c>
      <c r="F46" s="69">
        <v>1.1712000000000007</v>
      </c>
      <c r="G46" s="69">
        <v>1.4320000000000022</v>
      </c>
      <c r="H46" s="69">
        <v>1.71</v>
      </c>
      <c r="I46" s="69">
        <v>2.3739999999999988</v>
      </c>
      <c r="J46" s="69">
        <v>2.9980000000000011</v>
      </c>
      <c r="K46" s="69">
        <v>3.41</v>
      </c>
      <c r="L46" s="69">
        <v>4.8940000000000055</v>
      </c>
      <c r="M46" s="69">
        <v>2.9570000000000007</v>
      </c>
      <c r="N46" s="69">
        <v>5.9649999999999999</v>
      </c>
      <c r="O46" s="69">
        <v>3.4189000000000007</v>
      </c>
      <c r="P46" s="69">
        <v>7.96</v>
      </c>
      <c r="Q46" s="69">
        <v>4.7839999999999989</v>
      </c>
      <c r="R46" s="69">
        <v>9.8819999999999979</v>
      </c>
      <c r="S46" s="69">
        <v>1.1090000000000071</v>
      </c>
      <c r="T46" s="69">
        <v>0.998999999999997</v>
      </c>
      <c r="U46" s="69">
        <v>1.2470000000000034</v>
      </c>
      <c r="V46" s="69">
        <v>1.7680000000000078</v>
      </c>
      <c r="W46" s="69">
        <v>3.0989999999999984</v>
      </c>
      <c r="X46" s="69">
        <v>4.7690000000000019</v>
      </c>
      <c r="Y46" s="69">
        <v>5.3750000000000124</v>
      </c>
      <c r="Z46" s="69">
        <v>4.6769999999999996</v>
      </c>
      <c r="AA46" s="69">
        <v>4.7739999999999938</v>
      </c>
      <c r="AB46" s="69">
        <v>13.237999999999971</v>
      </c>
      <c r="AC46" s="69">
        <v>7.1640000000000086</v>
      </c>
      <c r="AD46" s="69">
        <v>11.327000000000005</v>
      </c>
      <c r="AE46" s="69">
        <v>17.022000000000006</v>
      </c>
      <c r="AF46" s="69">
        <v>27.694000000000003</v>
      </c>
      <c r="AG46" s="69">
        <v>44.347999999999928</v>
      </c>
      <c r="AH46" s="69">
        <v>30.047999999999973</v>
      </c>
      <c r="AI46" s="69">
        <v>33.279000000000053</v>
      </c>
      <c r="AJ46" s="69">
        <v>20.195999999999927</v>
      </c>
      <c r="AK46" s="69">
        <v>19.043999999999969</v>
      </c>
      <c r="AL46" s="69">
        <v>23.877999999999943</v>
      </c>
      <c r="AM46" s="69">
        <v>20.054700000000011</v>
      </c>
      <c r="AN46" s="69">
        <v>26.324999999999999</v>
      </c>
      <c r="AO46" s="69">
        <v>25.28219999999996</v>
      </c>
      <c r="AP46" s="69">
        <v>43.289000000000058</v>
      </c>
      <c r="AQ46" s="69">
        <v>32.86</v>
      </c>
      <c r="AR46" s="69">
        <v>15.8</v>
      </c>
      <c r="AS46" s="69">
        <v>39.1</v>
      </c>
      <c r="AT46" s="69">
        <v>22.6</v>
      </c>
      <c r="AU46" s="69">
        <v>32.6</v>
      </c>
      <c r="AV46" s="69">
        <v>47.4</v>
      </c>
      <c r="AW46" s="69">
        <v>98.5</v>
      </c>
      <c r="AX46" s="19">
        <v>52.9</v>
      </c>
      <c r="AY46" s="19">
        <v>77.599999999999994</v>
      </c>
      <c r="AZ46" s="19">
        <v>97.9</v>
      </c>
      <c r="BA46" s="19">
        <v>65.099999999999994</v>
      </c>
      <c r="BB46" s="244">
        <v>102.90662</v>
      </c>
      <c r="BC46" s="69">
        <v>110.58758800000001</v>
      </c>
      <c r="BD46" s="69">
        <v>85.772176000000002</v>
      </c>
      <c r="BE46" s="69">
        <v>86.212106000000006</v>
      </c>
      <c r="BF46" s="69">
        <v>155.66213599999998</v>
      </c>
      <c r="BG46" s="244">
        <v>148.21034399999999</v>
      </c>
      <c r="BH46" s="244">
        <v>211.72306800000001</v>
      </c>
      <c r="BI46" s="244">
        <v>127.26134999999999</v>
      </c>
      <c r="BJ46" s="244">
        <v>207.42157900000001</v>
      </c>
      <c r="BK46" s="244">
        <v>100.20459200000001</v>
      </c>
      <c r="BL46" s="244">
        <v>76.098883999999998</v>
      </c>
      <c r="BM46" s="244">
        <v>155.41127500000002</v>
      </c>
      <c r="BN46" s="244">
        <v>183.66610500000002</v>
      </c>
      <c r="BO46" s="244">
        <v>139.92508593100001</v>
      </c>
      <c r="BP46" s="244">
        <v>122.028130168</v>
      </c>
      <c r="BQ46" s="244">
        <v>173.48064037</v>
      </c>
      <c r="BR46" s="244">
        <v>173.20281409099999</v>
      </c>
    </row>
    <row r="47" spans="1:70" ht="9.75" customHeight="1">
      <c r="A47" s="68"/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Z47" s="69"/>
      <c r="AA47" s="69"/>
      <c r="AB47" s="69"/>
      <c r="AC47" s="69"/>
      <c r="AD47" s="69"/>
      <c r="AE47" s="69"/>
      <c r="AF47" s="69"/>
      <c r="AG47" s="69"/>
      <c r="AH47" s="69"/>
      <c r="AI47" s="69"/>
      <c r="AJ47" s="69"/>
      <c r="AK47" s="69"/>
      <c r="AL47" s="69"/>
      <c r="AM47" s="69"/>
      <c r="AN47" s="69"/>
      <c r="AO47" s="69"/>
      <c r="AP47" s="69"/>
      <c r="AQ47" s="69"/>
      <c r="AR47" s="69"/>
      <c r="AS47" s="69"/>
      <c r="AT47" s="69"/>
      <c r="AU47" s="69"/>
      <c r="AV47" s="69"/>
      <c r="AW47" s="69"/>
      <c r="AX47" s="19"/>
      <c r="AY47" s="19"/>
      <c r="AZ47" s="19"/>
      <c r="BA47" s="19"/>
      <c r="BB47" s="244"/>
      <c r="BC47" s="69"/>
      <c r="BD47" s="69"/>
      <c r="BE47" s="69"/>
      <c r="BF47" s="69"/>
      <c r="BG47" s="244"/>
      <c r="BH47" s="244"/>
      <c r="BI47" s="244"/>
      <c r="BJ47" s="244"/>
      <c r="BK47" s="244"/>
      <c r="BL47" s="244"/>
      <c r="BM47" s="244"/>
      <c r="BN47" s="244"/>
      <c r="BO47" s="244"/>
      <c r="BP47" s="244"/>
      <c r="BQ47" s="244"/>
      <c r="BR47" s="244"/>
    </row>
    <row r="48" spans="1:70">
      <c r="A48" s="68" t="s">
        <v>319</v>
      </c>
      <c r="B48" s="69">
        <v>0.29099999999999998</v>
      </c>
      <c r="C48" s="69">
        <v>0.43</v>
      </c>
      <c r="D48" s="69">
        <v>0.54300000000000004</v>
      </c>
      <c r="E48" s="69">
        <v>0.79700000000000004</v>
      </c>
      <c r="F48" s="69">
        <v>1.425</v>
      </c>
      <c r="G48" s="69">
        <v>1.288</v>
      </c>
      <c r="H48" s="69">
        <v>1.718</v>
      </c>
      <c r="I48" s="69">
        <v>1.71</v>
      </c>
      <c r="J48" s="69">
        <v>1.393</v>
      </c>
      <c r="K48" s="69">
        <v>1.7729999999999999</v>
      </c>
      <c r="L48" s="69">
        <v>1.9810000000000001</v>
      </c>
      <c r="M48" s="69">
        <v>2.1619999999999999</v>
      </c>
      <c r="N48" s="69">
        <v>3.698</v>
      </c>
      <c r="O48" s="69">
        <v>3.895</v>
      </c>
      <c r="P48" s="69">
        <v>5.7460000000000004</v>
      </c>
      <c r="Q48" s="69">
        <v>6.0140000000000002</v>
      </c>
      <c r="R48" s="69">
        <v>9.5530000000000008</v>
      </c>
      <c r="S48" s="69">
        <v>12.417</v>
      </c>
      <c r="T48" s="69">
        <v>13.750999999999999</v>
      </c>
      <c r="U48" s="69">
        <v>15.904</v>
      </c>
      <c r="V48" s="69">
        <v>18.835000000000001</v>
      </c>
      <c r="W48" s="69">
        <v>23.324999999999999</v>
      </c>
      <c r="X48" s="69">
        <v>27.47</v>
      </c>
      <c r="Y48" s="69">
        <v>55.000999999999998</v>
      </c>
      <c r="Z48" s="69">
        <v>43.582000000000001</v>
      </c>
      <c r="AA48" s="69">
        <v>60.802999999999997</v>
      </c>
      <c r="AB48" s="69">
        <v>152.23599999999999</v>
      </c>
      <c r="AC48" s="69">
        <v>142.11600000000001</v>
      </c>
      <c r="AD48" s="69">
        <v>166.45699999999999</v>
      </c>
      <c r="AE48" s="69">
        <v>277.21899999999999</v>
      </c>
      <c r="AF48" s="69">
        <v>263.661</v>
      </c>
      <c r="AG48" s="69">
        <v>298.113</v>
      </c>
      <c r="AH48" s="69">
        <v>374.00799999999998</v>
      </c>
      <c r="AI48" s="69">
        <v>471.221</v>
      </c>
      <c r="AJ48" s="69">
        <v>317.61200000000002</v>
      </c>
      <c r="AK48" s="69">
        <v>184.398</v>
      </c>
      <c r="AL48" s="69">
        <v>296.18200000000002</v>
      </c>
      <c r="AM48" s="69">
        <v>234.56120000000001</v>
      </c>
      <c r="AN48" s="69">
        <v>314.709</v>
      </c>
      <c r="AO48" s="69">
        <v>386.66399999999999</v>
      </c>
      <c r="AP48" s="69">
        <v>302.56900000000002</v>
      </c>
      <c r="AQ48" s="69">
        <v>217.375</v>
      </c>
      <c r="AR48" s="69">
        <v>233.7</v>
      </c>
      <c r="AS48" s="69">
        <v>347.3</v>
      </c>
      <c r="AT48" s="69">
        <v>431.1</v>
      </c>
      <c r="AU48" s="69">
        <v>461.2</v>
      </c>
      <c r="AV48" s="69">
        <v>756.9</v>
      </c>
      <c r="AW48" s="69">
        <v>586.4</v>
      </c>
      <c r="AX48" s="19">
        <v>413.2</v>
      </c>
      <c r="AY48" s="19">
        <v>572.4</v>
      </c>
      <c r="AZ48" s="19">
        <v>803.5</v>
      </c>
      <c r="BA48" s="19">
        <v>329.2</v>
      </c>
      <c r="BB48" s="244">
        <v>544.92306400000007</v>
      </c>
      <c r="BC48" s="69">
        <v>834.69483000000002</v>
      </c>
      <c r="BD48" s="69">
        <v>966.71524699999998</v>
      </c>
      <c r="BE48" s="69">
        <v>991.59619700000007</v>
      </c>
      <c r="BF48" s="69">
        <v>1229.967222</v>
      </c>
      <c r="BG48" s="244">
        <v>2037.342036</v>
      </c>
      <c r="BH48" s="244">
        <v>2349.9348029999996</v>
      </c>
      <c r="BI48" s="244">
        <v>2906.5258009999998</v>
      </c>
      <c r="BJ48" s="244">
        <v>4320.3360170000005</v>
      </c>
      <c r="BK48" s="244">
        <v>2945.3581639999998</v>
      </c>
      <c r="BL48" s="244">
        <v>4209.483037</v>
      </c>
      <c r="BM48" s="244">
        <v>5190.6421819999996</v>
      </c>
      <c r="BN48" s="244">
        <v>5912.7941540000002</v>
      </c>
      <c r="BO48" s="244">
        <v>6730.8479045399999</v>
      </c>
      <c r="BP48" s="244">
        <v>6850.9714441220003</v>
      </c>
      <c r="BQ48" s="244">
        <v>6148.0978709560004</v>
      </c>
      <c r="BR48" s="244">
        <v>4275.0127247829996</v>
      </c>
    </row>
    <row r="49" spans="1:71">
      <c r="A49" s="68" t="s">
        <v>229</v>
      </c>
      <c r="B49" s="69" t="s">
        <v>13</v>
      </c>
      <c r="C49" s="69" t="s">
        <v>13</v>
      </c>
      <c r="D49" s="69" t="s">
        <v>13</v>
      </c>
      <c r="E49" s="69" t="s">
        <v>13</v>
      </c>
      <c r="F49" s="69" t="s">
        <v>13</v>
      </c>
      <c r="G49" s="69" t="s">
        <v>13</v>
      </c>
      <c r="H49" s="69" t="s">
        <v>13</v>
      </c>
      <c r="I49" s="69" t="s">
        <v>13</v>
      </c>
      <c r="J49" s="69" t="s">
        <v>13</v>
      </c>
      <c r="K49" s="69" t="s">
        <v>13</v>
      </c>
      <c r="L49" s="69" t="s">
        <v>13</v>
      </c>
      <c r="M49" s="69" t="s">
        <v>13</v>
      </c>
      <c r="N49" s="69" t="s">
        <v>13</v>
      </c>
      <c r="O49" s="69" t="s">
        <v>13</v>
      </c>
      <c r="P49" s="69" t="s">
        <v>13</v>
      </c>
      <c r="Q49" s="69" t="s">
        <v>13</v>
      </c>
      <c r="R49" s="69" t="s">
        <v>13</v>
      </c>
      <c r="S49" s="69" t="s">
        <v>13</v>
      </c>
      <c r="T49" s="69" t="s">
        <v>13</v>
      </c>
      <c r="U49" s="69" t="s">
        <v>13</v>
      </c>
      <c r="V49" s="69" t="s">
        <v>13</v>
      </c>
      <c r="W49" s="69" t="s">
        <v>13</v>
      </c>
      <c r="X49" s="69" t="s">
        <v>13</v>
      </c>
      <c r="Y49" s="69" t="s">
        <v>13</v>
      </c>
      <c r="Z49" s="69" t="s">
        <v>13</v>
      </c>
      <c r="AA49" s="69" t="s">
        <v>13</v>
      </c>
      <c r="AB49" s="69" t="s">
        <v>13</v>
      </c>
      <c r="AC49" s="69" t="s">
        <v>13</v>
      </c>
      <c r="AD49" s="69" t="s">
        <v>13</v>
      </c>
      <c r="AE49" s="69" t="s">
        <v>13</v>
      </c>
      <c r="AF49" s="69" t="s">
        <v>13</v>
      </c>
      <c r="AG49" s="69" t="s">
        <v>13</v>
      </c>
      <c r="AH49" s="69" t="s">
        <v>13</v>
      </c>
      <c r="AI49" s="69" t="s">
        <v>13</v>
      </c>
      <c r="AJ49" s="69" t="s">
        <v>13</v>
      </c>
      <c r="AK49" s="69" t="s">
        <v>13</v>
      </c>
      <c r="AL49" s="69" t="s">
        <v>13</v>
      </c>
      <c r="AM49" s="69" t="s">
        <v>13</v>
      </c>
      <c r="AN49" s="69" t="s">
        <v>13</v>
      </c>
      <c r="AO49" s="69" t="s">
        <v>13</v>
      </c>
      <c r="AP49" s="69" t="s">
        <v>13</v>
      </c>
      <c r="AQ49" s="69" t="s">
        <v>13</v>
      </c>
      <c r="AR49" s="69" t="s">
        <v>13</v>
      </c>
      <c r="AS49" s="69" t="s">
        <v>13</v>
      </c>
      <c r="AT49" s="69" t="s">
        <v>13</v>
      </c>
      <c r="AU49" s="69" t="s">
        <v>13</v>
      </c>
      <c r="AV49" s="69" t="s">
        <v>13</v>
      </c>
      <c r="AW49" s="69" t="s">
        <v>13</v>
      </c>
      <c r="AX49" s="19" t="s">
        <v>13</v>
      </c>
      <c r="AY49" s="19" t="s">
        <v>13</v>
      </c>
      <c r="AZ49" s="19" t="s">
        <v>13</v>
      </c>
      <c r="BA49" s="19" t="s">
        <v>13</v>
      </c>
      <c r="BB49" s="244" t="s">
        <v>13</v>
      </c>
      <c r="BC49" s="69" t="s">
        <v>13</v>
      </c>
      <c r="BD49" s="69" t="s">
        <v>13</v>
      </c>
      <c r="BE49" s="69" t="s">
        <v>13</v>
      </c>
      <c r="BF49" s="69" t="s">
        <v>13</v>
      </c>
      <c r="BG49" s="244">
        <v>523.94059000000004</v>
      </c>
      <c r="BH49" s="244">
        <v>477.97197</v>
      </c>
      <c r="BI49" s="244">
        <v>431.13200000000001</v>
      </c>
      <c r="BJ49" s="244">
        <v>669.67971</v>
      </c>
      <c r="BK49" s="244">
        <v>522.31583000000001</v>
      </c>
      <c r="BL49" s="244">
        <v>896.90696000000003</v>
      </c>
      <c r="BM49" s="244">
        <v>929.89231999999981</v>
      </c>
      <c r="BN49" s="244">
        <v>796.42499000000009</v>
      </c>
      <c r="BO49" s="244">
        <v>1007.633042353</v>
      </c>
      <c r="BP49" s="244">
        <v>902.42218950699998</v>
      </c>
      <c r="BQ49" s="244">
        <v>791.61223422499995</v>
      </c>
      <c r="BR49" s="244">
        <v>526.21407199299995</v>
      </c>
    </row>
    <row r="50" spans="1:71">
      <c r="A50" s="68" t="s">
        <v>320</v>
      </c>
      <c r="B50" s="69" t="s">
        <v>13</v>
      </c>
      <c r="C50" s="69" t="s">
        <v>13</v>
      </c>
      <c r="D50" s="69" t="s">
        <v>13</v>
      </c>
      <c r="E50" s="69" t="s">
        <v>13</v>
      </c>
      <c r="F50" s="69" t="s">
        <v>13</v>
      </c>
      <c r="G50" s="69" t="s">
        <v>13</v>
      </c>
      <c r="H50" s="69" t="s">
        <v>13</v>
      </c>
      <c r="I50" s="69" t="s">
        <v>13</v>
      </c>
      <c r="J50" s="69" t="s">
        <v>13</v>
      </c>
      <c r="K50" s="69" t="s">
        <v>13</v>
      </c>
      <c r="L50" s="69" t="s">
        <v>13</v>
      </c>
      <c r="M50" s="69" t="s">
        <v>13</v>
      </c>
      <c r="N50" s="69" t="s">
        <v>13</v>
      </c>
      <c r="O50" s="69" t="s">
        <v>13</v>
      </c>
      <c r="P50" s="69" t="s">
        <v>13</v>
      </c>
      <c r="Q50" s="69" t="s">
        <v>13</v>
      </c>
      <c r="R50" s="69" t="s">
        <v>13</v>
      </c>
      <c r="S50" s="69" t="s">
        <v>13</v>
      </c>
      <c r="T50" s="69" t="s">
        <v>13</v>
      </c>
      <c r="U50" s="69" t="s">
        <v>13</v>
      </c>
      <c r="V50" s="69" t="s">
        <v>13</v>
      </c>
      <c r="W50" s="69" t="s">
        <v>13</v>
      </c>
      <c r="X50" s="69" t="s">
        <v>13</v>
      </c>
      <c r="Y50" s="69" t="s">
        <v>13</v>
      </c>
      <c r="Z50" s="69" t="s">
        <v>13</v>
      </c>
      <c r="AA50" s="69" t="s">
        <v>13</v>
      </c>
      <c r="AB50" s="69" t="s">
        <v>13</v>
      </c>
      <c r="AC50" s="69" t="s">
        <v>13</v>
      </c>
      <c r="AD50" s="69" t="s">
        <v>13</v>
      </c>
      <c r="AE50" s="69" t="s">
        <v>13</v>
      </c>
      <c r="AF50" s="69" t="s">
        <v>13</v>
      </c>
      <c r="AG50" s="69" t="s">
        <v>13</v>
      </c>
      <c r="AH50" s="69" t="s">
        <v>13</v>
      </c>
      <c r="AI50" s="69" t="s">
        <v>13</v>
      </c>
      <c r="AJ50" s="69" t="s">
        <v>13</v>
      </c>
      <c r="AK50" s="69" t="s">
        <v>13</v>
      </c>
      <c r="AL50" s="69" t="s">
        <v>13</v>
      </c>
      <c r="AM50" s="69" t="s">
        <v>13</v>
      </c>
      <c r="AN50" s="69" t="s">
        <v>13</v>
      </c>
      <c r="AO50" s="69" t="s">
        <v>13</v>
      </c>
      <c r="AP50" s="69" t="s">
        <v>13</v>
      </c>
      <c r="AQ50" s="69" t="s">
        <v>13</v>
      </c>
      <c r="AR50" s="69" t="s">
        <v>13</v>
      </c>
      <c r="AS50" s="69" t="s">
        <v>13</v>
      </c>
      <c r="AT50" s="69" t="s">
        <v>13</v>
      </c>
      <c r="AU50" s="69" t="s">
        <v>13</v>
      </c>
      <c r="AV50" s="69" t="s">
        <v>13</v>
      </c>
      <c r="AW50" s="69" t="s">
        <v>13</v>
      </c>
      <c r="AX50" s="19" t="s">
        <v>13</v>
      </c>
      <c r="AY50" s="19" t="s">
        <v>13</v>
      </c>
      <c r="AZ50" s="19" t="s">
        <v>13</v>
      </c>
      <c r="BA50" s="19" t="s">
        <v>13</v>
      </c>
      <c r="BB50" s="244" t="s">
        <v>13</v>
      </c>
      <c r="BC50" s="69" t="s">
        <v>13</v>
      </c>
      <c r="BD50" s="69" t="s">
        <v>13</v>
      </c>
      <c r="BE50" s="69" t="s">
        <v>13</v>
      </c>
      <c r="BF50" s="69" t="s">
        <v>13</v>
      </c>
      <c r="BG50" s="244">
        <v>18.108219999999999</v>
      </c>
      <c r="BH50" s="244">
        <v>17.274049999999999</v>
      </c>
      <c r="BI50" s="244">
        <v>13.94265</v>
      </c>
      <c r="BJ50" s="244">
        <v>136.22910999999999</v>
      </c>
      <c r="BK50" s="244">
        <v>140.64266000000001</v>
      </c>
      <c r="BL50" s="244">
        <v>163.75876</v>
      </c>
      <c r="BM50" s="244">
        <v>209.84669</v>
      </c>
      <c r="BN50" s="244">
        <v>229.98492999999999</v>
      </c>
      <c r="BO50" s="244">
        <v>210.69884320200001</v>
      </c>
      <c r="BP50" s="244">
        <v>212.84485498999999</v>
      </c>
      <c r="BQ50" s="244">
        <v>233.58175929699999</v>
      </c>
      <c r="BR50" s="244">
        <v>142.69310105299999</v>
      </c>
    </row>
    <row r="51" spans="1:71">
      <c r="A51" s="68" t="s">
        <v>79</v>
      </c>
      <c r="B51" s="69" t="s">
        <v>13</v>
      </c>
      <c r="C51" s="69">
        <v>1.1999999999999999E-3</v>
      </c>
      <c r="D51" s="69">
        <v>0.27500000000000002</v>
      </c>
      <c r="E51" s="69">
        <v>0.64800000000000002</v>
      </c>
      <c r="F51" s="69">
        <v>0.69099999999999995</v>
      </c>
      <c r="G51" s="69">
        <v>1.028</v>
      </c>
      <c r="H51" s="69">
        <v>1.0960000000000001</v>
      </c>
      <c r="I51" s="69">
        <v>1.1599999999999999</v>
      </c>
      <c r="J51" s="69">
        <v>0.75</v>
      </c>
      <c r="K51" s="69">
        <v>0.91200000000000003</v>
      </c>
      <c r="L51" s="69">
        <v>1.0369999999999999</v>
      </c>
      <c r="M51" s="69">
        <v>1.242</v>
      </c>
      <c r="N51" s="69">
        <v>2.5710000000000002</v>
      </c>
      <c r="O51" s="69">
        <v>2.9119999999999999</v>
      </c>
      <c r="P51" s="69">
        <v>3.7090000000000001</v>
      </c>
      <c r="Q51" s="69">
        <v>4.6109999999999998</v>
      </c>
      <c r="R51" s="69">
        <v>7.5179999999999998</v>
      </c>
      <c r="S51" s="69">
        <v>10.346</v>
      </c>
      <c r="T51" s="69">
        <v>11.782</v>
      </c>
      <c r="U51" s="69">
        <v>13.962999999999999</v>
      </c>
      <c r="V51" s="69">
        <v>16.675000000000001</v>
      </c>
      <c r="W51" s="69">
        <v>20.988</v>
      </c>
      <c r="X51" s="69">
        <v>25.452000000000002</v>
      </c>
      <c r="Y51" s="69">
        <v>51.000999999999998</v>
      </c>
      <c r="Z51" s="69">
        <v>39.311</v>
      </c>
      <c r="AA51" s="69">
        <v>54.540999999999997</v>
      </c>
      <c r="AB51" s="69">
        <v>137.95500000000001</v>
      </c>
      <c r="AC51" s="69">
        <v>124.44</v>
      </c>
      <c r="AD51" s="69">
        <v>145.44</v>
      </c>
      <c r="AE51" s="69">
        <v>241.7</v>
      </c>
      <c r="AF51" s="69">
        <v>243.10900000000001</v>
      </c>
      <c r="AG51" s="69">
        <v>254.072</v>
      </c>
      <c r="AH51" s="69">
        <v>307.447</v>
      </c>
      <c r="AI51" s="69">
        <v>263.26100000000002</v>
      </c>
      <c r="AJ51" s="69">
        <v>245.33699999999999</v>
      </c>
      <c r="AK51" s="69">
        <v>136.422</v>
      </c>
      <c r="AL51" s="69">
        <v>94.226799999999997</v>
      </c>
      <c r="AM51" s="69">
        <v>189.12100000000001</v>
      </c>
      <c r="AN51" s="69">
        <v>250.42</v>
      </c>
      <c r="AO51" s="69">
        <v>282.42099999999999</v>
      </c>
      <c r="AP51" s="69">
        <v>238.376</v>
      </c>
      <c r="AQ51" s="69">
        <v>152.70400000000001</v>
      </c>
      <c r="AR51" s="69">
        <v>169.6</v>
      </c>
      <c r="AS51" s="69">
        <v>234.3</v>
      </c>
      <c r="AT51" s="69">
        <v>321.7</v>
      </c>
      <c r="AU51" s="69">
        <v>330.7</v>
      </c>
      <c r="AV51" s="69">
        <v>515.5</v>
      </c>
      <c r="AW51" s="69">
        <v>329.2</v>
      </c>
      <c r="AX51" s="19">
        <v>203.4</v>
      </c>
      <c r="AY51" s="19">
        <v>290.2</v>
      </c>
      <c r="AZ51" s="19">
        <v>481.3</v>
      </c>
      <c r="BA51" s="19">
        <v>142</v>
      </c>
      <c r="BB51" s="244">
        <v>296.06893100000002</v>
      </c>
      <c r="BC51" s="69">
        <v>351.30080100000004</v>
      </c>
      <c r="BD51" s="69">
        <v>391.561869</v>
      </c>
      <c r="BE51" s="69">
        <v>275.38716499999998</v>
      </c>
      <c r="BF51" s="69">
        <v>302.40662500000002</v>
      </c>
      <c r="BG51" s="244">
        <v>359.86485399999998</v>
      </c>
      <c r="BH51" s="244">
        <v>456.9762639999999</v>
      </c>
      <c r="BI51" s="244">
        <v>542.72747800000002</v>
      </c>
      <c r="BJ51" s="244">
        <v>768.58330000000012</v>
      </c>
      <c r="BK51" s="244">
        <v>560.12727699999994</v>
      </c>
      <c r="BL51" s="244">
        <v>692.67567600000007</v>
      </c>
      <c r="BM51" s="244">
        <v>660.65800200000001</v>
      </c>
      <c r="BN51" s="244">
        <v>731.60299799999996</v>
      </c>
      <c r="BO51" s="244">
        <v>599.27788167899996</v>
      </c>
      <c r="BP51" s="244">
        <v>574.37293137799998</v>
      </c>
      <c r="BQ51" s="244">
        <v>478.04130190199999</v>
      </c>
      <c r="BR51" s="244">
        <v>292.88204009399999</v>
      </c>
    </row>
    <row r="52" spans="1:71">
      <c r="A52" s="68" t="s">
        <v>228</v>
      </c>
      <c r="B52" s="69" t="s">
        <v>13</v>
      </c>
      <c r="C52" s="69" t="s">
        <v>13</v>
      </c>
      <c r="D52" s="69" t="s">
        <v>13</v>
      </c>
      <c r="E52" s="69" t="s">
        <v>13</v>
      </c>
      <c r="F52" s="69" t="s">
        <v>13</v>
      </c>
      <c r="G52" s="69" t="s">
        <v>13</v>
      </c>
      <c r="H52" s="69" t="s">
        <v>13</v>
      </c>
      <c r="I52" s="69" t="s">
        <v>13</v>
      </c>
      <c r="J52" s="69" t="s">
        <v>13</v>
      </c>
      <c r="K52" s="69" t="s">
        <v>13</v>
      </c>
      <c r="L52" s="69" t="s">
        <v>13</v>
      </c>
      <c r="M52" s="69" t="s">
        <v>13</v>
      </c>
      <c r="N52" s="69" t="s">
        <v>13</v>
      </c>
      <c r="O52" s="69" t="s">
        <v>13</v>
      </c>
      <c r="P52" s="69" t="s">
        <v>13</v>
      </c>
      <c r="Q52" s="69" t="s">
        <v>13</v>
      </c>
      <c r="R52" s="69" t="s">
        <v>13</v>
      </c>
      <c r="S52" s="69" t="s">
        <v>13</v>
      </c>
      <c r="T52" s="69" t="s">
        <v>13</v>
      </c>
      <c r="U52" s="69" t="s">
        <v>13</v>
      </c>
      <c r="V52" s="69" t="s">
        <v>13</v>
      </c>
      <c r="W52" s="69" t="s">
        <v>13</v>
      </c>
      <c r="X52" s="69" t="s">
        <v>13</v>
      </c>
      <c r="Y52" s="69" t="s">
        <v>13</v>
      </c>
      <c r="Z52" s="69" t="s">
        <v>13</v>
      </c>
      <c r="AA52" s="69" t="s">
        <v>13</v>
      </c>
      <c r="AB52" s="69" t="s">
        <v>13</v>
      </c>
      <c r="AC52" s="69" t="s">
        <v>13</v>
      </c>
      <c r="AD52" s="69" t="s">
        <v>13</v>
      </c>
      <c r="AE52" s="69" t="s">
        <v>13</v>
      </c>
      <c r="AF52" s="69" t="s">
        <v>13</v>
      </c>
      <c r="AG52" s="69" t="s">
        <v>13</v>
      </c>
      <c r="AH52" s="69" t="s">
        <v>13</v>
      </c>
      <c r="AI52" s="69" t="s">
        <v>13</v>
      </c>
      <c r="AJ52" s="69" t="s">
        <v>13</v>
      </c>
      <c r="AK52" s="69" t="s">
        <v>13</v>
      </c>
      <c r="AL52" s="69" t="s">
        <v>13</v>
      </c>
      <c r="AM52" s="69" t="s">
        <v>13</v>
      </c>
      <c r="AN52" s="69" t="s">
        <v>13</v>
      </c>
      <c r="AO52" s="69" t="s">
        <v>13</v>
      </c>
      <c r="AP52" s="69" t="s">
        <v>13</v>
      </c>
      <c r="AQ52" s="69" t="s">
        <v>13</v>
      </c>
      <c r="AR52" s="69" t="s">
        <v>13</v>
      </c>
      <c r="AS52" s="69" t="s">
        <v>13</v>
      </c>
      <c r="AT52" s="69" t="s">
        <v>13</v>
      </c>
      <c r="AU52" s="69" t="s">
        <v>13</v>
      </c>
      <c r="AV52" s="69" t="s">
        <v>13</v>
      </c>
      <c r="AW52" s="69" t="s">
        <v>13</v>
      </c>
      <c r="AX52" s="19" t="s">
        <v>13</v>
      </c>
      <c r="AY52" s="19" t="s">
        <v>13</v>
      </c>
      <c r="AZ52" s="19" t="s">
        <v>13</v>
      </c>
      <c r="BA52" s="19" t="s">
        <v>13</v>
      </c>
      <c r="BB52" s="244" t="s">
        <v>13</v>
      </c>
      <c r="BC52" s="69" t="s">
        <v>13</v>
      </c>
      <c r="BD52" s="69" t="s">
        <v>13</v>
      </c>
      <c r="BE52" s="69" t="s">
        <v>13</v>
      </c>
      <c r="BF52" s="69" t="s">
        <v>13</v>
      </c>
      <c r="BG52" s="244">
        <v>643.12759000000005</v>
      </c>
      <c r="BH52" s="244">
        <v>828.18199000000004</v>
      </c>
      <c r="BI52" s="244">
        <v>1159.932</v>
      </c>
      <c r="BJ52" s="244">
        <v>1636.3627899999999</v>
      </c>
      <c r="BK52" s="244">
        <v>1100.28854</v>
      </c>
      <c r="BL52" s="244">
        <v>1606.5640000000001</v>
      </c>
      <c r="BM52" s="244">
        <v>2289.8264099999997</v>
      </c>
      <c r="BN52" s="244">
        <v>2828.5274100000006</v>
      </c>
      <c r="BO52" s="244">
        <v>3476.4167544010002</v>
      </c>
      <c r="BP52" s="244">
        <v>3612.993355224</v>
      </c>
      <c r="BQ52" s="244">
        <v>3265.6275785379999</v>
      </c>
      <c r="BR52" s="244">
        <v>2549.4098274470002</v>
      </c>
    </row>
    <row r="53" spans="1:71">
      <c r="A53" s="68" t="s">
        <v>78</v>
      </c>
      <c r="B53" s="69" t="s">
        <v>13</v>
      </c>
      <c r="C53" s="69" t="s">
        <v>13</v>
      </c>
      <c r="D53" s="69" t="s">
        <v>13</v>
      </c>
      <c r="E53" s="69" t="s">
        <v>13</v>
      </c>
      <c r="F53" s="69" t="s">
        <v>13</v>
      </c>
      <c r="G53" s="69" t="s">
        <v>13</v>
      </c>
      <c r="H53" s="69" t="s">
        <v>13</v>
      </c>
      <c r="I53" s="69" t="s">
        <v>13</v>
      </c>
      <c r="J53" s="69" t="s">
        <v>13</v>
      </c>
      <c r="K53" s="69" t="s">
        <v>13</v>
      </c>
      <c r="L53" s="69" t="s">
        <v>13</v>
      </c>
      <c r="M53" s="69" t="s">
        <v>13</v>
      </c>
      <c r="N53" s="69" t="s">
        <v>13</v>
      </c>
      <c r="O53" s="69" t="s">
        <v>13</v>
      </c>
      <c r="P53" s="69" t="s">
        <v>13</v>
      </c>
      <c r="Q53" s="69" t="s">
        <v>13</v>
      </c>
      <c r="R53" s="69" t="s">
        <v>13</v>
      </c>
      <c r="S53" s="69">
        <v>1.6E-2</v>
      </c>
      <c r="T53" s="69">
        <v>1.6E-2</v>
      </c>
      <c r="U53" s="69">
        <v>1.7000000000000001E-2</v>
      </c>
      <c r="V53" s="69">
        <v>4.4999999999999998E-2</v>
      </c>
      <c r="W53" s="69">
        <v>9.2999999999999999E-2</v>
      </c>
      <c r="X53" s="69">
        <v>9.1999999999999998E-2</v>
      </c>
      <c r="Y53" s="69">
        <v>0.18</v>
      </c>
      <c r="Z53" s="69">
        <v>0.36899999999999999</v>
      </c>
      <c r="AA53" s="69">
        <v>1.157</v>
      </c>
      <c r="AB53" s="69">
        <v>4.1100000000000003</v>
      </c>
      <c r="AC53" s="69">
        <v>7.3529999999999998</v>
      </c>
      <c r="AD53" s="69">
        <v>10.598000000000001</v>
      </c>
      <c r="AE53" s="69">
        <v>15.813000000000001</v>
      </c>
      <c r="AF53" s="69">
        <v>16.375</v>
      </c>
      <c r="AG53" s="69">
        <v>25.503</v>
      </c>
      <c r="AH53" s="69">
        <v>32.82</v>
      </c>
      <c r="AI53" s="69">
        <v>32.292000000000002</v>
      </c>
      <c r="AJ53" s="69">
        <v>43.67</v>
      </c>
      <c r="AK53" s="69">
        <v>25.962</v>
      </c>
      <c r="AL53" s="69">
        <v>23.901</v>
      </c>
      <c r="AM53" s="69">
        <v>24.564599999999999</v>
      </c>
      <c r="AN53" s="69">
        <v>35.124000000000002</v>
      </c>
      <c r="AO53" s="69">
        <v>36.72</v>
      </c>
      <c r="AP53" s="69">
        <v>32.392000000000003</v>
      </c>
      <c r="AQ53" s="69">
        <v>34.76</v>
      </c>
      <c r="AR53" s="69">
        <v>34.9</v>
      </c>
      <c r="AS53" s="69">
        <v>52.8</v>
      </c>
      <c r="AT53" s="69">
        <v>45.1</v>
      </c>
      <c r="AU53" s="69">
        <v>33.5</v>
      </c>
      <c r="AV53" s="69">
        <v>59.9</v>
      </c>
      <c r="AW53" s="69">
        <v>61.9</v>
      </c>
      <c r="AX53" s="19">
        <v>38.4</v>
      </c>
      <c r="AY53" s="19">
        <v>54.4</v>
      </c>
      <c r="AZ53" s="19">
        <v>51.6</v>
      </c>
      <c r="BA53" s="19">
        <v>31.5</v>
      </c>
      <c r="BB53" s="244">
        <v>42.759338</v>
      </c>
      <c r="BC53" s="69">
        <v>62.463506000000002</v>
      </c>
      <c r="BD53" s="69">
        <v>66.027802000000008</v>
      </c>
      <c r="BE53" s="69">
        <v>73.683154999999999</v>
      </c>
      <c r="BF53" s="69">
        <v>67.031957999999989</v>
      </c>
      <c r="BG53" s="244">
        <v>150.80409499999999</v>
      </c>
      <c r="BH53" s="244">
        <v>108.41269800000001</v>
      </c>
      <c r="BI53" s="244">
        <v>113.52416099999999</v>
      </c>
      <c r="BJ53" s="244">
        <v>170.67779300000001</v>
      </c>
      <c r="BK53" s="244">
        <v>122.947535</v>
      </c>
      <c r="BL53" s="244">
        <v>168.24058500000001</v>
      </c>
      <c r="BM53" s="244">
        <v>194.599942</v>
      </c>
      <c r="BN53" s="244">
        <v>192.83252100000001</v>
      </c>
      <c r="BO53" s="244">
        <v>205.30065214699999</v>
      </c>
      <c r="BP53" s="244">
        <v>213.215835199</v>
      </c>
      <c r="BQ53" s="244">
        <v>181.81435221500001</v>
      </c>
      <c r="BR53" s="244">
        <v>123.270077257</v>
      </c>
    </row>
    <row r="54" spans="1:71">
      <c r="A54" s="68" t="s">
        <v>316</v>
      </c>
      <c r="B54" s="69">
        <v>0.29099999999999998</v>
      </c>
      <c r="C54" s="69">
        <v>0.42880000000000001</v>
      </c>
      <c r="D54" s="69">
        <v>0.26800000000000002</v>
      </c>
      <c r="E54" s="69">
        <v>0.14900000000000002</v>
      </c>
      <c r="F54" s="69">
        <v>0.7340000000000001</v>
      </c>
      <c r="G54" s="69">
        <v>0.26</v>
      </c>
      <c r="H54" s="69">
        <v>0.62199999999999989</v>
      </c>
      <c r="I54" s="69">
        <v>0.55000000000000004</v>
      </c>
      <c r="J54" s="69">
        <v>0.64300000000000002</v>
      </c>
      <c r="K54" s="69">
        <v>0.86099999999999988</v>
      </c>
      <c r="L54" s="69">
        <v>0.94400000000000017</v>
      </c>
      <c r="M54" s="69">
        <v>0.92</v>
      </c>
      <c r="N54" s="69">
        <v>1.1269999999999998</v>
      </c>
      <c r="O54" s="69">
        <v>0.9830000000000001</v>
      </c>
      <c r="P54" s="69">
        <v>2.0370000000000004</v>
      </c>
      <c r="Q54" s="69">
        <v>1.4030000000000005</v>
      </c>
      <c r="R54" s="69">
        <v>2.0350000000000001</v>
      </c>
      <c r="S54" s="69">
        <v>2.0550000000000002</v>
      </c>
      <c r="T54" s="69">
        <v>1.9529999999999994</v>
      </c>
      <c r="U54" s="69">
        <v>1.9240000000000013</v>
      </c>
      <c r="V54" s="69">
        <v>2.1150000000000002</v>
      </c>
      <c r="W54" s="69">
        <v>2.2439999999999998</v>
      </c>
      <c r="X54" s="69">
        <v>1.9259999999999984</v>
      </c>
      <c r="Y54" s="69">
        <v>3.82</v>
      </c>
      <c r="Z54" s="69">
        <v>3.902000000000001</v>
      </c>
      <c r="AA54" s="69">
        <v>5.1050000000000004</v>
      </c>
      <c r="AB54" s="69">
        <v>10.170999999999964</v>
      </c>
      <c r="AC54" s="69">
        <v>10.323000000000008</v>
      </c>
      <c r="AD54" s="69">
        <v>10.418999999999983</v>
      </c>
      <c r="AE54" s="69">
        <v>19.706000000000017</v>
      </c>
      <c r="AF54" s="69">
        <v>4.1769999999999925</v>
      </c>
      <c r="AG54" s="69">
        <v>18.538000000000011</v>
      </c>
      <c r="AH54" s="69">
        <v>33.740999999999985</v>
      </c>
      <c r="AI54" s="69">
        <v>175.66799999999995</v>
      </c>
      <c r="AJ54" s="69">
        <v>28.605</v>
      </c>
      <c r="AK54" s="69">
        <v>22.01400000000001</v>
      </c>
      <c r="AL54" s="69">
        <v>178.05420000000001</v>
      </c>
      <c r="AM54" s="69">
        <v>20.875599999999991</v>
      </c>
      <c r="AN54" s="69">
        <v>29.164999999999999</v>
      </c>
      <c r="AO54" s="69">
        <v>67.522999999999968</v>
      </c>
      <c r="AP54" s="69">
        <v>31.801000000000016</v>
      </c>
      <c r="AQ54" s="69">
        <v>29.911000000000001</v>
      </c>
      <c r="AR54" s="69">
        <v>29.2</v>
      </c>
      <c r="AS54" s="69">
        <v>60.3</v>
      </c>
      <c r="AT54" s="69">
        <v>64.400000000000006</v>
      </c>
      <c r="AU54" s="69">
        <v>96.9</v>
      </c>
      <c r="AV54" s="69">
        <v>181.6</v>
      </c>
      <c r="AW54" s="69">
        <v>195.3</v>
      </c>
      <c r="AX54" s="19">
        <v>171.3</v>
      </c>
      <c r="AY54" s="19">
        <v>227.8</v>
      </c>
      <c r="AZ54" s="19">
        <v>270.60000000000002</v>
      </c>
      <c r="BA54" s="19">
        <v>155.69999999999999</v>
      </c>
      <c r="BB54" s="244">
        <v>206.094795</v>
      </c>
      <c r="BC54" s="69">
        <v>420.93052300000005</v>
      </c>
      <c r="BD54" s="69">
        <v>509.12557599999997</v>
      </c>
      <c r="BE54" s="69">
        <v>642.52587700000004</v>
      </c>
      <c r="BF54" s="69">
        <v>860.528639</v>
      </c>
      <c r="BG54" s="244">
        <v>341.49668700000007</v>
      </c>
      <c r="BH54" s="244">
        <v>461.11783099999957</v>
      </c>
      <c r="BI54" s="244">
        <v>645.26751200000012</v>
      </c>
      <c r="BJ54" s="244">
        <v>938.80331399999955</v>
      </c>
      <c r="BK54" s="244">
        <v>499.03632199999993</v>
      </c>
      <c r="BL54" s="244">
        <v>681.35978399999999</v>
      </c>
      <c r="BM54" s="244">
        <v>905.81881799999985</v>
      </c>
      <c r="BN54" s="244">
        <v>1133.4213049999998</v>
      </c>
      <c r="BO54" s="244">
        <v>1231.5207307579999</v>
      </c>
      <c r="BP54" s="244">
        <v>1335.1222778240001</v>
      </c>
      <c r="BQ54" s="244">
        <v>1197.420644779</v>
      </c>
      <c r="BR54" s="244">
        <v>640.54360693900003</v>
      </c>
    </row>
    <row r="55" spans="1:71" ht="11.25" customHeight="1">
      <c r="A55" s="68"/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69"/>
      <c r="AI55" s="69"/>
      <c r="AJ55" s="69"/>
      <c r="AK55" s="69"/>
      <c r="AL55" s="69"/>
      <c r="AM55" s="69"/>
      <c r="AN55" s="69"/>
      <c r="AO55" s="69"/>
      <c r="AP55" s="69"/>
      <c r="AQ55" s="69"/>
      <c r="AR55" s="69"/>
      <c r="AS55" s="69"/>
      <c r="AT55" s="69"/>
      <c r="AU55" s="69"/>
      <c r="AV55" s="69"/>
      <c r="AW55" s="69"/>
      <c r="AX55" s="19"/>
      <c r="AY55" s="19"/>
      <c r="AZ55" s="19"/>
      <c r="BA55" s="19"/>
      <c r="BB55" s="244"/>
      <c r="BC55" s="69"/>
      <c r="BD55" s="69"/>
      <c r="BE55" s="69"/>
      <c r="BF55" s="69"/>
      <c r="BG55" s="244"/>
      <c r="BH55" s="244"/>
      <c r="BI55" s="244"/>
      <c r="BJ55" s="244"/>
      <c r="BK55" s="244"/>
      <c r="BL55" s="244"/>
      <c r="BM55" s="244"/>
      <c r="BN55" s="244"/>
      <c r="BO55" s="244"/>
      <c r="BP55" s="244"/>
      <c r="BQ55" s="244"/>
      <c r="BR55" s="244"/>
    </row>
    <row r="56" spans="1:71">
      <c r="A56" s="68" t="s">
        <v>321</v>
      </c>
      <c r="B56" s="69" t="s">
        <v>13</v>
      </c>
      <c r="C56" s="69" t="s">
        <v>13</v>
      </c>
      <c r="D56" s="69" t="s">
        <v>13</v>
      </c>
      <c r="E56" s="69" t="s">
        <v>13</v>
      </c>
      <c r="F56" s="69" t="s">
        <v>13</v>
      </c>
      <c r="G56" s="69" t="s">
        <v>13</v>
      </c>
      <c r="H56" s="69" t="s">
        <v>13</v>
      </c>
      <c r="I56" s="69" t="s">
        <v>13</v>
      </c>
      <c r="J56" s="69" t="s">
        <v>13</v>
      </c>
      <c r="K56" s="69" t="s">
        <v>13</v>
      </c>
      <c r="L56" s="69" t="s">
        <v>13</v>
      </c>
      <c r="M56" s="69" t="s">
        <v>13</v>
      </c>
      <c r="N56" s="69">
        <v>8.48E-2</v>
      </c>
      <c r="O56" s="69">
        <v>0.253</v>
      </c>
      <c r="P56" s="69">
        <v>0.219</v>
      </c>
      <c r="Q56" s="69">
        <v>6.4899999999999999E-2</v>
      </c>
      <c r="R56" s="69">
        <v>0.26100000000000001</v>
      </c>
      <c r="S56" s="69">
        <v>0.29099999999999998</v>
      </c>
      <c r="T56" s="69">
        <v>0.27300000000000002</v>
      </c>
      <c r="U56" s="69">
        <v>0.86899999999999999</v>
      </c>
      <c r="V56" s="69">
        <v>0.29099999999999998</v>
      </c>
      <c r="W56" s="69">
        <v>0.25800000000000001</v>
      </c>
      <c r="X56" s="69">
        <v>0.34899999999999998</v>
      </c>
      <c r="Y56" s="69">
        <v>0.20499999999999999</v>
      </c>
      <c r="Z56" s="69">
        <v>0.23499999999999999</v>
      </c>
      <c r="AA56" s="69">
        <v>0.38600000000000001</v>
      </c>
      <c r="AB56" s="69">
        <v>1.4670000000000001</v>
      </c>
      <c r="AC56" s="69">
        <v>1.46</v>
      </c>
      <c r="AD56" s="69">
        <v>2.2029999999999998</v>
      </c>
      <c r="AE56" s="69">
        <v>8.9</v>
      </c>
      <c r="AF56" s="69">
        <v>10.743</v>
      </c>
      <c r="AG56" s="69">
        <v>40.896999999999998</v>
      </c>
      <c r="AH56" s="69">
        <v>26.506</v>
      </c>
      <c r="AI56" s="69">
        <v>27.209</v>
      </c>
      <c r="AJ56" s="69">
        <v>18.428000000000001</v>
      </c>
      <c r="AK56" s="69">
        <v>10.785</v>
      </c>
      <c r="AL56" s="69">
        <v>19.096</v>
      </c>
      <c r="AM56" s="69">
        <v>16.110399999999998</v>
      </c>
      <c r="AN56" s="69">
        <v>31.117999999999999</v>
      </c>
      <c r="AO56" s="69">
        <v>17.675000000000001</v>
      </c>
      <c r="AP56" s="69">
        <v>16.613</v>
      </c>
      <c r="AQ56" s="69">
        <v>33.627000000000002</v>
      </c>
      <c r="AR56" s="69">
        <v>11.3</v>
      </c>
      <c r="AS56" s="69">
        <v>27.1</v>
      </c>
      <c r="AT56" s="69">
        <v>11.1</v>
      </c>
      <c r="AU56" s="69">
        <v>22.2</v>
      </c>
      <c r="AV56" s="69">
        <v>27</v>
      </c>
      <c r="AW56" s="69">
        <v>31.9</v>
      </c>
      <c r="AX56" s="19">
        <v>9.9</v>
      </c>
      <c r="AY56" s="19">
        <v>78.5</v>
      </c>
      <c r="AZ56" s="19">
        <v>56</v>
      </c>
      <c r="BA56" s="19">
        <v>25.6</v>
      </c>
      <c r="BB56" s="244">
        <v>41.715310000000009</v>
      </c>
      <c r="BC56" s="69">
        <v>37.596767</v>
      </c>
      <c r="BD56" s="69">
        <v>14.004704999999998</v>
      </c>
      <c r="BE56" s="69">
        <v>7.5776120000000002</v>
      </c>
      <c r="BF56" s="69">
        <v>4.1751209999999999</v>
      </c>
      <c r="BG56" s="244">
        <v>110.40588900000002</v>
      </c>
      <c r="BH56" s="244">
        <v>132.86408</v>
      </c>
      <c r="BI56" s="244">
        <v>210.90041499999998</v>
      </c>
      <c r="BJ56" s="244">
        <v>159.15009400000005</v>
      </c>
      <c r="BK56" s="244">
        <v>134.924792</v>
      </c>
      <c r="BL56" s="244">
        <v>91.629905000000008</v>
      </c>
      <c r="BM56" s="244">
        <v>152.41258999999999</v>
      </c>
      <c r="BN56" s="244">
        <v>120.52794499999999</v>
      </c>
      <c r="BO56" s="244">
        <v>15.34543991</v>
      </c>
      <c r="BP56" s="244">
        <v>16.622556469999999</v>
      </c>
      <c r="BQ56" s="244">
        <v>12.629305683</v>
      </c>
      <c r="BR56" s="244">
        <v>10.811862219</v>
      </c>
    </row>
    <row r="57" spans="1:71">
      <c r="A57" s="68" t="s">
        <v>322</v>
      </c>
      <c r="B57" s="69" t="s">
        <v>13</v>
      </c>
      <c r="C57" s="69" t="s">
        <v>13</v>
      </c>
      <c r="D57" s="69" t="s">
        <v>13</v>
      </c>
      <c r="E57" s="69" t="s">
        <v>13</v>
      </c>
      <c r="F57" s="69" t="s">
        <v>13</v>
      </c>
      <c r="G57" s="69" t="s">
        <v>13</v>
      </c>
      <c r="H57" s="69" t="s">
        <v>13</v>
      </c>
      <c r="I57" s="69" t="s">
        <v>13</v>
      </c>
      <c r="J57" s="69" t="s">
        <v>13</v>
      </c>
      <c r="K57" s="69" t="s">
        <v>13</v>
      </c>
      <c r="L57" s="69" t="s">
        <v>13</v>
      </c>
      <c r="M57" s="69" t="s">
        <v>13</v>
      </c>
      <c r="N57" s="69" t="s">
        <v>13</v>
      </c>
      <c r="O57" s="69">
        <v>1.4999999999999999E-2</v>
      </c>
      <c r="P57" s="69">
        <v>0.22</v>
      </c>
      <c r="Q57" s="69">
        <v>0.37</v>
      </c>
      <c r="R57" s="69">
        <v>0.36499999999999999</v>
      </c>
      <c r="S57" s="69">
        <v>0.48</v>
      </c>
      <c r="T57" s="69">
        <v>0.41699999999999998</v>
      </c>
      <c r="U57" s="69">
        <v>0.49</v>
      </c>
      <c r="V57" s="69">
        <v>0.498</v>
      </c>
      <c r="W57" s="69">
        <v>0.51600000000000001</v>
      </c>
      <c r="X57" s="69">
        <v>1.5289999999999999</v>
      </c>
      <c r="Y57" s="69">
        <v>0.88100000000000001</v>
      </c>
      <c r="Z57" s="69">
        <v>0.46899999999999997</v>
      </c>
      <c r="AA57" s="69">
        <v>0.64800000000000002</v>
      </c>
      <c r="AB57" s="69">
        <v>3.15</v>
      </c>
      <c r="AC57" s="69">
        <v>6.3170000000000002</v>
      </c>
      <c r="AD57" s="69">
        <v>7.68</v>
      </c>
      <c r="AE57" s="69">
        <v>7.6769999999999996</v>
      </c>
      <c r="AF57" s="69">
        <v>8.4250000000000007</v>
      </c>
      <c r="AG57" s="69">
        <v>17.123999999999999</v>
      </c>
      <c r="AH57" s="69">
        <v>9.2390000000000008</v>
      </c>
      <c r="AI57" s="69">
        <v>16.66</v>
      </c>
      <c r="AJ57" s="69">
        <v>10.227</v>
      </c>
      <c r="AK57" s="69">
        <v>7.6539999999999999</v>
      </c>
      <c r="AL57" s="69">
        <v>25.66</v>
      </c>
      <c r="AM57" s="69">
        <v>11.9511</v>
      </c>
      <c r="AN57" s="69">
        <v>15.965999999999999</v>
      </c>
      <c r="AO57" s="69">
        <v>3.0659999999999998</v>
      </c>
      <c r="AP57" s="69">
        <v>9.7940000000000005</v>
      </c>
      <c r="AQ57" s="69">
        <v>13.584</v>
      </c>
      <c r="AR57" s="69">
        <v>4.3</v>
      </c>
      <c r="AS57" s="69">
        <v>3.3</v>
      </c>
      <c r="AT57" s="69">
        <v>5</v>
      </c>
      <c r="AU57" s="69">
        <v>5.7</v>
      </c>
      <c r="AV57" s="69">
        <v>25.1</v>
      </c>
      <c r="AW57" s="69">
        <v>4.5</v>
      </c>
      <c r="AX57" s="19">
        <v>23.5</v>
      </c>
      <c r="AY57" s="19">
        <v>24.7</v>
      </c>
      <c r="AZ57" s="19">
        <v>20.7</v>
      </c>
      <c r="BA57" s="19">
        <v>7.3</v>
      </c>
      <c r="BB57" s="244">
        <v>5.2202530000000014</v>
      </c>
      <c r="BC57" s="69">
        <v>10.713479999999999</v>
      </c>
      <c r="BD57" s="69">
        <v>12.480739</v>
      </c>
      <c r="BE57" s="69">
        <v>15.209678000000002</v>
      </c>
      <c r="BF57" s="69">
        <v>19.445205000000001</v>
      </c>
      <c r="BG57" s="244">
        <v>7.3829369999999992</v>
      </c>
      <c r="BH57" s="244">
        <v>7.3321369999999986</v>
      </c>
      <c r="BI57" s="244">
        <v>12.849954</v>
      </c>
      <c r="BJ57" s="244">
        <v>28.474543999999998</v>
      </c>
      <c r="BK57" s="244">
        <v>24.066106999999999</v>
      </c>
      <c r="BL57" s="244">
        <v>33.153463000000002</v>
      </c>
      <c r="BM57" s="244">
        <v>32.980378999999999</v>
      </c>
      <c r="BN57" s="244">
        <v>28.768236000000002</v>
      </c>
      <c r="BO57" s="244">
        <v>34.741070379999996</v>
      </c>
      <c r="BP57" s="244">
        <v>33.736635470000003</v>
      </c>
      <c r="BQ57" s="244">
        <v>34.245836341</v>
      </c>
      <c r="BR57" s="244">
        <v>20.771922862</v>
      </c>
    </row>
    <row r="58" spans="1:71">
      <c r="A58" s="68" t="s">
        <v>323</v>
      </c>
      <c r="B58" s="69" t="s">
        <v>13</v>
      </c>
      <c r="C58" s="69" t="s">
        <v>13</v>
      </c>
      <c r="D58" s="69" t="s">
        <v>13</v>
      </c>
      <c r="E58" s="69" t="s">
        <v>13</v>
      </c>
      <c r="F58" s="69" t="s">
        <v>13</v>
      </c>
      <c r="G58" s="69" t="s">
        <v>13</v>
      </c>
      <c r="H58" s="69" t="s">
        <v>13</v>
      </c>
      <c r="I58" s="69" t="s">
        <v>13</v>
      </c>
      <c r="J58" s="69" t="s">
        <v>13</v>
      </c>
      <c r="K58" s="69" t="s">
        <v>13</v>
      </c>
      <c r="L58" s="69" t="s">
        <v>13</v>
      </c>
      <c r="M58" s="69" t="s">
        <v>13</v>
      </c>
      <c r="N58" s="69" t="s">
        <v>13</v>
      </c>
      <c r="O58" s="69">
        <v>1.9999999999991275E-3</v>
      </c>
      <c r="P58" s="69">
        <v>3.999999999999615E-3</v>
      </c>
      <c r="Q58" s="69">
        <v>2.1000000000073737E-3</v>
      </c>
      <c r="R58" s="69">
        <v>9.0000000000015623E-3</v>
      </c>
      <c r="S58" s="69">
        <v>1E-3</v>
      </c>
      <c r="T58" s="69">
        <v>0</v>
      </c>
      <c r="U58" s="69">
        <v>4.7E-2</v>
      </c>
      <c r="V58" s="69">
        <v>6.4000000000000001E-2</v>
      </c>
      <c r="W58" s="69">
        <v>6.6000000000000003E-2</v>
      </c>
      <c r="X58" s="69">
        <v>0.313</v>
      </c>
      <c r="Y58" s="69">
        <v>0.91600000000000004</v>
      </c>
      <c r="Z58" s="69">
        <v>0.57399999999999995</v>
      </c>
      <c r="AA58" s="69">
        <v>1.004</v>
      </c>
      <c r="AB58" s="69">
        <v>0</v>
      </c>
      <c r="AC58" s="69">
        <v>0</v>
      </c>
      <c r="AD58" s="69">
        <v>0</v>
      </c>
      <c r="AE58" s="69">
        <v>0</v>
      </c>
      <c r="AF58" s="69">
        <v>0</v>
      </c>
      <c r="AG58" s="69">
        <v>0</v>
      </c>
      <c r="AH58" s="69">
        <v>1.776</v>
      </c>
      <c r="AI58" s="69">
        <v>0.26900000000000002</v>
      </c>
      <c r="AJ58" s="69">
        <v>0.03</v>
      </c>
      <c r="AK58" s="69">
        <v>2.5000000000000001E-2</v>
      </c>
      <c r="AL58" s="69">
        <v>1.2999999999999999E-2</v>
      </c>
      <c r="AM58" s="69">
        <v>0.15060000000000001</v>
      </c>
      <c r="AN58" s="69">
        <v>0.17199999999999999</v>
      </c>
      <c r="AO58" s="69">
        <v>17.207000000000001</v>
      </c>
      <c r="AP58" s="69">
        <v>4.7880000000000003</v>
      </c>
      <c r="AQ58" s="69">
        <v>0.38500000000000001</v>
      </c>
      <c r="AR58" s="69">
        <v>0.1</v>
      </c>
      <c r="AS58" s="69">
        <v>2.2999999999999998</v>
      </c>
      <c r="AT58" s="69">
        <v>7.3</v>
      </c>
      <c r="AU58" s="69">
        <v>0.1</v>
      </c>
      <c r="AV58" s="69">
        <v>4.3</v>
      </c>
      <c r="AW58" s="69">
        <v>7.3</v>
      </c>
      <c r="AX58" s="19">
        <v>23.8</v>
      </c>
      <c r="AY58" s="19">
        <v>11.6</v>
      </c>
      <c r="AZ58" s="19">
        <v>12.9</v>
      </c>
      <c r="BA58" s="19">
        <v>3.5</v>
      </c>
      <c r="BB58" s="244">
        <v>32.156188</v>
      </c>
      <c r="BC58" s="69">
        <v>41.227276000000003</v>
      </c>
      <c r="BD58" s="69">
        <v>24.861601000000004</v>
      </c>
      <c r="BE58" s="69">
        <v>4.9143220000000003</v>
      </c>
      <c r="BF58" s="69">
        <v>9.3747760000000007</v>
      </c>
      <c r="BG58" s="244">
        <v>0.67163300000000004</v>
      </c>
      <c r="BH58" s="244">
        <v>1.452753</v>
      </c>
      <c r="BI58" s="244">
        <v>17.591612999999999</v>
      </c>
      <c r="BJ58" s="244">
        <v>136.03678500000001</v>
      </c>
      <c r="BK58" s="244">
        <v>151.58189299999998</v>
      </c>
      <c r="BL58" s="244">
        <v>121.451474</v>
      </c>
      <c r="BM58" s="244">
        <v>146.25649600000003</v>
      </c>
      <c r="BN58" s="244">
        <v>87.049318</v>
      </c>
      <c r="BO58" s="244">
        <v>224.61327757399999</v>
      </c>
      <c r="BP58" s="244">
        <v>101.484370297</v>
      </c>
      <c r="BQ58" s="244">
        <v>61.467985900000002</v>
      </c>
      <c r="BR58" s="244">
        <v>82.123139054999996</v>
      </c>
    </row>
    <row r="59" spans="1:71">
      <c r="A59" s="68" t="s">
        <v>473</v>
      </c>
      <c r="B59" s="69" t="s">
        <v>13</v>
      </c>
      <c r="C59" s="69" t="s">
        <v>13</v>
      </c>
      <c r="D59" s="69" t="s">
        <v>13</v>
      </c>
      <c r="E59" s="69" t="s">
        <v>13</v>
      </c>
      <c r="F59" s="69" t="s">
        <v>13</v>
      </c>
      <c r="G59" s="69" t="s">
        <v>13</v>
      </c>
      <c r="H59" s="69" t="s">
        <v>13</v>
      </c>
      <c r="I59" s="69" t="s">
        <v>13</v>
      </c>
      <c r="J59" s="69" t="s">
        <v>13</v>
      </c>
      <c r="K59" s="69" t="s">
        <v>13</v>
      </c>
      <c r="L59" s="69" t="s">
        <v>13</v>
      </c>
      <c r="M59" s="69" t="s">
        <v>13</v>
      </c>
      <c r="N59" s="69" t="s">
        <v>13</v>
      </c>
      <c r="O59" s="69" t="s">
        <v>13</v>
      </c>
      <c r="P59" s="69" t="s">
        <v>13</v>
      </c>
      <c r="Q59" s="69" t="s">
        <v>13</v>
      </c>
      <c r="R59" s="69" t="s">
        <v>13</v>
      </c>
      <c r="S59" s="69" t="s">
        <v>13</v>
      </c>
      <c r="T59" s="69" t="s">
        <v>13</v>
      </c>
      <c r="U59" s="69" t="s">
        <v>13</v>
      </c>
      <c r="V59" s="69" t="s">
        <v>13</v>
      </c>
      <c r="W59" s="69" t="s">
        <v>13</v>
      </c>
      <c r="X59" s="69" t="s">
        <v>13</v>
      </c>
      <c r="Y59" s="69" t="s">
        <v>13</v>
      </c>
      <c r="Z59" s="69" t="s">
        <v>13</v>
      </c>
      <c r="AA59" s="69" t="s">
        <v>13</v>
      </c>
      <c r="AB59" s="69" t="s">
        <v>13</v>
      </c>
      <c r="AC59" s="69" t="s">
        <v>13</v>
      </c>
      <c r="AD59" s="69" t="s">
        <v>13</v>
      </c>
      <c r="AE59" s="69" t="s">
        <v>13</v>
      </c>
      <c r="AF59" s="69" t="s">
        <v>13</v>
      </c>
      <c r="AG59" s="69" t="s">
        <v>13</v>
      </c>
      <c r="AH59" s="69" t="s">
        <v>13</v>
      </c>
      <c r="AI59" s="69" t="s">
        <v>13</v>
      </c>
      <c r="AJ59" s="69" t="s">
        <v>13</v>
      </c>
      <c r="AK59" s="69" t="s">
        <v>13</v>
      </c>
      <c r="AL59" s="69" t="s">
        <v>13</v>
      </c>
      <c r="AM59" s="69" t="s">
        <v>13</v>
      </c>
      <c r="AN59" s="69" t="s">
        <v>13</v>
      </c>
      <c r="AO59" s="69" t="s">
        <v>13</v>
      </c>
      <c r="AP59" s="69" t="s">
        <v>13</v>
      </c>
      <c r="AQ59" s="69" t="s">
        <v>13</v>
      </c>
      <c r="AR59" s="69" t="s">
        <v>13</v>
      </c>
      <c r="AS59" s="69" t="s">
        <v>13</v>
      </c>
      <c r="AT59" s="69" t="s">
        <v>13</v>
      </c>
      <c r="AU59" s="69" t="s">
        <v>13</v>
      </c>
      <c r="AV59" s="69" t="s">
        <v>13</v>
      </c>
      <c r="AW59" s="69" t="s">
        <v>13</v>
      </c>
      <c r="AX59" s="19" t="s">
        <v>13</v>
      </c>
      <c r="AY59" s="19" t="s">
        <v>13</v>
      </c>
      <c r="AZ59" s="19" t="s">
        <v>13</v>
      </c>
      <c r="BA59" s="19" t="s">
        <v>13</v>
      </c>
      <c r="BB59" s="244" t="s">
        <v>13</v>
      </c>
      <c r="BC59" s="69" t="s">
        <v>13</v>
      </c>
      <c r="BD59" s="69" t="s">
        <v>13</v>
      </c>
      <c r="BE59" s="69" t="s">
        <v>13</v>
      </c>
      <c r="BF59" s="69" t="s">
        <v>13</v>
      </c>
      <c r="BG59" s="69" t="s">
        <v>13</v>
      </c>
      <c r="BH59" s="244" t="s">
        <v>13</v>
      </c>
      <c r="BI59" s="19" t="s">
        <v>13</v>
      </c>
      <c r="BJ59" s="19" t="s">
        <v>13</v>
      </c>
      <c r="BK59" s="19" t="s">
        <v>13</v>
      </c>
      <c r="BL59" s="19" t="s">
        <v>13</v>
      </c>
      <c r="BM59" s="19">
        <v>151.54776362000001</v>
      </c>
      <c r="BN59" s="19">
        <v>172.76336518799533</v>
      </c>
      <c r="BO59" s="19">
        <v>240.14548550000001</v>
      </c>
      <c r="BP59" s="19">
        <v>208.04637550000001</v>
      </c>
      <c r="BQ59" s="19">
        <v>130.6793558</v>
      </c>
      <c r="BR59" s="19">
        <v>135.51181460999999</v>
      </c>
    </row>
    <row r="60" spans="1:71">
      <c r="A60" s="236"/>
      <c r="B60" s="237"/>
      <c r="C60" s="237"/>
      <c r="D60" s="237"/>
      <c r="E60" s="237"/>
      <c r="F60" s="237"/>
      <c r="G60" s="237"/>
      <c r="H60" s="237"/>
      <c r="I60" s="237"/>
      <c r="J60" s="237"/>
      <c r="K60" s="237"/>
      <c r="L60" s="237"/>
      <c r="M60" s="237"/>
      <c r="N60" s="237"/>
      <c r="O60" s="240"/>
      <c r="P60" s="240"/>
      <c r="Q60" s="240"/>
      <c r="R60" s="240"/>
      <c r="S60" s="240"/>
      <c r="T60" s="240"/>
      <c r="U60" s="240"/>
      <c r="V60" s="240"/>
      <c r="W60" s="240"/>
      <c r="X60" s="240"/>
      <c r="Y60" s="240"/>
      <c r="Z60" s="240"/>
      <c r="AA60" s="240"/>
      <c r="AB60" s="240"/>
      <c r="AC60" s="240"/>
      <c r="AD60" s="240"/>
      <c r="AE60" s="240"/>
      <c r="AF60" s="240"/>
      <c r="AG60" s="240"/>
      <c r="AH60" s="240"/>
      <c r="AI60" s="240"/>
      <c r="AJ60" s="240"/>
      <c r="AK60" s="240"/>
      <c r="AL60" s="240"/>
      <c r="AM60" s="240"/>
      <c r="AN60" s="240"/>
      <c r="AO60" s="240"/>
      <c r="AP60" s="240"/>
      <c r="AQ60" s="240"/>
      <c r="AR60" s="240"/>
      <c r="AS60" s="240"/>
      <c r="AT60" s="240"/>
      <c r="AU60" s="240"/>
      <c r="AV60" s="240"/>
      <c r="AW60" s="240"/>
      <c r="AX60" s="242"/>
      <c r="AY60" s="242"/>
      <c r="AZ60" s="242"/>
      <c r="BA60" s="242"/>
      <c r="BB60" s="241"/>
      <c r="BC60" s="241"/>
      <c r="BD60" s="241"/>
      <c r="BE60" s="241"/>
      <c r="BF60" s="241"/>
      <c r="BG60" s="241"/>
      <c r="BH60" s="241"/>
      <c r="BI60" s="242"/>
      <c r="BJ60" s="242"/>
      <c r="BK60" s="242"/>
      <c r="BL60" s="242"/>
      <c r="BM60" s="242"/>
      <c r="BN60" s="242"/>
      <c r="BO60" s="242"/>
      <c r="BP60" s="242"/>
      <c r="BQ60" s="242"/>
      <c r="BR60" s="242"/>
      <c r="BS60" s="16"/>
    </row>
    <row r="61" spans="1:71">
      <c r="A61" s="99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59"/>
      <c r="BJ61" s="59"/>
      <c r="BK61" s="59"/>
      <c r="BL61" s="59"/>
      <c r="BM61" s="59"/>
      <c r="BN61" s="59"/>
    </row>
    <row r="62" spans="1:71">
      <c r="A62" s="197" t="s">
        <v>234</v>
      </c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  <c r="BA62" s="16"/>
      <c r="BB62" s="16"/>
      <c r="BC62" s="16"/>
      <c r="BD62" s="16"/>
      <c r="BE62" s="16"/>
      <c r="BF62" s="16"/>
      <c r="BG62" s="59"/>
      <c r="BH62" s="59"/>
      <c r="BI62" s="59"/>
      <c r="BJ62" s="59"/>
      <c r="BK62" s="59"/>
      <c r="BL62" s="59"/>
      <c r="BM62" s="59"/>
      <c r="BN62" s="59"/>
      <c r="BO62" s="59"/>
      <c r="BP62" s="59"/>
      <c r="BQ62" s="59"/>
      <c r="BR62" s="59"/>
    </row>
    <row r="63" spans="1:71">
      <c r="A63" s="9" t="s">
        <v>222</v>
      </c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01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  <c r="BA63" s="16"/>
      <c r="BB63" s="16"/>
      <c r="BC63" s="16"/>
      <c r="BD63" s="16"/>
      <c r="BE63" s="16"/>
      <c r="BF63" s="16"/>
      <c r="BG63" s="59"/>
      <c r="BH63" s="59"/>
      <c r="BI63" s="59"/>
      <c r="BJ63" s="59"/>
      <c r="BK63" s="59"/>
      <c r="BL63" s="59"/>
      <c r="BM63" s="59"/>
      <c r="BN63" s="59"/>
      <c r="BO63" s="59"/>
      <c r="BP63" s="59"/>
      <c r="BQ63" s="59"/>
      <c r="BR63" s="59"/>
    </row>
    <row r="64" spans="1:71">
      <c r="A64" s="100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/>
      <c r="BA64" s="16"/>
      <c r="BB64" s="16"/>
      <c r="BC64" s="16"/>
      <c r="BD64" s="16"/>
      <c r="BE64" s="16"/>
      <c r="BF64" s="16"/>
      <c r="BG64" s="16"/>
      <c r="BH64" s="16"/>
      <c r="BI64" s="59"/>
      <c r="BJ64" s="59"/>
      <c r="BK64" s="59"/>
      <c r="BL64" s="59"/>
      <c r="BM64" s="59"/>
      <c r="BN64" s="59"/>
    </row>
    <row r="65" spans="1:66">
      <c r="A65" s="100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16"/>
      <c r="AZ65" s="16"/>
      <c r="BA65" s="16"/>
      <c r="BB65" s="16"/>
      <c r="BC65" s="16"/>
      <c r="BD65" s="16"/>
      <c r="BE65" s="16"/>
      <c r="BF65" s="16"/>
      <c r="BG65" s="16"/>
      <c r="BH65" s="16"/>
      <c r="BI65" s="59"/>
      <c r="BJ65" s="59"/>
      <c r="BK65" s="59"/>
      <c r="BL65" s="59"/>
      <c r="BM65" s="59"/>
      <c r="BN65" s="59"/>
    </row>
    <row r="66" spans="1:66">
      <c r="A66" s="100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6"/>
      <c r="AZ66" s="16"/>
      <c r="BA66" s="16"/>
      <c r="BB66" s="16"/>
      <c r="BC66" s="16"/>
      <c r="BD66" s="16"/>
      <c r="BE66" s="16"/>
      <c r="BF66" s="16"/>
      <c r="BG66" s="16"/>
      <c r="BH66" s="16"/>
      <c r="BI66" s="59"/>
      <c r="BJ66" s="59"/>
      <c r="BK66" s="59"/>
      <c r="BL66" s="59"/>
      <c r="BM66" s="59"/>
      <c r="BN66" s="59"/>
    </row>
    <row r="67" spans="1:66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6"/>
      <c r="AZ67" s="16"/>
      <c r="BA67" s="16"/>
      <c r="BB67" s="16"/>
      <c r="BC67" s="16"/>
      <c r="BD67" s="16"/>
      <c r="BE67" s="16"/>
      <c r="BF67" s="16"/>
      <c r="BG67" s="16"/>
      <c r="BH67" s="16"/>
      <c r="BI67" s="59"/>
      <c r="BJ67" s="59"/>
      <c r="BK67" s="59"/>
      <c r="BL67" s="59"/>
      <c r="BM67" s="59"/>
      <c r="BN67" s="59"/>
    </row>
    <row r="68" spans="1:66">
      <c r="BD68" s="16"/>
      <c r="BE68" s="16"/>
      <c r="BF68" s="16"/>
      <c r="BG68" s="16"/>
      <c r="BH68" s="16"/>
      <c r="BI68" s="59"/>
      <c r="BJ68" s="59"/>
      <c r="BK68" s="59"/>
      <c r="BL68" s="59"/>
      <c r="BM68" s="59"/>
      <c r="BN68" s="59"/>
    </row>
  </sheetData>
  <mergeCells count="2">
    <mergeCell ref="A2:BR2"/>
    <mergeCell ref="A1:BL1"/>
  </mergeCells>
  <hyperlinks>
    <hyperlink ref="A63" location="'indice cap.2'!A1" display="regresar al índice"/>
    <hyperlink ref="A62" location="'indice cap.2'!A1" display="Notas"/>
  </hyperlinks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8"/>
  <sheetViews>
    <sheetView showGridLines="0" workbookViewId="0">
      <selection activeCell="H11" sqref="H11"/>
    </sheetView>
  </sheetViews>
  <sheetFormatPr baseColWidth="10" defaultRowHeight="12.75"/>
  <cols>
    <col min="1" max="1" width="9.42578125" style="76" customWidth="1"/>
    <col min="2" max="3" width="15.7109375" style="76" customWidth="1"/>
    <col min="4" max="9" width="15.7109375" style="43" customWidth="1"/>
    <col min="10" max="256" width="11.42578125" style="43"/>
    <col min="257" max="257" width="9.42578125" style="43" customWidth="1"/>
    <col min="258" max="265" width="15.7109375" style="43" customWidth="1"/>
    <col min="266" max="512" width="11.42578125" style="43"/>
    <col min="513" max="513" width="9.42578125" style="43" customWidth="1"/>
    <col min="514" max="521" width="15.7109375" style="43" customWidth="1"/>
    <col min="522" max="768" width="11.42578125" style="43"/>
    <col min="769" max="769" width="9.42578125" style="43" customWidth="1"/>
    <col min="770" max="777" width="15.7109375" style="43" customWidth="1"/>
    <col min="778" max="1024" width="11.42578125" style="43"/>
    <col min="1025" max="1025" width="9.42578125" style="43" customWidth="1"/>
    <col min="1026" max="1033" width="15.7109375" style="43" customWidth="1"/>
    <col min="1034" max="1280" width="11.42578125" style="43"/>
    <col min="1281" max="1281" width="9.42578125" style="43" customWidth="1"/>
    <col min="1282" max="1289" width="15.7109375" style="43" customWidth="1"/>
    <col min="1290" max="1536" width="11.42578125" style="43"/>
    <col min="1537" max="1537" width="9.42578125" style="43" customWidth="1"/>
    <col min="1538" max="1545" width="15.7109375" style="43" customWidth="1"/>
    <col min="1546" max="1792" width="11.42578125" style="43"/>
    <col min="1793" max="1793" width="9.42578125" style="43" customWidth="1"/>
    <col min="1794" max="1801" width="15.7109375" style="43" customWidth="1"/>
    <col min="1802" max="2048" width="11.42578125" style="43"/>
    <col min="2049" max="2049" width="9.42578125" style="43" customWidth="1"/>
    <col min="2050" max="2057" width="15.7109375" style="43" customWidth="1"/>
    <col min="2058" max="2304" width="11.42578125" style="43"/>
    <col min="2305" max="2305" width="9.42578125" style="43" customWidth="1"/>
    <col min="2306" max="2313" width="15.7109375" style="43" customWidth="1"/>
    <col min="2314" max="2560" width="11.42578125" style="43"/>
    <col min="2561" max="2561" width="9.42578125" style="43" customWidth="1"/>
    <col min="2562" max="2569" width="15.7109375" style="43" customWidth="1"/>
    <col min="2570" max="2816" width="11.42578125" style="43"/>
    <col min="2817" max="2817" width="9.42578125" style="43" customWidth="1"/>
    <col min="2818" max="2825" width="15.7109375" style="43" customWidth="1"/>
    <col min="2826" max="3072" width="11.42578125" style="43"/>
    <col min="3073" max="3073" width="9.42578125" style="43" customWidth="1"/>
    <col min="3074" max="3081" width="15.7109375" style="43" customWidth="1"/>
    <col min="3082" max="3328" width="11.42578125" style="43"/>
    <col min="3329" max="3329" width="9.42578125" style="43" customWidth="1"/>
    <col min="3330" max="3337" width="15.7109375" style="43" customWidth="1"/>
    <col min="3338" max="3584" width="11.42578125" style="43"/>
    <col min="3585" max="3585" width="9.42578125" style="43" customWidth="1"/>
    <col min="3586" max="3593" width="15.7109375" style="43" customWidth="1"/>
    <col min="3594" max="3840" width="11.42578125" style="43"/>
    <col min="3841" max="3841" width="9.42578125" style="43" customWidth="1"/>
    <col min="3842" max="3849" width="15.7109375" style="43" customWidth="1"/>
    <col min="3850" max="4096" width="11.42578125" style="43"/>
    <col min="4097" max="4097" width="9.42578125" style="43" customWidth="1"/>
    <col min="4098" max="4105" width="15.7109375" style="43" customWidth="1"/>
    <col min="4106" max="4352" width="11.42578125" style="43"/>
    <col min="4353" max="4353" width="9.42578125" style="43" customWidth="1"/>
    <col min="4354" max="4361" width="15.7109375" style="43" customWidth="1"/>
    <col min="4362" max="4608" width="11.42578125" style="43"/>
    <col min="4609" max="4609" width="9.42578125" style="43" customWidth="1"/>
    <col min="4610" max="4617" width="15.7109375" style="43" customWidth="1"/>
    <col min="4618" max="4864" width="11.42578125" style="43"/>
    <col min="4865" max="4865" width="9.42578125" style="43" customWidth="1"/>
    <col min="4866" max="4873" width="15.7109375" style="43" customWidth="1"/>
    <col min="4874" max="5120" width="11.42578125" style="43"/>
    <col min="5121" max="5121" width="9.42578125" style="43" customWidth="1"/>
    <col min="5122" max="5129" width="15.7109375" style="43" customWidth="1"/>
    <col min="5130" max="5376" width="11.42578125" style="43"/>
    <col min="5377" max="5377" width="9.42578125" style="43" customWidth="1"/>
    <col min="5378" max="5385" width="15.7109375" style="43" customWidth="1"/>
    <col min="5386" max="5632" width="11.42578125" style="43"/>
    <col min="5633" max="5633" width="9.42578125" style="43" customWidth="1"/>
    <col min="5634" max="5641" width="15.7109375" style="43" customWidth="1"/>
    <col min="5642" max="5888" width="11.42578125" style="43"/>
    <col min="5889" max="5889" width="9.42578125" style="43" customWidth="1"/>
    <col min="5890" max="5897" width="15.7109375" style="43" customWidth="1"/>
    <col min="5898" max="6144" width="11.42578125" style="43"/>
    <col min="6145" max="6145" width="9.42578125" style="43" customWidth="1"/>
    <col min="6146" max="6153" width="15.7109375" style="43" customWidth="1"/>
    <col min="6154" max="6400" width="11.42578125" style="43"/>
    <col min="6401" max="6401" width="9.42578125" style="43" customWidth="1"/>
    <col min="6402" max="6409" width="15.7109375" style="43" customWidth="1"/>
    <col min="6410" max="6656" width="11.42578125" style="43"/>
    <col min="6657" max="6657" width="9.42578125" style="43" customWidth="1"/>
    <col min="6658" max="6665" width="15.7109375" style="43" customWidth="1"/>
    <col min="6666" max="6912" width="11.42578125" style="43"/>
    <col min="6913" max="6913" width="9.42578125" style="43" customWidth="1"/>
    <col min="6914" max="6921" width="15.7109375" style="43" customWidth="1"/>
    <col min="6922" max="7168" width="11.42578125" style="43"/>
    <col min="7169" max="7169" width="9.42578125" style="43" customWidth="1"/>
    <col min="7170" max="7177" width="15.7109375" style="43" customWidth="1"/>
    <col min="7178" max="7424" width="11.42578125" style="43"/>
    <col min="7425" max="7425" width="9.42578125" style="43" customWidth="1"/>
    <col min="7426" max="7433" width="15.7109375" style="43" customWidth="1"/>
    <col min="7434" max="7680" width="11.42578125" style="43"/>
    <col min="7681" max="7681" width="9.42578125" style="43" customWidth="1"/>
    <col min="7682" max="7689" width="15.7109375" style="43" customWidth="1"/>
    <col min="7690" max="7936" width="11.42578125" style="43"/>
    <col min="7937" max="7937" width="9.42578125" style="43" customWidth="1"/>
    <col min="7938" max="7945" width="15.7109375" style="43" customWidth="1"/>
    <col min="7946" max="8192" width="11.42578125" style="43"/>
    <col min="8193" max="8193" width="9.42578125" style="43" customWidth="1"/>
    <col min="8194" max="8201" width="15.7109375" style="43" customWidth="1"/>
    <col min="8202" max="8448" width="11.42578125" style="43"/>
    <col min="8449" max="8449" width="9.42578125" style="43" customWidth="1"/>
    <col min="8450" max="8457" width="15.7109375" style="43" customWidth="1"/>
    <col min="8458" max="8704" width="11.42578125" style="43"/>
    <col min="8705" max="8705" width="9.42578125" style="43" customWidth="1"/>
    <col min="8706" max="8713" width="15.7109375" style="43" customWidth="1"/>
    <col min="8714" max="8960" width="11.42578125" style="43"/>
    <col min="8961" max="8961" width="9.42578125" style="43" customWidth="1"/>
    <col min="8962" max="8969" width="15.7109375" style="43" customWidth="1"/>
    <col min="8970" max="9216" width="11.42578125" style="43"/>
    <col min="9217" max="9217" width="9.42578125" style="43" customWidth="1"/>
    <col min="9218" max="9225" width="15.7109375" style="43" customWidth="1"/>
    <col min="9226" max="9472" width="11.42578125" style="43"/>
    <col min="9473" max="9473" width="9.42578125" style="43" customWidth="1"/>
    <col min="9474" max="9481" width="15.7109375" style="43" customWidth="1"/>
    <col min="9482" max="9728" width="11.42578125" style="43"/>
    <col min="9729" max="9729" width="9.42578125" style="43" customWidth="1"/>
    <col min="9730" max="9737" width="15.7109375" style="43" customWidth="1"/>
    <col min="9738" max="9984" width="11.42578125" style="43"/>
    <col min="9985" max="9985" width="9.42578125" style="43" customWidth="1"/>
    <col min="9986" max="9993" width="15.7109375" style="43" customWidth="1"/>
    <col min="9994" max="10240" width="11.42578125" style="43"/>
    <col min="10241" max="10241" width="9.42578125" style="43" customWidth="1"/>
    <col min="10242" max="10249" width="15.7109375" style="43" customWidth="1"/>
    <col min="10250" max="10496" width="11.42578125" style="43"/>
    <col min="10497" max="10497" width="9.42578125" style="43" customWidth="1"/>
    <col min="10498" max="10505" width="15.7109375" style="43" customWidth="1"/>
    <col min="10506" max="10752" width="11.42578125" style="43"/>
    <col min="10753" max="10753" width="9.42578125" style="43" customWidth="1"/>
    <col min="10754" max="10761" width="15.7109375" style="43" customWidth="1"/>
    <col min="10762" max="11008" width="11.42578125" style="43"/>
    <col min="11009" max="11009" width="9.42578125" style="43" customWidth="1"/>
    <col min="11010" max="11017" width="15.7109375" style="43" customWidth="1"/>
    <col min="11018" max="11264" width="11.42578125" style="43"/>
    <col min="11265" max="11265" width="9.42578125" style="43" customWidth="1"/>
    <col min="11266" max="11273" width="15.7109375" style="43" customWidth="1"/>
    <col min="11274" max="11520" width="11.42578125" style="43"/>
    <col min="11521" max="11521" width="9.42578125" style="43" customWidth="1"/>
    <col min="11522" max="11529" width="15.7109375" style="43" customWidth="1"/>
    <col min="11530" max="11776" width="11.42578125" style="43"/>
    <col min="11777" max="11777" width="9.42578125" style="43" customWidth="1"/>
    <col min="11778" max="11785" width="15.7109375" style="43" customWidth="1"/>
    <col min="11786" max="12032" width="11.42578125" style="43"/>
    <col min="12033" max="12033" width="9.42578125" style="43" customWidth="1"/>
    <col min="12034" max="12041" width="15.7109375" style="43" customWidth="1"/>
    <col min="12042" max="12288" width="11.42578125" style="43"/>
    <col min="12289" max="12289" width="9.42578125" style="43" customWidth="1"/>
    <col min="12290" max="12297" width="15.7109375" style="43" customWidth="1"/>
    <col min="12298" max="12544" width="11.42578125" style="43"/>
    <col min="12545" max="12545" width="9.42578125" style="43" customWidth="1"/>
    <col min="12546" max="12553" width="15.7109375" style="43" customWidth="1"/>
    <col min="12554" max="12800" width="11.42578125" style="43"/>
    <col min="12801" max="12801" width="9.42578125" style="43" customWidth="1"/>
    <col min="12802" max="12809" width="15.7109375" style="43" customWidth="1"/>
    <col min="12810" max="13056" width="11.42578125" style="43"/>
    <col min="13057" max="13057" width="9.42578125" style="43" customWidth="1"/>
    <col min="13058" max="13065" width="15.7109375" style="43" customWidth="1"/>
    <col min="13066" max="13312" width="11.42578125" style="43"/>
    <col min="13313" max="13313" width="9.42578125" style="43" customWidth="1"/>
    <col min="13314" max="13321" width="15.7109375" style="43" customWidth="1"/>
    <col min="13322" max="13568" width="11.42578125" style="43"/>
    <col min="13569" max="13569" width="9.42578125" style="43" customWidth="1"/>
    <col min="13570" max="13577" width="15.7109375" style="43" customWidth="1"/>
    <col min="13578" max="13824" width="11.42578125" style="43"/>
    <col min="13825" max="13825" width="9.42578125" style="43" customWidth="1"/>
    <col min="13826" max="13833" width="15.7109375" style="43" customWidth="1"/>
    <col min="13834" max="14080" width="11.42578125" style="43"/>
    <col min="14081" max="14081" width="9.42578125" style="43" customWidth="1"/>
    <col min="14082" max="14089" width="15.7109375" style="43" customWidth="1"/>
    <col min="14090" max="14336" width="11.42578125" style="43"/>
    <col min="14337" max="14337" width="9.42578125" style="43" customWidth="1"/>
    <col min="14338" max="14345" width="15.7109375" style="43" customWidth="1"/>
    <col min="14346" max="14592" width="11.42578125" style="43"/>
    <col min="14593" max="14593" width="9.42578125" style="43" customWidth="1"/>
    <col min="14594" max="14601" width="15.7109375" style="43" customWidth="1"/>
    <col min="14602" max="14848" width="11.42578125" style="43"/>
    <col min="14849" max="14849" width="9.42578125" style="43" customWidth="1"/>
    <col min="14850" max="14857" width="15.7109375" style="43" customWidth="1"/>
    <col min="14858" max="15104" width="11.42578125" style="43"/>
    <col min="15105" max="15105" width="9.42578125" style="43" customWidth="1"/>
    <col min="15106" max="15113" width="15.7109375" style="43" customWidth="1"/>
    <col min="15114" max="15360" width="11.42578125" style="43"/>
    <col min="15361" max="15361" width="9.42578125" style="43" customWidth="1"/>
    <col min="15362" max="15369" width="15.7109375" style="43" customWidth="1"/>
    <col min="15370" max="15616" width="11.42578125" style="43"/>
    <col min="15617" max="15617" width="9.42578125" style="43" customWidth="1"/>
    <col min="15618" max="15625" width="15.7109375" style="43" customWidth="1"/>
    <col min="15626" max="15872" width="11.42578125" style="43"/>
    <col min="15873" max="15873" width="9.42578125" style="43" customWidth="1"/>
    <col min="15874" max="15881" width="15.7109375" style="43" customWidth="1"/>
    <col min="15882" max="16128" width="11.42578125" style="43"/>
    <col min="16129" max="16129" width="9.42578125" style="43" customWidth="1"/>
    <col min="16130" max="16137" width="15.7109375" style="43" customWidth="1"/>
    <col min="16138" max="16384" width="11.42578125" style="43"/>
  </cols>
  <sheetData>
    <row r="1" spans="1:9">
      <c r="A1" s="347" t="s">
        <v>96</v>
      </c>
      <c r="B1" s="313"/>
      <c r="C1" s="313"/>
      <c r="D1" s="313"/>
      <c r="E1" s="313"/>
      <c r="F1" s="313"/>
      <c r="G1" s="313"/>
      <c r="H1" s="313"/>
      <c r="I1" s="313"/>
    </row>
    <row r="2" spans="1:9">
      <c r="A2" s="347" t="s">
        <v>97</v>
      </c>
      <c r="B2" s="313"/>
      <c r="C2" s="313"/>
      <c r="D2" s="313"/>
      <c r="E2" s="313"/>
      <c r="F2" s="313"/>
      <c r="G2" s="313"/>
      <c r="H2" s="313"/>
      <c r="I2" s="313"/>
    </row>
    <row r="3" spans="1:9">
      <c r="A3" s="111"/>
      <c r="B3" s="111"/>
      <c r="C3" s="111"/>
      <c r="D3" s="42"/>
      <c r="E3" s="42"/>
      <c r="F3" s="42"/>
      <c r="G3" s="42"/>
      <c r="H3" s="42"/>
      <c r="I3" s="42"/>
    </row>
    <row r="4" spans="1:9" s="110" customFormat="1" ht="38.25">
      <c r="A4" s="251" t="s">
        <v>38</v>
      </c>
      <c r="B4" s="252" t="s">
        <v>260</v>
      </c>
      <c r="C4" s="252" t="s">
        <v>261</v>
      </c>
      <c r="D4" s="252" t="s">
        <v>262</v>
      </c>
      <c r="E4" s="252" t="s">
        <v>263</v>
      </c>
      <c r="F4" s="252" t="s">
        <v>98</v>
      </c>
      <c r="G4" s="252" t="s">
        <v>264</v>
      </c>
      <c r="H4" s="252" t="s">
        <v>99</v>
      </c>
      <c r="I4" s="109" t="s">
        <v>83</v>
      </c>
    </row>
    <row r="5" spans="1:9">
      <c r="A5" s="111"/>
      <c r="B5" s="111"/>
      <c r="C5" s="111"/>
      <c r="D5" s="24"/>
      <c r="E5" s="24"/>
      <c r="F5" s="24"/>
      <c r="G5" s="24"/>
      <c r="H5" s="42"/>
      <c r="I5" s="42"/>
    </row>
    <row r="6" spans="1:9">
      <c r="A6" s="112">
        <v>1938</v>
      </c>
      <c r="B6" s="113">
        <v>25325</v>
      </c>
      <c r="C6" s="114" t="s">
        <v>13</v>
      </c>
      <c r="D6" s="115">
        <v>840</v>
      </c>
      <c r="E6" s="114" t="s">
        <v>13</v>
      </c>
      <c r="F6" s="114" t="s">
        <v>13</v>
      </c>
      <c r="G6" s="114" t="s">
        <v>13</v>
      </c>
      <c r="H6" s="114" t="s">
        <v>13</v>
      </c>
      <c r="I6" s="116">
        <f>SUM(B6:H6)</f>
        <v>26165</v>
      </c>
    </row>
    <row r="7" spans="1:9">
      <c r="A7" s="112">
        <v>1939</v>
      </c>
      <c r="B7" s="113">
        <v>25892</v>
      </c>
      <c r="C7" s="114" t="s">
        <v>13</v>
      </c>
      <c r="D7" s="115">
        <v>882</v>
      </c>
      <c r="E7" s="114" t="s">
        <v>13</v>
      </c>
      <c r="F7" s="114" t="s">
        <v>13</v>
      </c>
      <c r="G7" s="114" t="s">
        <v>13</v>
      </c>
      <c r="H7" s="114" t="s">
        <v>13</v>
      </c>
      <c r="I7" s="116">
        <f t="shared" ref="I7:I29" si="0">SUM(B7:H7)</f>
        <v>26774</v>
      </c>
    </row>
    <row r="8" spans="1:9">
      <c r="A8" s="112">
        <v>1940</v>
      </c>
      <c r="B8" s="113">
        <v>26460</v>
      </c>
      <c r="C8" s="114" t="s">
        <v>13</v>
      </c>
      <c r="D8" s="115">
        <v>924</v>
      </c>
      <c r="E8" s="114" t="s">
        <v>13</v>
      </c>
      <c r="F8" s="114" t="s">
        <v>13</v>
      </c>
      <c r="G8" s="114" t="s">
        <v>13</v>
      </c>
      <c r="H8" s="114" t="s">
        <v>13</v>
      </c>
      <c r="I8" s="116">
        <f t="shared" si="0"/>
        <v>27384</v>
      </c>
    </row>
    <row r="9" spans="1:9">
      <c r="A9" s="112">
        <v>1941</v>
      </c>
      <c r="B9" s="113">
        <v>27026</v>
      </c>
      <c r="C9" s="114" t="s">
        <v>13</v>
      </c>
      <c r="D9" s="115">
        <v>966</v>
      </c>
      <c r="E9" s="116">
        <v>382</v>
      </c>
      <c r="F9" s="114" t="s">
        <v>13</v>
      </c>
      <c r="G9" s="114" t="s">
        <v>13</v>
      </c>
      <c r="H9" s="114" t="s">
        <v>13</v>
      </c>
      <c r="I9" s="116">
        <f t="shared" si="0"/>
        <v>28374</v>
      </c>
    </row>
    <row r="10" spans="1:9">
      <c r="A10" s="112">
        <v>1942</v>
      </c>
      <c r="B10" s="113">
        <v>27594</v>
      </c>
      <c r="C10" s="114" t="s">
        <v>13</v>
      </c>
      <c r="D10" s="115">
        <v>1008</v>
      </c>
      <c r="E10" s="116">
        <v>770</v>
      </c>
      <c r="F10" s="114" t="s">
        <v>13</v>
      </c>
      <c r="G10" s="114" t="s">
        <v>13</v>
      </c>
      <c r="H10" s="116">
        <v>102</v>
      </c>
      <c r="I10" s="116">
        <f t="shared" si="0"/>
        <v>29474</v>
      </c>
    </row>
    <row r="11" spans="1:9">
      <c r="A11" s="112">
        <v>1943</v>
      </c>
      <c r="B11" s="113">
        <v>28161</v>
      </c>
      <c r="C11" s="114" t="s">
        <v>13</v>
      </c>
      <c r="D11" s="115">
        <v>1050</v>
      </c>
      <c r="E11" s="116">
        <v>1008</v>
      </c>
      <c r="F11" s="114" t="s">
        <v>13</v>
      </c>
      <c r="G11" s="114" t="s">
        <v>13</v>
      </c>
      <c r="H11" s="116">
        <v>137</v>
      </c>
      <c r="I11" s="116">
        <f t="shared" si="0"/>
        <v>30356</v>
      </c>
    </row>
    <row r="12" spans="1:9">
      <c r="A12" s="112">
        <v>1944</v>
      </c>
      <c r="B12" s="113">
        <v>28727</v>
      </c>
      <c r="C12" s="114" t="s">
        <v>13</v>
      </c>
      <c r="D12" s="115">
        <v>1092</v>
      </c>
      <c r="E12" s="116">
        <v>998</v>
      </c>
      <c r="F12" s="114" t="s">
        <v>13</v>
      </c>
      <c r="G12" s="114" t="s">
        <v>13</v>
      </c>
      <c r="H12" s="116">
        <v>133</v>
      </c>
      <c r="I12" s="116">
        <f t="shared" si="0"/>
        <v>30950</v>
      </c>
    </row>
    <row r="13" spans="1:9">
      <c r="A13" s="112">
        <v>1945</v>
      </c>
      <c r="B13" s="113">
        <v>29295</v>
      </c>
      <c r="C13" s="114" t="s">
        <v>13</v>
      </c>
      <c r="D13" s="115">
        <v>1134</v>
      </c>
      <c r="E13" s="116">
        <v>832</v>
      </c>
      <c r="F13" s="114" t="s">
        <v>13</v>
      </c>
      <c r="G13" s="113">
        <v>5000</v>
      </c>
      <c r="H13" s="116">
        <v>132</v>
      </c>
      <c r="I13" s="116">
        <f t="shared" si="0"/>
        <v>36393</v>
      </c>
    </row>
    <row r="14" spans="1:9">
      <c r="A14" s="112">
        <v>1946</v>
      </c>
      <c r="B14" s="113">
        <v>29862</v>
      </c>
      <c r="C14" s="114" t="s">
        <v>13</v>
      </c>
      <c r="D14" s="115">
        <v>1176</v>
      </c>
      <c r="E14" s="116">
        <v>1446</v>
      </c>
      <c r="F14" s="114" t="s">
        <v>13</v>
      </c>
      <c r="G14" s="113">
        <v>4990</v>
      </c>
      <c r="H14" s="116">
        <v>122</v>
      </c>
      <c r="I14" s="116">
        <f t="shared" si="0"/>
        <v>37596</v>
      </c>
    </row>
    <row r="15" spans="1:9">
      <c r="A15" s="112">
        <v>1947</v>
      </c>
      <c r="B15" s="113">
        <v>30428</v>
      </c>
      <c r="C15" s="114" t="s">
        <v>13</v>
      </c>
      <c r="D15" s="115">
        <v>1218</v>
      </c>
      <c r="E15" s="116">
        <v>6594</v>
      </c>
      <c r="F15" s="114" t="s">
        <v>13</v>
      </c>
      <c r="G15" s="114" t="s">
        <v>13</v>
      </c>
      <c r="H15" s="116">
        <v>99</v>
      </c>
      <c r="I15" s="116">
        <f t="shared" si="0"/>
        <v>38339</v>
      </c>
    </row>
    <row r="16" spans="1:9">
      <c r="A16" s="112">
        <v>1948</v>
      </c>
      <c r="B16" s="113">
        <v>30996</v>
      </c>
      <c r="C16" s="114" t="s">
        <v>13</v>
      </c>
      <c r="D16" s="115">
        <v>1260</v>
      </c>
      <c r="E16" s="116">
        <v>6908</v>
      </c>
      <c r="F16" s="114" t="s">
        <v>13</v>
      </c>
      <c r="G16" s="114" t="s">
        <v>13</v>
      </c>
      <c r="H16" s="116">
        <v>102</v>
      </c>
      <c r="I16" s="116">
        <f t="shared" si="0"/>
        <v>39266</v>
      </c>
    </row>
    <row r="17" spans="1:9">
      <c r="A17" s="112">
        <v>1949</v>
      </c>
      <c r="B17" s="113">
        <v>31563</v>
      </c>
      <c r="C17" s="114" t="s">
        <v>13</v>
      </c>
      <c r="D17" s="115">
        <v>1302</v>
      </c>
      <c r="E17" s="116">
        <v>6343</v>
      </c>
      <c r="F17" s="114" t="s">
        <v>13</v>
      </c>
      <c r="G17" s="114" t="s">
        <v>13</v>
      </c>
      <c r="H17" s="116">
        <v>98</v>
      </c>
      <c r="I17" s="116">
        <f t="shared" si="0"/>
        <v>39306</v>
      </c>
    </row>
    <row r="18" spans="1:9">
      <c r="A18" s="112">
        <v>1950</v>
      </c>
      <c r="B18" s="113">
        <v>32131</v>
      </c>
      <c r="C18" s="113">
        <v>418</v>
      </c>
      <c r="D18" s="115">
        <v>1344</v>
      </c>
      <c r="E18" s="116">
        <v>6365</v>
      </c>
      <c r="F18" s="114" t="s">
        <v>13</v>
      </c>
      <c r="G18" s="114" t="s">
        <v>13</v>
      </c>
      <c r="H18" s="116">
        <v>1343</v>
      </c>
      <c r="I18" s="116">
        <f t="shared" si="0"/>
        <v>41601</v>
      </c>
    </row>
    <row r="19" spans="1:9">
      <c r="A19" s="112">
        <v>1951</v>
      </c>
      <c r="B19" s="113">
        <v>32698</v>
      </c>
      <c r="C19" s="113">
        <v>323</v>
      </c>
      <c r="D19" s="117" t="s">
        <v>13</v>
      </c>
      <c r="E19" s="116">
        <v>7595</v>
      </c>
      <c r="F19" s="114" t="s">
        <v>13</v>
      </c>
      <c r="G19" s="114" t="s">
        <v>13</v>
      </c>
      <c r="H19" s="116">
        <v>1294</v>
      </c>
      <c r="I19" s="116">
        <f t="shared" si="0"/>
        <v>41910</v>
      </c>
    </row>
    <row r="20" spans="1:9">
      <c r="A20" s="112">
        <v>1952</v>
      </c>
      <c r="B20" s="113">
        <v>33265</v>
      </c>
      <c r="C20" s="113">
        <v>138</v>
      </c>
      <c r="D20" s="117" t="s">
        <v>13</v>
      </c>
      <c r="E20" s="116">
        <v>9557</v>
      </c>
      <c r="F20" s="114" t="s">
        <v>13</v>
      </c>
      <c r="G20" s="114" t="s">
        <v>13</v>
      </c>
      <c r="H20" s="116">
        <v>25</v>
      </c>
      <c r="I20" s="116">
        <f t="shared" si="0"/>
        <v>42985</v>
      </c>
    </row>
    <row r="21" spans="1:9">
      <c r="A21" s="112">
        <v>1953</v>
      </c>
      <c r="B21" s="113">
        <v>21641</v>
      </c>
      <c r="C21" s="113">
        <v>55</v>
      </c>
      <c r="D21" s="117" t="s">
        <v>13</v>
      </c>
      <c r="E21" s="116">
        <v>9401</v>
      </c>
      <c r="F21" s="114" t="s">
        <v>13</v>
      </c>
      <c r="G21" s="114" t="s">
        <v>13</v>
      </c>
      <c r="H21" s="116">
        <v>365</v>
      </c>
      <c r="I21" s="116">
        <f t="shared" si="0"/>
        <v>31462</v>
      </c>
    </row>
    <row r="22" spans="1:9">
      <c r="A22" s="112">
        <v>1954</v>
      </c>
      <c r="B22" s="113">
        <v>21640</v>
      </c>
      <c r="C22" s="113">
        <v>57</v>
      </c>
      <c r="D22" s="117" t="s">
        <v>13</v>
      </c>
      <c r="E22" s="116">
        <v>11314</v>
      </c>
      <c r="F22" s="114" t="s">
        <v>13</v>
      </c>
      <c r="G22" s="114" t="s">
        <v>13</v>
      </c>
      <c r="H22" s="116">
        <v>282</v>
      </c>
      <c r="I22" s="116">
        <f t="shared" si="0"/>
        <v>33293</v>
      </c>
    </row>
    <row r="23" spans="1:9">
      <c r="A23" s="112">
        <v>1955</v>
      </c>
      <c r="B23" s="113">
        <v>21640</v>
      </c>
      <c r="C23" s="113">
        <v>59</v>
      </c>
      <c r="D23" s="117" t="s">
        <v>13</v>
      </c>
      <c r="E23" s="116">
        <v>15138</v>
      </c>
      <c r="F23" s="114" t="s">
        <v>13</v>
      </c>
      <c r="G23" s="114" t="s">
        <v>13</v>
      </c>
      <c r="H23" s="116">
        <f>(309-59)</f>
        <v>250</v>
      </c>
      <c r="I23" s="116">
        <f t="shared" si="0"/>
        <v>37087</v>
      </c>
    </row>
    <row r="24" spans="1:9">
      <c r="A24" s="112">
        <v>1956</v>
      </c>
      <c r="B24" s="113">
        <v>15624</v>
      </c>
      <c r="C24" s="113">
        <v>51</v>
      </c>
      <c r="D24" s="117" t="s">
        <v>13</v>
      </c>
      <c r="E24" s="116">
        <v>17376</v>
      </c>
      <c r="F24" s="114" t="s">
        <v>13</v>
      </c>
      <c r="G24" s="114" t="s">
        <v>13</v>
      </c>
      <c r="H24" s="116">
        <f>(773-51)</f>
        <v>722</v>
      </c>
      <c r="I24" s="116">
        <f t="shared" si="0"/>
        <v>33773</v>
      </c>
    </row>
    <row r="25" spans="1:9">
      <c r="A25" s="112">
        <v>1957</v>
      </c>
      <c r="B25" s="113">
        <v>7202</v>
      </c>
      <c r="C25" s="113">
        <v>383</v>
      </c>
      <c r="D25" s="117" t="s">
        <v>13</v>
      </c>
      <c r="E25" s="116">
        <v>16802</v>
      </c>
      <c r="F25" s="114" t="s">
        <v>13</v>
      </c>
      <c r="G25" s="114" t="s">
        <v>13</v>
      </c>
      <c r="H25" s="116">
        <v>175</v>
      </c>
      <c r="I25" s="116">
        <f t="shared" si="0"/>
        <v>24562</v>
      </c>
    </row>
    <row r="26" spans="1:9">
      <c r="A26" s="112">
        <v>1958</v>
      </c>
      <c r="B26" s="113">
        <v>7005</v>
      </c>
      <c r="C26" s="113">
        <v>650</v>
      </c>
      <c r="D26" s="117" t="s">
        <v>13</v>
      </c>
      <c r="E26" s="116">
        <v>16739.91</v>
      </c>
      <c r="F26" s="116">
        <v>360</v>
      </c>
      <c r="G26" s="114" t="s">
        <v>13</v>
      </c>
      <c r="H26" s="116">
        <v>542</v>
      </c>
      <c r="I26" s="116">
        <f t="shared" si="0"/>
        <v>25296.91</v>
      </c>
    </row>
    <row r="27" spans="1:9">
      <c r="A27" s="112">
        <v>1959</v>
      </c>
      <c r="B27" s="113">
        <v>6971</v>
      </c>
      <c r="C27" s="113">
        <v>631</v>
      </c>
      <c r="D27" s="117" t="s">
        <v>13</v>
      </c>
      <c r="E27" s="116">
        <v>16354.58</v>
      </c>
      <c r="F27" s="116">
        <v>2899</v>
      </c>
      <c r="G27" s="114" t="s">
        <v>13</v>
      </c>
      <c r="H27" s="116">
        <v>-589</v>
      </c>
      <c r="I27" s="116">
        <f t="shared" si="0"/>
        <v>26266.58</v>
      </c>
    </row>
    <row r="28" spans="1:9">
      <c r="A28" s="112">
        <v>1960</v>
      </c>
      <c r="B28" s="113">
        <v>6858</v>
      </c>
      <c r="C28" s="113">
        <v>5582</v>
      </c>
      <c r="D28" s="117" t="s">
        <v>13</v>
      </c>
      <c r="E28" s="116">
        <v>16237</v>
      </c>
      <c r="F28" s="116">
        <v>7981</v>
      </c>
      <c r="G28" s="114" t="s">
        <v>13</v>
      </c>
      <c r="H28" s="116">
        <v>1442</v>
      </c>
      <c r="I28" s="116">
        <f t="shared" si="0"/>
        <v>38100</v>
      </c>
    </row>
    <row r="29" spans="1:9">
      <c r="A29" s="112">
        <v>1961</v>
      </c>
      <c r="B29" s="113">
        <v>6627</v>
      </c>
      <c r="C29" s="113">
        <v>11893</v>
      </c>
      <c r="D29" s="117" t="s">
        <v>13</v>
      </c>
      <c r="E29" s="116">
        <v>16422</v>
      </c>
      <c r="F29" s="116">
        <v>11788</v>
      </c>
      <c r="G29" s="114" t="s">
        <v>13</v>
      </c>
      <c r="H29" s="116">
        <v>332</v>
      </c>
      <c r="I29" s="116">
        <f t="shared" si="0"/>
        <v>47062</v>
      </c>
    </row>
    <row r="30" spans="1:9">
      <c r="A30" s="212"/>
      <c r="B30" s="213"/>
      <c r="C30" s="213"/>
      <c r="D30" s="214"/>
      <c r="E30" s="215"/>
      <c r="F30" s="215"/>
      <c r="G30" s="216"/>
      <c r="H30" s="215"/>
      <c r="I30" s="215"/>
    </row>
    <row r="31" spans="1:9">
      <c r="A31" s="207"/>
      <c r="B31" s="208"/>
      <c r="C31" s="208"/>
      <c r="D31" s="209"/>
      <c r="E31" s="210"/>
      <c r="F31" s="210"/>
      <c r="G31" s="211"/>
      <c r="H31" s="210"/>
      <c r="I31" s="210"/>
    </row>
    <row r="32" spans="1:9">
      <c r="A32" s="111"/>
      <c r="B32" s="111"/>
      <c r="C32" s="111"/>
      <c r="D32" s="42"/>
      <c r="E32" s="42"/>
      <c r="F32" s="42"/>
      <c r="G32" s="42"/>
      <c r="H32" s="42"/>
      <c r="I32" s="42"/>
    </row>
    <row r="33" spans="1:1">
      <c r="A33" s="197" t="s">
        <v>234</v>
      </c>
    </row>
    <row r="34" spans="1:1">
      <c r="A34" s="7" t="s">
        <v>222</v>
      </c>
    </row>
    <row r="35" spans="1:1">
      <c r="A35" s="118"/>
    </row>
    <row r="36" spans="1:1">
      <c r="A36" s="119"/>
    </row>
    <row r="37" spans="1:1">
      <c r="A37" s="118"/>
    </row>
    <row r="38" spans="1:1">
      <c r="A38" s="75"/>
    </row>
  </sheetData>
  <mergeCells count="2">
    <mergeCell ref="A1:I1"/>
    <mergeCell ref="A2:I2"/>
  </mergeCells>
  <hyperlinks>
    <hyperlink ref="A34" location="'indice cap.2'!A1" display="regresar al índice"/>
    <hyperlink ref="A33" location="'indice cap.2'!A1" display="Notas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34"/>
  <sheetViews>
    <sheetView showGridLines="0" workbookViewId="0">
      <selection activeCell="A33" sqref="A33"/>
    </sheetView>
  </sheetViews>
  <sheetFormatPr baseColWidth="10" defaultRowHeight="12.75"/>
  <cols>
    <col min="1" max="1" width="11.42578125" style="6"/>
    <col min="2" max="5" width="15.7109375" style="6" customWidth="1"/>
    <col min="6" max="257" width="11.42578125" style="6"/>
    <col min="258" max="261" width="15.7109375" style="6" customWidth="1"/>
    <col min="262" max="513" width="11.42578125" style="6"/>
    <col min="514" max="517" width="15.7109375" style="6" customWidth="1"/>
    <col min="518" max="769" width="11.42578125" style="6"/>
    <col min="770" max="773" width="15.7109375" style="6" customWidth="1"/>
    <col min="774" max="1025" width="11.42578125" style="6"/>
    <col min="1026" max="1029" width="15.7109375" style="6" customWidth="1"/>
    <col min="1030" max="1281" width="11.42578125" style="6"/>
    <col min="1282" max="1285" width="15.7109375" style="6" customWidth="1"/>
    <col min="1286" max="1537" width="11.42578125" style="6"/>
    <col min="1538" max="1541" width="15.7109375" style="6" customWidth="1"/>
    <col min="1542" max="1793" width="11.42578125" style="6"/>
    <col min="1794" max="1797" width="15.7109375" style="6" customWidth="1"/>
    <col min="1798" max="2049" width="11.42578125" style="6"/>
    <col min="2050" max="2053" width="15.7109375" style="6" customWidth="1"/>
    <col min="2054" max="2305" width="11.42578125" style="6"/>
    <col min="2306" max="2309" width="15.7109375" style="6" customWidth="1"/>
    <col min="2310" max="2561" width="11.42578125" style="6"/>
    <col min="2562" max="2565" width="15.7109375" style="6" customWidth="1"/>
    <col min="2566" max="2817" width="11.42578125" style="6"/>
    <col min="2818" max="2821" width="15.7109375" style="6" customWidth="1"/>
    <col min="2822" max="3073" width="11.42578125" style="6"/>
    <col min="3074" max="3077" width="15.7109375" style="6" customWidth="1"/>
    <col min="3078" max="3329" width="11.42578125" style="6"/>
    <col min="3330" max="3333" width="15.7109375" style="6" customWidth="1"/>
    <col min="3334" max="3585" width="11.42578125" style="6"/>
    <col min="3586" max="3589" width="15.7109375" style="6" customWidth="1"/>
    <col min="3590" max="3841" width="11.42578125" style="6"/>
    <col min="3842" max="3845" width="15.7109375" style="6" customWidth="1"/>
    <col min="3846" max="4097" width="11.42578125" style="6"/>
    <col min="4098" max="4101" width="15.7109375" style="6" customWidth="1"/>
    <col min="4102" max="4353" width="11.42578125" style="6"/>
    <col min="4354" max="4357" width="15.7109375" style="6" customWidth="1"/>
    <col min="4358" max="4609" width="11.42578125" style="6"/>
    <col min="4610" max="4613" width="15.7109375" style="6" customWidth="1"/>
    <col min="4614" max="4865" width="11.42578125" style="6"/>
    <col min="4866" max="4869" width="15.7109375" style="6" customWidth="1"/>
    <col min="4870" max="5121" width="11.42578125" style="6"/>
    <col min="5122" max="5125" width="15.7109375" style="6" customWidth="1"/>
    <col min="5126" max="5377" width="11.42578125" style="6"/>
    <col min="5378" max="5381" width="15.7109375" style="6" customWidth="1"/>
    <col min="5382" max="5633" width="11.42578125" style="6"/>
    <col min="5634" max="5637" width="15.7109375" style="6" customWidth="1"/>
    <col min="5638" max="5889" width="11.42578125" style="6"/>
    <col min="5890" max="5893" width="15.7109375" style="6" customWidth="1"/>
    <col min="5894" max="6145" width="11.42578125" style="6"/>
    <col min="6146" max="6149" width="15.7109375" style="6" customWidth="1"/>
    <col min="6150" max="6401" width="11.42578125" style="6"/>
    <col min="6402" max="6405" width="15.7109375" style="6" customWidth="1"/>
    <col min="6406" max="6657" width="11.42578125" style="6"/>
    <col min="6658" max="6661" width="15.7109375" style="6" customWidth="1"/>
    <col min="6662" max="6913" width="11.42578125" style="6"/>
    <col min="6914" max="6917" width="15.7109375" style="6" customWidth="1"/>
    <col min="6918" max="7169" width="11.42578125" style="6"/>
    <col min="7170" max="7173" width="15.7109375" style="6" customWidth="1"/>
    <col min="7174" max="7425" width="11.42578125" style="6"/>
    <col min="7426" max="7429" width="15.7109375" style="6" customWidth="1"/>
    <col min="7430" max="7681" width="11.42578125" style="6"/>
    <col min="7682" max="7685" width="15.7109375" style="6" customWidth="1"/>
    <col min="7686" max="7937" width="11.42578125" style="6"/>
    <col min="7938" max="7941" width="15.7109375" style="6" customWidth="1"/>
    <col min="7942" max="8193" width="11.42578125" style="6"/>
    <col min="8194" max="8197" width="15.7109375" style="6" customWidth="1"/>
    <col min="8198" max="8449" width="11.42578125" style="6"/>
    <col min="8450" max="8453" width="15.7109375" style="6" customWidth="1"/>
    <col min="8454" max="8705" width="11.42578125" style="6"/>
    <col min="8706" max="8709" width="15.7109375" style="6" customWidth="1"/>
    <col min="8710" max="8961" width="11.42578125" style="6"/>
    <col min="8962" max="8965" width="15.7109375" style="6" customWidth="1"/>
    <col min="8966" max="9217" width="11.42578125" style="6"/>
    <col min="9218" max="9221" width="15.7109375" style="6" customWidth="1"/>
    <col min="9222" max="9473" width="11.42578125" style="6"/>
    <col min="9474" max="9477" width="15.7109375" style="6" customWidth="1"/>
    <col min="9478" max="9729" width="11.42578125" style="6"/>
    <col min="9730" max="9733" width="15.7109375" style="6" customWidth="1"/>
    <col min="9734" max="9985" width="11.42578125" style="6"/>
    <col min="9986" max="9989" width="15.7109375" style="6" customWidth="1"/>
    <col min="9990" max="10241" width="11.42578125" style="6"/>
    <col min="10242" max="10245" width="15.7109375" style="6" customWidth="1"/>
    <col min="10246" max="10497" width="11.42578125" style="6"/>
    <col min="10498" max="10501" width="15.7109375" style="6" customWidth="1"/>
    <col min="10502" max="10753" width="11.42578125" style="6"/>
    <col min="10754" max="10757" width="15.7109375" style="6" customWidth="1"/>
    <col min="10758" max="11009" width="11.42578125" style="6"/>
    <col min="11010" max="11013" width="15.7109375" style="6" customWidth="1"/>
    <col min="11014" max="11265" width="11.42578125" style="6"/>
    <col min="11266" max="11269" width="15.7109375" style="6" customWidth="1"/>
    <col min="11270" max="11521" width="11.42578125" style="6"/>
    <col min="11522" max="11525" width="15.7109375" style="6" customWidth="1"/>
    <col min="11526" max="11777" width="11.42578125" style="6"/>
    <col min="11778" max="11781" width="15.7109375" style="6" customWidth="1"/>
    <col min="11782" max="12033" width="11.42578125" style="6"/>
    <col min="12034" max="12037" width="15.7109375" style="6" customWidth="1"/>
    <col min="12038" max="12289" width="11.42578125" style="6"/>
    <col min="12290" max="12293" width="15.7109375" style="6" customWidth="1"/>
    <col min="12294" max="12545" width="11.42578125" style="6"/>
    <col min="12546" max="12549" width="15.7109375" style="6" customWidth="1"/>
    <col min="12550" max="12801" width="11.42578125" style="6"/>
    <col min="12802" max="12805" width="15.7109375" style="6" customWidth="1"/>
    <col min="12806" max="13057" width="11.42578125" style="6"/>
    <col min="13058" max="13061" width="15.7109375" style="6" customWidth="1"/>
    <col min="13062" max="13313" width="11.42578125" style="6"/>
    <col min="13314" max="13317" width="15.7109375" style="6" customWidth="1"/>
    <col min="13318" max="13569" width="11.42578125" style="6"/>
    <col min="13570" max="13573" width="15.7109375" style="6" customWidth="1"/>
    <col min="13574" max="13825" width="11.42578125" style="6"/>
    <col min="13826" max="13829" width="15.7109375" style="6" customWidth="1"/>
    <col min="13830" max="14081" width="11.42578125" style="6"/>
    <col min="14082" max="14085" width="15.7109375" style="6" customWidth="1"/>
    <col min="14086" max="14337" width="11.42578125" style="6"/>
    <col min="14338" max="14341" width="15.7109375" style="6" customWidth="1"/>
    <col min="14342" max="14593" width="11.42578125" style="6"/>
    <col min="14594" max="14597" width="15.7109375" style="6" customWidth="1"/>
    <col min="14598" max="14849" width="11.42578125" style="6"/>
    <col min="14850" max="14853" width="15.7109375" style="6" customWidth="1"/>
    <col min="14854" max="15105" width="11.42578125" style="6"/>
    <col min="15106" max="15109" width="15.7109375" style="6" customWidth="1"/>
    <col min="15110" max="15361" width="11.42578125" style="6"/>
    <col min="15362" max="15365" width="15.7109375" style="6" customWidth="1"/>
    <col min="15366" max="15617" width="11.42578125" style="6"/>
    <col min="15618" max="15621" width="15.7109375" style="6" customWidth="1"/>
    <col min="15622" max="15873" width="11.42578125" style="6"/>
    <col min="15874" max="15877" width="15.7109375" style="6" customWidth="1"/>
    <col min="15878" max="16129" width="11.42578125" style="6"/>
    <col min="16130" max="16133" width="15.7109375" style="6" customWidth="1"/>
    <col min="16134" max="16384" width="11.42578125" style="6"/>
  </cols>
  <sheetData>
    <row r="1" spans="1:5" s="110" customFormat="1">
      <c r="A1" s="347" t="s">
        <v>100</v>
      </c>
      <c r="B1" s="336"/>
      <c r="C1" s="336"/>
      <c r="D1" s="336"/>
      <c r="E1" s="336"/>
    </row>
    <row r="2" spans="1:5" s="110" customFormat="1">
      <c r="A2" s="347" t="s">
        <v>97</v>
      </c>
      <c r="B2" s="347"/>
      <c r="C2" s="347"/>
      <c r="D2" s="347"/>
      <c r="E2" s="347"/>
    </row>
    <row r="3" spans="1:5" s="110" customFormat="1"/>
    <row r="4" spans="1:5" s="110" customFormat="1" ht="25.5">
      <c r="A4" s="251" t="s">
        <v>101</v>
      </c>
      <c r="B4" s="252" t="s">
        <v>265</v>
      </c>
      <c r="C4" s="252" t="s">
        <v>266</v>
      </c>
      <c r="D4" s="252" t="s">
        <v>267</v>
      </c>
      <c r="E4" s="109" t="s">
        <v>83</v>
      </c>
    </row>
    <row r="5" spans="1:5">
      <c r="A5" s="36"/>
      <c r="B5" s="36"/>
      <c r="C5" s="36"/>
      <c r="D5" s="36"/>
      <c r="E5" s="36"/>
    </row>
    <row r="6" spans="1:5">
      <c r="A6" s="48">
        <v>1938</v>
      </c>
      <c r="B6" s="49">
        <v>24127</v>
      </c>
      <c r="C6" s="49">
        <v>644</v>
      </c>
      <c r="D6" s="49">
        <v>554</v>
      </c>
      <c r="E6" s="49">
        <f>SUM(B6:D6)</f>
        <v>25325</v>
      </c>
    </row>
    <row r="7" spans="1:5">
      <c r="A7" s="48">
        <v>1939</v>
      </c>
      <c r="B7" s="49">
        <v>24664</v>
      </c>
      <c r="C7" s="49">
        <v>662</v>
      </c>
      <c r="D7" s="49">
        <v>566</v>
      </c>
      <c r="E7" s="49">
        <f t="shared" ref="E7:E29" si="0">SUM(B7:D7)</f>
        <v>25892</v>
      </c>
    </row>
    <row r="8" spans="1:5">
      <c r="A8" s="48">
        <v>1940</v>
      </c>
      <c r="B8" s="49">
        <v>25200</v>
      </c>
      <c r="C8" s="49">
        <v>681</v>
      </c>
      <c r="D8" s="120">
        <v>579</v>
      </c>
      <c r="E8" s="49">
        <f t="shared" si="0"/>
        <v>26460</v>
      </c>
    </row>
    <row r="9" spans="1:5">
      <c r="A9" s="48">
        <v>1941</v>
      </c>
      <c r="B9" s="49">
        <v>25736</v>
      </c>
      <c r="C9" s="49">
        <v>699</v>
      </c>
      <c r="D9" s="49">
        <v>591</v>
      </c>
      <c r="E9" s="49">
        <f t="shared" si="0"/>
        <v>27026</v>
      </c>
    </row>
    <row r="10" spans="1:5">
      <c r="A10" s="48">
        <v>1942</v>
      </c>
      <c r="B10" s="49">
        <v>26272</v>
      </c>
      <c r="C10" s="49">
        <v>718</v>
      </c>
      <c r="D10" s="49">
        <v>604</v>
      </c>
      <c r="E10" s="49">
        <f t="shared" si="0"/>
        <v>27594</v>
      </c>
    </row>
    <row r="11" spans="1:5">
      <c r="A11" s="48">
        <v>1943</v>
      </c>
      <c r="B11" s="49">
        <v>26808</v>
      </c>
      <c r="C11" s="49">
        <v>736</v>
      </c>
      <c r="D11" s="49">
        <v>617</v>
      </c>
      <c r="E11" s="49">
        <f t="shared" si="0"/>
        <v>28161</v>
      </c>
    </row>
    <row r="12" spans="1:5">
      <c r="A12" s="48">
        <v>1944</v>
      </c>
      <c r="B12" s="49">
        <v>27344</v>
      </c>
      <c r="C12" s="49">
        <v>754</v>
      </c>
      <c r="D12" s="49">
        <v>629</v>
      </c>
      <c r="E12" s="49">
        <f t="shared" si="0"/>
        <v>28727</v>
      </c>
    </row>
    <row r="13" spans="1:5">
      <c r="A13" s="48">
        <v>1945</v>
      </c>
      <c r="B13" s="49">
        <v>27880</v>
      </c>
      <c r="C13" s="49">
        <v>773</v>
      </c>
      <c r="D13" s="120">
        <v>642</v>
      </c>
      <c r="E13" s="49">
        <f t="shared" si="0"/>
        <v>29295</v>
      </c>
    </row>
    <row r="14" spans="1:5">
      <c r="A14" s="48">
        <v>1946</v>
      </c>
      <c r="B14" s="49">
        <v>28416</v>
      </c>
      <c r="C14" s="49">
        <v>791</v>
      </c>
      <c r="D14" s="120">
        <v>655</v>
      </c>
      <c r="E14" s="49">
        <f t="shared" si="0"/>
        <v>29862</v>
      </c>
    </row>
    <row r="15" spans="1:5">
      <c r="A15" s="48">
        <v>1947</v>
      </c>
      <c r="B15" s="49">
        <v>28952</v>
      </c>
      <c r="C15" s="49">
        <v>809</v>
      </c>
      <c r="D15" s="120">
        <v>667</v>
      </c>
      <c r="E15" s="49">
        <f t="shared" si="0"/>
        <v>30428</v>
      </c>
    </row>
    <row r="16" spans="1:5">
      <c r="A16" s="48">
        <v>1948</v>
      </c>
      <c r="B16" s="49">
        <v>29488</v>
      </c>
      <c r="C16" s="49">
        <v>828</v>
      </c>
      <c r="D16" s="120">
        <v>680</v>
      </c>
      <c r="E16" s="49">
        <f t="shared" si="0"/>
        <v>30996</v>
      </c>
    </row>
    <row r="17" spans="1:5">
      <c r="A17" s="48">
        <v>1949</v>
      </c>
      <c r="B17" s="49">
        <v>30024</v>
      </c>
      <c r="C17" s="49">
        <v>846</v>
      </c>
      <c r="D17" s="120">
        <v>693</v>
      </c>
      <c r="E17" s="49">
        <f t="shared" si="0"/>
        <v>31563</v>
      </c>
    </row>
    <row r="18" spans="1:5">
      <c r="A18" s="48">
        <v>1950</v>
      </c>
      <c r="B18" s="49">
        <v>30561</v>
      </c>
      <c r="C18" s="49">
        <v>865</v>
      </c>
      <c r="D18" s="120">
        <v>705</v>
      </c>
      <c r="E18" s="49">
        <f t="shared" si="0"/>
        <v>32131</v>
      </c>
    </row>
    <row r="19" spans="1:5">
      <c r="A19" s="48">
        <v>1951</v>
      </c>
      <c r="B19" s="49">
        <v>31097</v>
      </c>
      <c r="C19" s="49">
        <v>883</v>
      </c>
      <c r="D19" s="120">
        <v>718</v>
      </c>
      <c r="E19" s="49">
        <f t="shared" si="0"/>
        <v>32698</v>
      </c>
    </row>
    <row r="20" spans="1:5">
      <c r="A20" s="48">
        <v>1952</v>
      </c>
      <c r="B20" s="49">
        <v>31633</v>
      </c>
      <c r="C20" s="49">
        <v>901</v>
      </c>
      <c r="D20" s="120">
        <v>731</v>
      </c>
      <c r="E20" s="49">
        <f t="shared" si="0"/>
        <v>33265</v>
      </c>
    </row>
    <row r="21" spans="1:5">
      <c r="A21" s="48">
        <v>1953</v>
      </c>
      <c r="B21" s="49">
        <v>20444</v>
      </c>
      <c r="C21" s="49">
        <v>803</v>
      </c>
      <c r="D21" s="120">
        <v>394</v>
      </c>
      <c r="E21" s="49">
        <f t="shared" si="0"/>
        <v>21641</v>
      </c>
    </row>
    <row r="22" spans="1:5">
      <c r="A22" s="48">
        <v>1954</v>
      </c>
      <c r="B22" s="49">
        <v>20444</v>
      </c>
      <c r="C22" s="49">
        <v>803</v>
      </c>
      <c r="D22" s="120">
        <v>393</v>
      </c>
      <c r="E22" s="49">
        <f t="shared" si="0"/>
        <v>21640</v>
      </c>
    </row>
    <row r="23" spans="1:5">
      <c r="A23" s="48">
        <v>1955</v>
      </c>
      <c r="B23" s="49">
        <v>20444</v>
      </c>
      <c r="C23" s="49">
        <v>803</v>
      </c>
      <c r="D23" s="120">
        <v>393</v>
      </c>
      <c r="E23" s="49">
        <f t="shared" si="0"/>
        <v>21640</v>
      </c>
    </row>
    <row r="24" spans="1:5">
      <c r="A24" s="48">
        <v>1956</v>
      </c>
      <c r="B24" s="49">
        <v>14675</v>
      </c>
      <c r="C24" s="49">
        <v>688</v>
      </c>
      <c r="D24" s="120">
        <v>261</v>
      </c>
      <c r="E24" s="49">
        <f t="shared" si="0"/>
        <v>15624</v>
      </c>
    </row>
    <row r="25" spans="1:5">
      <c r="A25" s="48">
        <v>1957</v>
      </c>
      <c r="B25" s="49">
        <v>6599</v>
      </c>
      <c r="C25" s="49">
        <v>437</v>
      </c>
      <c r="D25" s="120">
        <v>166</v>
      </c>
      <c r="E25" s="49">
        <f t="shared" si="0"/>
        <v>7202</v>
      </c>
    </row>
    <row r="26" spans="1:5">
      <c r="A26" s="48">
        <v>1958</v>
      </c>
      <c r="B26" s="49">
        <v>6402</v>
      </c>
      <c r="C26" s="49">
        <v>438</v>
      </c>
      <c r="D26" s="120">
        <v>165</v>
      </c>
      <c r="E26" s="49">
        <f t="shared" si="0"/>
        <v>7005</v>
      </c>
    </row>
    <row r="27" spans="1:5">
      <c r="A27" s="48">
        <v>1959</v>
      </c>
      <c r="B27" s="49">
        <v>6078</v>
      </c>
      <c r="C27" s="49">
        <v>731</v>
      </c>
      <c r="D27" s="120">
        <v>162</v>
      </c>
      <c r="E27" s="49">
        <f t="shared" si="0"/>
        <v>6971</v>
      </c>
    </row>
    <row r="28" spans="1:5">
      <c r="A28" s="48">
        <v>1960</v>
      </c>
      <c r="B28" s="49">
        <v>6338</v>
      </c>
      <c r="C28" s="49">
        <v>361</v>
      </c>
      <c r="D28" s="120">
        <v>159</v>
      </c>
      <c r="E28" s="49">
        <f t="shared" si="0"/>
        <v>6858</v>
      </c>
    </row>
    <row r="29" spans="1:5">
      <c r="A29" s="48">
        <v>1961</v>
      </c>
      <c r="B29" s="49">
        <v>6122</v>
      </c>
      <c r="C29" s="49">
        <v>347</v>
      </c>
      <c r="D29" s="120">
        <v>158</v>
      </c>
      <c r="E29" s="49">
        <f t="shared" si="0"/>
        <v>6627</v>
      </c>
    </row>
    <row r="30" spans="1:5">
      <c r="A30" s="204"/>
      <c r="B30" s="205"/>
      <c r="C30" s="205"/>
      <c r="D30" s="206"/>
      <c r="E30" s="205"/>
    </row>
    <row r="31" spans="1:5">
      <c r="A31" s="202"/>
      <c r="B31" s="192"/>
      <c r="C31" s="192"/>
      <c r="D31" s="203"/>
      <c r="E31" s="192"/>
    </row>
    <row r="32" spans="1:5">
      <c r="A32" s="14"/>
      <c r="B32" s="14"/>
      <c r="C32" s="14"/>
      <c r="D32" s="14"/>
      <c r="E32" s="14"/>
    </row>
    <row r="33" spans="1:1">
      <c r="A33" s="197" t="s">
        <v>234</v>
      </c>
    </row>
    <row r="34" spans="1:1">
      <c r="A34" s="7" t="s">
        <v>222</v>
      </c>
    </row>
  </sheetData>
  <mergeCells count="2">
    <mergeCell ref="A1:E1"/>
    <mergeCell ref="A2:E2"/>
  </mergeCells>
  <hyperlinks>
    <hyperlink ref="A34" location="'indice cap.2'!A1" display="regresar al índice"/>
    <hyperlink ref="A33" location="'indice cap.2'!A1" display="Notas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280"/>
  <sheetViews>
    <sheetView showGridLines="0" workbookViewId="0">
      <selection activeCell="G28" sqref="G28"/>
    </sheetView>
  </sheetViews>
  <sheetFormatPr baseColWidth="10" defaultColWidth="12.7109375" defaultRowHeight="12.75"/>
  <cols>
    <col min="1" max="1" width="21.85546875" style="8" customWidth="1"/>
    <col min="2" max="2" width="10.28515625" style="8" customWidth="1"/>
    <col min="3" max="3" width="3.85546875" style="8" customWidth="1"/>
    <col min="4" max="4" width="11.42578125" style="8" customWidth="1"/>
    <col min="5" max="5" width="13.140625" style="8" customWidth="1"/>
    <col min="6" max="6" width="10.42578125" style="8" customWidth="1"/>
    <col min="7" max="7" width="13.7109375" style="8" customWidth="1"/>
    <col min="8" max="8" width="10.28515625" style="8" customWidth="1"/>
    <col min="9" max="9" width="11.140625" style="8" customWidth="1"/>
    <col min="10" max="10" width="13.5703125" style="8" customWidth="1"/>
    <col min="11" max="11" width="10.5703125" style="8" customWidth="1"/>
    <col min="12" max="12" width="11" style="8" customWidth="1"/>
    <col min="13" max="13" width="13" style="8" customWidth="1"/>
    <col min="14" max="14" width="10.5703125" style="8" customWidth="1"/>
    <col min="15" max="15" width="11.140625" style="8" customWidth="1"/>
    <col min="16" max="16" width="10.42578125" style="8" customWidth="1"/>
    <col min="17" max="17" width="12.140625" style="8" customWidth="1"/>
    <col min="18" max="18" width="14.7109375" style="8" customWidth="1"/>
    <col min="19" max="256" width="12.7109375" style="8"/>
    <col min="257" max="257" width="21.85546875" style="8" customWidth="1"/>
    <col min="258" max="258" width="10.28515625" style="8" customWidth="1"/>
    <col min="259" max="259" width="3.85546875" style="8" customWidth="1"/>
    <col min="260" max="260" width="11.42578125" style="8" customWidth="1"/>
    <col min="261" max="261" width="13.140625" style="8" customWidth="1"/>
    <col min="262" max="262" width="10.42578125" style="8" customWidth="1"/>
    <col min="263" max="263" width="13.7109375" style="8" customWidth="1"/>
    <col min="264" max="264" width="10.28515625" style="8" customWidth="1"/>
    <col min="265" max="265" width="11.140625" style="8" customWidth="1"/>
    <col min="266" max="266" width="13.5703125" style="8" customWidth="1"/>
    <col min="267" max="267" width="10.5703125" style="8" customWidth="1"/>
    <col min="268" max="268" width="11" style="8" customWidth="1"/>
    <col min="269" max="269" width="13" style="8" customWidth="1"/>
    <col min="270" max="270" width="10.5703125" style="8" customWidth="1"/>
    <col min="271" max="271" width="11.140625" style="8" customWidth="1"/>
    <col min="272" max="272" width="10.42578125" style="8" customWidth="1"/>
    <col min="273" max="273" width="12.140625" style="8" customWidth="1"/>
    <col min="274" max="274" width="14.7109375" style="8" customWidth="1"/>
    <col min="275" max="512" width="12.7109375" style="8"/>
    <col min="513" max="513" width="21.85546875" style="8" customWidth="1"/>
    <col min="514" max="514" width="10.28515625" style="8" customWidth="1"/>
    <col min="515" max="515" width="3.85546875" style="8" customWidth="1"/>
    <col min="516" max="516" width="11.42578125" style="8" customWidth="1"/>
    <col min="517" max="517" width="13.140625" style="8" customWidth="1"/>
    <col min="518" max="518" width="10.42578125" style="8" customWidth="1"/>
    <col min="519" max="519" width="13.7109375" style="8" customWidth="1"/>
    <col min="520" max="520" width="10.28515625" style="8" customWidth="1"/>
    <col min="521" max="521" width="11.140625" style="8" customWidth="1"/>
    <col min="522" max="522" width="13.5703125" style="8" customWidth="1"/>
    <col min="523" max="523" width="10.5703125" style="8" customWidth="1"/>
    <col min="524" max="524" width="11" style="8" customWidth="1"/>
    <col min="525" max="525" width="13" style="8" customWidth="1"/>
    <col min="526" max="526" width="10.5703125" style="8" customWidth="1"/>
    <col min="527" max="527" width="11.140625" style="8" customWidth="1"/>
    <col min="528" max="528" width="10.42578125" style="8" customWidth="1"/>
    <col min="529" max="529" width="12.140625" style="8" customWidth="1"/>
    <col min="530" max="530" width="14.7109375" style="8" customWidth="1"/>
    <col min="531" max="768" width="12.7109375" style="8"/>
    <col min="769" max="769" width="21.85546875" style="8" customWidth="1"/>
    <col min="770" max="770" width="10.28515625" style="8" customWidth="1"/>
    <col min="771" max="771" width="3.85546875" style="8" customWidth="1"/>
    <col min="772" max="772" width="11.42578125" style="8" customWidth="1"/>
    <col min="773" max="773" width="13.140625" style="8" customWidth="1"/>
    <col min="774" max="774" width="10.42578125" style="8" customWidth="1"/>
    <col min="775" max="775" width="13.7109375" style="8" customWidth="1"/>
    <col min="776" max="776" width="10.28515625" style="8" customWidth="1"/>
    <col min="777" max="777" width="11.140625" style="8" customWidth="1"/>
    <col min="778" max="778" width="13.5703125" style="8" customWidth="1"/>
    <col min="779" max="779" width="10.5703125" style="8" customWidth="1"/>
    <col min="780" max="780" width="11" style="8" customWidth="1"/>
    <col min="781" max="781" width="13" style="8" customWidth="1"/>
    <col min="782" max="782" width="10.5703125" style="8" customWidth="1"/>
    <col min="783" max="783" width="11.140625" style="8" customWidth="1"/>
    <col min="784" max="784" width="10.42578125" style="8" customWidth="1"/>
    <col min="785" max="785" width="12.140625" style="8" customWidth="1"/>
    <col min="786" max="786" width="14.7109375" style="8" customWidth="1"/>
    <col min="787" max="1024" width="12.7109375" style="8"/>
    <col min="1025" max="1025" width="21.85546875" style="8" customWidth="1"/>
    <col min="1026" max="1026" width="10.28515625" style="8" customWidth="1"/>
    <col min="1027" max="1027" width="3.85546875" style="8" customWidth="1"/>
    <col min="1028" max="1028" width="11.42578125" style="8" customWidth="1"/>
    <col min="1029" max="1029" width="13.140625" style="8" customWidth="1"/>
    <col min="1030" max="1030" width="10.42578125" style="8" customWidth="1"/>
    <col min="1031" max="1031" width="13.7109375" style="8" customWidth="1"/>
    <col min="1032" max="1032" width="10.28515625" style="8" customWidth="1"/>
    <col min="1033" max="1033" width="11.140625" style="8" customWidth="1"/>
    <col min="1034" max="1034" width="13.5703125" style="8" customWidth="1"/>
    <col min="1035" max="1035" width="10.5703125" style="8" customWidth="1"/>
    <col min="1036" max="1036" width="11" style="8" customWidth="1"/>
    <col min="1037" max="1037" width="13" style="8" customWidth="1"/>
    <col min="1038" max="1038" width="10.5703125" style="8" customWidth="1"/>
    <col min="1039" max="1039" width="11.140625" style="8" customWidth="1"/>
    <col min="1040" max="1040" width="10.42578125" style="8" customWidth="1"/>
    <col min="1041" max="1041" width="12.140625" style="8" customWidth="1"/>
    <col min="1042" max="1042" width="14.7109375" style="8" customWidth="1"/>
    <col min="1043" max="1280" width="12.7109375" style="8"/>
    <col min="1281" max="1281" width="21.85546875" style="8" customWidth="1"/>
    <col min="1282" max="1282" width="10.28515625" style="8" customWidth="1"/>
    <col min="1283" max="1283" width="3.85546875" style="8" customWidth="1"/>
    <col min="1284" max="1284" width="11.42578125" style="8" customWidth="1"/>
    <col min="1285" max="1285" width="13.140625" style="8" customWidth="1"/>
    <col min="1286" max="1286" width="10.42578125" style="8" customWidth="1"/>
    <col min="1287" max="1287" width="13.7109375" style="8" customWidth="1"/>
    <col min="1288" max="1288" width="10.28515625" style="8" customWidth="1"/>
    <col min="1289" max="1289" width="11.140625" style="8" customWidth="1"/>
    <col min="1290" max="1290" width="13.5703125" style="8" customWidth="1"/>
    <col min="1291" max="1291" width="10.5703125" style="8" customWidth="1"/>
    <col min="1292" max="1292" width="11" style="8" customWidth="1"/>
    <col min="1293" max="1293" width="13" style="8" customWidth="1"/>
    <col min="1294" max="1294" width="10.5703125" style="8" customWidth="1"/>
    <col min="1295" max="1295" width="11.140625" style="8" customWidth="1"/>
    <col min="1296" max="1296" width="10.42578125" style="8" customWidth="1"/>
    <col min="1297" max="1297" width="12.140625" style="8" customWidth="1"/>
    <col min="1298" max="1298" width="14.7109375" style="8" customWidth="1"/>
    <col min="1299" max="1536" width="12.7109375" style="8"/>
    <col min="1537" max="1537" width="21.85546875" style="8" customWidth="1"/>
    <col min="1538" max="1538" width="10.28515625" style="8" customWidth="1"/>
    <col min="1539" max="1539" width="3.85546875" style="8" customWidth="1"/>
    <col min="1540" max="1540" width="11.42578125" style="8" customWidth="1"/>
    <col min="1541" max="1541" width="13.140625" style="8" customWidth="1"/>
    <col min="1542" max="1542" width="10.42578125" style="8" customWidth="1"/>
    <col min="1543" max="1543" width="13.7109375" style="8" customWidth="1"/>
    <col min="1544" max="1544" width="10.28515625" style="8" customWidth="1"/>
    <col min="1545" max="1545" width="11.140625" style="8" customWidth="1"/>
    <col min="1546" max="1546" width="13.5703125" style="8" customWidth="1"/>
    <col min="1547" max="1547" width="10.5703125" style="8" customWidth="1"/>
    <col min="1548" max="1548" width="11" style="8" customWidth="1"/>
    <col min="1549" max="1549" width="13" style="8" customWidth="1"/>
    <col min="1550" max="1550" width="10.5703125" style="8" customWidth="1"/>
    <col min="1551" max="1551" width="11.140625" style="8" customWidth="1"/>
    <col min="1552" max="1552" width="10.42578125" style="8" customWidth="1"/>
    <col min="1553" max="1553" width="12.140625" style="8" customWidth="1"/>
    <col min="1554" max="1554" width="14.7109375" style="8" customWidth="1"/>
    <col min="1555" max="1792" width="12.7109375" style="8"/>
    <col min="1793" max="1793" width="21.85546875" style="8" customWidth="1"/>
    <col min="1794" max="1794" width="10.28515625" style="8" customWidth="1"/>
    <col min="1795" max="1795" width="3.85546875" style="8" customWidth="1"/>
    <col min="1796" max="1796" width="11.42578125" style="8" customWidth="1"/>
    <col min="1797" max="1797" width="13.140625" style="8" customWidth="1"/>
    <col min="1798" max="1798" width="10.42578125" style="8" customWidth="1"/>
    <col min="1799" max="1799" width="13.7109375" style="8" customWidth="1"/>
    <col min="1800" max="1800" width="10.28515625" style="8" customWidth="1"/>
    <col min="1801" max="1801" width="11.140625" style="8" customWidth="1"/>
    <col min="1802" max="1802" width="13.5703125" style="8" customWidth="1"/>
    <col min="1803" max="1803" width="10.5703125" style="8" customWidth="1"/>
    <col min="1804" max="1804" width="11" style="8" customWidth="1"/>
    <col min="1805" max="1805" width="13" style="8" customWidth="1"/>
    <col min="1806" max="1806" width="10.5703125" style="8" customWidth="1"/>
    <col min="1807" max="1807" width="11.140625" style="8" customWidth="1"/>
    <col min="1808" max="1808" width="10.42578125" style="8" customWidth="1"/>
    <col min="1809" max="1809" width="12.140625" style="8" customWidth="1"/>
    <col min="1810" max="1810" width="14.7109375" style="8" customWidth="1"/>
    <col min="1811" max="2048" width="12.7109375" style="8"/>
    <col min="2049" max="2049" width="21.85546875" style="8" customWidth="1"/>
    <col min="2050" max="2050" width="10.28515625" style="8" customWidth="1"/>
    <col min="2051" max="2051" width="3.85546875" style="8" customWidth="1"/>
    <col min="2052" max="2052" width="11.42578125" style="8" customWidth="1"/>
    <col min="2053" max="2053" width="13.140625" style="8" customWidth="1"/>
    <col min="2054" max="2054" width="10.42578125" style="8" customWidth="1"/>
    <col min="2055" max="2055" width="13.7109375" style="8" customWidth="1"/>
    <col min="2056" max="2056" width="10.28515625" style="8" customWidth="1"/>
    <col min="2057" max="2057" width="11.140625" style="8" customWidth="1"/>
    <col min="2058" max="2058" width="13.5703125" style="8" customWidth="1"/>
    <col min="2059" max="2059" width="10.5703125" style="8" customWidth="1"/>
    <col min="2060" max="2060" width="11" style="8" customWidth="1"/>
    <col min="2061" max="2061" width="13" style="8" customWidth="1"/>
    <col min="2062" max="2062" width="10.5703125" style="8" customWidth="1"/>
    <col min="2063" max="2063" width="11.140625" style="8" customWidth="1"/>
    <col min="2064" max="2064" width="10.42578125" style="8" customWidth="1"/>
    <col min="2065" max="2065" width="12.140625" style="8" customWidth="1"/>
    <col min="2066" max="2066" width="14.7109375" style="8" customWidth="1"/>
    <col min="2067" max="2304" width="12.7109375" style="8"/>
    <col min="2305" max="2305" width="21.85546875" style="8" customWidth="1"/>
    <col min="2306" max="2306" width="10.28515625" style="8" customWidth="1"/>
    <col min="2307" max="2307" width="3.85546875" style="8" customWidth="1"/>
    <col min="2308" max="2308" width="11.42578125" style="8" customWidth="1"/>
    <col min="2309" max="2309" width="13.140625" style="8" customWidth="1"/>
    <col min="2310" max="2310" width="10.42578125" style="8" customWidth="1"/>
    <col min="2311" max="2311" width="13.7109375" style="8" customWidth="1"/>
    <col min="2312" max="2312" width="10.28515625" style="8" customWidth="1"/>
    <col min="2313" max="2313" width="11.140625" style="8" customWidth="1"/>
    <col min="2314" max="2314" width="13.5703125" style="8" customWidth="1"/>
    <col min="2315" max="2315" width="10.5703125" style="8" customWidth="1"/>
    <col min="2316" max="2316" width="11" style="8" customWidth="1"/>
    <col min="2317" max="2317" width="13" style="8" customWidth="1"/>
    <col min="2318" max="2318" width="10.5703125" style="8" customWidth="1"/>
    <col min="2319" max="2319" width="11.140625" style="8" customWidth="1"/>
    <col min="2320" max="2320" width="10.42578125" style="8" customWidth="1"/>
    <col min="2321" max="2321" width="12.140625" style="8" customWidth="1"/>
    <col min="2322" max="2322" width="14.7109375" style="8" customWidth="1"/>
    <col min="2323" max="2560" width="12.7109375" style="8"/>
    <col min="2561" max="2561" width="21.85546875" style="8" customWidth="1"/>
    <col min="2562" max="2562" width="10.28515625" style="8" customWidth="1"/>
    <col min="2563" max="2563" width="3.85546875" style="8" customWidth="1"/>
    <col min="2564" max="2564" width="11.42578125" style="8" customWidth="1"/>
    <col min="2565" max="2565" width="13.140625" style="8" customWidth="1"/>
    <col min="2566" max="2566" width="10.42578125" style="8" customWidth="1"/>
    <col min="2567" max="2567" width="13.7109375" style="8" customWidth="1"/>
    <col min="2568" max="2568" width="10.28515625" style="8" customWidth="1"/>
    <col min="2569" max="2569" width="11.140625" style="8" customWidth="1"/>
    <col min="2570" max="2570" width="13.5703125" style="8" customWidth="1"/>
    <col min="2571" max="2571" width="10.5703125" style="8" customWidth="1"/>
    <col min="2572" max="2572" width="11" style="8" customWidth="1"/>
    <col min="2573" max="2573" width="13" style="8" customWidth="1"/>
    <col min="2574" max="2574" width="10.5703125" style="8" customWidth="1"/>
    <col min="2575" max="2575" width="11.140625" style="8" customWidth="1"/>
    <col min="2576" max="2576" width="10.42578125" style="8" customWidth="1"/>
    <col min="2577" max="2577" width="12.140625" style="8" customWidth="1"/>
    <col min="2578" max="2578" width="14.7109375" style="8" customWidth="1"/>
    <col min="2579" max="2816" width="12.7109375" style="8"/>
    <col min="2817" max="2817" width="21.85546875" style="8" customWidth="1"/>
    <col min="2818" max="2818" width="10.28515625" style="8" customWidth="1"/>
    <col min="2819" max="2819" width="3.85546875" style="8" customWidth="1"/>
    <col min="2820" max="2820" width="11.42578125" style="8" customWidth="1"/>
    <col min="2821" max="2821" width="13.140625" style="8" customWidth="1"/>
    <col min="2822" max="2822" width="10.42578125" style="8" customWidth="1"/>
    <col min="2823" max="2823" width="13.7109375" style="8" customWidth="1"/>
    <col min="2824" max="2824" width="10.28515625" style="8" customWidth="1"/>
    <col min="2825" max="2825" width="11.140625" style="8" customWidth="1"/>
    <col min="2826" max="2826" width="13.5703125" style="8" customWidth="1"/>
    <col min="2827" max="2827" width="10.5703125" style="8" customWidth="1"/>
    <col min="2828" max="2828" width="11" style="8" customWidth="1"/>
    <col min="2829" max="2829" width="13" style="8" customWidth="1"/>
    <col min="2830" max="2830" width="10.5703125" style="8" customWidth="1"/>
    <col min="2831" max="2831" width="11.140625" style="8" customWidth="1"/>
    <col min="2832" max="2832" width="10.42578125" style="8" customWidth="1"/>
    <col min="2833" max="2833" width="12.140625" style="8" customWidth="1"/>
    <col min="2834" max="2834" width="14.7109375" style="8" customWidth="1"/>
    <col min="2835" max="3072" width="12.7109375" style="8"/>
    <col min="3073" max="3073" width="21.85546875" style="8" customWidth="1"/>
    <col min="3074" max="3074" width="10.28515625" style="8" customWidth="1"/>
    <col min="3075" max="3075" width="3.85546875" style="8" customWidth="1"/>
    <col min="3076" max="3076" width="11.42578125" style="8" customWidth="1"/>
    <col min="3077" max="3077" width="13.140625" style="8" customWidth="1"/>
    <col min="3078" max="3078" width="10.42578125" style="8" customWidth="1"/>
    <col min="3079" max="3079" width="13.7109375" style="8" customWidth="1"/>
    <col min="3080" max="3080" width="10.28515625" style="8" customWidth="1"/>
    <col min="3081" max="3081" width="11.140625" style="8" customWidth="1"/>
    <col min="3082" max="3082" width="13.5703125" style="8" customWidth="1"/>
    <col min="3083" max="3083" width="10.5703125" style="8" customWidth="1"/>
    <col min="3084" max="3084" width="11" style="8" customWidth="1"/>
    <col min="3085" max="3085" width="13" style="8" customWidth="1"/>
    <col min="3086" max="3086" width="10.5703125" style="8" customWidth="1"/>
    <col min="3087" max="3087" width="11.140625" style="8" customWidth="1"/>
    <col min="3088" max="3088" width="10.42578125" style="8" customWidth="1"/>
    <col min="3089" max="3089" width="12.140625" style="8" customWidth="1"/>
    <col min="3090" max="3090" width="14.7109375" style="8" customWidth="1"/>
    <col min="3091" max="3328" width="12.7109375" style="8"/>
    <col min="3329" max="3329" width="21.85546875" style="8" customWidth="1"/>
    <col min="3330" max="3330" width="10.28515625" style="8" customWidth="1"/>
    <col min="3331" max="3331" width="3.85546875" style="8" customWidth="1"/>
    <col min="3332" max="3332" width="11.42578125" style="8" customWidth="1"/>
    <col min="3333" max="3333" width="13.140625" style="8" customWidth="1"/>
    <col min="3334" max="3334" width="10.42578125" style="8" customWidth="1"/>
    <col min="3335" max="3335" width="13.7109375" style="8" customWidth="1"/>
    <col min="3336" max="3336" width="10.28515625" style="8" customWidth="1"/>
    <col min="3337" max="3337" width="11.140625" style="8" customWidth="1"/>
    <col min="3338" max="3338" width="13.5703125" style="8" customWidth="1"/>
    <col min="3339" max="3339" width="10.5703125" style="8" customWidth="1"/>
    <col min="3340" max="3340" width="11" style="8" customWidth="1"/>
    <col min="3341" max="3341" width="13" style="8" customWidth="1"/>
    <col min="3342" max="3342" width="10.5703125" style="8" customWidth="1"/>
    <col min="3343" max="3343" width="11.140625" style="8" customWidth="1"/>
    <col min="3344" max="3344" width="10.42578125" style="8" customWidth="1"/>
    <col min="3345" max="3345" width="12.140625" style="8" customWidth="1"/>
    <col min="3346" max="3346" width="14.7109375" style="8" customWidth="1"/>
    <col min="3347" max="3584" width="12.7109375" style="8"/>
    <col min="3585" max="3585" width="21.85546875" style="8" customWidth="1"/>
    <col min="3586" max="3586" width="10.28515625" style="8" customWidth="1"/>
    <col min="3587" max="3587" width="3.85546875" style="8" customWidth="1"/>
    <col min="3588" max="3588" width="11.42578125" style="8" customWidth="1"/>
    <col min="3589" max="3589" width="13.140625" style="8" customWidth="1"/>
    <col min="3590" max="3590" width="10.42578125" style="8" customWidth="1"/>
    <col min="3591" max="3591" width="13.7109375" style="8" customWidth="1"/>
    <col min="3592" max="3592" width="10.28515625" style="8" customWidth="1"/>
    <col min="3593" max="3593" width="11.140625" style="8" customWidth="1"/>
    <col min="3594" max="3594" width="13.5703125" style="8" customWidth="1"/>
    <col min="3595" max="3595" width="10.5703125" style="8" customWidth="1"/>
    <col min="3596" max="3596" width="11" style="8" customWidth="1"/>
    <col min="3597" max="3597" width="13" style="8" customWidth="1"/>
    <col min="3598" max="3598" width="10.5703125" style="8" customWidth="1"/>
    <col min="3599" max="3599" width="11.140625" style="8" customWidth="1"/>
    <col min="3600" max="3600" width="10.42578125" style="8" customWidth="1"/>
    <col min="3601" max="3601" width="12.140625" style="8" customWidth="1"/>
    <col min="3602" max="3602" width="14.7109375" style="8" customWidth="1"/>
    <col min="3603" max="3840" width="12.7109375" style="8"/>
    <col min="3841" max="3841" width="21.85546875" style="8" customWidth="1"/>
    <col min="3842" max="3842" width="10.28515625" style="8" customWidth="1"/>
    <col min="3843" max="3843" width="3.85546875" style="8" customWidth="1"/>
    <col min="3844" max="3844" width="11.42578125" style="8" customWidth="1"/>
    <col min="3845" max="3845" width="13.140625" style="8" customWidth="1"/>
    <col min="3846" max="3846" width="10.42578125" style="8" customWidth="1"/>
    <col min="3847" max="3847" width="13.7109375" style="8" customWidth="1"/>
    <col min="3848" max="3848" width="10.28515625" style="8" customWidth="1"/>
    <col min="3849" max="3849" width="11.140625" style="8" customWidth="1"/>
    <col min="3850" max="3850" width="13.5703125" style="8" customWidth="1"/>
    <col min="3851" max="3851" width="10.5703125" style="8" customWidth="1"/>
    <col min="3852" max="3852" width="11" style="8" customWidth="1"/>
    <col min="3853" max="3853" width="13" style="8" customWidth="1"/>
    <col min="3854" max="3854" width="10.5703125" style="8" customWidth="1"/>
    <col min="3855" max="3855" width="11.140625" style="8" customWidth="1"/>
    <col min="3856" max="3856" width="10.42578125" style="8" customWidth="1"/>
    <col min="3857" max="3857" width="12.140625" style="8" customWidth="1"/>
    <col min="3858" max="3858" width="14.7109375" style="8" customWidth="1"/>
    <col min="3859" max="4096" width="12.7109375" style="8"/>
    <col min="4097" max="4097" width="21.85546875" style="8" customWidth="1"/>
    <col min="4098" max="4098" width="10.28515625" style="8" customWidth="1"/>
    <col min="4099" max="4099" width="3.85546875" style="8" customWidth="1"/>
    <col min="4100" max="4100" width="11.42578125" style="8" customWidth="1"/>
    <col min="4101" max="4101" width="13.140625" style="8" customWidth="1"/>
    <col min="4102" max="4102" width="10.42578125" style="8" customWidth="1"/>
    <col min="4103" max="4103" width="13.7109375" style="8" customWidth="1"/>
    <col min="4104" max="4104" width="10.28515625" style="8" customWidth="1"/>
    <col min="4105" max="4105" width="11.140625" style="8" customWidth="1"/>
    <col min="4106" max="4106" width="13.5703125" style="8" customWidth="1"/>
    <col min="4107" max="4107" width="10.5703125" style="8" customWidth="1"/>
    <col min="4108" max="4108" width="11" style="8" customWidth="1"/>
    <col min="4109" max="4109" width="13" style="8" customWidth="1"/>
    <col min="4110" max="4110" width="10.5703125" style="8" customWidth="1"/>
    <col min="4111" max="4111" width="11.140625" style="8" customWidth="1"/>
    <col min="4112" max="4112" width="10.42578125" style="8" customWidth="1"/>
    <col min="4113" max="4113" width="12.140625" style="8" customWidth="1"/>
    <col min="4114" max="4114" width="14.7109375" style="8" customWidth="1"/>
    <col min="4115" max="4352" width="12.7109375" style="8"/>
    <col min="4353" max="4353" width="21.85546875" style="8" customWidth="1"/>
    <col min="4354" max="4354" width="10.28515625" style="8" customWidth="1"/>
    <col min="4355" max="4355" width="3.85546875" style="8" customWidth="1"/>
    <col min="4356" max="4356" width="11.42578125" style="8" customWidth="1"/>
    <col min="4357" max="4357" width="13.140625" style="8" customWidth="1"/>
    <col min="4358" max="4358" width="10.42578125" style="8" customWidth="1"/>
    <col min="4359" max="4359" width="13.7109375" style="8" customWidth="1"/>
    <col min="4360" max="4360" width="10.28515625" style="8" customWidth="1"/>
    <col min="4361" max="4361" width="11.140625" style="8" customWidth="1"/>
    <col min="4362" max="4362" width="13.5703125" style="8" customWidth="1"/>
    <col min="4363" max="4363" width="10.5703125" style="8" customWidth="1"/>
    <col min="4364" max="4364" width="11" style="8" customWidth="1"/>
    <col min="4365" max="4365" width="13" style="8" customWidth="1"/>
    <col min="4366" max="4366" width="10.5703125" style="8" customWidth="1"/>
    <col min="4367" max="4367" width="11.140625" style="8" customWidth="1"/>
    <col min="4368" max="4368" width="10.42578125" style="8" customWidth="1"/>
    <col min="4369" max="4369" width="12.140625" style="8" customWidth="1"/>
    <col min="4370" max="4370" width="14.7109375" style="8" customWidth="1"/>
    <col min="4371" max="4608" width="12.7109375" style="8"/>
    <col min="4609" max="4609" width="21.85546875" style="8" customWidth="1"/>
    <col min="4610" max="4610" width="10.28515625" style="8" customWidth="1"/>
    <col min="4611" max="4611" width="3.85546875" style="8" customWidth="1"/>
    <col min="4612" max="4612" width="11.42578125" style="8" customWidth="1"/>
    <col min="4613" max="4613" width="13.140625" style="8" customWidth="1"/>
    <col min="4614" max="4614" width="10.42578125" style="8" customWidth="1"/>
    <col min="4615" max="4615" width="13.7109375" style="8" customWidth="1"/>
    <col min="4616" max="4616" width="10.28515625" style="8" customWidth="1"/>
    <col min="4617" max="4617" width="11.140625" style="8" customWidth="1"/>
    <col min="4618" max="4618" width="13.5703125" style="8" customWidth="1"/>
    <col min="4619" max="4619" width="10.5703125" style="8" customWidth="1"/>
    <col min="4620" max="4620" width="11" style="8" customWidth="1"/>
    <col min="4621" max="4621" width="13" style="8" customWidth="1"/>
    <col min="4622" max="4622" width="10.5703125" style="8" customWidth="1"/>
    <col min="4623" max="4623" width="11.140625" style="8" customWidth="1"/>
    <col min="4624" max="4624" width="10.42578125" style="8" customWidth="1"/>
    <col min="4625" max="4625" width="12.140625" style="8" customWidth="1"/>
    <col min="4626" max="4626" width="14.7109375" style="8" customWidth="1"/>
    <col min="4627" max="4864" width="12.7109375" style="8"/>
    <col min="4865" max="4865" width="21.85546875" style="8" customWidth="1"/>
    <col min="4866" max="4866" width="10.28515625" style="8" customWidth="1"/>
    <col min="4867" max="4867" width="3.85546875" style="8" customWidth="1"/>
    <col min="4868" max="4868" width="11.42578125" style="8" customWidth="1"/>
    <col min="4869" max="4869" width="13.140625" style="8" customWidth="1"/>
    <col min="4870" max="4870" width="10.42578125" style="8" customWidth="1"/>
    <col min="4871" max="4871" width="13.7109375" style="8" customWidth="1"/>
    <col min="4872" max="4872" width="10.28515625" style="8" customWidth="1"/>
    <col min="4873" max="4873" width="11.140625" style="8" customWidth="1"/>
    <col min="4874" max="4874" width="13.5703125" style="8" customWidth="1"/>
    <col min="4875" max="4875" width="10.5703125" style="8" customWidth="1"/>
    <col min="4876" max="4876" width="11" style="8" customWidth="1"/>
    <col min="4877" max="4877" width="13" style="8" customWidth="1"/>
    <col min="4878" max="4878" width="10.5703125" style="8" customWidth="1"/>
    <col min="4879" max="4879" width="11.140625" style="8" customWidth="1"/>
    <col min="4880" max="4880" width="10.42578125" style="8" customWidth="1"/>
    <col min="4881" max="4881" width="12.140625" style="8" customWidth="1"/>
    <col min="4882" max="4882" width="14.7109375" style="8" customWidth="1"/>
    <col min="4883" max="5120" width="12.7109375" style="8"/>
    <col min="5121" max="5121" width="21.85546875" style="8" customWidth="1"/>
    <col min="5122" max="5122" width="10.28515625" style="8" customWidth="1"/>
    <col min="5123" max="5123" width="3.85546875" style="8" customWidth="1"/>
    <col min="5124" max="5124" width="11.42578125" style="8" customWidth="1"/>
    <col min="5125" max="5125" width="13.140625" style="8" customWidth="1"/>
    <col min="5126" max="5126" width="10.42578125" style="8" customWidth="1"/>
    <col min="5127" max="5127" width="13.7109375" style="8" customWidth="1"/>
    <col min="5128" max="5128" width="10.28515625" style="8" customWidth="1"/>
    <col min="5129" max="5129" width="11.140625" style="8" customWidth="1"/>
    <col min="5130" max="5130" width="13.5703125" style="8" customWidth="1"/>
    <col min="5131" max="5131" width="10.5703125" style="8" customWidth="1"/>
    <col min="5132" max="5132" width="11" style="8" customWidth="1"/>
    <col min="5133" max="5133" width="13" style="8" customWidth="1"/>
    <col min="5134" max="5134" width="10.5703125" style="8" customWidth="1"/>
    <col min="5135" max="5135" width="11.140625" style="8" customWidth="1"/>
    <col min="5136" max="5136" width="10.42578125" style="8" customWidth="1"/>
    <col min="5137" max="5137" width="12.140625" style="8" customWidth="1"/>
    <col min="5138" max="5138" width="14.7109375" style="8" customWidth="1"/>
    <col min="5139" max="5376" width="12.7109375" style="8"/>
    <col min="5377" max="5377" width="21.85546875" style="8" customWidth="1"/>
    <col min="5378" max="5378" width="10.28515625" style="8" customWidth="1"/>
    <col min="5379" max="5379" width="3.85546875" style="8" customWidth="1"/>
    <col min="5380" max="5380" width="11.42578125" style="8" customWidth="1"/>
    <col min="5381" max="5381" width="13.140625" style="8" customWidth="1"/>
    <col min="5382" max="5382" width="10.42578125" style="8" customWidth="1"/>
    <col min="5383" max="5383" width="13.7109375" style="8" customWidth="1"/>
    <col min="5384" max="5384" width="10.28515625" style="8" customWidth="1"/>
    <col min="5385" max="5385" width="11.140625" style="8" customWidth="1"/>
    <col min="5386" max="5386" width="13.5703125" style="8" customWidth="1"/>
    <col min="5387" max="5387" width="10.5703125" style="8" customWidth="1"/>
    <col min="5388" max="5388" width="11" style="8" customWidth="1"/>
    <col min="5389" max="5389" width="13" style="8" customWidth="1"/>
    <col min="5390" max="5390" width="10.5703125" style="8" customWidth="1"/>
    <col min="5391" max="5391" width="11.140625" style="8" customWidth="1"/>
    <col min="5392" max="5392" width="10.42578125" style="8" customWidth="1"/>
    <col min="5393" max="5393" width="12.140625" style="8" customWidth="1"/>
    <col min="5394" max="5394" width="14.7109375" style="8" customWidth="1"/>
    <col min="5395" max="5632" width="12.7109375" style="8"/>
    <col min="5633" max="5633" width="21.85546875" style="8" customWidth="1"/>
    <col min="5634" max="5634" width="10.28515625" style="8" customWidth="1"/>
    <col min="5635" max="5635" width="3.85546875" style="8" customWidth="1"/>
    <col min="5636" max="5636" width="11.42578125" style="8" customWidth="1"/>
    <col min="5637" max="5637" width="13.140625" style="8" customWidth="1"/>
    <col min="5638" max="5638" width="10.42578125" style="8" customWidth="1"/>
    <col min="5639" max="5639" width="13.7109375" style="8" customWidth="1"/>
    <col min="5640" max="5640" width="10.28515625" style="8" customWidth="1"/>
    <col min="5641" max="5641" width="11.140625" style="8" customWidth="1"/>
    <col min="5642" max="5642" width="13.5703125" style="8" customWidth="1"/>
    <col min="5643" max="5643" width="10.5703125" style="8" customWidth="1"/>
    <col min="5644" max="5644" width="11" style="8" customWidth="1"/>
    <col min="5645" max="5645" width="13" style="8" customWidth="1"/>
    <col min="5646" max="5646" width="10.5703125" style="8" customWidth="1"/>
    <col min="5647" max="5647" width="11.140625" style="8" customWidth="1"/>
    <col min="5648" max="5648" width="10.42578125" style="8" customWidth="1"/>
    <col min="5649" max="5649" width="12.140625" style="8" customWidth="1"/>
    <col min="5650" max="5650" width="14.7109375" style="8" customWidth="1"/>
    <col min="5651" max="5888" width="12.7109375" style="8"/>
    <col min="5889" max="5889" width="21.85546875" style="8" customWidth="1"/>
    <col min="5890" max="5890" width="10.28515625" style="8" customWidth="1"/>
    <col min="5891" max="5891" width="3.85546875" style="8" customWidth="1"/>
    <col min="5892" max="5892" width="11.42578125" style="8" customWidth="1"/>
    <col min="5893" max="5893" width="13.140625" style="8" customWidth="1"/>
    <col min="5894" max="5894" width="10.42578125" style="8" customWidth="1"/>
    <col min="5895" max="5895" width="13.7109375" style="8" customWidth="1"/>
    <col min="5896" max="5896" width="10.28515625" style="8" customWidth="1"/>
    <col min="5897" max="5897" width="11.140625" style="8" customWidth="1"/>
    <col min="5898" max="5898" width="13.5703125" style="8" customWidth="1"/>
    <col min="5899" max="5899" width="10.5703125" style="8" customWidth="1"/>
    <col min="5900" max="5900" width="11" style="8" customWidth="1"/>
    <col min="5901" max="5901" width="13" style="8" customWidth="1"/>
    <col min="5902" max="5902" width="10.5703125" style="8" customWidth="1"/>
    <col min="5903" max="5903" width="11.140625" style="8" customWidth="1"/>
    <col min="5904" max="5904" width="10.42578125" style="8" customWidth="1"/>
    <col min="5905" max="5905" width="12.140625" style="8" customWidth="1"/>
    <col min="5906" max="5906" width="14.7109375" style="8" customWidth="1"/>
    <col min="5907" max="6144" width="12.7109375" style="8"/>
    <col min="6145" max="6145" width="21.85546875" style="8" customWidth="1"/>
    <col min="6146" max="6146" width="10.28515625" style="8" customWidth="1"/>
    <col min="6147" max="6147" width="3.85546875" style="8" customWidth="1"/>
    <col min="6148" max="6148" width="11.42578125" style="8" customWidth="1"/>
    <col min="6149" max="6149" width="13.140625" style="8" customWidth="1"/>
    <col min="6150" max="6150" width="10.42578125" style="8" customWidth="1"/>
    <col min="6151" max="6151" width="13.7109375" style="8" customWidth="1"/>
    <col min="6152" max="6152" width="10.28515625" style="8" customWidth="1"/>
    <col min="6153" max="6153" width="11.140625" style="8" customWidth="1"/>
    <col min="6154" max="6154" width="13.5703125" style="8" customWidth="1"/>
    <col min="6155" max="6155" width="10.5703125" style="8" customWidth="1"/>
    <col min="6156" max="6156" width="11" style="8" customWidth="1"/>
    <col min="6157" max="6157" width="13" style="8" customWidth="1"/>
    <col min="6158" max="6158" width="10.5703125" style="8" customWidth="1"/>
    <col min="6159" max="6159" width="11.140625" style="8" customWidth="1"/>
    <col min="6160" max="6160" width="10.42578125" style="8" customWidth="1"/>
    <col min="6161" max="6161" width="12.140625" style="8" customWidth="1"/>
    <col min="6162" max="6162" width="14.7109375" style="8" customWidth="1"/>
    <col min="6163" max="6400" width="12.7109375" style="8"/>
    <col min="6401" max="6401" width="21.85546875" style="8" customWidth="1"/>
    <col min="6402" max="6402" width="10.28515625" style="8" customWidth="1"/>
    <col min="6403" max="6403" width="3.85546875" style="8" customWidth="1"/>
    <col min="6404" max="6404" width="11.42578125" style="8" customWidth="1"/>
    <col min="6405" max="6405" width="13.140625" style="8" customWidth="1"/>
    <col min="6406" max="6406" width="10.42578125" style="8" customWidth="1"/>
    <col min="6407" max="6407" width="13.7109375" style="8" customWidth="1"/>
    <col min="6408" max="6408" width="10.28515625" style="8" customWidth="1"/>
    <col min="6409" max="6409" width="11.140625" style="8" customWidth="1"/>
    <col min="6410" max="6410" width="13.5703125" style="8" customWidth="1"/>
    <col min="6411" max="6411" width="10.5703125" style="8" customWidth="1"/>
    <col min="6412" max="6412" width="11" style="8" customWidth="1"/>
    <col min="6413" max="6413" width="13" style="8" customWidth="1"/>
    <col min="6414" max="6414" width="10.5703125" style="8" customWidth="1"/>
    <col min="6415" max="6415" width="11.140625" style="8" customWidth="1"/>
    <col min="6416" max="6416" width="10.42578125" style="8" customWidth="1"/>
    <col min="6417" max="6417" width="12.140625" style="8" customWidth="1"/>
    <col min="6418" max="6418" width="14.7109375" style="8" customWidth="1"/>
    <col min="6419" max="6656" width="12.7109375" style="8"/>
    <col min="6657" max="6657" width="21.85546875" style="8" customWidth="1"/>
    <col min="6658" max="6658" width="10.28515625" style="8" customWidth="1"/>
    <col min="6659" max="6659" width="3.85546875" style="8" customWidth="1"/>
    <col min="6660" max="6660" width="11.42578125" style="8" customWidth="1"/>
    <col min="6661" max="6661" width="13.140625" style="8" customWidth="1"/>
    <col min="6662" max="6662" width="10.42578125" style="8" customWidth="1"/>
    <col min="6663" max="6663" width="13.7109375" style="8" customWidth="1"/>
    <col min="6664" max="6664" width="10.28515625" style="8" customWidth="1"/>
    <col min="6665" max="6665" width="11.140625" style="8" customWidth="1"/>
    <col min="6666" max="6666" width="13.5703125" style="8" customWidth="1"/>
    <col min="6667" max="6667" width="10.5703125" style="8" customWidth="1"/>
    <col min="6668" max="6668" width="11" style="8" customWidth="1"/>
    <col min="6669" max="6669" width="13" style="8" customWidth="1"/>
    <col min="6670" max="6670" width="10.5703125" style="8" customWidth="1"/>
    <col min="6671" max="6671" width="11.140625" style="8" customWidth="1"/>
    <col min="6672" max="6672" width="10.42578125" style="8" customWidth="1"/>
    <col min="6673" max="6673" width="12.140625" style="8" customWidth="1"/>
    <col min="6674" max="6674" width="14.7109375" style="8" customWidth="1"/>
    <col min="6675" max="6912" width="12.7109375" style="8"/>
    <col min="6913" max="6913" width="21.85546875" style="8" customWidth="1"/>
    <col min="6914" max="6914" width="10.28515625" style="8" customWidth="1"/>
    <col min="6915" max="6915" width="3.85546875" style="8" customWidth="1"/>
    <col min="6916" max="6916" width="11.42578125" style="8" customWidth="1"/>
    <col min="6917" max="6917" width="13.140625" style="8" customWidth="1"/>
    <col min="6918" max="6918" width="10.42578125" style="8" customWidth="1"/>
    <col min="6919" max="6919" width="13.7109375" style="8" customWidth="1"/>
    <col min="6920" max="6920" width="10.28515625" style="8" customWidth="1"/>
    <col min="6921" max="6921" width="11.140625" style="8" customWidth="1"/>
    <col min="6922" max="6922" width="13.5703125" style="8" customWidth="1"/>
    <col min="6923" max="6923" width="10.5703125" style="8" customWidth="1"/>
    <col min="6924" max="6924" width="11" style="8" customWidth="1"/>
    <col min="6925" max="6925" width="13" style="8" customWidth="1"/>
    <col min="6926" max="6926" width="10.5703125" style="8" customWidth="1"/>
    <col min="6927" max="6927" width="11.140625" style="8" customWidth="1"/>
    <col min="6928" max="6928" width="10.42578125" style="8" customWidth="1"/>
    <col min="6929" max="6929" width="12.140625" style="8" customWidth="1"/>
    <col min="6930" max="6930" width="14.7109375" style="8" customWidth="1"/>
    <col min="6931" max="7168" width="12.7109375" style="8"/>
    <col min="7169" max="7169" width="21.85546875" style="8" customWidth="1"/>
    <col min="7170" max="7170" width="10.28515625" style="8" customWidth="1"/>
    <col min="7171" max="7171" width="3.85546875" style="8" customWidth="1"/>
    <col min="7172" max="7172" width="11.42578125" style="8" customWidth="1"/>
    <col min="7173" max="7173" width="13.140625" style="8" customWidth="1"/>
    <col min="7174" max="7174" width="10.42578125" style="8" customWidth="1"/>
    <col min="7175" max="7175" width="13.7109375" style="8" customWidth="1"/>
    <col min="7176" max="7176" width="10.28515625" style="8" customWidth="1"/>
    <col min="7177" max="7177" width="11.140625" style="8" customWidth="1"/>
    <col min="7178" max="7178" width="13.5703125" style="8" customWidth="1"/>
    <col min="7179" max="7179" width="10.5703125" style="8" customWidth="1"/>
    <col min="7180" max="7180" width="11" style="8" customWidth="1"/>
    <col min="7181" max="7181" width="13" style="8" customWidth="1"/>
    <col min="7182" max="7182" width="10.5703125" style="8" customWidth="1"/>
    <col min="7183" max="7183" width="11.140625" style="8" customWidth="1"/>
    <col min="7184" max="7184" width="10.42578125" style="8" customWidth="1"/>
    <col min="7185" max="7185" width="12.140625" style="8" customWidth="1"/>
    <col min="7186" max="7186" width="14.7109375" style="8" customWidth="1"/>
    <col min="7187" max="7424" width="12.7109375" style="8"/>
    <col min="7425" max="7425" width="21.85546875" style="8" customWidth="1"/>
    <col min="7426" max="7426" width="10.28515625" style="8" customWidth="1"/>
    <col min="7427" max="7427" width="3.85546875" style="8" customWidth="1"/>
    <col min="7428" max="7428" width="11.42578125" style="8" customWidth="1"/>
    <col min="7429" max="7429" width="13.140625" style="8" customWidth="1"/>
    <col min="7430" max="7430" width="10.42578125" style="8" customWidth="1"/>
    <col min="7431" max="7431" width="13.7109375" style="8" customWidth="1"/>
    <col min="7432" max="7432" width="10.28515625" style="8" customWidth="1"/>
    <col min="7433" max="7433" width="11.140625" style="8" customWidth="1"/>
    <col min="7434" max="7434" width="13.5703125" style="8" customWidth="1"/>
    <col min="7435" max="7435" width="10.5703125" style="8" customWidth="1"/>
    <col min="7436" max="7436" width="11" style="8" customWidth="1"/>
    <col min="7437" max="7437" width="13" style="8" customWidth="1"/>
    <col min="7438" max="7438" width="10.5703125" style="8" customWidth="1"/>
    <col min="7439" max="7439" width="11.140625" style="8" customWidth="1"/>
    <col min="7440" max="7440" width="10.42578125" style="8" customWidth="1"/>
    <col min="7441" max="7441" width="12.140625" style="8" customWidth="1"/>
    <col min="7442" max="7442" width="14.7109375" style="8" customWidth="1"/>
    <col min="7443" max="7680" width="12.7109375" style="8"/>
    <col min="7681" max="7681" width="21.85546875" style="8" customWidth="1"/>
    <col min="7682" max="7682" width="10.28515625" style="8" customWidth="1"/>
    <col min="7683" max="7683" width="3.85546875" style="8" customWidth="1"/>
    <col min="7684" max="7684" width="11.42578125" style="8" customWidth="1"/>
    <col min="7685" max="7685" width="13.140625" style="8" customWidth="1"/>
    <col min="7686" max="7686" width="10.42578125" style="8" customWidth="1"/>
    <col min="7687" max="7687" width="13.7109375" style="8" customWidth="1"/>
    <col min="7688" max="7688" width="10.28515625" style="8" customWidth="1"/>
    <col min="7689" max="7689" width="11.140625" style="8" customWidth="1"/>
    <col min="7690" max="7690" width="13.5703125" style="8" customWidth="1"/>
    <col min="7691" max="7691" width="10.5703125" style="8" customWidth="1"/>
    <col min="7692" max="7692" width="11" style="8" customWidth="1"/>
    <col min="7693" max="7693" width="13" style="8" customWidth="1"/>
    <col min="7694" max="7694" width="10.5703125" style="8" customWidth="1"/>
    <col min="7695" max="7695" width="11.140625" style="8" customWidth="1"/>
    <col min="7696" max="7696" width="10.42578125" style="8" customWidth="1"/>
    <col min="7697" max="7697" width="12.140625" style="8" customWidth="1"/>
    <col min="7698" max="7698" width="14.7109375" style="8" customWidth="1"/>
    <col min="7699" max="7936" width="12.7109375" style="8"/>
    <col min="7937" max="7937" width="21.85546875" style="8" customWidth="1"/>
    <col min="7938" max="7938" width="10.28515625" style="8" customWidth="1"/>
    <col min="7939" max="7939" width="3.85546875" style="8" customWidth="1"/>
    <col min="7940" max="7940" width="11.42578125" style="8" customWidth="1"/>
    <col min="7941" max="7941" width="13.140625" style="8" customWidth="1"/>
    <col min="7942" max="7942" width="10.42578125" style="8" customWidth="1"/>
    <col min="7943" max="7943" width="13.7109375" style="8" customWidth="1"/>
    <col min="7944" max="7944" width="10.28515625" style="8" customWidth="1"/>
    <col min="7945" max="7945" width="11.140625" style="8" customWidth="1"/>
    <col min="7946" max="7946" width="13.5703125" style="8" customWidth="1"/>
    <col min="7947" max="7947" width="10.5703125" style="8" customWidth="1"/>
    <col min="7948" max="7948" width="11" style="8" customWidth="1"/>
    <col min="7949" max="7949" width="13" style="8" customWidth="1"/>
    <col min="7950" max="7950" width="10.5703125" style="8" customWidth="1"/>
    <col min="7951" max="7951" width="11.140625" style="8" customWidth="1"/>
    <col min="7952" max="7952" width="10.42578125" style="8" customWidth="1"/>
    <col min="7953" max="7953" width="12.140625" style="8" customWidth="1"/>
    <col min="7954" max="7954" width="14.7109375" style="8" customWidth="1"/>
    <col min="7955" max="8192" width="12.7109375" style="8"/>
    <col min="8193" max="8193" width="21.85546875" style="8" customWidth="1"/>
    <col min="8194" max="8194" width="10.28515625" style="8" customWidth="1"/>
    <col min="8195" max="8195" width="3.85546875" style="8" customWidth="1"/>
    <col min="8196" max="8196" width="11.42578125" style="8" customWidth="1"/>
    <col min="8197" max="8197" width="13.140625" style="8" customWidth="1"/>
    <col min="8198" max="8198" width="10.42578125" style="8" customWidth="1"/>
    <col min="8199" max="8199" width="13.7109375" style="8" customWidth="1"/>
    <col min="8200" max="8200" width="10.28515625" style="8" customWidth="1"/>
    <col min="8201" max="8201" width="11.140625" style="8" customWidth="1"/>
    <col min="8202" max="8202" width="13.5703125" style="8" customWidth="1"/>
    <col min="8203" max="8203" width="10.5703125" style="8" customWidth="1"/>
    <col min="8204" max="8204" width="11" style="8" customWidth="1"/>
    <col min="8205" max="8205" width="13" style="8" customWidth="1"/>
    <col min="8206" max="8206" width="10.5703125" style="8" customWidth="1"/>
    <col min="8207" max="8207" width="11.140625" style="8" customWidth="1"/>
    <col min="8208" max="8208" width="10.42578125" style="8" customWidth="1"/>
    <col min="8209" max="8209" width="12.140625" style="8" customWidth="1"/>
    <col min="8210" max="8210" width="14.7109375" style="8" customWidth="1"/>
    <col min="8211" max="8448" width="12.7109375" style="8"/>
    <col min="8449" max="8449" width="21.85546875" style="8" customWidth="1"/>
    <col min="8450" max="8450" width="10.28515625" style="8" customWidth="1"/>
    <col min="8451" max="8451" width="3.85546875" style="8" customWidth="1"/>
    <col min="8452" max="8452" width="11.42578125" style="8" customWidth="1"/>
    <col min="8453" max="8453" width="13.140625" style="8" customWidth="1"/>
    <col min="8454" max="8454" width="10.42578125" style="8" customWidth="1"/>
    <col min="8455" max="8455" width="13.7109375" style="8" customWidth="1"/>
    <col min="8456" max="8456" width="10.28515625" style="8" customWidth="1"/>
    <col min="8457" max="8457" width="11.140625" style="8" customWidth="1"/>
    <col min="8458" max="8458" width="13.5703125" style="8" customWidth="1"/>
    <col min="8459" max="8459" width="10.5703125" style="8" customWidth="1"/>
    <col min="8460" max="8460" width="11" style="8" customWidth="1"/>
    <col min="8461" max="8461" width="13" style="8" customWidth="1"/>
    <col min="8462" max="8462" width="10.5703125" style="8" customWidth="1"/>
    <col min="8463" max="8463" width="11.140625" style="8" customWidth="1"/>
    <col min="8464" max="8464" width="10.42578125" style="8" customWidth="1"/>
    <col min="8465" max="8465" width="12.140625" style="8" customWidth="1"/>
    <col min="8466" max="8466" width="14.7109375" style="8" customWidth="1"/>
    <col min="8467" max="8704" width="12.7109375" style="8"/>
    <col min="8705" max="8705" width="21.85546875" style="8" customWidth="1"/>
    <col min="8706" max="8706" width="10.28515625" style="8" customWidth="1"/>
    <col min="8707" max="8707" width="3.85546875" style="8" customWidth="1"/>
    <col min="8708" max="8708" width="11.42578125" style="8" customWidth="1"/>
    <col min="8709" max="8709" width="13.140625" style="8" customWidth="1"/>
    <col min="8710" max="8710" width="10.42578125" style="8" customWidth="1"/>
    <col min="8711" max="8711" width="13.7109375" style="8" customWidth="1"/>
    <col min="8712" max="8712" width="10.28515625" style="8" customWidth="1"/>
    <col min="8713" max="8713" width="11.140625" style="8" customWidth="1"/>
    <col min="8714" max="8714" width="13.5703125" style="8" customWidth="1"/>
    <col min="8715" max="8715" width="10.5703125" style="8" customWidth="1"/>
    <col min="8716" max="8716" width="11" style="8" customWidth="1"/>
    <col min="8717" max="8717" width="13" style="8" customWidth="1"/>
    <col min="8718" max="8718" width="10.5703125" style="8" customWidth="1"/>
    <col min="8719" max="8719" width="11.140625" style="8" customWidth="1"/>
    <col min="8720" max="8720" width="10.42578125" style="8" customWidth="1"/>
    <col min="8721" max="8721" width="12.140625" style="8" customWidth="1"/>
    <col min="8722" max="8722" width="14.7109375" style="8" customWidth="1"/>
    <col min="8723" max="8960" width="12.7109375" style="8"/>
    <col min="8961" max="8961" width="21.85546875" style="8" customWidth="1"/>
    <col min="8962" max="8962" width="10.28515625" style="8" customWidth="1"/>
    <col min="8963" max="8963" width="3.85546875" style="8" customWidth="1"/>
    <col min="8964" max="8964" width="11.42578125" style="8" customWidth="1"/>
    <col min="8965" max="8965" width="13.140625" style="8" customWidth="1"/>
    <col min="8966" max="8966" width="10.42578125" style="8" customWidth="1"/>
    <col min="8967" max="8967" width="13.7109375" style="8" customWidth="1"/>
    <col min="8968" max="8968" width="10.28515625" style="8" customWidth="1"/>
    <col min="8969" max="8969" width="11.140625" style="8" customWidth="1"/>
    <col min="8970" max="8970" width="13.5703125" style="8" customWidth="1"/>
    <col min="8971" max="8971" width="10.5703125" style="8" customWidth="1"/>
    <col min="8972" max="8972" width="11" style="8" customWidth="1"/>
    <col min="8973" max="8973" width="13" style="8" customWidth="1"/>
    <col min="8974" max="8974" width="10.5703125" style="8" customWidth="1"/>
    <col min="8975" max="8975" width="11.140625" style="8" customWidth="1"/>
    <col min="8976" max="8976" width="10.42578125" style="8" customWidth="1"/>
    <col min="8977" max="8977" width="12.140625" style="8" customWidth="1"/>
    <col min="8978" max="8978" width="14.7109375" style="8" customWidth="1"/>
    <col min="8979" max="9216" width="12.7109375" style="8"/>
    <col min="9217" max="9217" width="21.85546875" style="8" customWidth="1"/>
    <col min="9218" max="9218" width="10.28515625" style="8" customWidth="1"/>
    <col min="9219" max="9219" width="3.85546875" style="8" customWidth="1"/>
    <col min="9220" max="9220" width="11.42578125" style="8" customWidth="1"/>
    <col min="9221" max="9221" width="13.140625" style="8" customWidth="1"/>
    <col min="9222" max="9222" width="10.42578125" style="8" customWidth="1"/>
    <col min="9223" max="9223" width="13.7109375" style="8" customWidth="1"/>
    <col min="9224" max="9224" width="10.28515625" style="8" customWidth="1"/>
    <col min="9225" max="9225" width="11.140625" style="8" customWidth="1"/>
    <col min="9226" max="9226" width="13.5703125" style="8" customWidth="1"/>
    <col min="9227" max="9227" width="10.5703125" style="8" customWidth="1"/>
    <col min="9228" max="9228" width="11" style="8" customWidth="1"/>
    <col min="9229" max="9229" width="13" style="8" customWidth="1"/>
    <col min="9230" max="9230" width="10.5703125" style="8" customWidth="1"/>
    <col min="9231" max="9231" width="11.140625" style="8" customWidth="1"/>
    <col min="9232" max="9232" width="10.42578125" style="8" customWidth="1"/>
    <col min="9233" max="9233" width="12.140625" style="8" customWidth="1"/>
    <col min="9234" max="9234" width="14.7109375" style="8" customWidth="1"/>
    <col min="9235" max="9472" width="12.7109375" style="8"/>
    <col min="9473" max="9473" width="21.85546875" style="8" customWidth="1"/>
    <col min="9474" max="9474" width="10.28515625" style="8" customWidth="1"/>
    <col min="9475" max="9475" width="3.85546875" style="8" customWidth="1"/>
    <col min="9476" max="9476" width="11.42578125" style="8" customWidth="1"/>
    <col min="9477" max="9477" width="13.140625" style="8" customWidth="1"/>
    <col min="9478" max="9478" width="10.42578125" style="8" customWidth="1"/>
    <col min="9479" max="9479" width="13.7109375" style="8" customWidth="1"/>
    <col min="9480" max="9480" width="10.28515625" style="8" customWidth="1"/>
    <col min="9481" max="9481" width="11.140625" style="8" customWidth="1"/>
    <col min="9482" max="9482" width="13.5703125" style="8" customWidth="1"/>
    <col min="9483" max="9483" width="10.5703125" style="8" customWidth="1"/>
    <col min="9484" max="9484" width="11" style="8" customWidth="1"/>
    <col min="9485" max="9485" width="13" style="8" customWidth="1"/>
    <col min="9486" max="9486" width="10.5703125" style="8" customWidth="1"/>
    <col min="9487" max="9487" width="11.140625" style="8" customWidth="1"/>
    <col min="9488" max="9488" width="10.42578125" style="8" customWidth="1"/>
    <col min="9489" max="9489" width="12.140625" style="8" customWidth="1"/>
    <col min="9490" max="9490" width="14.7109375" style="8" customWidth="1"/>
    <col min="9491" max="9728" width="12.7109375" style="8"/>
    <col min="9729" max="9729" width="21.85546875" style="8" customWidth="1"/>
    <col min="9730" max="9730" width="10.28515625" style="8" customWidth="1"/>
    <col min="9731" max="9731" width="3.85546875" style="8" customWidth="1"/>
    <col min="9732" max="9732" width="11.42578125" style="8" customWidth="1"/>
    <col min="9733" max="9733" width="13.140625" style="8" customWidth="1"/>
    <col min="9734" max="9734" width="10.42578125" style="8" customWidth="1"/>
    <col min="9735" max="9735" width="13.7109375" style="8" customWidth="1"/>
    <col min="9736" max="9736" width="10.28515625" style="8" customWidth="1"/>
    <col min="9737" max="9737" width="11.140625" style="8" customWidth="1"/>
    <col min="9738" max="9738" width="13.5703125" style="8" customWidth="1"/>
    <col min="9739" max="9739" width="10.5703125" style="8" customWidth="1"/>
    <col min="9740" max="9740" width="11" style="8" customWidth="1"/>
    <col min="9741" max="9741" width="13" style="8" customWidth="1"/>
    <col min="9742" max="9742" width="10.5703125" style="8" customWidth="1"/>
    <col min="9743" max="9743" width="11.140625" style="8" customWidth="1"/>
    <col min="9744" max="9744" width="10.42578125" style="8" customWidth="1"/>
    <col min="9745" max="9745" width="12.140625" style="8" customWidth="1"/>
    <col min="9746" max="9746" width="14.7109375" style="8" customWidth="1"/>
    <col min="9747" max="9984" width="12.7109375" style="8"/>
    <col min="9985" max="9985" width="21.85546875" style="8" customWidth="1"/>
    <col min="9986" max="9986" width="10.28515625" style="8" customWidth="1"/>
    <col min="9987" max="9987" width="3.85546875" style="8" customWidth="1"/>
    <col min="9988" max="9988" width="11.42578125" style="8" customWidth="1"/>
    <col min="9989" max="9989" width="13.140625" style="8" customWidth="1"/>
    <col min="9990" max="9990" width="10.42578125" style="8" customWidth="1"/>
    <col min="9991" max="9991" width="13.7109375" style="8" customWidth="1"/>
    <col min="9992" max="9992" width="10.28515625" style="8" customWidth="1"/>
    <col min="9993" max="9993" width="11.140625" style="8" customWidth="1"/>
    <col min="9994" max="9994" width="13.5703125" style="8" customWidth="1"/>
    <col min="9995" max="9995" width="10.5703125" style="8" customWidth="1"/>
    <col min="9996" max="9996" width="11" style="8" customWidth="1"/>
    <col min="9997" max="9997" width="13" style="8" customWidth="1"/>
    <col min="9998" max="9998" width="10.5703125" style="8" customWidth="1"/>
    <col min="9999" max="9999" width="11.140625" style="8" customWidth="1"/>
    <col min="10000" max="10000" width="10.42578125" style="8" customWidth="1"/>
    <col min="10001" max="10001" width="12.140625" style="8" customWidth="1"/>
    <col min="10002" max="10002" width="14.7109375" style="8" customWidth="1"/>
    <col min="10003" max="10240" width="12.7109375" style="8"/>
    <col min="10241" max="10241" width="21.85546875" style="8" customWidth="1"/>
    <col min="10242" max="10242" width="10.28515625" style="8" customWidth="1"/>
    <col min="10243" max="10243" width="3.85546875" style="8" customWidth="1"/>
    <col min="10244" max="10244" width="11.42578125" style="8" customWidth="1"/>
    <col min="10245" max="10245" width="13.140625" style="8" customWidth="1"/>
    <col min="10246" max="10246" width="10.42578125" style="8" customWidth="1"/>
    <col min="10247" max="10247" width="13.7109375" style="8" customWidth="1"/>
    <col min="10248" max="10248" width="10.28515625" style="8" customWidth="1"/>
    <col min="10249" max="10249" width="11.140625" style="8" customWidth="1"/>
    <col min="10250" max="10250" width="13.5703125" style="8" customWidth="1"/>
    <col min="10251" max="10251" width="10.5703125" style="8" customWidth="1"/>
    <col min="10252" max="10252" width="11" style="8" customWidth="1"/>
    <col min="10253" max="10253" width="13" style="8" customWidth="1"/>
    <col min="10254" max="10254" width="10.5703125" style="8" customWidth="1"/>
    <col min="10255" max="10255" width="11.140625" style="8" customWidth="1"/>
    <col min="10256" max="10256" width="10.42578125" style="8" customWidth="1"/>
    <col min="10257" max="10257" width="12.140625" style="8" customWidth="1"/>
    <col min="10258" max="10258" width="14.7109375" style="8" customWidth="1"/>
    <col min="10259" max="10496" width="12.7109375" style="8"/>
    <col min="10497" max="10497" width="21.85546875" style="8" customWidth="1"/>
    <col min="10498" max="10498" width="10.28515625" style="8" customWidth="1"/>
    <col min="10499" max="10499" width="3.85546875" style="8" customWidth="1"/>
    <col min="10500" max="10500" width="11.42578125" style="8" customWidth="1"/>
    <col min="10501" max="10501" width="13.140625" style="8" customWidth="1"/>
    <col min="10502" max="10502" width="10.42578125" style="8" customWidth="1"/>
    <col min="10503" max="10503" width="13.7109375" style="8" customWidth="1"/>
    <col min="10504" max="10504" width="10.28515625" style="8" customWidth="1"/>
    <col min="10505" max="10505" width="11.140625" style="8" customWidth="1"/>
    <col min="10506" max="10506" width="13.5703125" style="8" customWidth="1"/>
    <col min="10507" max="10507" width="10.5703125" style="8" customWidth="1"/>
    <col min="10508" max="10508" width="11" style="8" customWidth="1"/>
    <col min="10509" max="10509" width="13" style="8" customWidth="1"/>
    <col min="10510" max="10510" width="10.5703125" style="8" customWidth="1"/>
    <col min="10511" max="10511" width="11.140625" style="8" customWidth="1"/>
    <col min="10512" max="10512" width="10.42578125" style="8" customWidth="1"/>
    <col min="10513" max="10513" width="12.140625" style="8" customWidth="1"/>
    <col min="10514" max="10514" width="14.7109375" style="8" customWidth="1"/>
    <col min="10515" max="10752" width="12.7109375" style="8"/>
    <col min="10753" max="10753" width="21.85546875" style="8" customWidth="1"/>
    <col min="10754" max="10754" width="10.28515625" style="8" customWidth="1"/>
    <col min="10755" max="10755" width="3.85546875" style="8" customWidth="1"/>
    <col min="10756" max="10756" width="11.42578125" style="8" customWidth="1"/>
    <col min="10757" max="10757" width="13.140625" style="8" customWidth="1"/>
    <col min="10758" max="10758" width="10.42578125" style="8" customWidth="1"/>
    <col min="10759" max="10759" width="13.7109375" style="8" customWidth="1"/>
    <col min="10760" max="10760" width="10.28515625" style="8" customWidth="1"/>
    <col min="10761" max="10761" width="11.140625" style="8" customWidth="1"/>
    <col min="10762" max="10762" width="13.5703125" style="8" customWidth="1"/>
    <col min="10763" max="10763" width="10.5703125" style="8" customWidth="1"/>
    <col min="10764" max="10764" width="11" style="8" customWidth="1"/>
    <col min="10765" max="10765" width="13" style="8" customWidth="1"/>
    <col min="10766" max="10766" width="10.5703125" style="8" customWidth="1"/>
    <col min="10767" max="10767" width="11.140625" style="8" customWidth="1"/>
    <col min="10768" max="10768" width="10.42578125" style="8" customWidth="1"/>
    <col min="10769" max="10769" width="12.140625" style="8" customWidth="1"/>
    <col min="10770" max="10770" width="14.7109375" style="8" customWidth="1"/>
    <col min="10771" max="11008" width="12.7109375" style="8"/>
    <col min="11009" max="11009" width="21.85546875" style="8" customWidth="1"/>
    <col min="11010" max="11010" width="10.28515625" style="8" customWidth="1"/>
    <col min="11011" max="11011" width="3.85546875" style="8" customWidth="1"/>
    <col min="11012" max="11012" width="11.42578125" style="8" customWidth="1"/>
    <col min="11013" max="11013" width="13.140625" style="8" customWidth="1"/>
    <col min="11014" max="11014" width="10.42578125" style="8" customWidth="1"/>
    <col min="11015" max="11015" width="13.7109375" style="8" customWidth="1"/>
    <col min="11016" max="11016" width="10.28515625" style="8" customWidth="1"/>
    <col min="11017" max="11017" width="11.140625" style="8" customWidth="1"/>
    <col min="11018" max="11018" width="13.5703125" style="8" customWidth="1"/>
    <col min="11019" max="11019" width="10.5703125" style="8" customWidth="1"/>
    <col min="11020" max="11020" width="11" style="8" customWidth="1"/>
    <col min="11021" max="11021" width="13" style="8" customWidth="1"/>
    <col min="11022" max="11022" width="10.5703125" style="8" customWidth="1"/>
    <col min="11023" max="11023" width="11.140625" style="8" customWidth="1"/>
    <col min="11024" max="11024" width="10.42578125" style="8" customWidth="1"/>
    <col min="11025" max="11025" width="12.140625" style="8" customWidth="1"/>
    <col min="11026" max="11026" width="14.7109375" style="8" customWidth="1"/>
    <col min="11027" max="11264" width="12.7109375" style="8"/>
    <col min="11265" max="11265" width="21.85546875" style="8" customWidth="1"/>
    <col min="11266" max="11266" width="10.28515625" style="8" customWidth="1"/>
    <col min="11267" max="11267" width="3.85546875" style="8" customWidth="1"/>
    <col min="11268" max="11268" width="11.42578125" style="8" customWidth="1"/>
    <col min="11269" max="11269" width="13.140625" style="8" customWidth="1"/>
    <col min="11270" max="11270" width="10.42578125" style="8" customWidth="1"/>
    <col min="11271" max="11271" width="13.7109375" style="8" customWidth="1"/>
    <col min="11272" max="11272" width="10.28515625" style="8" customWidth="1"/>
    <col min="11273" max="11273" width="11.140625" style="8" customWidth="1"/>
    <col min="11274" max="11274" width="13.5703125" style="8" customWidth="1"/>
    <col min="11275" max="11275" width="10.5703125" style="8" customWidth="1"/>
    <col min="11276" max="11276" width="11" style="8" customWidth="1"/>
    <col min="11277" max="11277" width="13" style="8" customWidth="1"/>
    <col min="11278" max="11278" width="10.5703125" style="8" customWidth="1"/>
    <col min="11279" max="11279" width="11.140625" style="8" customWidth="1"/>
    <col min="11280" max="11280" width="10.42578125" style="8" customWidth="1"/>
    <col min="11281" max="11281" width="12.140625" style="8" customWidth="1"/>
    <col min="11282" max="11282" width="14.7109375" style="8" customWidth="1"/>
    <col min="11283" max="11520" width="12.7109375" style="8"/>
    <col min="11521" max="11521" width="21.85546875" style="8" customWidth="1"/>
    <col min="11522" max="11522" width="10.28515625" style="8" customWidth="1"/>
    <col min="11523" max="11523" width="3.85546875" style="8" customWidth="1"/>
    <col min="11524" max="11524" width="11.42578125" style="8" customWidth="1"/>
    <col min="11525" max="11525" width="13.140625" style="8" customWidth="1"/>
    <col min="11526" max="11526" width="10.42578125" style="8" customWidth="1"/>
    <col min="11527" max="11527" width="13.7109375" style="8" customWidth="1"/>
    <col min="11528" max="11528" width="10.28515625" style="8" customWidth="1"/>
    <col min="11529" max="11529" width="11.140625" style="8" customWidth="1"/>
    <col min="11530" max="11530" width="13.5703125" style="8" customWidth="1"/>
    <col min="11531" max="11531" width="10.5703125" style="8" customWidth="1"/>
    <col min="11532" max="11532" width="11" style="8" customWidth="1"/>
    <col min="11533" max="11533" width="13" style="8" customWidth="1"/>
    <col min="11534" max="11534" width="10.5703125" style="8" customWidth="1"/>
    <col min="11535" max="11535" width="11.140625" style="8" customWidth="1"/>
    <col min="11536" max="11536" width="10.42578125" style="8" customWidth="1"/>
    <col min="11537" max="11537" width="12.140625" style="8" customWidth="1"/>
    <col min="11538" max="11538" width="14.7109375" style="8" customWidth="1"/>
    <col min="11539" max="11776" width="12.7109375" style="8"/>
    <col min="11777" max="11777" width="21.85546875" style="8" customWidth="1"/>
    <col min="11778" max="11778" width="10.28515625" style="8" customWidth="1"/>
    <col min="11779" max="11779" width="3.85546875" style="8" customWidth="1"/>
    <col min="11780" max="11780" width="11.42578125" style="8" customWidth="1"/>
    <col min="11781" max="11781" width="13.140625" style="8" customWidth="1"/>
    <col min="11782" max="11782" width="10.42578125" style="8" customWidth="1"/>
    <col min="11783" max="11783" width="13.7109375" style="8" customWidth="1"/>
    <col min="11784" max="11784" width="10.28515625" style="8" customWidth="1"/>
    <col min="11785" max="11785" width="11.140625" style="8" customWidth="1"/>
    <col min="11786" max="11786" width="13.5703125" style="8" customWidth="1"/>
    <col min="11787" max="11787" width="10.5703125" style="8" customWidth="1"/>
    <col min="11788" max="11788" width="11" style="8" customWidth="1"/>
    <col min="11789" max="11789" width="13" style="8" customWidth="1"/>
    <col min="11790" max="11790" width="10.5703125" style="8" customWidth="1"/>
    <col min="11791" max="11791" width="11.140625" style="8" customWidth="1"/>
    <col min="11792" max="11792" width="10.42578125" style="8" customWidth="1"/>
    <col min="11793" max="11793" width="12.140625" style="8" customWidth="1"/>
    <col min="11794" max="11794" width="14.7109375" style="8" customWidth="1"/>
    <col min="11795" max="12032" width="12.7109375" style="8"/>
    <col min="12033" max="12033" width="21.85546875" style="8" customWidth="1"/>
    <col min="12034" max="12034" width="10.28515625" style="8" customWidth="1"/>
    <col min="12035" max="12035" width="3.85546875" style="8" customWidth="1"/>
    <col min="12036" max="12036" width="11.42578125" style="8" customWidth="1"/>
    <col min="12037" max="12037" width="13.140625" style="8" customWidth="1"/>
    <col min="12038" max="12038" width="10.42578125" style="8" customWidth="1"/>
    <col min="12039" max="12039" width="13.7109375" style="8" customWidth="1"/>
    <col min="12040" max="12040" width="10.28515625" style="8" customWidth="1"/>
    <col min="12041" max="12041" width="11.140625" style="8" customWidth="1"/>
    <col min="12042" max="12042" width="13.5703125" style="8" customWidth="1"/>
    <col min="12043" max="12043" width="10.5703125" style="8" customWidth="1"/>
    <col min="12044" max="12044" width="11" style="8" customWidth="1"/>
    <col min="12045" max="12045" width="13" style="8" customWidth="1"/>
    <col min="12046" max="12046" width="10.5703125" style="8" customWidth="1"/>
    <col min="12047" max="12047" width="11.140625" style="8" customWidth="1"/>
    <col min="12048" max="12048" width="10.42578125" style="8" customWidth="1"/>
    <col min="12049" max="12049" width="12.140625" style="8" customWidth="1"/>
    <col min="12050" max="12050" width="14.7109375" style="8" customWidth="1"/>
    <col min="12051" max="12288" width="12.7109375" style="8"/>
    <col min="12289" max="12289" width="21.85546875" style="8" customWidth="1"/>
    <col min="12290" max="12290" width="10.28515625" style="8" customWidth="1"/>
    <col min="12291" max="12291" width="3.85546875" style="8" customWidth="1"/>
    <col min="12292" max="12292" width="11.42578125" style="8" customWidth="1"/>
    <col min="12293" max="12293" width="13.140625" style="8" customWidth="1"/>
    <col min="12294" max="12294" width="10.42578125" style="8" customWidth="1"/>
    <col min="12295" max="12295" width="13.7109375" style="8" customWidth="1"/>
    <col min="12296" max="12296" width="10.28515625" style="8" customWidth="1"/>
    <col min="12297" max="12297" width="11.140625" style="8" customWidth="1"/>
    <col min="12298" max="12298" width="13.5703125" style="8" customWidth="1"/>
    <col min="12299" max="12299" width="10.5703125" style="8" customWidth="1"/>
    <col min="12300" max="12300" width="11" style="8" customWidth="1"/>
    <col min="12301" max="12301" width="13" style="8" customWidth="1"/>
    <col min="12302" max="12302" width="10.5703125" style="8" customWidth="1"/>
    <col min="12303" max="12303" width="11.140625" style="8" customWidth="1"/>
    <col min="12304" max="12304" width="10.42578125" style="8" customWidth="1"/>
    <col min="12305" max="12305" width="12.140625" style="8" customWidth="1"/>
    <col min="12306" max="12306" width="14.7109375" style="8" customWidth="1"/>
    <col min="12307" max="12544" width="12.7109375" style="8"/>
    <col min="12545" max="12545" width="21.85546875" style="8" customWidth="1"/>
    <col min="12546" max="12546" width="10.28515625" style="8" customWidth="1"/>
    <col min="12547" max="12547" width="3.85546875" style="8" customWidth="1"/>
    <col min="12548" max="12548" width="11.42578125" style="8" customWidth="1"/>
    <col min="12549" max="12549" width="13.140625" style="8" customWidth="1"/>
    <col min="12550" max="12550" width="10.42578125" style="8" customWidth="1"/>
    <col min="12551" max="12551" width="13.7109375" style="8" customWidth="1"/>
    <col min="12552" max="12552" width="10.28515625" style="8" customWidth="1"/>
    <col min="12553" max="12553" width="11.140625" style="8" customWidth="1"/>
    <col min="12554" max="12554" width="13.5703125" style="8" customWidth="1"/>
    <col min="12555" max="12555" width="10.5703125" style="8" customWidth="1"/>
    <col min="12556" max="12556" width="11" style="8" customWidth="1"/>
    <col min="12557" max="12557" width="13" style="8" customWidth="1"/>
    <col min="12558" max="12558" width="10.5703125" style="8" customWidth="1"/>
    <col min="12559" max="12559" width="11.140625" style="8" customWidth="1"/>
    <col min="12560" max="12560" width="10.42578125" style="8" customWidth="1"/>
    <col min="12561" max="12561" width="12.140625" style="8" customWidth="1"/>
    <col min="12562" max="12562" width="14.7109375" style="8" customWidth="1"/>
    <col min="12563" max="12800" width="12.7109375" style="8"/>
    <col min="12801" max="12801" width="21.85546875" style="8" customWidth="1"/>
    <col min="12802" max="12802" width="10.28515625" style="8" customWidth="1"/>
    <col min="12803" max="12803" width="3.85546875" style="8" customWidth="1"/>
    <col min="12804" max="12804" width="11.42578125" style="8" customWidth="1"/>
    <col min="12805" max="12805" width="13.140625" style="8" customWidth="1"/>
    <col min="12806" max="12806" width="10.42578125" style="8" customWidth="1"/>
    <col min="12807" max="12807" width="13.7109375" style="8" customWidth="1"/>
    <col min="12808" max="12808" width="10.28515625" style="8" customWidth="1"/>
    <col min="12809" max="12809" width="11.140625" style="8" customWidth="1"/>
    <col min="12810" max="12810" width="13.5703125" style="8" customWidth="1"/>
    <col min="12811" max="12811" width="10.5703125" style="8" customWidth="1"/>
    <col min="12812" max="12812" width="11" style="8" customWidth="1"/>
    <col min="12813" max="12813" width="13" style="8" customWidth="1"/>
    <col min="12814" max="12814" width="10.5703125" style="8" customWidth="1"/>
    <col min="12815" max="12815" width="11.140625" style="8" customWidth="1"/>
    <col min="12816" max="12816" width="10.42578125" style="8" customWidth="1"/>
    <col min="12817" max="12817" width="12.140625" style="8" customWidth="1"/>
    <col min="12818" max="12818" width="14.7109375" style="8" customWidth="1"/>
    <col min="12819" max="13056" width="12.7109375" style="8"/>
    <col min="13057" max="13057" width="21.85546875" style="8" customWidth="1"/>
    <col min="13058" max="13058" width="10.28515625" style="8" customWidth="1"/>
    <col min="13059" max="13059" width="3.85546875" style="8" customWidth="1"/>
    <col min="13060" max="13060" width="11.42578125" style="8" customWidth="1"/>
    <col min="13061" max="13061" width="13.140625" style="8" customWidth="1"/>
    <col min="13062" max="13062" width="10.42578125" style="8" customWidth="1"/>
    <col min="13063" max="13063" width="13.7109375" style="8" customWidth="1"/>
    <col min="13064" max="13064" width="10.28515625" style="8" customWidth="1"/>
    <col min="13065" max="13065" width="11.140625" style="8" customWidth="1"/>
    <col min="13066" max="13066" width="13.5703125" style="8" customWidth="1"/>
    <col min="13067" max="13067" width="10.5703125" style="8" customWidth="1"/>
    <col min="13068" max="13068" width="11" style="8" customWidth="1"/>
    <col min="13069" max="13069" width="13" style="8" customWidth="1"/>
    <col min="13070" max="13070" width="10.5703125" style="8" customWidth="1"/>
    <col min="13071" max="13071" width="11.140625" style="8" customWidth="1"/>
    <col min="13072" max="13072" width="10.42578125" style="8" customWidth="1"/>
    <col min="13073" max="13073" width="12.140625" style="8" customWidth="1"/>
    <col min="13074" max="13074" width="14.7109375" style="8" customWidth="1"/>
    <col min="13075" max="13312" width="12.7109375" style="8"/>
    <col min="13313" max="13313" width="21.85546875" style="8" customWidth="1"/>
    <col min="13314" max="13314" width="10.28515625" style="8" customWidth="1"/>
    <col min="13315" max="13315" width="3.85546875" style="8" customWidth="1"/>
    <col min="13316" max="13316" width="11.42578125" style="8" customWidth="1"/>
    <col min="13317" max="13317" width="13.140625" style="8" customWidth="1"/>
    <col min="13318" max="13318" width="10.42578125" style="8" customWidth="1"/>
    <col min="13319" max="13319" width="13.7109375" style="8" customWidth="1"/>
    <col min="13320" max="13320" width="10.28515625" style="8" customWidth="1"/>
    <col min="13321" max="13321" width="11.140625" style="8" customWidth="1"/>
    <col min="13322" max="13322" width="13.5703125" style="8" customWidth="1"/>
    <col min="13323" max="13323" width="10.5703125" style="8" customWidth="1"/>
    <col min="13324" max="13324" width="11" style="8" customWidth="1"/>
    <col min="13325" max="13325" width="13" style="8" customWidth="1"/>
    <col min="13326" max="13326" width="10.5703125" style="8" customWidth="1"/>
    <col min="13327" max="13327" width="11.140625" style="8" customWidth="1"/>
    <col min="13328" max="13328" width="10.42578125" style="8" customWidth="1"/>
    <col min="13329" max="13329" width="12.140625" style="8" customWidth="1"/>
    <col min="13330" max="13330" width="14.7109375" style="8" customWidth="1"/>
    <col min="13331" max="13568" width="12.7109375" style="8"/>
    <col min="13569" max="13569" width="21.85546875" style="8" customWidth="1"/>
    <col min="13570" max="13570" width="10.28515625" style="8" customWidth="1"/>
    <col min="13571" max="13571" width="3.85546875" style="8" customWidth="1"/>
    <col min="13572" max="13572" width="11.42578125" style="8" customWidth="1"/>
    <col min="13573" max="13573" width="13.140625" style="8" customWidth="1"/>
    <col min="13574" max="13574" width="10.42578125" style="8" customWidth="1"/>
    <col min="13575" max="13575" width="13.7109375" style="8" customWidth="1"/>
    <col min="13576" max="13576" width="10.28515625" style="8" customWidth="1"/>
    <col min="13577" max="13577" width="11.140625" style="8" customWidth="1"/>
    <col min="13578" max="13578" width="13.5703125" style="8" customWidth="1"/>
    <col min="13579" max="13579" width="10.5703125" style="8" customWidth="1"/>
    <col min="13580" max="13580" width="11" style="8" customWidth="1"/>
    <col min="13581" max="13581" width="13" style="8" customWidth="1"/>
    <col min="13582" max="13582" width="10.5703125" style="8" customWidth="1"/>
    <col min="13583" max="13583" width="11.140625" style="8" customWidth="1"/>
    <col min="13584" max="13584" width="10.42578125" style="8" customWidth="1"/>
    <col min="13585" max="13585" width="12.140625" style="8" customWidth="1"/>
    <col min="13586" max="13586" width="14.7109375" style="8" customWidth="1"/>
    <col min="13587" max="13824" width="12.7109375" style="8"/>
    <col min="13825" max="13825" width="21.85546875" style="8" customWidth="1"/>
    <col min="13826" max="13826" width="10.28515625" style="8" customWidth="1"/>
    <col min="13827" max="13827" width="3.85546875" style="8" customWidth="1"/>
    <col min="13828" max="13828" width="11.42578125" style="8" customWidth="1"/>
    <col min="13829" max="13829" width="13.140625" style="8" customWidth="1"/>
    <col min="13830" max="13830" width="10.42578125" style="8" customWidth="1"/>
    <col min="13831" max="13831" width="13.7109375" style="8" customWidth="1"/>
    <col min="13832" max="13832" width="10.28515625" style="8" customWidth="1"/>
    <col min="13833" max="13833" width="11.140625" style="8" customWidth="1"/>
    <col min="13834" max="13834" width="13.5703125" style="8" customWidth="1"/>
    <col min="13835" max="13835" width="10.5703125" style="8" customWidth="1"/>
    <col min="13836" max="13836" width="11" style="8" customWidth="1"/>
    <col min="13837" max="13837" width="13" style="8" customWidth="1"/>
    <col min="13838" max="13838" width="10.5703125" style="8" customWidth="1"/>
    <col min="13839" max="13839" width="11.140625" style="8" customWidth="1"/>
    <col min="13840" max="13840" width="10.42578125" style="8" customWidth="1"/>
    <col min="13841" max="13841" width="12.140625" style="8" customWidth="1"/>
    <col min="13842" max="13842" width="14.7109375" style="8" customWidth="1"/>
    <col min="13843" max="14080" width="12.7109375" style="8"/>
    <col min="14081" max="14081" width="21.85546875" style="8" customWidth="1"/>
    <col min="14082" max="14082" width="10.28515625" style="8" customWidth="1"/>
    <col min="14083" max="14083" width="3.85546875" style="8" customWidth="1"/>
    <col min="14084" max="14084" width="11.42578125" style="8" customWidth="1"/>
    <col min="14085" max="14085" width="13.140625" style="8" customWidth="1"/>
    <col min="14086" max="14086" width="10.42578125" style="8" customWidth="1"/>
    <col min="14087" max="14087" width="13.7109375" style="8" customWidth="1"/>
    <col min="14088" max="14088" width="10.28515625" style="8" customWidth="1"/>
    <col min="14089" max="14089" width="11.140625" style="8" customWidth="1"/>
    <col min="14090" max="14090" width="13.5703125" style="8" customWidth="1"/>
    <col min="14091" max="14091" width="10.5703125" style="8" customWidth="1"/>
    <col min="14092" max="14092" width="11" style="8" customWidth="1"/>
    <col min="14093" max="14093" width="13" style="8" customWidth="1"/>
    <col min="14094" max="14094" width="10.5703125" style="8" customWidth="1"/>
    <col min="14095" max="14095" width="11.140625" style="8" customWidth="1"/>
    <col min="14096" max="14096" width="10.42578125" style="8" customWidth="1"/>
    <col min="14097" max="14097" width="12.140625" style="8" customWidth="1"/>
    <col min="14098" max="14098" width="14.7109375" style="8" customWidth="1"/>
    <col min="14099" max="14336" width="12.7109375" style="8"/>
    <col min="14337" max="14337" width="21.85546875" style="8" customWidth="1"/>
    <col min="14338" max="14338" width="10.28515625" style="8" customWidth="1"/>
    <col min="14339" max="14339" width="3.85546875" style="8" customWidth="1"/>
    <col min="14340" max="14340" width="11.42578125" style="8" customWidth="1"/>
    <col min="14341" max="14341" width="13.140625" style="8" customWidth="1"/>
    <col min="14342" max="14342" width="10.42578125" style="8" customWidth="1"/>
    <col min="14343" max="14343" width="13.7109375" style="8" customWidth="1"/>
    <col min="14344" max="14344" width="10.28515625" style="8" customWidth="1"/>
    <col min="14345" max="14345" width="11.140625" style="8" customWidth="1"/>
    <col min="14346" max="14346" width="13.5703125" style="8" customWidth="1"/>
    <col min="14347" max="14347" width="10.5703125" style="8" customWidth="1"/>
    <col min="14348" max="14348" width="11" style="8" customWidth="1"/>
    <col min="14349" max="14349" width="13" style="8" customWidth="1"/>
    <col min="14350" max="14350" width="10.5703125" style="8" customWidth="1"/>
    <col min="14351" max="14351" width="11.140625" style="8" customWidth="1"/>
    <col min="14352" max="14352" width="10.42578125" style="8" customWidth="1"/>
    <col min="14353" max="14353" width="12.140625" style="8" customWidth="1"/>
    <col min="14354" max="14354" width="14.7109375" style="8" customWidth="1"/>
    <col min="14355" max="14592" width="12.7109375" style="8"/>
    <col min="14593" max="14593" width="21.85546875" style="8" customWidth="1"/>
    <col min="14594" max="14594" width="10.28515625" style="8" customWidth="1"/>
    <col min="14595" max="14595" width="3.85546875" style="8" customWidth="1"/>
    <col min="14596" max="14596" width="11.42578125" style="8" customWidth="1"/>
    <col min="14597" max="14597" width="13.140625" style="8" customWidth="1"/>
    <col min="14598" max="14598" width="10.42578125" style="8" customWidth="1"/>
    <col min="14599" max="14599" width="13.7109375" style="8" customWidth="1"/>
    <col min="14600" max="14600" width="10.28515625" style="8" customWidth="1"/>
    <col min="14601" max="14601" width="11.140625" style="8" customWidth="1"/>
    <col min="14602" max="14602" width="13.5703125" style="8" customWidth="1"/>
    <col min="14603" max="14603" width="10.5703125" style="8" customWidth="1"/>
    <col min="14604" max="14604" width="11" style="8" customWidth="1"/>
    <col min="14605" max="14605" width="13" style="8" customWidth="1"/>
    <col min="14606" max="14606" width="10.5703125" style="8" customWidth="1"/>
    <col min="14607" max="14607" width="11.140625" style="8" customWidth="1"/>
    <col min="14608" max="14608" width="10.42578125" style="8" customWidth="1"/>
    <col min="14609" max="14609" width="12.140625" style="8" customWidth="1"/>
    <col min="14610" max="14610" width="14.7109375" style="8" customWidth="1"/>
    <col min="14611" max="14848" width="12.7109375" style="8"/>
    <col min="14849" max="14849" width="21.85546875" style="8" customWidth="1"/>
    <col min="14850" max="14850" width="10.28515625" style="8" customWidth="1"/>
    <col min="14851" max="14851" width="3.85546875" style="8" customWidth="1"/>
    <col min="14852" max="14852" width="11.42578125" style="8" customWidth="1"/>
    <col min="14853" max="14853" width="13.140625" style="8" customWidth="1"/>
    <col min="14854" max="14854" width="10.42578125" style="8" customWidth="1"/>
    <col min="14855" max="14855" width="13.7109375" style="8" customWidth="1"/>
    <col min="14856" max="14856" width="10.28515625" style="8" customWidth="1"/>
    <col min="14857" max="14857" width="11.140625" style="8" customWidth="1"/>
    <col min="14858" max="14858" width="13.5703125" style="8" customWidth="1"/>
    <col min="14859" max="14859" width="10.5703125" style="8" customWidth="1"/>
    <col min="14860" max="14860" width="11" style="8" customWidth="1"/>
    <col min="14861" max="14861" width="13" style="8" customWidth="1"/>
    <col min="14862" max="14862" width="10.5703125" style="8" customWidth="1"/>
    <col min="14863" max="14863" width="11.140625" style="8" customWidth="1"/>
    <col min="14864" max="14864" width="10.42578125" style="8" customWidth="1"/>
    <col min="14865" max="14865" width="12.140625" style="8" customWidth="1"/>
    <col min="14866" max="14866" width="14.7109375" style="8" customWidth="1"/>
    <col min="14867" max="15104" width="12.7109375" style="8"/>
    <col min="15105" max="15105" width="21.85546875" style="8" customWidth="1"/>
    <col min="15106" max="15106" width="10.28515625" style="8" customWidth="1"/>
    <col min="15107" max="15107" width="3.85546875" style="8" customWidth="1"/>
    <col min="15108" max="15108" width="11.42578125" style="8" customWidth="1"/>
    <col min="15109" max="15109" width="13.140625" style="8" customWidth="1"/>
    <col min="15110" max="15110" width="10.42578125" style="8" customWidth="1"/>
    <col min="15111" max="15111" width="13.7109375" style="8" customWidth="1"/>
    <col min="15112" max="15112" width="10.28515625" style="8" customWidth="1"/>
    <col min="15113" max="15113" width="11.140625" style="8" customWidth="1"/>
    <col min="15114" max="15114" width="13.5703125" style="8" customWidth="1"/>
    <col min="15115" max="15115" width="10.5703125" style="8" customWidth="1"/>
    <col min="15116" max="15116" width="11" style="8" customWidth="1"/>
    <col min="15117" max="15117" width="13" style="8" customWidth="1"/>
    <col min="15118" max="15118" width="10.5703125" style="8" customWidth="1"/>
    <col min="15119" max="15119" width="11.140625" style="8" customWidth="1"/>
    <col min="15120" max="15120" width="10.42578125" style="8" customWidth="1"/>
    <col min="15121" max="15121" width="12.140625" style="8" customWidth="1"/>
    <col min="15122" max="15122" width="14.7109375" style="8" customWidth="1"/>
    <col min="15123" max="15360" width="12.7109375" style="8"/>
    <col min="15361" max="15361" width="21.85546875" style="8" customWidth="1"/>
    <col min="15362" max="15362" width="10.28515625" style="8" customWidth="1"/>
    <col min="15363" max="15363" width="3.85546875" style="8" customWidth="1"/>
    <col min="15364" max="15364" width="11.42578125" style="8" customWidth="1"/>
    <col min="15365" max="15365" width="13.140625" style="8" customWidth="1"/>
    <col min="15366" max="15366" width="10.42578125" style="8" customWidth="1"/>
    <col min="15367" max="15367" width="13.7109375" style="8" customWidth="1"/>
    <col min="15368" max="15368" width="10.28515625" style="8" customWidth="1"/>
    <col min="15369" max="15369" width="11.140625" style="8" customWidth="1"/>
    <col min="15370" max="15370" width="13.5703125" style="8" customWidth="1"/>
    <col min="15371" max="15371" width="10.5703125" style="8" customWidth="1"/>
    <col min="15372" max="15372" width="11" style="8" customWidth="1"/>
    <col min="15373" max="15373" width="13" style="8" customWidth="1"/>
    <col min="15374" max="15374" width="10.5703125" style="8" customWidth="1"/>
    <col min="15375" max="15375" width="11.140625" style="8" customWidth="1"/>
    <col min="15376" max="15376" width="10.42578125" style="8" customWidth="1"/>
    <col min="15377" max="15377" width="12.140625" style="8" customWidth="1"/>
    <col min="15378" max="15378" width="14.7109375" style="8" customWidth="1"/>
    <col min="15379" max="15616" width="12.7109375" style="8"/>
    <col min="15617" max="15617" width="21.85546875" style="8" customWidth="1"/>
    <col min="15618" max="15618" width="10.28515625" style="8" customWidth="1"/>
    <col min="15619" max="15619" width="3.85546875" style="8" customWidth="1"/>
    <col min="15620" max="15620" width="11.42578125" style="8" customWidth="1"/>
    <col min="15621" max="15621" width="13.140625" style="8" customWidth="1"/>
    <col min="15622" max="15622" width="10.42578125" style="8" customWidth="1"/>
    <col min="15623" max="15623" width="13.7109375" style="8" customWidth="1"/>
    <col min="15624" max="15624" width="10.28515625" style="8" customWidth="1"/>
    <col min="15625" max="15625" width="11.140625" style="8" customWidth="1"/>
    <col min="15626" max="15626" width="13.5703125" style="8" customWidth="1"/>
    <col min="15627" max="15627" width="10.5703125" style="8" customWidth="1"/>
    <col min="15628" max="15628" width="11" style="8" customWidth="1"/>
    <col min="15629" max="15629" width="13" style="8" customWidth="1"/>
    <col min="15630" max="15630" width="10.5703125" style="8" customWidth="1"/>
    <col min="15631" max="15631" width="11.140625" style="8" customWidth="1"/>
    <col min="15632" max="15632" width="10.42578125" style="8" customWidth="1"/>
    <col min="15633" max="15633" width="12.140625" style="8" customWidth="1"/>
    <col min="15634" max="15634" width="14.7109375" style="8" customWidth="1"/>
    <col min="15635" max="15872" width="12.7109375" style="8"/>
    <col min="15873" max="15873" width="21.85546875" style="8" customWidth="1"/>
    <col min="15874" max="15874" width="10.28515625" style="8" customWidth="1"/>
    <col min="15875" max="15875" width="3.85546875" style="8" customWidth="1"/>
    <col min="15876" max="15876" width="11.42578125" style="8" customWidth="1"/>
    <col min="15877" max="15877" width="13.140625" style="8" customWidth="1"/>
    <col min="15878" max="15878" width="10.42578125" style="8" customWidth="1"/>
    <col min="15879" max="15879" width="13.7109375" style="8" customWidth="1"/>
    <col min="15880" max="15880" width="10.28515625" style="8" customWidth="1"/>
    <col min="15881" max="15881" width="11.140625" style="8" customWidth="1"/>
    <col min="15882" max="15882" width="13.5703125" style="8" customWidth="1"/>
    <col min="15883" max="15883" width="10.5703125" style="8" customWidth="1"/>
    <col min="15884" max="15884" width="11" style="8" customWidth="1"/>
    <col min="15885" max="15885" width="13" style="8" customWidth="1"/>
    <col min="15886" max="15886" width="10.5703125" style="8" customWidth="1"/>
    <col min="15887" max="15887" width="11.140625" style="8" customWidth="1"/>
    <col min="15888" max="15888" width="10.42578125" style="8" customWidth="1"/>
    <col min="15889" max="15889" width="12.140625" style="8" customWidth="1"/>
    <col min="15890" max="15890" width="14.7109375" style="8" customWidth="1"/>
    <col min="15891" max="16128" width="12.7109375" style="8"/>
    <col min="16129" max="16129" width="21.85546875" style="8" customWidth="1"/>
    <col min="16130" max="16130" width="10.28515625" style="8" customWidth="1"/>
    <col min="16131" max="16131" width="3.85546875" style="8" customWidth="1"/>
    <col min="16132" max="16132" width="11.42578125" style="8" customWidth="1"/>
    <col min="16133" max="16133" width="13.140625" style="8" customWidth="1"/>
    <col min="16134" max="16134" width="10.42578125" style="8" customWidth="1"/>
    <col min="16135" max="16135" width="13.7109375" style="8" customWidth="1"/>
    <col min="16136" max="16136" width="10.28515625" style="8" customWidth="1"/>
    <col min="16137" max="16137" width="11.140625" style="8" customWidth="1"/>
    <col min="16138" max="16138" width="13.5703125" style="8" customWidth="1"/>
    <col min="16139" max="16139" width="10.5703125" style="8" customWidth="1"/>
    <col min="16140" max="16140" width="11" style="8" customWidth="1"/>
    <col min="16141" max="16141" width="13" style="8" customWidth="1"/>
    <col min="16142" max="16142" width="10.5703125" style="8" customWidth="1"/>
    <col min="16143" max="16143" width="11.140625" style="8" customWidth="1"/>
    <col min="16144" max="16144" width="10.42578125" style="8" customWidth="1"/>
    <col min="16145" max="16145" width="12.140625" style="8" customWidth="1"/>
    <col min="16146" max="16146" width="14.7109375" style="8" customWidth="1"/>
    <col min="16147" max="16384" width="12.7109375" style="8"/>
  </cols>
  <sheetData>
    <row r="1" spans="1:21" s="10" customFormat="1">
      <c r="A1" s="348" t="s">
        <v>452</v>
      </c>
      <c r="B1" s="313"/>
      <c r="C1" s="313"/>
      <c r="D1" s="313"/>
      <c r="E1" s="313"/>
      <c r="F1" s="313"/>
      <c r="G1" s="313"/>
      <c r="H1" s="313"/>
      <c r="I1" s="313"/>
      <c r="J1" s="313"/>
      <c r="K1" s="313"/>
      <c r="L1" s="313"/>
      <c r="M1" s="313"/>
      <c r="N1" s="313"/>
      <c r="O1" s="313"/>
      <c r="P1" s="313"/>
      <c r="Q1" s="313"/>
      <c r="R1" s="313"/>
    </row>
    <row r="2" spans="1:21" s="10" customFormat="1">
      <c r="A2" s="348" t="s">
        <v>102</v>
      </c>
      <c r="B2" s="313"/>
      <c r="C2" s="313"/>
      <c r="D2" s="313"/>
      <c r="E2" s="313"/>
      <c r="F2" s="313"/>
      <c r="G2" s="313"/>
      <c r="H2" s="313"/>
      <c r="I2" s="313"/>
      <c r="J2" s="313"/>
      <c r="K2" s="313"/>
      <c r="L2" s="313"/>
      <c r="M2" s="313"/>
      <c r="N2" s="313"/>
      <c r="O2" s="313"/>
      <c r="P2" s="313"/>
      <c r="Q2" s="313"/>
      <c r="R2" s="313"/>
    </row>
    <row r="3" spans="1:21" s="16" customFormat="1"/>
    <row r="4" spans="1:21">
      <c r="A4" s="349" t="s">
        <v>275</v>
      </c>
      <c r="B4" s="350" t="s">
        <v>268</v>
      </c>
      <c r="C4" s="351"/>
      <c r="D4" s="353" t="s">
        <v>272</v>
      </c>
      <c r="E4" s="354"/>
      <c r="F4" s="354"/>
      <c r="G4" s="354"/>
      <c r="H4" s="354"/>
      <c r="I4" s="353" t="s">
        <v>103</v>
      </c>
      <c r="J4" s="354"/>
      <c r="K4" s="354"/>
      <c r="L4" s="353" t="s">
        <v>104</v>
      </c>
      <c r="M4" s="356"/>
      <c r="N4" s="356"/>
      <c r="O4" s="353" t="s">
        <v>269</v>
      </c>
      <c r="P4" s="353" t="s">
        <v>273</v>
      </c>
      <c r="Q4" s="353" t="s">
        <v>270</v>
      </c>
      <c r="R4" s="361" t="s">
        <v>271</v>
      </c>
    </row>
    <row r="5" spans="1:21" s="107" customFormat="1">
      <c r="A5" s="328"/>
      <c r="B5" s="352"/>
      <c r="C5" s="351"/>
      <c r="D5" s="364" t="s">
        <v>105</v>
      </c>
      <c r="E5" s="364" t="s">
        <v>106</v>
      </c>
      <c r="F5" s="364" t="s">
        <v>274</v>
      </c>
      <c r="G5" s="366"/>
      <c r="H5" s="357" t="s">
        <v>108</v>
      </c>
      <c r="I5" s="355"/>
      <c r="J5" s="355"/>
      <c r="K5" s="355"/>
      <c r="L5" s="355"/>
      <c r="M5" s="355"/>
      <c r="N5" s="355"/>
      <c r="O5" s="357"/>
      <c r="P5" s="359"/>
      <c r="Q5" s="357"/>
      <c r="R5" s="362"/>
    </row>
    <row r="6" spans="1:21" s="107" customFormat="1" ht="25.5" customHeight="1">
      <c r="A6" s="328"/>
      <c r="B6" s="352"/>
      <c r="C6" s="351"/>
      <c r="D6" s="365"/>
      <c r="E6" s="365"/>
      <c r="F6" s="121" t="s">
        <v>107</v>
      </c>
      <c r="G6" s="121" t="s">
        <v>39</v>
      </c>
      <c r="H6" s="365"/>
      <c r="I6" s="121" t="s">
        <v>109</v>
      </c>
      <c r="J6" s="121" t="s">
        <v>474</v>
      </c>
      <c r="K6" s="122" t="s">
        <v>108</v>
      </c>
      <c r="L6" s="121" t="s">
        <v>105</v>
      </c>
      <c r="M6" s="121" t="s">
        <v>474</v>
      </c>
      <c r="N6" s="121" t="s">
        <v>108</v>
      </c>
      <c r="O6" s="358"/>
      <c r="P6" s="360"/>
      <c r="Q6" s="358"/>
      <c r="R6" s="363"/>
    </row>
    <row r="7" spans="1:21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</row>
    <row r="8" spans="1:21">
      <c r="A8" s="123" t="s">
        <v>110</v>
      </c>
      <c r="B8" s="124">
        <v>26.1</v>
      </c>
      <c r="C8" s="124"/>
      <c r="D8" s="124">
        <v>2.2999999999999998</v>
      </c>
      <c r="E8" s="124">
        <v>0</v>
      </c>
      <c r="F8" s="124">
        <v>0</v>
      </c>
      <c r="G8" s="124">
        <v>0</v>
      </c>
      <c r="H8" s="124">
        <v>2.2999999999999998</v>
      </c>
      <c r="I8" s="124">
        <v>3.9</v>
      </c>
      <c r="J8" s="124">
        <v>0</v>
      </c>
      <c r="K8" s="124">
        <v>3.9</v>
      </c>
      <c r="L8" s="124">
        <v>0.5</v>
      </c>
      <c r="M8" s="124">
        <v>0</v>
      </c>
      <c r="N8" s="124">
        <v>0.5</v>
      </c>
      <c r="O8" s="124">
        <v>0</v>
      </c>
      <c r="P8" s="124">
        <v>24.5</v>
      </c>
      <c r="Q8" s="124">
        <v>0</v>
      </c>
      <c r="R8" s="124">
        <v>24.5</v>
      </c>
      <c r="S8" s="63"/>
      <c r="T8" s="63"/>
      <c r="U8" s="63"/>
    </row>
    <row r="9" spans="1:21">
      <c r="A9" s="123" t="s">
        <v>111</v>
      </c>
      <c r="B9" s="124">
        <v>25.6</v>
      </c>
      <c r="C9" s="124"/>
      <c r="D9" s="124">
        <v>2.2999999999999998</v>
      </c>
      <c r="E9" s="124">
        <v>0</v>
      </c>
      <c r="F9" s="124">
        <v>0</v>
      </c>
      <c r="G9" s="124">
        <v>0</v>
      </c>
      <c r="H9" s="124">
        <v>2.2999999999999998</v>
      </c>
      <c r="I9" s="124">
        <v>3.9</v>
      </c>
      <c r="J9" s="124">
        <v>0</v>
      </c>
      <c r="K9" s="124">
        <v>3.9</v>
      </c>
      <c r="L9" s="124">
        <v>0.5</v>
      </c>
      <c r="M9" s="124">
        <v>0</v>
      </c>
      <c r="N9" s="124">
        <v>0.5</v>
      </c>
      <c r="O9" s="124">
        <v>0</v>
      </c>
      <c r="P9" s="124">
        <v>24</v>
      </c>
      <c r="Q9" s="124">
        <v>0</v>
      </c>
      <c r="R9" s="124">
        <v>24</v>
      </c>
    </row>
    <row r="10" spans="1:21">
      <c r="A10" s="123" t="s">
        <v>112</v>
      </c>
      <c r="B10" s="124">
        <v>0.5</v>
      </c>
      <c r="C10" s="124"/>
      <c r="D10" s="124">
        <v>0</v>
      </c>
      <c r="E10" s="124">
        <v>0</v>
      </c>
      <c r="F10" s="124">
        <v>0</v>
      </c>
      <c r="G10" s="124">
        <v>0</v>
      </c>
      <c r="H10" s="124">
        <v>0</v>
      </c>
      <c r="I10" s="124">
        <v>0</v>
      </c>
      <c r="J10" s="124">
        <v>0</v>
      </c>
      <c r="K10" s="124">
        <v>0</v>
      </c>
      <c r="L10" s="124">
        <v>0</v>
      </c>
      <c r="M10" s="124">
        <v>0</v>
      </c>
      <c r="N10" s="124">
        <v>0</v>
      </c>
      <c r="O10" s="124">
        <v>0</v>
      </c>
      <c r="P10" s="124">
        <v>0.5</v>
      </c>
      <c r="Q10" s="124">
        <v>0</v>
      </c>
      <c r="R10" s="124">
        <v>0.5</v>
      </c>
    </row>
    <row r="11" spans="1:21">
      <c r="A11" s="102"/>
      <c r="B11" s="124"/>
      <c r="C11" s="124"/>
      <c r="D11" s="124"/>
      <c r="E11" s="124"/>
      <c r="F11" s="124"/>
      <c r="G11" s="124"/>
      <c r="H11" s="124"/>
      <c r="I11" s="124"/>
      <c r="J11" s="124"/>
      <c r="K11" s="124"/>
      <c r="L11" s="124"/>
      <c r="M11" s="124"/>
      <c r="N11" s="124"/>
      <c r="O11" s="124"/>
      <c r="P11" s="124"/>
      <c r="Q11" s="124"/>
      <c r="R11" s="124"/>
    </row>
    <row r="12" spans="1:21">
      <c r="A12" s="123" t="s">
        <v>113</v>
      </c>
      <c r="B12" s="124">
        <v>24.5</v>
      </c>
      <c r="C12" s="124"/>
      <c r="D12" s="124">
        <v>2.5</v>
      </c>
      <c r="E12" s="124">
        <v>0</v>
      </c>
      <c r="F12" s="124">
        <v>0</v>
      </c>
      <c r="G12" s="124">
        <v>0</v>
      </c>
      <c r="H12" s="124">
        <v>2.5</v>
      </c>
      <c r="I12" s="124">
        <v>1.8</v>
      </c>
      <c r="J12" s="124">
        <v>0</v>
      </c>
      <c r="K12" s="124">
        <v>1.8</v>
      </c>
      <c r="L12" s="124">
        <v>1.2</v>
      </c>
      <c r="M12" s="124">
        <v>0</v>
      </c>
      <c r="N12" s="124">
        <v>1.2</v>
      </c>
      <c r="O12" s="124">
        <v>0</v>
      </c>
      <c r="P12" s="124">
        <v>25.2</v>
      </c>
      <c r="Q12" s="124">
        <v>0</v>
      </c>
      <c r="R12" s="124">
        <v>25.2</v>
      </c>
      <c r="S12" s="63"/>
    </row>
    <row r="13" spans="1:21">
      <c r="A13" s="123" t="s">
        <v>111</v>
      </c>
      <c r="B13" s="124">
        <v>24</v>
      </c>
      <c r="C13" s="124"/>
      <c r="D13" s="124">
        <v>2.5</v>
      </c>
      <c r="E13" s="124">
        <v>0</v>
      </c>
      <c r="F13" s="124">
        <v>0</v>
      </c>
      <c r="G13" s="124">
        <v>0</v>
      </c>
      <c r="H13" s="124">
        <v>2.5</v>
      </c>
      <c r="I13" s="124">
        <v>1.8</v>
      </c>
      <c r="J13" s="124">
        <v>0</v>
      </c>
      <c r="K13" s="124">
        <v>1.8</v>
      </c>
      <c r="L13" s="124">
        <v>1.2</v>
      </c>
      <c r="M13" s="124">
        <v>0</v>
      </c>
      <c r="N13" s="124">
        <v>1.2</v>
      </c>
      <c r="O13" s="124">
        <v>0</v>
      </c>
      <c r="P13" s="124">
        <v>24.7</v>
      </c>
      <c r="Q13" s="124">
        <v>0</v>
      </c>
      <c r="R13" s="124">
        <v>24.7</v>
      </c>
    </row>
    <row r="14" spans="1:21">
      <c r="A14" s="123" t="s">
        <v>112</v>
      </c>
      <c r="B14" s="124">
        <v>0.5</v>
      </c>
      <c r="C14" s="124"/>
      <c r="D14" s="124">
        <v>0</v>
      </c>
      <c r="E14" s="124">
        <v>0</v>
      </c>
      <c r="F14" s="124">
        <v>0</v>
      </c>
      <c r="G14" s="124">
        <v>0</v>
      </c>
      <c r="H14" s="124">
        <v>0</v>
      </c>
      <c r="I14" s="124">
        <v>0</v>
      </c>
      <c r="J14" s="124">
        <v>0</v>
      </c>
      <c r="K14" s="124">
        <v>0</v>
      </c>
      <c r="L14" s="124">
        <v>0</v>
      </c>
      <c r="M14" s="124">
        <v>0</v>
      </c>
      <c r="N14" s="124">
        <v>0</v>
      </c>
      <c r="O14" s="124">
        <v>0</v>
      </c>
      <c r="P14" s="124">
        <v>0.5</v>
      </c>
      <c r="Q14" s="124">
        <v>0</v>
      </c>
      <c r="R14" s="124">
        <v>0.5</v>
      </c>
    </row>
    <row r="15" spans="1:21">
      <c r="A15" s="102"/>
      <c r="B15" s="124"/>
      <c r="C15" s="124"/>
      <c r="D15" s="124"/>
      <c r="E15" s="124"/>
      <c r="F15" s="124"/>
      <c r="G15" s="124"/>
      <c r="H15" s="124"/>
      <c r="I15" s="124"/>
      <c r="J15" s="124"/>
      <c r="K15" s="124"/>
      <c r="L15" s="124"/>
      <c r="M15" s="124"/>
      <c r="N15" s="124"/>
      <c r="O15" s="124"/>
      <c r="P15" s="124"/>
      <c r="Q15" s="124"/>
      <c r="R15" s="124"/>
    </row>
    <row r="16" spans="1:21">
      <c r="A16" s="123" t="s">
        <v>114</v>
      </c>
      <c r="B16" s="124">
        <v>25.2</v>
      </c>
      <c r="C16" s="124"/>
      <c r="D16" s="124">
        <v>6.1</v>
      </c>
      <c r="E16" s="124">
        <v>0</v>
      </c>
      <c r="F16" s="124">
        <v>0</v>
      </c>
      <c r="G16" s="124">
        <v>0</v>
      </c>
      <c r="H16" s="124">
        <v>6.1</v>
      </c>
      <c r="I16" s="124">
        <v>2.4</v>
      </c>
      <c r="J16" s="124">
        <v>0</v>
      </c>
      <c r="K16" s="124">
        <v>2.4</v>
      </c>
      <c r="L16" s="124">
        <v>0.7</v>
      </c>
      <c r="M16" s="124">
        <v>0</v>
      </c>
      <c r="N16" s="124">
        <v>0.7</v>
      </c>
      <c r="O16" s="124">
        <v>0</v>
      </c>
      <c r="P16" s="124">
        <v>28.9</v>
      </c>
      <c r="Q16" s="124">
        <v>0</v>
      </c>
      <c r="R16" s="124">
        <v>28.9</v>
      </c>
    </row>
    <row r="17" spans="1:18">
      <c r="A17" s="123" t="s">
        <v>111</v>
      </c>
      <c r="B17" s="124">
        <v>24.7</v>
      </c>
      <c r="C17" s="124"/>
      <c r="D17" s="124">
        <v>6.1</v>
      </c>
      <c r="E17" s="124">
        <v>0</v>
      </c>
      <c r="F17" s="124">
        <v>0</v>
      </c>
      <c r="G17" s="124">
        <v>0</v>
      </c>
      <c r="H17" s="124">
        <v>6.1</v>
      </c>
      <c r="I17" s="124">
        <v>2.4</v>
      </c>
      <c r="J17" s="124">
        <v>0</v>
      </c>
      <c r="K17" s="124">
        <v>2.4</v>
      </c>
      <c r="L17" s="124">
        <v>0.7</v>
      </c>
      <c r="M17" s="124">
        <v>0</v>
      </c>
      <c r="N17" s="124">
        <v>0.7</v>
      </c>
      <c r="O17" s="124">
        <v>0</v>
      </c>
      <c r="P17" s="124">
        <v>28.4</v>
      </c>
      <c r="Q17" s="124">
        <v>0</v>
      </c>
      <c r="R17" s="124">
        <v>28.4</v>
      </c>
    </row>
    <row r="18" spans="1:18">
      <c r="A18" s="123" t="s">
        <v>112</v>
      </c>
      <c r="B18" s="124">
        <v>0.5</v>
      </c>
      <c r="C18" s="124"/>
      <c r="D18" s="124">
        <v>0</v>
      </c>
      <c r="E18" s="124">
        <v>0</v>
      </c>
      <c r="F18" s="124">
        <v>0</v>
      </c>
      <c r="G18" s="124">
        <v>0</v>
      </c>
      <c r="H18" s="124">
        <v>0</v>
      </c>
      <c r="I18" s="124">
        <v>0</v>
      </c>
      <c r="J18" s="124">
        <v>0</v>
      </c>
      <c r="K18" s="124">
        <v>0</v>
      </c>
      <c r="L18" s="124">
        <v>0</v>
      </c>
      <c r="M18" s="124">
        <v>0</v>
      </c>
      <c r="N18" s="124">
        <v>0</v>
      </c>
      <c r="O18" s="124">
        <v>0</v>
      </c>
      <c r="P18" s="124">
        <v>0.5</v>
      </c>
      <c r="Q18" s="124">
        <v>0</v>
      </c>
      <c r="R18" s="124">
        <v>0.5</v>
      </c>
    </row>
    <row r="19" spans="1:18">
      <c r="A19" s="102"/>
      <c r="B19" s="124"/>
      <c r="C19" s="124"/>
      <c r="D19" s="124"/>
      <c r="E19" s="124"/>
      <c r="F19" s="124"/>
      <c r="G19" s="124"/>
      <c r="H19" s="124"/>
      <c r="I19" s="124"/>
      <c r="J19" s="124"/>
      <c r="K19" s="124"/>
      <c r="L19" s="124"/>
      <c r="M19" s="124"/>
      <c r="N19" s="124"/>
      <c r="O19" s="124"/>
      <c r="P19" s="124"/>
      <c r="Q19" s="124"/>
      <c r="R19" s="124"/>
    </row>
    <row r="20" spans="1:18">
      <c r="A20" s="123" t="s">
        <v>115</v>
      </c>
      <c r="B20" s="124">
        <v>28.9</v>
      </c>
      <c r="C20" s="124"/>
      <c r="D20" s="124">
        <v>3.8</v>
      </c>
      <c r="E20" s="124">
        <v>0</v>
      </c>
      <c r="F20" s="124">
        <v>0</v>
      </c>
      <c r="G20" s="124">
        <v>0</v>
      </c>
      <c r="H20" s="124">
        <v>3.8</v>
      </c>
      <c r="I20" s="124">
        <v>3.7</v>
      </c>
      <c r="J20" s="124">
        <v>0</v>
      </c>
      <c r="K20" s="124">
        <v>3.7</v>
      </c>
      <c r="L20" s="124">
        <v>0.7</v>
      </c>
      <c r="M20" s="124">
        <v>0</v>
      </c>
      <c r="N20" s="124">
        <v>0.7</v>
      </c>
      <c r="O20" s="124">
        <v>0</v>
      </c>
      <c r="P20" s="124">
        <v>29</v>
      </c>
      <c r="Q20" s="124">
        <v>0</v>
      </c>
      <c r="R20" s="124">
        <v>29</v>
      </c>
    </row>
    <row r="21" spans="1:18">
      <c r="A21" s="123" t="s">
        <v>111</v>
      </c>
      <c r="B21" s="124">
        <v>28.4</v>
      </c>
      <c r="C21" s="124"/>
      <c r="D21" s="124">
        <v>3.8</v>
      </c>
      <c r="E21" s="124">
        <v>0</v>
      </c>
      <c r="F21" s="124">
        <v>0</v>
      </c>
      <c r="G21" s="124">
        <v>0</v>
      </c>
      <c r="H21" s="124">
        <v>3.8</v>
      </c>
      <c r="I21" s="124">
        <v>3.7</v>
      </c>
      <c r="J21" s="124">
        <v>0</v>
      </c>
      <c r="K21" s="124">
        <v>3.7</v>
      </c>
      <c r="L21" s="124">
        <v>0.7</v>
      </c>
      <c r="M21" s="124">
        <v>0</v>
      </c>
      <c r="N21" s="124">
        <v>0.7</v>
      </c>
      <c r="O21" s="124">
        <v>0</v>
      </c>
      <c r="P21" s="124">
        <v>28.5</v>
      </c>
      <c r="Q21" s="124">
        <v>0</v>
      </c>
      <c r="R21" s="124">
        <v>28.5</v>
      </c>
    </row>
    <row r="22" spans="1:18">
      <c r="A22" s="123" t="s">
        <v>112</v>
      </c>
      <c r="B22" s="124">
        <v>0.5</v>
      </c>
      <c r="C22" s="124"/>
      <c r="D22" s="124">
        <v>0</v>
      </c>
      <c r="E22" s="124">
        <v>0</v>
      </c>
      <c r="F22" s="124">
        <v>0</v>
      </c>
      <c r="G22" s="124">
        <v>0</v>
      </c>
      <c r="H22" s="124">
        <v>0</v>
      </c>
      <c r="I22" s="124">
        <v>0</v>
      </c>
      <c r="J22" s="124">
        <v>0</v>
      </c>
      <c r="K22" s="124">
        <v>0</v>
      </c>
      <c r="L22" s="124">
        <v>0</v>
      </c>
      <c r="M22" s="124">
        <v>0</v>
      </c>
      <c r="N22" s="124">
        <v>0</v>
      </c>
      <c r="O22" s="124">
        <v>0</v>
      </c>
      <c r="P22" s="124">
        <v>0.5</v>
      </c>
      <c r="Q22" s="124">
        <v>0</v>
      </c>
      <c r="R22" s="124">
        <v>0.5</v>
      </c>
    </row>
    <row r="23" spans="1:18">
      <c r="A23" s="102"/>
      <c r="B23" s="124"/>
      <c r="C23" s="124"/>
      <c r="D23" s="124"/>
      <c r="E23" s="124"/>
      <c r="F23" s="124"/>
      <c r="G23" s="124"/>
      <c r="H23" s="124"/>
      <c r="I23" s="124"/>
      <c r="J23" s="124"/>
      <c r="K23" s="124"/>
      <c r="L23" s="124"/>
      <c r="M23" s="124"/>
      <c r="N23" s="124"/>
      <c r="O23" s="124"/>
      <c r="P23" s="124"/>
      <c r="Q23" s="124"/>
      <c r="R23" s="124"/>
    </row>
    <row r="24" spans="1:18">
      <c r="A24" s="123" t="s">
        <v>116</v>
      </c>
      <c r="B24" s="124">
        <v>29</v>
      </c>
      <c r="C24" s="124"/>
      <c r="D24" s="124">
        <v>12.7</v>
      </c>
      <c r="E24" s="124">
        <v>0</v>
      </c>
      <c r="F24" s="124">
        <v>0</v>
      </c>
      <c r="G24" s="124">
        <v>0</v>
      </c>
      <c r="H24" s="124">
        <v>12.7</v>
      </c>
      <c r="I24" s="124">
        <v>2.7</v>
      </c>
      <c r="J24" s="124">
        <v>0</v>
      </c>
      <c r="K24" s="124">
        <v>2.7</v>
      </c>
      <c r="L24" s="124">
        <v>0.8</v>
      </c>
      <c r="M24" s="124">
        <v>0</v>
      </c>
      <c r="N24" s="124">
        <v>0.8</v>
      </c>
      <c r="O24" s="124">
        <v>0</v>
      </c>
      <c r="P24" s="124">
        <v>39</v>
      </c>
      <c r="Q24" s="124">
        <v>0</v>
      </c>
      <c r="R24" s="124">
        <v>39</v>
      </c>
    </row>
    <row r="25" spans="1:18">
      <c r="A25" s="123" t="s">
        <v>111</v>
      </c>
      <c r="B25" s="124">
        <v>28.5</v>
      </c>
      <c r="C25" s="124"/>
      <c r="D25" s="124">
        <v>12.7</v>
      </c>
      <c r="E25" s="124">
        <v>0</v>
      </c>
      <c r="F25" s="124">
        <v>0</v>
      </c>
      <c r="G25" s="124">
        <v>0</v>
      </c>
      <c r="H25" s="124">
        <v>12.7</v>
      </c>
      <c r="I25" s="124">
        <v>2.7</v>
      </c>
      <c r="J25" s="124">
        <v>0</v>
      </c>
      <c r="K25" s="124">
        <v>2.7</v>
      </c>
      <c r="L25" s="124">
        <v>0.8</v>
      </c>
      <c r="M25" s="124">
        <v>0</v>
      </c>
      <c r="N25" s="124">
        <v>0.8</v>
      </c>
      <c r="O25" s="124">
        <v>0</v>
      </c>
      <c r="P25" s="124">
        <v>38.5</v>
      </c>
      <c r="Q25" s="124">
        <v>0</v>
      </c>
      <c r="R25" s="124">
        <v>38.5</v>
      </c>
    </row>
    <row r="26" spans="1:18">
      <c r="A26" s="123" t="s">
        <v>112</v>
      </c>
      <c r="B26" s="124">
        <v>0.5</v>
      </c>
      <c r="C26" s="124"/>
      <c r="D26" s="124">
        <v>0</v>
      </c>
      <c r="E26" s="124">
        <v>0</v>
      </c>
      <c r="F26" s="124">
        <v>0</v>
      </c>
      <c r="G26" s="124">
        <v>0</v>
      </c>
      <c r="H26" s="124">
        <v>0</v>
      </c>
      <c r="I26" s="124">
        <v>0</v>
      </c>
      <c r="J26" s="124">
        <v>0</v>
      </c>
      <c r="K26" s="124">
        <v>0</v>
      </c>
      <c r="L26" s="124">
        <v>0</v>
      </c>
      <c r="M26" s="124">
        <v>0</v>
      </c>
      <c r="N26" s="124">
        <v>0</v>
      </c>
      <c r="O26" s="124">
        <v>0</v>
      </c>
      <c r="P26" s="124">
        <v>0.5</v>
      </c>
      <c r="Q26" s="124">
        <v>0</v>
      </c>
      <c r="R26" s="124">
        <v>0.5</v>
      </c>
    </row>
    <row r="27" spans="1:18">
      <c r="A27" s="102"/>
      <c r="B27" s="124"/>
      <c r="C27" s="124"/>
      <c r="D27" s="124"/>
      <c r="E27" s="124"/>
      <c r="F27" s="124"/>
      <c r="G27" s="124"/>
      <c r="H27" s="124"/>
      <c r="I27" s="124"/>
      <c r="J27" s="124"/>
      <c r="K27" s="124"/>
      <c r="L27" s="124"/>
      <c r="M27" s="124"/>
      <c r="N27" s="124"/>
      <c r="O27" s="124"/>
      <c r="P27" s="124"/>
      <c r="Q27" s="124"/>
      <c r="R27" s="124"/>
    </row>
    <row r="28" spans="1:18">
      <c r="A28" s="123" t="s">
        <v>117</v>
      </c>
      <c r="B28" s="124">
        <v>39</v>
      </c>
      <c r="C28" s="124"/>
      <c r="D28" s="124">
        <v>13.2</v>
      </c>
      <c r="E28" s="124">
        <v>0</v>
      </c>
      <c r="F28" s="124">
        <v>0</v>
      </c>
      <c r="G28" s="124">
        <v>0</v>
      </c>
      <c r="H28" s="124">
        <v>13.2</v>
      </c>
      <c r="I28" s="124">
        <v>4.0999999999999996</v>
      </c>
      <c r="J28" s="124">
        <v>0</v>
      </c>
      <c r="K28" s="124">
        <v>4.0999999999999996</v>
      </c>
      <c r="L28" s="124">
        <v>1.1000000000000001</v>
      </c>
      <c r="M28" s="124">
        <v>0</v>
      </c>
      <c r="N28" s="124">
        <v>1.1000000000000001</v>
      </c>
      <c r="O28" s="124">
        <v>0</v>
      </c>
      <c r="P28" s="124">
        <v>48.1</v>
      </c>
      <c r="Q28" s="124">
        <v>0</v>
      </c>
      <c r="R28" s="124">
        <v>48.1</v>
      </c>
    </row>
    <row r="29" spans="1:18">
      <c r="A29" s="123" t="s">
        <v>111</v>
      </c>
      <c r="B29" s="124">
        <v>38.5</v>
      </c>
      <c r="C29" s="124"/>
      <c r="D29" s="124">
        <v>13.2</v>
      </c>
      <c r="E29" s="124">
        <v>0</v>
      </c>
      <c r="F29" s="124">
        <v>0</v>
      </c>
      <c r="G29" s="124">
        <v>0</v>
      </c>
      <c r="H29" s="124">
        <v>13.2</v>
      </c>
      <c r="I29" s="124">
        <v>4.0999999999999996</v>
      </c>
      <c r="J29" s="124">
        <v>0</v>
      </c>
      <c r="K29" s="124">
        <v>4.0999999999999996</v>
      </c>
      <c r="L29" s="124">
        <v>1.1000000000000001</v>
      </c>
      <c r="M29" s="124">
        <v>0</v>
      </c>
      <c r="N29" s="124">
        <v>1.1000000000000001</v>
      </c>
      <c r="O29" s="124">
        <v>0</v>
      </c>
      <c r="P29" s="124">
        <v>47.6</v>
      </c>
      <c r="Q29" s="124">
        <v>0</v>
      </c>
      <c r="R29" s="124">
        <v>47.6</v>
      </c>
    </row>
    <row r="30" spans="1:18">
      <c r="A30" s="123" t="s">
        <v>112</v>
      </c>
      <c r="B30" s="124">
        <v>0.5</v>
      </c>
      <c r="C30" s="124"/>
      <c r="D30" s="124">
        <v>0</v>
      </c>
      <c r="E30" s="124">
        <v>0</v>
      </c>
      <c r="F30" s="124">
        <v>0</v>
      </c>
      <c r="G30" s="124">
        <v>0</v>
      </c>
      <c r="H30" s="124">
        <v>0</v>
      </c>
      <c r="I30" s="124">
        <v>0</v>
      </c>
      <c r="J30" s="124">
        <v>0</v>
      </c>
      <c r="K30" s="124">
        <v>0</v>
      </c>
      <c r="L30" s="124">
        <v>0</v>
      </c>
      <c r="M30" s="124">
        <v>0</v>
      </c>
      <c r="N30" s="124">
        <v>0</v>
      </c>
      <c r="O30" s="124">
        <v>0</v>
      </c>
      <c r="P30" s="124">
        <v>0.5</v>
      </c>
      <c r="Q30" s="124">
        <v>0</v>
      </c>
      <c r="R30" s="124">
        <v>0.5</v>
      </c>
    </row>
    <row r="31" spans="1:18">
      <c r="A31" s="102"/>
      <c r="B31" s="124"/>
      <c r="C31" s="124"/>
      <c r="D31" s="124"/>
      <c r="E31" s="124"/>
      <c r="F31" s="124"/>
      <c r="G31" s="124"/>
      <c r="H31" s="124"/>
      <c r="I31" s="124"/>
      <c r="J31" s="124"/>
      <c r="K31" s="124"/>
      <c r="L31" s="124"/>
      <c r="M31" s="124"/>
      <c r="N31" s="124"/>
      <c r="O31" s="124"/>
      <c r="P31" s="124"/>
      <c r="Q31" s="124"/>
      <c r="R31" s="124"/>
    </row>
    <row r="32" spans="1:18">
      <c r="A32" s="123" t="s">
        <v>118</v>
      </c>
      <c r="B32" s="124">
        <v>48.1</v>
      </c>
      <c r="C32" s="124"/>
      <c r="D32" s="124">
        <v>16.899999999999999</v>
      </c>
      <c r="E32" s="124">
        <v>0</v>
      </c>
      <c r="F32" s="124">
        <v>0</v>
      </c>
      <c r="G32" s="124">
        <v>0</v>
      </c>
      <c r="H32" s="124">
        <v>16.899999999999999</v>
      </c>
      <c r="I32" s="124">
        <v>3.4</v>
      </c>
      <c r="J32" s="124">
        <v>0</v>
      </c>
      <c r="K32" s="124">
        <v>3.4</v>
      </c>
      <c r="L32" s="124">
        <v>2.1</v>
      </c>
      <c r="M32" s="124">
        <v>0</v>
      </c>
      <c r="N32" s="124">
        <v>2.1</v>
      </c>
      <c r="O32" s="124">
        <v>0</v>
      </c>
      <c r="P32" s="124">
        <v>61.6</v>
      </c>
      <c r="Q32" s="124">
        <v>0</v>
      </c>
      <c r="R32" s="124">
        <v>61.6</v>
      </c>
    </row>
    <row r="33" spans="1:18">
      <c r="A33" s="123" t="s">
        <v>111</v>
      </c>
      <c r="B33" s="124">
        <v>47.6</v>
      </c>
      <c r="C33" s="124"/>
      <c r="D33" s="124">
        <v>16.899999999999999</v>
      </c>
      <c r="E33" s="124">
        <v>0</v>
      </c>
      <c r="F33" s="124">
        <v>0</v>
      </c>
      <c r="G33" s="124">
        <v>0</v>
      </c>
      <c r="H33" s="124">
        <v>16.899999999999999</v>
      </c>
      <c r="I33" s="124">
        <v>3.4</v>
      </c>
      <c r="J33" s="124">
        <v>0</v>
      </c>
      <c r="K33" s="124">
        <v>3.4</v>
      </c>
      <c r="L33" s="124">
        <v>2.1</v>
      </c>
      <c r="M33" s="124">
        <v>0</v>
      </c>
      <c r="N33" s="124">
        <v>2.1</v>
      </c>
      <c r="O33" s="124">
        <v>0</v>
      </c>
      <c r="P33" s="124">
        <v>61.1</v>
      </c>
      <c r="Q33" s="124">
        <v>0</v>
      </c>
      <c r="R33" s="124">
        <v>61.1</v>
      </c>
    </row>
    <row r="34" spans="1:18">
      <c r="A34" s="123" t="s">
        <v>112</v>
      </c>
      <c r="B34" s="124">
        <v>0.5</v>
      </c>
      <c r="C34" s="124"/>
      <c r="D34" s="124">
        <v>0</v>
      </c>
      <c r="E34" s="124">
        <v>0</v>
      </c>
      <c r="F34" s="124">
        <v>0</v>
      </c>
      <c r="G34" s="124">
        <v>0</v>
      </c>
      <c r="H34" s="124">
        <v>0</v>
      </c>
      <c r="I34" s="124">
        <v>0</v>
      </c>
      <c r="J34" s="124">
        <v>0</v>
      </c>
      <c r="K34" s="124">
        <v>0</v>
      </c>
      <c r="L34" s="124">
        <v>0</v>
      </c>
      <c r="M34" s="124">
        <v>0</v>
      </c>
      <c r="N34" s="124">
        <v>0</v>
      </c>
      <c r="O34" s="124">
        <v>0</v>
      </c>
      <c r="P34" s="124">
        <v>0.5</v>
      </c>
      <c r="Q34" s="124">
        <v>0</v>
      </c>
      <c r="R34" s="124">
        <v>0.5</v>
      </c>
    </row>
    <row r="35" spans="1:18">
      <c r="A35" s="102"/>
      <c r="B35" s="124"/>
      <c r="C35" s="124"/>
      <c r="D35" s="124"/>
      <c r="E35" s="124"/>
      <c r="F35" s="124"/>
      <c r="G35" s="124"/>
      <c r="H35" s="124"/>
      <c r="I35" s="124"/>
      <c r="J35" s="124"/>
      <c r="K35" s="124"/>
      <c r="L35" s="124"/>
      <c r="M35" s="124"/>
      <c r="N35" s="124"/>
      <c r="O35" s="124"/>
      <c r="P35" s="124"/>
      <c r="Q35" s="124"/>
      <c r="R35" s="124"/>
    </row>
    <row r="36" spans="1:18">
      <c r="A36" s="123" t="s">
        <v>119</v>
      </c>
      <c r="B36" s="124">
        <v>61.6</v>
      </c>
      <c r="C36" s="124"/>
      <c r="D36" s="124">
        <v>8.6</v>
      </c>
      <c r="E36" s="124">
        <v>0</v>
      </c>
      <c r="F36" s="124">
        <v>0</v>
      </c>
      <c r="G36" s="124">
        <v>0</v>
      </c>
      <c r="H36" s="124">
        <v>8.6</v>
      </c>
      <c r="I36" s="124">
        <v>6</v>
      </c>
      <c r="J36" s="124">
        <v>0</v>
      </c>
      <c r="K36" s="124">
        <v>6</v>
      </c>
      <c r="L36" s="124">
        <v>2.2000000000000002</v>
      </c>
      <c r="M36" s="124">
        <v>0</v>
      </c>
      <c r="N36" s="124">
        <v>2.2000000000000002</v>
      </c>
      <c r="O36" s="124">
        <v>0</v>
      </c>
      <c r="P36" s="124">
        <v>64.2</v>
      </c>
      <c r="Q36" s="124">
        <v>0</v>
      </c>
      <c r="R36" s="124">
        <v>64.2</v>
      </c>
    </row>
    <row r="37" spans="1:18">
      <c r="A37" s="123" t="s">
        <v>111</v>
      </c>
      <c r="B37" s="124">
        <v>61.1</v>
      </c>
      <c r="C37" s="124"/>
      <c r="D37" s="124">
        <v>7.6</v>
      </c>
      <c r="E37" s="124">
        <v>0</v>
      </c>
      <c r="F37" s="124">
        <v>0</v>
      </c>
      <c r="G37" s="124">
        <v>0</v>
      </c>
      <c r="H37" s="124">
        <v>7.6</v>
      </c>
      <c r="I37" s="124">
        <v>5.9</v>
      </c>
      <c r="J37" s="124">
        <v>0</v>
      </c>
      <c r="K37" s="124">
        <v>5.9</v>
      </c>
      <c r="L37" s="124">
        <v>2.2000000000000002</v>
      </c>
      <c r="M37" s="124">
        <v>0</v>
      </c>
      <c r="N37" s="124">
        <v>2.2000000000000002</v>
      </c>
      <c r="O37" s="124">
        <v>0</v>
      </c>
      <c r="P37" s="124">
        <v>62.8</v>
      </c>
      <c r="Q37" s="124">
        <v>0</v>
      </c>
      <c r="R37" s="124">
        <v>62.8</v>
      </c>
    </row>
    <row r="38" spans="1:18">
      <c r="A38" s="123" t="s">
        <v>112</v>
      </c>
      <c r="B38" s="124">
        <v>0.5</v>
      </c>
      <c r="C38" s="124"/>
      <c r="D38" s="124">
        <v>1</v>
      </c>
      <c r="E38" s="124">
        <v>0</v>
      </c>
      <c r="F38" s="124">
        <v>0</v>
      </c>
      <c r="G38" s="124">
        <v>0</v>
      </c>
      <c r="H38" s="124">
        <v>1</v>
      </c>
      <c r="I38" s="124">
        <v>0.1</v>
      </c>
      <c r="J38" s="124">
        <v>0</v>
      </c>
      <c r="K38" s="124">
        <v>0.1</v>
      </c>
      <c r="L38" s="124">
        <v>0</v>
      </c>
      <c r="M38" s="124">
        <v>0</v>
      </c>
      <c r="N38" s="124">
        <v>0</v>
      </c>
      <c r="O38" s="124">
        <v>0</v>
      </c>
      <c r="P38" s="124">
        <v>1.4</v>
      </c>
      <c r="Q38" s="124">
        <v>0</v>
      </c>
      <c r="R38" s="124">
        <v>1.4</v>
      </c>
    </row>
    <row r="39" spans="1:18">
      <c r="A39" s="102"/>
      <c r="B39" s="124"/>
      <c r="C39" s="124"/>
      <c r="D39" s="124"/>
      <c r="E39" s="124"/>
      <c r="F39" s="124"/>
      <c r="G39" s="124"/>
      <c r="H39" s="124"/>
      <c r="I39" s="124"/>
      <c r="J39" s="124"/>
      <c r="K39" s="124"/>
      <c r="L39" s="124"/>
      <c r="M39" s="124"/>
      <c r="N39" s="124"/>
      <c r="O39" s="124"/>
      <c r="P39" s="124"/>
      <c r="Q39" s="124"/>
      <c r="R39" s="124"/>
    </row>
    <row r="40" spans="1:18">
      <c r="A40" s="123" t="s">
        <v>120</v>
      </c>
      <c r="B40" s="124">
        <v>64.2</v>
      </c>
      <c r="C40" s="124"/>
      <c r="D40" s="124">
        <v>7.6</v>
      </c>
      <c r="E40" s="124">
        <v>0</v>
      </c>
      <c r="F40" s="124">
        <v>0</v>
      </c>
      <c r="G40" s="124">
        <v>0</v>
      </c>
      <c r="H40" s="124">
        <v>7.6</v>
      </c>
      <c r="I40" s="124">
        <v>8.8000000000000007</v>
      </c>
      <c r="J40" s="124">
        <v>0</v>
      </c>
      <c r="K40" s="124">
        <v>8.8000000000000007</v>
      </c>
      <c r="L40" s="124">
        <v>2</v>
      </c>
      <c r="M40" s="124">
        <v>0</v>
      </c>
      <c r="N40" s="124">
        <v>2</v>
      </c>
      <c r="O40" s="124">
        <v>0</v>
      </c>
      <c r="P40" s="124">
        <v>63</v>
      </c>
      <c r="Q40" s="124">
        <v>0</v>
      </c>
      <c r="R40" s="124">
        <v>63</v>
      </c>
    </row>
    <row r="41" spans="1:18">
      <c r="A41" s="123" t="s">
        <v>111</v>
      </c>
      <c r="B41" s="124">
        <v>62.8</v>
      </c>
      <c r="C41" s="124"/>
      <c r="D41" s="124">
        <v>7.5</v>
      </c>
      <c r="E41" s="124">
        <v>0</v>
      </c>
      <c r="F41" s="124">
        <v>0</v>
      </c>
      <c r="G41" s="124">
        <v>0</v>
      </c>
      <c r="H41" s="124">
        <v>7.5</v>
      </c>
      <c r="I41" s="124">
        <v>7.9</v>
      </c>
      <c r="J41" s="124">
        <v>0</v>
      </c>
      <c r="K41" s="124">
        <v>7.9</v>
      </c>
      <c r="L41" s="124">
        <v>2</v>
      </c>
      <c r="M41" s="124">
        <v>0</v>
      </c>
      <c r="N41" s="124">
        <v>2</v>
      </c>
      <c r="O41" s="124">
        <v>0</v>
      </c>
      <c r="P41" s="124">
        <v>62.4</v>
      </c>
      <c r="Q41" s="124">
        <v>0</v>
      </c>
      <c r="R41" s="124">
        <v>62.4</v>
      </c>
    </row>
    <row r="42" spans="1:18">
      <c r="A42" s="123" t="s">
        <v>112</v>
      </c>
      <c r="B42" s="124">
        <v>1.4</v>
      </c>
      <c r="C42" s="124"/>
      <c r="D42" s="124">
        <v>0.1</v>
      </c>
      <c r="E42" s="124">
        <v>0</v>
      </c>
      <c r="F42" s="124">
        <v>0</v>
      </c>
      <c r="G42" s="124">
        <v>0</v>
      </c>
      <c r="H42" s="124">
        <v>0.1</v>
      </c>
      <c r="I42" s="124">
        <v>0.9</v>
      </c>
      <c r="J42" s="124">
        <v>0</v>
      </c>
      <c r="K42" s="124">
        <v>0.9</v>
      </c>
      <c r="L42" s="124">
        <v>0</v>
      </c>
      <c r="M42" s="124">
        <v>0</v>
      </c>
      <c r="N42" s="124">
        <v>0</v>
      </c>
      <c r="O42" s="124">
        <v>0</v>
      </c>
      <c r="P42" s="124">
        <v>0.6</v>
      </c>
      <c r="Q42" s="124">
        <v>0</v>
      </c>
      <c r="R42" s="124">
        <v>0.6</v>
      </c>
    </row>
    <row r="43" spans="1:18">
      <c r="A43" s="102"/>
      <c r="B43" s="124"/>
      <c r="C43" s="124"/>
      <c r="D43" s="124"/>
      <c r="E43" s="124"/>
      <c r="F43" s="124"/>
      <c r="G43" s="124"/>
      <c r="H43" s="124"/>
      <c r="I43" s="124"/>
      <c r="J43" s="124"/>
      <c r="K43" s="124"/>
      <c r="L43" s="124"/>
      <c r="M43" s="124"/>
      <c r="N43" s="124"/>
      <c r="O43" s="124"/>
      <c r="P43" s="124"/>
      <c r="Q43" s="124"/>
      <c r="R43" s="124"/>
    </row>
    <row r="44" spans="1:18">
      <c r="A44" s="123" t="s">
        <v>121</v>
      </c>
      <c r="B44" s="124">
        <v>63</v>
      </c>
      <c r="C44" s="124"/>
      <c r="D44" s="124">
        <v>13.9</v>
      </c>
      <c r="E44" s="124">
        <v>0</v>
      </c>
      <c r="F44" s="124">
        <v>0</v>
      </c>
      <c r="G44" s="124">
        <v>0</v>
      </c>
      <c r="H44" s="124">
        <v>13.9</v>
      </c>
      <c r="I44" s="124">
        <v>8.6</v>
      </c>
      <c r="J44" s="124">
        <v>0</v>
      </c>
      <c r="K44" s="124">
        <v>8.6</v>
      </c>
      <c r="L44" s="124">
        <v>2.8</v>
      </c>
      <c r="M44" s="124">
        <v>0</v>
      </c>
      <c r="N44" s="124">
        <v>2.8</v>
      </c>
      <c r="O44" s="124">
        <v>0</v>
      </c>
      <c r="P44" s="124">
        <v>68.3</v>
      </c>
      <c r="Q44" s="124">
        <v>0</v>
      </c>
      <c r="R44" s="124">
        <v>68.3</v>
      </c>
    </row>
    <row r="45" spans="1:18">
      <c r="A45" s="123" t="s">
        <v>111</v>
      </c>
      <c r="B45" s="124">
        <v>62.4</v>
      </c>
      <c r="C45" s="124"/>
      <c r="D45" s="124">
        <v>13.6</v>
      </c>
      <c r="E45" s="124">
        <v>0</v>
      </c>
      <c r="F45" s="124">
        <v>0</v>
      </c>
      <c r="G45" s="124">
        <v>0</v>
      </c>
      <c r="H45" s="124">
        <v>13.6</v>
      </c>
      <c r="I45" s="124">
        <v>8.1</v>
      </c>
      <c r="J45" s="124">
        <v>0</v>
      </c>
      <c r="K45" s="124">
        <v>8.1</v>
      </c>
      <c r="L45" s="124">
        <v>2.8</v>
      </c>
      <c r="M45" s="124">
        <v>0</v>
      </c>
      <c r="N45" s="124">
        <v>2.8</v>
      </c>
      <c r="O45" s="124">
        <v>0</v>
      </c>
      <c r="P45" s="124">
        <v>67.900000000000006</v>
      </c>
      <c r="Q45" s="124">
        <v>0</v>
      </c>
      <c r="R45" s="124">
        <v>67.900000000000006</v>
      </c>
    </row>
    <row r="46" spans="1:18">
      <c r="A46" s="123" t="s">
        <v>112</v>
      </c>
      <c r="B46" s="124">
        <v>0.6</v>
      </c>
      <c r="C46" s="124"/>
      <c r="D46" s="124">
        <v>0.3</v>
      </c>
      <c r="E46" s="124">
        <v>0</v>
      </c>
      <c r="F46" s="124">
        <v>0</v>
      </c>
      <c r="G46" s="124">
        <v>0</v>
      </c>
      <c r="H46" s="124">
        <v>0.3</v>
      </c>
      <c r="I46" s="124">
        <v>0.5</v>
      </c>
      <c r="J46" s="124">
        <v>0</v>
      </c>
      <c r="K46" s="124">
        <v>0.5</v>
      </c>
      <c r="L46" s="124">
        <v>0</v>
      </c>
      <c r="M46" s="124">
        <v>0</v>
      </c>
      <c r="N46" s="124">
        <v>0</v>
      </c>
      <c r="O46" s="124">
        <v>0</v>
      </c>
      <c r="P46" s="124">
        <v>0.4</v>
      </c>
      <c r="Q46" s="124">
        <v>0</v>
      </c>
      <c r="R46" s="124">
        <v>0.4</v>
      </c>
    </row>
    <row r="47" spans="1:18">
      <c r="A47" s="102"/>
      <c r="B47" s="124"/>
      <c r="C47" s="124"/>
      <c r="D47" s="124"/>
      <c r="E47" s="124"/>
      <c r="F47" s="124"/>
      <c r="G47" s="124"/>
      <c r="H47" s="124"/>
      <c r="I47" s="124"/>
      <c r="J47" s="124"/>
      <c r="K47" s="124"/>
      <c r="L47" s="124"/>
      <c r="M47" s="124"/>
      <c r="N47" s="124"/>
      <c r="O47" s="124"/>
      <c r="P47" s="124"/>
      <c r="Q47" s="124"/>
      <c r="R47" s="124"/>
    </row>
    <row r="48" spans="1:18">
      <c r="A48" s="123" t="s">
        <v>122</v>
      </c>
      <c r="B48" s="124">
        <v>68.3</v>
      </c>
      <c r="C48" s="124"/>
      <c r="D48" s="124">
        <v>24.6</v>
      </c>
      <c r="E48" s="124">
        <v>0</v>
      </c>
      <c r="F48" s="124">
        <v>0</v>
      </c>
      <c r="G48" s="124">
        <v>0</v>
      </c>
      <c r="H48" s="124">
        <v>24.6</v>
      </c>
      <c r="I48" s="124">
        <v>9.5</v>
      </c>
      <c r="J48" s="124">
        <v>0</v>
      </c>
      <c r="K48" s="124">
        <v>9.5</v>
      </c>
      <c r="L48" s="124">
        <v>2</v>
      </c>
      <c r="M48" s="124">
        <v>0</v>
      </c>
      <c r="N48" s="124">
        <v>2</v>
      </c>
      <c r="O48" s="124">
        <v>0</v>
      </c>
      <c r="P48" s="124">
        <v>83.4</v>
      </c>
      <c r="Q48" s="124">
        <v>0</v>
      </c>
      <c r="R48" s="124">
        <v>83.4</v>
      </c>
    </row>
    <row r="49" spans="1:18">
      <c r="A49" s="123" t="s">
        <v>111</v>
      </c>
      <c r="B49" s="124">
        <v>67.900000000000006</v>
      </c>
      <c r="C49" s="124"/>
      <c r="D49" s="124">
        <v>24.5</v>
      </c>
      <c r="E49" s="124">
        <v>0</v>
      </c>
      <c r="F49" s="124">
        <v>0</v>
      </c>
      <c r="G49" s="124">
        <v>0</v>
      </c>
      <c r="H49" s="124">
        <v>24.5</v>
      </c>
      <c r="I49" s="124">
        <v>9.3000000000000007</v>
      </c>
      <c r="J49" s="124">
        <v>0</v>
      </c>
      <c r="K49" s="124">
        <v>9.3000000000000007</v>
      </c>
      <c r="L49" s="124">
        <v>2</v>
      </c>
      <c r="M49" s="124">
        <v>0</v>
      </c>
      <c r="N49" s="124">
        <v>2</v>
      </c>
      <c r="O49" s="124">
        <v>0</v>
      </c>
      <c r="P49" s="124">
        <v>83.1</v>
      </c>
      <c r="Q49" s="124">
        <v>0</v>
      </c>
      <c r="R49" s="124">
        <v>83.1</v>
      </c>
    </row>
    <row r="50" spans="1:18">
      <c r="A50" s="123" t="s">
        <v>112</v>
      </c>
      <c r="B50" s="124">
        <v>0.4</v>
      </c>
      <c r="C50" s="124"/>
      <c r="D50" s="124">
        <v>0.1</v>
      </c>
      <c r="E50" s="124">
        <v>0</v>
      </c>
      <c r="F50" s="124">
        <v>0</v>
      </c>
      <c r="G50" s="124">
        <v>0</v>
      </c>
      <c r="H50" s="124">
        <v>0.1</v>
      </c>
      <c r="I50" s="124">
        <v>0.2</v>
      </c>
      <c r="J50" s="124">
        <v>0</v>
      </c>
      <c r="K50" s="124">
        <v>0.2</v>
      </c>
      <c r="L50" s="124">
        <v>0</v>
      </c>
      <c r="M50" s="124">
        <v>0</v>
      </c>
      <c r="N50" s="124">
        <v>0</v>
      </c>
      <c r="O50" s="124">
        <v>0</v>
      </c>
      <c r="P50" s="124">
        <v>0.3</v>
      </c>
      <c r="Q50" s="124">
        <v>0</v>
      </c>
      <c r="R50" s="124">
        <v>0.3</v>
      </c>
    </row>
    <row r="51" spans="1:18">
      <c r="A51" s="102"/>
      <c r="B51" s="124"/>
      <c r="C51" s="124"/>
      <c r="D51" s="124"/>
      <c r="E51" s="124"/>
      <c r="F51" s="124"/>
      <c r="G51" s="124"/>
      <c r="H51" s="124"/>
      <c r="I51" s="124"/>
      <c r="J51" s="124"/>
      <c r="K51" s="124"/>
      <c r="L51" s="124"/>
      <c r="M51" s="124"/>
      <c r="N51" s="124"/>
      <c r="O51" s="124"/>
      <c r="P51" s="124"/>
      <c r="Q51" s="124"/>
      <c r="R51" s="124"/>
    </row>
    <row r="52" spans="1:18">
      <c r="A52" s="123" t="s">
        <v>123</v>
      </c>
      <c r="B52" s="124">
        <v>83.4</v>
      </c>
      <c r="C52" s="124"/>
      <c r="D52" s="124">
        <v>21.5</v>
      </c>
      <c r="E52" s="124">
        <v>0</v>
      </c>
      <c r="F52" s="124">
        <v>0</v>
      </c>
      <c r="G52" s="124">
        <v>0</v>
      </c>
      <c r="H52" s="124">
        <v>21.5</v>
      </c>
      <c r="I52" s="124">
        <v>11.9</v>
      </c>
      <c r="J52" s="124">
        <v>0</v>
      </c>
      <c r="K52" s="124">
        <v>11.9</v>
      </c>
      <c r="L52" s="124">
        <v>2.6</v>
      </c>
      <c r="M52" s="124">
        <v>0</v>
      </c>
      <c r="N52" s="124">
        <v>2.6</v>
      </c>
      <c r="O52" s="124">
        <v>0</v>
      </c>
      <c r="P52" s="124">
        <v>93</v>
      </c>
      <c r="Q52" s="124">
        <v>0</v>
      </c>
      <c r="R52" s="124">
        <v>93</v>
      </c>
    </row>
    <row r="53" spans="1:18">
      <c r="A53" s="123" t="s">
        <v>111</v>
      </c>
      <c r="B53" s="124">
        <v>83.1</v>
      </c>
      <c r="C53" s="124"/>
      <c r="D53" s="124">
        <v>21</v>
      </c>
      <c r="E53" s="124">
        <v>0</v>
      </c>
      <c r="F53" s="124">
        <v>0</v>
      </c>
      <c r="G53" s="124">
        <v>0</v>
      </c>
      <c r="H53" s="124">
        <v>21</v>
      </c>
      <c r="I53" s="124">
        <v>11.5</v>
      </c>
      <c r="J53" s="124">
        <v>0</v>
      </c>
      <c r="K53" s="124">
        <v>11.5</v>
      </c>
      <c r="L53" s="124">
        <v>2.6</v>
      </c>
      <c r="M53" s="124">
        <v>0</v>
      </c>
      <c r="N53" s="124">
        <v>2.6</v>
      </c>
      <c r="O53" s="124">
        <v>0</v>
      </c>
      <c r="P53" s="124">
        <v>92.6</v>
      </c>
      <c r="Q53" s="124">
        <v>0</v>
      </c>
      <c r="R53" s="124">
        <v>92.6</v>
      </c>
    </row>
    <row r="54" spans="1:18">
      <c r="A54" s="123" t="s">
        <v>112</v>
      </c>
      <c r="B54" s="124">
        <v>0.3</v>
      </c>
      <c r="C54" s="124"/>
      <c r="D54" s="124">
        <v>0.5</v>
      </c>
      <c r="E54" s="124">
        <v>0</v>
      </c>
      <c r="F54" s="124">
        <v>0</v>
      </c>
      <c r="G54" s="124">
        <v>0</v>
      </c>
      <c r="H54" s="124">
        <v>0.5</v>
      </c>
      <c r="I54" s="124">
        <v>0.4</v>
      </c>
      <c r="J54" s="124">
        <v>0</v>
      </c>
      <c r="K54" s="124">
        <v>0.4</v>
      </c>
      <c r="L54" s="124">
        <v>0</v>
      </c>
      <c r="M54" s="124">
        <v>0</v>
      </c>
      <c r="N54" s="124">
        <v>0</v>
      </c>
      <c r="O54" s="124">
        <v>0</v>
      </c>
      <c r="P54" s="124">
        <v>0.4</v>
      </c>
      <c r="Q54" s="124">
        <v>0</v>
      </c>
      <c r="R54" s="124">
        <v>0.4</v>
      </c>
    </row>
    <row r="55" spans="1:18">
      <c r="A55" s="102"/>
      <c r="B55" s="124"/>
      <c r="C55" s="124"/>
      <c r="D55" s="124"/>
      <c r="E55" s="124"/>
      <c r="F55" s="124"/>
      <c r="G55" s="124"/>
      <c r="H55" s="124"/>
      <c r="I55" s="124"/>
      <c r="J55" s="124"/>
      <c r="K55" s="124"/>
      <c r="L55" s="124"/>
      <c r="M55" s="124"/>
      <c r="N55" s="124"/>
      <c r="O55" s="124"/>
      <c r="P55" s="124"/>
      <c r="Q55" s="124"/>
      <c r="R55" s="124"/>
    </row>
    <row r="56" spans="1:18">
      <c r="A56" s="123" t="s">
        <v>124</v>
      </c>
      <c r="B56" s="124">
        <v>93</v>
      </c>
      <c r="C56" s="124"/>
      <c r="D56" s="124">
        <v>21.3</v>
      </c>
      <c r="E56" s="124">
        <v>0</v>
      </c>
      <c r="F56" s="124">
        <v>0</v>
      </c>
      <c r="G56" s="124">
        <v>0</v>
      </c>
      <c r="H56" s="124">
        <v>21.3</v>
      </c>
      <c r="I56" s="124">
        <v>11.6</v>
      </c>
      <c r="J56" s="124">
        <v>0</v>
      </c>
      <c r="K56" s="124">
        <v>11.6</v>
      </c>
      <c r="L56" s="124">
        <v>3.6</v>
      </c>
      <c r="M56" s="124">
        <v>0</v>
      </c>
      <c r="N56" s="124">
        <v>3.6</v>
      </c>
      <c r="O56" s="124">
        <v>0</v>
      </c>
      <c r="P56" s="124">
        <v>102.7</v>
      </c>
      <c r="Q56" s="124">
        <v>0</v>
      </c>
      <c r="R56" s="124">
        <v>102.7</v>
      </c>
    </row>
    <row r="57" spans="1:18">
      <c r="A57" s="123" t="s">
        <v>111</v>
      </c>
      <c r="B57" s="124">
        <v>92.6</v>
      </c>
      <c r="C57" s="124"/>
      <c r="D57" s="124">
        <v>21.2</v>
      </c>
      <c r="E57" s="124">
        <v>0</v>
      </c>
      <c r="F57" s="124">
        <v>0</v>
      </c>
      <c r="G57" s="124">
        <v>0</v>
      </c>
      <c r="H57" s="124">
        <v>21.2</v>
      </c>
      <c r="I57" s="124">
        <v>11.4</v>
      </c>
      <c r="J57" s="124">
        <v>0</v>
      </c>
      <c r="K57" s="124">
        <v>11.4</v>
      </c>
      <c r="L57" s="124">
        <v>3.6</v>
      </c>
      <c r="M57" s="124">
        <v>0</v>
      </c>
      <c r="N57" s="124">
        <v>3.6</v>
      </c>
      <c r="O57" s="124">
        <v>0</v>
      </c>
      <c r="P57" s="124">
        <v>102.4</v>
      </c>
      <c r="Q57" s="124">
        <v>0</v>
      </c>
      <c r="R57" s="124">
        <v>102.4</v>
      </c>
    </row>
    <row r="58" spans="1:18">
      <c r="A58" s="123" t="s">
        <v>112</v>
      </c>
      <c r="B58" s="124">
        <v>0.4</v>
      </c>
      <c r="C58" s="124"/>
      <c r="D58" s="124">
        <v>0.1</v>
      </c>
      <c r="E58" s="124">
        <v>0</v>
      </c>
      <c r="F58" s="124">
        <v>0</v>
      </c>
      <c r="G58" s="124">
        <v>0</v>
      </c>
      <c r="H58" s="124">
        <v>0.1</v>
      </c>
      <c r="I58" s="124">
        <v>0.2</v>
      </c>
      <c r="J58" s="124">
        <v>0</v>
      </c>
      <c r="K58" s="124">
        <v>0.2</v>
      </c>
      <c r="L58" s="124">
        <v>0</v>
      </c>
      <c r="M58" s="124">
        <v>0</v>
      </c>
      <c r="N58" s="124">
        <v>0</v>
      </c>
      <c r="O58" s="124">
        <v>0</v>
      </c>
      <c r="P58" s="124">
        <v>0.3</v>
      </c>
      <c r="Q58" s="124">
        <v>0</v>
      </c>
      <c r="R58" s="124">
        <v>0.3</v>
      </c>
    </row>
    <row r="59" spans="1:18">
      <c r="A59" s="102"/>
      <c r="B59" s="124"/>
      <c r="C59" s="124"/>
      <c r="D59" s="124"/>
      <c r="E59" s="124"/>
      <c r="F59" s="124"/>
      <c r="G59" s="124"/>
      <c r="H59" s="124"/>
      <c r="I59" s="124"/>
      <c r="J59" s="124"/>
      <c r="K59" s="124"/>
      <c r="L59" s="124"/>
      <c r="M59" s="124"/>
      <c r="N59" s="124"/>
      <c r="O59" s="124"/>
      <c r="P59" s="124"/>
      <c r="Q59" s="124"/>
      <c r="R59" s="124"/>
    </row>
    <row r="60" spans="1:18">
      <c r="A60" s="123" t="s">
        <v>125</v>
      </c>
      <c r="B60" s="124">
        <v>102.7</v>
      </c>
      <c r="C60" s="124"/>
      <c r="D60" s="124">
        <v>12.5</v>
      </c>
      <c r="E60" s="124">
        <v>0</v>
      </c>
      <c r="F60" s="124">
        <v>0</v>
      </c>
      <c r="G60" s="124">
        <v>0</v>
      </c>
      <c r="H60" s="124">
        <v>12.5</v>
      </c>
      <c r="I60" s="124">
        <v>12</v>
      </c>
      <c r="J60" s="124">
        <v>0</v>
      </c>
      <c r="K60" s="124">
        <v>12</v>
      </c>
      <c r="L60" s="124">
        <v>4.3</v>
      </c>
      <c r="M60" s="124">
        <v>0</v>
      </c>
      <c r="N60" s="124">
        <v>4.3</v>
      </c>
      <c r="O60" s="124">
        <v>0</v>
      </c>
      <c r="P60" s="124">
        <v>103.2</v>
      </c>
      <c r="Q60" s="124">
        <v>0</v>
      </c>
      <c r="R60" s="124">
        <v>103.2</v>
      </c>
    </row>
    <row r="61" spans="1:18">
      <c r="A61" s="123" t="s">
        <v>111</v>
      </c>
      <c r="B61" s="124">
        <v>102.4</v>
      </c>
      <c r="C61" s="124"/>
      <c r="D61" s="124">
        <v>12.4</v>
      </c>
      <c r="E61" s="124">
        <v>0</v>
      </c>
      <c r="F61" s="124">
        <v>0</v>
      </c>
      <c r="G61" s="124">
        <v>0</v>
      </c>
      <c r="H61" s="124">
        <v>12.4</v>
      </c>
      <c r="I61" s="124">
        <v>11.8</v>
      </c>
      <c r="J61" s="124">
        <v>0</v>
      </c>
      <c r="K61" s="124">
        <v>11.8</v>
      </c>
      <c r="L61" s="124">
        <v>4.3</v>
      </c>
      <c r="M61" s="124">
        <v>0</v>
      </c>
      <c r="N61" s="124">
        <v>4.3</v>
      </c>
      <c r="O61" s="124">
        <v>0</v>
      </c>
      <c r="P61" s="124">
        <v>103</v>
      </c>
      <c r="Q61" s="124">
        <v>0</v>
      </c>
      <c r="R61" s="124">
        <v>103</v>
      </c>
    </row>
    <row r="62" spans="1:18">
      <c r="A62" s="123" t="s">
        <v>112</v>
      </c>
      <c r="B62" s="124">
        <v>0.3</v>
      </c>
      <c r="C62" s="124"/>
      <c r="D62" s="124">
        <v>0.1</v>
      </c>
      <c r="E62" s="124">
        <v>0</v>
      </c>
      <c r="F62" s="124">
        <v>0</v>
      </c>
      <c r="G62" s="124">
        <v>0</v>
      </c>
      <c r="H62" s="124">
        <v>0.1</v>
      </c>
      <c r="I62" s="124">
        <v>0.2</v>
      </c>
      <c r="J62" s="124">
        <v>0</v>
      </c>
      <c r="K62" s="124">
        <v>0.2</v>
      </c>
      <c r="L62" s="124">
        <v>0</v>
      </c>
      <c r="M62" s="124">
        <v>0</v>
      </c>
      <c r="N62" s="124">
        <v>0</v>
      </c>
      <c r="O62" s="124">
        <v>0</v>
      </c>
      <c r="P62" s="124">
        <v>0.2</v>
      </c>
      <c r="Q62" s="124">
        <v>0</v>
      </c>
      <c r="R62" s="124">
        <v>0.2</v>
      </c>
    </row>
    <row r="63" spans="1:18">
      <c r="A63" s="102"/>
      <c r="B63" s="124"/>
      <c r="C63" s="124"/>
      <c r="D63" s="124"/>
      <c r="E63" s="124"/>
      <c r="F63" s="124"/>
      <c r="G63" s="124"/>
      <c r="H63" s="124"/>
      <c r="I63" s="124"/>
      <c r="J63" s="124"/>
      <c r="K63" s="124"/>
      <c r="L63" s="124"/>
      <c r="M63" s="124"/>
      <c r="N63" s="124"/>
      <c r="O63" s="124"/>
      <c r="P63" s="124"/>
      <c r="Q63" s="124"/>
      <c r="R63" s="124"/>
    </row>
    <row r="64" spans="1:18">
      <c r="A64" s="123" t="s">
        <v>126</v>
      </c>
      <c r="B64" s="124">
        <v>103.2</v>
      </c>
      <c r="C64" s="124"/>
      <c r="D64" s="124">
        <v>17.600000000000001</v>
      </c>
      <c r="E64" s="124">
        <v>0</v>
      </c>
      <c r="F64" s="124">
        <v>0</v>
      </c>
      <c r="G64" s="124">
        <v>0</v>
      </c>
      <c r="H64" s="124">
        <v>17.600000000000001</v>
      </c>
      <c r="I64" s="124">
        <v>10.8</v>
      </c>
      <c r="J64" s="124">
        <v>0</v>
      </c>
      <c r="K64" s="124">
        <v>10.8</v>
      </c>
      <c r="L64" s="124">
        <v>4.3</v>
      </c>
      <c r="M64" s="124">
        <v>0</v>
      </c>
      <c r="N64" s="124">
        <v>4.3</v>
      </c>
      <c r="O64" s="124">
        <v>0</v>
      </c>
      <c r="P64" s="124">
        <v>110</v>
      </c>
      <c r="Q64" s="124">
        <v>0</v>
      </c>
      <c r="R64" s="124">
        <v>110</v>
      </c>
    </row>
    <row r="65" spans="1:18">
      <c r="A65" s="123" t="s">
        <v>111</v>
      </c>
      <c r="B65" s="124">
        <v>103</v>
      </c>
      <c r="C65" s="124"/>
      <c r="D65" s="124">
        <v>17.600000000000001</v>
      </c>
      <c r="E65" s="124">
        <v>0</v>
      </c>
      <c r="F65" s="124">
        <v>0</v>
      </c>
      <c r="G65" s="124">
        <v>0</v>
      </c>
      <c r="H65" s="124">
        <v>17.600000000000001</v>
      </c>
      <c r="I65" s="124">
        <v>10.7</v>
      </c>
      <c r="J65" s="124">
        <v>0</v>
      </c>
      <c r="K65" s="124">
        <v>10.7</v>
      </c>
      <c r="L65" s="124">
        <v>4.3</v>
      </c>
      <c r="M65" s="124">
        <v>0</v>
      </c>
      <c r="N65" s="124">
        <v>4.3</v>
      </c>
      <c r="O65" s="124">
        <v>0</v>
      </c>
      <c r="P65" s="124">
        <v>109.9</v>
      </c>
      <c r="Q65" s="124">
        <v>0</v>
      </c>
      <c r="R65" s="124">
        <v>109.9</v>
      </c>
    </row>
    <row r="66" spans="1:18">
      <c r="A66" s="123" t="s">
        <v>112</v>
      </c>
      <c r="B66" s="124">
        <v>0.2</v>
      </c>
      <c r="C66" s="124"/>
      <c r="D66" s="124">
        <v>0</v>
      </c>
      <c r="E66" s="124">
        <v>0</v>
      </c>
      <c r="F66" s="124">
        <v>0</v>
      </c>
      <c r="G66" s="124">
        <v>0</v>
      </c>
      <c r="H66" s="124">
        <v>0</v>
      </c>
      <c r="I66" s="124">
        <v>0.1</v>
      </c>
      <c r="J66" s="124">
        <v>0</v>
      </c>
      <c r="K66" s="124">
        <v>0.1</v>
      </c>
      <c r="L66" s="124">
        <v>0</v>
      </c>
      <c r="M66" s="124">
        <v>0</v>
      </c>
      <c r="N66" s="124">
        <v>0</v>
      </c>
      <c r="O66" s="124">
        <v>0</v>
      </c>
      <c r="P66" s="124">
        <v>9.9999999999999784E-2</v>
      </c>
      <c r="Q66" s="124">
        <v>0</v>
      </c>
      <c r="R66" s="124">
        <v>9.9999999999999784E-2</v>
      </c>
    </row>
    <row r="67" spans="1:18">
      <c r="A67" s="102"/>
      <c r="B67" s="124"/>
      <c r="C67" s="124"/>
      <c r="D67" s="124"/>
      <c r="E67" s="124"/>
      <c r="F67" s="124"/>
      <c r="G67" s="124"/>
      <c r="H67" s="124"/>
      <c r="I67" s="124"/>
      <c r="J67" s="124"/>
      <c r="K67" s="124"/>
      <c r="L67" s="124"/>
      <c r="M67" s="124"/>
      <c r="N67" s="124"/>
      <c r="O67" s="124"/>
      <c r="P67" s="124"/>
      <c r="Q67" s="124"/>
      <c r="R67" s="124"/>
    </row>
    <row r="68" spans="1:18">
      <c r="A68" s="123" t="s">
        <v>127</v>
      </c>
      <c r="B68" s="124">
        <v>110</v>
      </c>
      <c r="C68" s="124"/>
      <c r="D68" s="124">
        <v>21.6</v>
      </c>
      <c r="E68" s="124">
        <v>0</v>
      </c>
      <c r="F68" s="124">
        <v>0</v>
      </c>
      <c r="G68" s="124">
        <v>0</v>
      </c>
      <c r="H68" s="124">
        <v>21.6</v>
      </c>
      <c r="I68" s="124">
        <v>10.3</v>
      </c>
      <c r="J68" s="124">
        <v>0</v>
      </c>
      <c r="K68" s="124">
        <v>10.3</v>
      </c>
      <c r="L68" s="124">
        <v>4.5999999999999996</v>
      </c>
      <c r="M68" s="124">
        <v>0</v>
      </c>
      <c r="N68" s="124">
        <v>4.5999999999999996</v>
      </c>
      <c r="O68" s="124">
        <v>0</v>
      </c>
      <c r="P68" s="124">
        <v>121.3</v>
      </c>
      <c r="Q68" s="124">
        <v>0</v>
      </c>
      <c r="R68" s="124">
        <v>121.3</v>
      </c>
    </row>
    <row r="69" spans="1:18">
      <c r="A69" s="123" t="s">
        <v>111</v>
      </c>
      <c r="B69" s="124">
        <v>109.9</v>
      </c>
      <c r="C69" s="124"/>
      <c r="D69" s="124">
        <v>20.7</v>
      </c>
      <c r="E69" s="124">
        <v>0</v>
      </c>
      <c r="F69" s="124">
        <v>0</v>
      </c>
      <c r="G69" s="124">
        <v>0</v>
      </c>
      <c r="H69" s="124">
        <v>20.7</v>
      </c>
      <c r="I69" s="124">
        <v>10.1</v>
      </c>
      <c r="J69" s="124">
        <v>0</v>
      </c>
      <c r="K69" s="124">
        <v>10.1</v>
      </c>
      <c r="L69" s="124">
        <v>4.5</v>
      </c>
      <c r="M69" s="124">
        <v>0</v>
      </c>
      <c r="N69" s="124">
        <v>4.5</v>
      </c>
      <c r="O69" s="124">
        <v>0</v>
      </c>
      <c r="P69" s="124">
        <v>120.5</v>
      </c>
      <c r="Q69" s="124">
        <v>0</v>
      </c>
      <c r="R69" s="124">
        <v>120.5</v>
      </c>
    </row>
    <row r="70" spans="1:18">
      <c r="A70" s="123" t="s">
        <v>112</v>
      </c>
      <c r="B70" s="124">
        <v>9.9999999999999784E-2</v>
      </c>
      <c r="C70" s="124"/>
      <c r="D70" s="124">
        <v>0.9</v>
      </c>
      <c r="E70" s="124">
        <v>0</v>
      </c>
      <c r="F70" s="124">
        <v>0</v>
      </c>
      <c r="G70" s="124">
        <v>0</v>
      </c>
      <c r="H70" s="124">
        <v>0.9</v>
      </c>
      <c r="I70" s="124">
        <v>0.2</v>
      </c>
      <c r="J70" s="124">
        <v>0</v>
      </c>
      <c r="K70" s="124">
        <v>0.2</v>
      </c>
      <c r="L70" s="124">
        <v>0.1</v>
      </c>
      <c r="M70" s="124">
        <v>0</v>
      </c>
      <c r="N70" s="124">
        <v>0.1</v>
      </c>
      <c r="O70" s="124">
        <v>0</v>
      </c>
      <c r="P70" s="124">
        <v>0.8</v>
      </c>
      <c r="Q70" s="124">
        <v>0</v>
      </c>
      <c r="R70" s="124">
        <v>0.8</v>
      </c>
    </row>
    <row r="71" spans="1:18">
      <c r="A71" s="102"/>
      <c r="B71" s="124"/>
      <c r="C71" s="124"/>
      <c r="D71" s="124"/>
      <c r="E71" s="124"/>
      <c r="F71" s="124"/>
      <c r="G71" s="124"/>
      <c r="H71" s="124"/>
      <c r="I71" s="124"/>
      <c r="J71" s="124"/>
      <c r="K71" s="124"/>
      <c r="L71" s="124"/>
      <c r="M71" s="124"/>
      <c r="N71" s="124"/>
      <c r="O71" s="124"/>
      <c r="P71" s="124"/>
      <c r="Q71" s="124"/>
      <c r="R71" s="124"/>
    </row>
    <row r="72" spans="1:18">
      <c r="A72" s="123" t="s">
        <v>128</v>
      </c>
      <c r="B72" s="124">
        <v>121.3</v>
      </c>
      <c r="C72" s="124"/>
      <c r="D72" s="124">
        <v>30.3</v>
      </c>
      <c r="E72" s="124">
        <v>0</v>
      </c>
      <c r="F72" s="124">
        <v>0</v>
      </c>
      <c r="G72" s="124">
        <v>0</v>
      </c>
      <c r="H72" s="124">
        <v>30.3</v>
      </c>
      <c r="I72" s="124">
        <v>10.9</v>
      </c>
      <c r="J72" s="124">
        <v>0</v>
      </c>
      <c r="K72" s="124">
        <v>10.9</v>
      </c>
      <c r="L72" s="124">
        <v>5.0999999999999996</v>
      </c>
      <c r="M72" s="124">
        <v>0</v>
      </c>
      <c r="N72" s="124">
        <v>5.0999999999999996</v>
      </c>
      <c r="O72" s="124">
        <v>0</v>
      </c>
      <c r="P72" s="124">
        <v>140.69999999999999</v>
      </c>
      <c r="Q72" s="124">
        <v>0</v>
      </c>
      <c r="R72" s="124">
        <v>140.69999999999999</v>
      </c>
    </row>
    <row r="73" spans="1:18">
      <c r="A73" s="123" t="s">
        <v>111</v>
      </c>
      <c r="B73" s="124">
        <v>120.5</v>
      </c>
      <c r="C73" s="124"/>
      <c r="D73" s="124">
        <v>28.5</v>
      </c>
      <c r="E73" s="124">
        <v>0</v>
      </c>
      <c r="F73" s="124">
        <v>0</v>
      </c>
      <c r="G73" s="124">
        <v>0</v>
      </c>
      <c r="H73" s="124">
        <v>28.5</v>
      </c>
      <c r="I73" s="124">
        <v>10.8</v>
      </c>
      <c r="J73" s="124">
        <v>0</v>
      </c>
      <c r="K73" s="124">
        <v>10.8</v>
      </c>
      <c r="L73" s="124">
        <v>5</v>
      </c>
      <c r="M73" s="124">
        <v>0</v>
      </c>
      <c r="N73" s="124">
        <v>5</v>
      </c>
      <c r="O73" s="124">
        <v>0</v>
      </c>
      <c r="P73" s="124">
        <v>138.19999999999999</v>
      </c>
      <c r="Q73" s="124">
        <v>0</v>
      </c>
      <c r="R73" s="124">
        <v>138.19999999999999</v>
      </c>
    </row>
    <row r="74" spans="1:18">
      <c r="A74" s="123" t="s">
        <v>112</v>
      </c>
      <c r="B74" s="124">
        <v>0.8</v>
      </c>
      <c r="C74" s="124"/>
      <c r="D74" s="124">
        <v>1.8</v>
      </c>
      <c r="E74" s="124">
        <v>0</v>
      </c>
      <c r="F74" s="124">
        <v>0</v>
      </c>
      <c r="G74" s="124">
        <v>0</v>
      </c>
      <c r="H74" s="124">
        <v>1.8</v>
      </c>
      <c r="I74" s="124">
        <v>0.1</v>
      </c>
      <c r="J74" s="124">
        <v>0</v>
      </c>
      <c r="K74" s="124">
        <v>0.1</v>
      </c>
      <c r="L74" s="124">
        <v>0.1</v>
      </c>
      <c r="M74" s="124">
        <v>0</v>
      </c>
      <c r="N74" s="124">
        <v>0.1</v>
      </c>
      <c r="O74" s="124">
        <v>0</v>
      </c>
      <c r="P74" s="124">
        <v>2.5</v>
      </c>
      <c r="Q74" s="124">
        <v>0</v>
      </c>
      <c r="R74" s="124">
        <v>2.5</v>
      </c>
    </row>
    <row r="75" spans="1:18">
      <c r="A75" s="102"/>
      <c r="B75" s="124"/>
      <c r="C75" s="124"/>
      <c r="D75" s="124"/>
      <c r="E75" s="124"/>
      <c r="F75" s="124"/>
      <c r="G75" s="124"/>
      <c r="H75" s="124"/>
      <c r="I75" s="124"/>
      <c r="J75" s="124"/>
      <c r="K75" s="124"/>
      <c r="L75" s="124"/>
      <c r="M75" s="124"/>
      <c r="N75" s="124"/>
      <c r="O75" s="124"/>
      <c r="P75" s="124"/>
      <c r="Q75" s="124"/>
      <c r="R75" s="124"/>
    </row>
    <row r="76" spans="1:18">
      <c r="A76" s="123" t="s">
        <v>129</v>
      </c>
      <c r="B76" s="124">
        <v>140.69999999999999</v>
      </c>
      <c r="C76" s="124"/>
      <c r="D76" s="124">
        <v>34.200000000000003</v>
      </c>
      <c r="E76" s="124">
        <v>0</v>
      </c>
      <c r="F76" s="124">
        <v>0</v>
      </c>
      <c r="G76" s="124">
        <v>0</v>
      </c>
      <c r="H76" s="124">
        <v>34.200000000000003</v>
      </c>
      <c r="I76" s="124">
        <v>11.6</v>
      </c>
      <c r="J76" s="124">
        <v>0</v>
      </c>
      <c r="K76" s="124">
        <v>11.6</v>
      </c>
      <c r="L76" s="124">
        <v>5.9</v>
      </c>
      <c r="M76" s="124">
        <v>0</v>
      </c>
      <c r="N76" s="124">
        <v>5.9</v>
      </c>
      <c r="O76" s="124">
        <v>0</v>
      </c>
      <c r="P76" s="124">
        <v>163.30000000000001</v>
      </c>
      <c r="Q76" s="124">
        <v>0</v>
      </c>
      <c r="R76" s="124">
        <v>163.30000000000001</v>
      </c>
    </row>
    <row r="77" spans="1:18">
      <c r="A77" s="123" t="s">
        <v>111</v>
      </c>
      <c r="B77" s="124">
        <v>138.19999999999999</v>
      </c>
      <c r="C77" s="124"/>
      <c r="D77" s="124">
        <v>32.799999999999997</v>
      </c>
      <c r="E77" s="124">
        <v>0</v>
      </c>
      <c r="F77" s="124">
        <v>0</v>
      </c>
      <c r="G77" s="124">
        <v>0</v>
      </c>
      <c r="H77" s="124">
        <v>32.799999999999997</v>
      </c>
      <c r="I77" s="124">
        <v>11.3</v>
      </c>
      <c r="J77" s="124">
        <v>0</v>
      </c>
      <c r="K77" s="124">
        <v>11.3</v>
      </c>
      <c r="L77" s="124">
        <v>5.7</v>
      </c>
      <c r="M77" s="124">
        <v>0</v>
      </c>
      <c r="N77" s="124">
        <v>5.7</v>
      </c>
      <c r="O77" s="124">
        <v>0</v>
      </c>
      <c r="P77" s="124">
        <v>159.69999999999999</v>
      </c>
      <c r="Q77" s="124">
        <v>0</v>
      </c>
      <c r="R77" s="124">
        <v>159.69999999999999</v>
      </c>
    </row>
    <row r="78" spans="1:18">
      <c r="A78" s="123" t="s">
        <v>112</v>
      </c>
      <c r="B78" s="124">
        <v>2.5</v>
      </c>
      <c r="C78" s="124"/>
      <c r="D78" s="124">
        <v>1.4</v>
      </c>
      <c r="E78" s="124">
        <v>0</v>
      </c>
      <c r="F78" s="124">
        <v>0</v>
      </c>
      <c r="G78" s="124">
        <v>0</v>
      </c>
      <c r="H78" s="124">
        <v>1.4</v>
      </c>
      <c r="I78" s="124">
        <v>0.3</v>
      </c>
      <c r="J78" s="124">
        <v>0</v>
      </c>
      <c r="K78" s="124">
        <v>0.3</v>
      </c>
      <c r="L78" s="124">
        <v>0.2</v>
      </c>
      <c r="M78" s="124">
        <v>0</v>
      </c>
      <c r="N78" s="124">
        <v>0.2</v>
      </c>
      <c r="O78" s="124">
        <v>0</v>
      </c>
      <c r="P78" s="124">
        <v>3.6</v>
      </c>
      <c r="Q78" s="124">
        <v>0</v>
      </c>
      <c r="R78" s="124">
        <v>3.6</v>
      </c>
    </row>
    <row r="79" spans="1:18">
      <c r="A79" s="102"/>
      <c r="B79" s="124"/>
      <c r="C79" s="124"/>
      <c r="D79" s="124"/>
      <c r="E79" s="124"/>
      <c r="F79" s="124"/>
      <c r="G79" s="124"/>
      <c r="H79" s="124"/>
      <c r="I79" s="124"/>
      <c r="J79" s="124"/>
      <c r="K79" s="124"/>
      <c r="L79" s="124"/>
      <c r="M79" s="124"/>
      <c r="N79" s="124"/>
      <c r="O79" s="124"/>
      <c r="P79" s="124"/>
      <c r="Q79" s="124"/>
      <c r="R79" s="124"/>
    </row>
    <row r="80" spans="1:18">
      <c r="A80" s="123" t="s">
        <v>130</v>
      </c>
      <c r="B80" s="124">
        <v>163.30000000000001</v>
      </c>
      <c r="C80" s="124"/>
      <c r="D80" s="124">
        <v>49.8</v>
      </c>
      <c r="E80" s="124">
        <v>0</v>
      </c>
      <c r="F80" s="124">
        <v>0</v>
      </c>
      <c r="G80" s="124">
        <v>0</v>
      </c>
      <c r="H80" s="124">
        <v>49.8</v>
      </c>
      <c r="I80" s="124">
        <v>16.899999999999999</v>
      </c>
      <c r="J80" s="124">
        <v>0</v>
      </c>
      <c r="K80" s="124">
        <v>16.899999999999999</v>
      </c>
      <c r="L80" s="124">
        <v>7.6</v>
      </c>
      <c r="M80" s="124">
        <v>0</v>
      </c>
      <c r="N80" s="124">
        <v>7.6</v>
      </c>
      <c r="O80" s="124">
        <v>0</v>
      </c>
      <c r="P80" s="124">
        <v>196.2</v>
      </c>
      <c r="Q80" s="124">
        <v>0</v>
      </c>
      <c r="R80" s="124">
        <v>196.2</v>
      </c>
    </row>
    <row r="81" spans="1:18">
      <c r="A81" s="123" t="s">
        <v>111</v>
      </c>
      <c r="B81" s="124">
        <v>159.69999999999999</v>
      </c>
      <c r="C81" s="124"/>
      <c r="D81" s="124">
        <v>45.3</v>
      </c>
      <c r="E81" s="124">
        <v>0</v>
      </c>
      <c r="F81" s="124">
        <v>0</v>
      </c>
      <c r="G81" s="124">
        <v>0</v>
      </c>
      <c r="H81" s="124">
        <v>45.3</v>
      </c>
      <c r="I81" s="124">
        <v>16.600000000000001</v>
      </c>
      <c r="J81" s="124">
        <v>0</v>
      </c>
      <c r="K81" s="124">
        <v>16.600000000000001</v>
      </c>
      <c r="L81" s="124">
        <v>7.4</v>
      </c>
      <c r="M81" s="124">
        <v>0</v>
      </c>
      <c r="N81" s="124">
        <v>7.4</v>
      </c>
      <c r="O81" s="124">
        <v>0</v>
      </c>
      <c r="P81" s="124">
        <v>188.4</v>
      </c>
      <c r="Q81" s="124">
        <v>0</v>
      </c>
      <c r="R81" s="124">
        <v>188.4</v>
      </c>
    </row>
    <row r="82" spans="1:18">
      <c r="A82" s="123" t="s">
        <v>112</v>
      </c>
      <c r="B82" s="124">
        <v>3.6</v>
      </c>
      <c r="C82" s="124"/>
      <c r="D82" s="124">
        <v>4.5</v>
      </c>
      <c r="E82" s="124">
        <v>0</v>
      </c>
      <c r="F82" s="124">
        <v>0</v>
      </c>
      <c r="G82" s="124">
        <v>0</v>
      </c>
      <c r="H82" s="124">
        <v>4.5</v>
      </c>
      <c r="I82" s="124">
        <v>0.3</v>
      </c>
      <c r="J82" s="124">
        <v>0</v>
      </c>
      <c r="K82" s="124">
        <v>0.3</v>
      </c>
      <c r="L82" s="124">
        <v>0.2</v>
      </c>
      <c r="M82" s="124">
        <v>0</v>
      </c>
      <c r="N82" s="124">
        <v>0.2</v>
      </c>
      <c r="O82" s="124">
        <v>0</v>
      </c>
      <c r="P82" s="124">
        <v>7.8</v>
      </c>
      <c r="Q82" s="124">
        <v>0</v>
      </c>
      <c r="R82" s="124">
        <v>7.8</v>
      </c>
    </row>
    <row r="83" spans="1:18">
      <c r="A83" s="102"/>
      <c r="B83" s="124"/>
      <c r="C83" s="124"/>
      <c r="D83" s="124"/>
      <c r="E83" s="124"/>
      <c r="F83" s="124"/>
      <c r="G83" s="124"/>
      <c r="H83" s="124"/>
      <c r="I83" s="124"/>
      <c r="J83" s="124"/>
      <c r="K83" s="124"/>
      <c r="L83" s="124"/>
      <c r="M83" s="124"/>
      <c r="N83" s="124"/>
      <c r="O83" s="124"/>
      <c r="P83" s="124"/>
      <c r="Q83" s="124"/>
      <c r="R83" s="124"/>
    </row>
    <row r="84" spans="1:18">
      <c r="A84" s="123" t="s">
        <v>131</v>
      </c>
      <c r="B84" s="124">
        <v>196.2</v>
      </c>
      <c r="C84" s="124"/>
      <c r="D84" s="124">
        <v>35.200000000000003</v>
      </c>
      <c r="E84" s="124">
        <v>0</v>
      </c>
      <c r="F84" s="124">
        <v>0</v>
      </c>
      <c r="G84" s="124">
        <v>0</v>
      </c>
      <c r="H84" s="124">
        <v>35.200000000000003</v>
      </c>
      <c r="I84" s="124">
        <v>18.3</v>
      </c>
      <c r="J84" s="124">
        <v>0</v>
      </c>
      <c r="K84" s="124">
        <v>18.3</v>
      </c>
      <c r="L84" s="124">
        <v>7.8</v>
      </c>
      <c r="M84" s="124">
        <v>0</v>
      </c>
      <c r="N84" s="124">
        <v>7.8</v>
      </c>
      <c r="O84" s="124">
        <v>0</v>
      </c>
      <c r="P84" s="124">
        <v>213.1</v>
      </c>
      <c r="Q84" s="124">
        <v>0</v>
      </c>
      <c r="R84" s="124">
        <v>213.1</v>
      </c>
    </row>
    <row r="85" spans="1:18">
      <c r="A85" s="123" t="s">
        <v>111</v>
      </c>
      <c r="B85" s="124">
        <v>188.4</v>
      </c>
      <c r="C85" s="124"/>
      <c r="D85" s="124">
        <v>32.4</v>
      </c>
      <c r="E85" s="124">
        <v>0</v>
      </c>
      <c r="F85" s="124">
        <v>0</v>
      </c>
      <c r="G85" s="124">
        <v>0</v>
      </c>
      <c r="H85" s="124">
        <v>32.4</v>
      </c>
      <c r="I85" s="124">
        <v>17.899999999999999</v>
      </c>
      <c r="J85" s="124">
        <v>0</v>
      </c>
      <c r="K85" s="124">
        <v>17.899999999999999</v>
      </c>
      <c r="L85" s="124">
        <v>7.4</v>
      </c>
      <c r="M85" s="124">
        <v>0</v>
      </c>
      <c r="N85" s="124">
        <v>7.4</v>
      </c>
      <c r="O85" s="124">
        <v>0</v>
      </c>
      <c r="P85" s="124">
        <v>202.9</v>
      </c>
      <c r="Q85" s="124">
        <v>0</v>
      </c>
      <c r="R85" s="124">
        <v>202.9</v>
      </c>
    </row>
    <row r="86" spans="1:18">
      <c r="A86" s="123" t="s">
        <v>112</v>
      </c>
      <c r="B86" s="124">
        <v>7.8</v>
      </c>
      <c r="C86" s="124"/>
      <c r="D86" s="124">
        <v>2.8</v>
      </c>
      <c r="E86" s="124">
        <v>0</v>
      </c>
      <c r="F86" s="124">
        <v>0</v>
      </c>
      <c r="G86" s="124">
        <v>0</v>
      </c>
      <c r="H86" s="124">
        <v>2.8</v>
      </c>
      <c r="I86" s="124">
        <v>0.4</v>
      </c>
      <c r="J86" s="124">
        <v>0</v>
      </c>
      <c r="K86" s="124">
        <v>0.4</v>
      </c>
      <c r="L86" s="124">
        <v>0.4</v>
      </c>
      <c r="M86" s="124">
        <v>0</v>
      </c>
      <c r="N86" s="124">
        <v>0.4</v>
      </c>
      <c r="O86" s="124">
        <v>0</v>
      </c>
      <c r="P86" s="124">
        <v>10.199999999999999</v>
      </c>
      <c r="Q86" s="124">
        <v>0</v>
      </c>
      <c r="R86" s="124">
        <v>10.199999999999999</v>
      </c>
    </row>
    <row r="87" spans="1:18">
      <c r="A87" s="102"/>
      <c r="B87" s="124"/>
      <c r="C87" s="124"/>
      <c r="D87" s="124"/>
      <c r="E87" s="124"/>
      <c r="F87" s="124"/>
      <c r="G87" s="124"/>
      <c r="H87" s="124"/>
      <c r="I87" s="124"/>
      <c r="J87" s="124"/>
      <c r="K87" s="124"/>
      <c r="L87" s="124"/>
      <c r="M87" s="124"/>
      <c r="N87" s="124"/>
      <c r="O87" s="124"/>
      <c r="P87" s="124"/>
      <c r="Q87" s="124"/>
      <c r="R87" s="124"/>
    </row>
    <row r="88" spans="1:18">
      <c r="A88" s="123" t="s">
        <v>132</v>
      </c>
      <c r="B88" s="124">
        <v>213.1</v>
      </c>
      <c r="C88" s="124"/>
      <c r="D88" s="124">
        <v>48.2</v>
      </c>
      <c r="E88" s="124">
        <v>0</v>
      </c>
      <c r="F88" s="124">
        <v>0</v>
      </c>
      <c r="G88" s="124">
        <v>0</v>
      </c>
      <c r="H88" s="124">
        <v>48.2</v>
      </c>
      <c r="I88" s="124">
        <v>19.8</v>
      </c>
      <c r="J88" s="124">
        <v>0</v>
      </c>
      <c r="K88" s="124">
        <v>19.8</v>
      </c>
      <c r="L88" s="124">
        <v>8.5</v>
      </c>
      <c r="M88" s="124">
        <v>0</v>
      </c>
      <c r="N88" s="124">
        <v>8.5</v>
      </c>
      <c r="O88" s="124">
        <v>0</v>
      </c>
      <c r="P88" s="124">
        <v>241.5</v>
      </c>
      <c r="Q88" s="124">
        <v>0</v>
      </c>
      <c r="R88" s="124">
        <v>241.5</v>
      </c>
    </row>
    <row r="89" spans="1:18">
      <c r="A89" s="123" t="s">
        <v>111</v>
      </c>
      <c r="B89" s="124">
        <v>201</v>
      </c>
      <c r="C89" s="125" t="s">
        <v>133</v>
      </c>
      <c r="D89" s="124">
        <v>47.5</v>
      </c>
      <c r="E89" s="124">
        <v>0</v>
      </c>
      <c r="F89" s="124">
        <v>0</v>
      </c>
      <c r="G89" s="124">
        <v>0</v>
      </c>
      <c r="H89" s="124">
        <v>47.5</v>
      </c>
      <c r="I89" s="124">
        <v>19.2</v>
      </c>
      <c r="J89" s="124">
        <v>0</v>
      </c>
      <c r="K89" s="124">
        <v>19.2</v>
      </c>
      <c r="L89" s="124">
        <v>8</v>
      </c>
      <c r="M89" s="124">
        <v>0</v>
      </c>
      <c r="N89" s="124">
        <v>8</v>
      </c>
      <c r="O89" s="124">
        <v>0</v>
      </c>
      <c r="P89" s="124">
        <v>229.3</v>
      </c>
      <c r="Q89" s="124">
        <v>0</v>
      </c>
      <c r="R89" s="124">
        <v>229.3</v>
      </c>
    </row>
    <row r="90" spans="1:18">
      <c r="A90" s="123" t="s">
        <v>112</v>
      </c>
      <c r="B90" s="124">
        <v>12.1</v>
      </c>
      <c r="C90" s="125" t="s">
        <v>133</v>
      </c>
      <c r="D90" s="124">
        <v>0.7</v>
      </c>
      <c r="E90" s="124">
        <v>0</v>
      </c>
      <c r="F90" s="124">
        <v>0</v>
      </c>
      <c r="G90" s="124">
        <v>0</v>
      </c>
      <c r="H90" s="124">
        <v>0.7</v>
      </c>
      <c r="I90" s="124">
        <v>0.6</v>
      </c>
      <c r="J90" s="124">
        <v>0</v>
      </c>
      <c r="K90" s="124">
        <v>0.6</v>
      </c>
      <c r="L90" s="124">
        <v>0.5</v>
      </c>
      <c r="M90" s="124">
        <v>0</v>
      </c>
      <c r="N90" s="124">
        <v>0.5</v>
      </c>
      <c r="O90" s="124">
        <v>0</v>
      </c>
      <c r="P90" s="124">
        <v>12.2</v>
      </c>
      <c r="Q90" s="124">
        <v>0</v>
      </c>
      <c r="R90" s="124">
        <v>12.2</v>
      </c>
    </row>
    <row r="91" spans="1:18">
      <c r="A91" s="102"/>
      <c r="B91" s="124"/>
      <c r="C91" s="124"/>
      <c r="D91" s="124"/>
      <c r="E91" s="124"/>
      <c r="F91" s="124"/>
      <c r="G91" s="124"/>
      <c r="H91" s="124"/>
      <c r="I91" s="124"/>
      <c r="J91" s="124"/>
      <c r="K91" s="124"/>
      <c r="L91" s="124"/>
      <c r="M91" s="124"/>
      <c r="N91" s="124"/>
      <c r="O91" s="124"/>
      <c r="P91" s="124"/>
      <c r="Q91" s="124"/>
      <c r="R91" s="124"/>
    </row>
    <row r="92" spans="1:18">
      <c r="A92" s="123" t="s">
        <v>134</v>
      </c>
      <c r="B92" s="124">
        <v>241.5</v>
      </c>
      <c r="C92" s="124"/>
      <c r="D92" s="124">
        <v>49.1</v>
      </c>
      <c r="E92" s="124">
        <v>0</v>
      </c>
      <c r="F92" s="124">
        <v>0</v>
      </c>
      <c r="G92" s="124">
        <v>0</v>
      </c>
      <c r="H92" s="124">
        <v>49.1</v>
      </c>
      <c r="I92" s="124">
        <v>29.8</v>
      </c>
      <c r="J92" s="124">
        <v>0</v>
      </c>
      <c r="K92" s="124">
        <v>29.8</v>
      </c>
      <c r="L92" s="124">
        <v>10.3</v>
      </c>
      <c r="M92" s="124">
        <v>0</v>
      </c>
      <c r="N92" s="124">
        <v>10.3</v>
      </c>
      <c r="O92" s="124">
        <v>0</v>
      </c>
      <c r="P92" s="124">
        <v>260.8</v>
      </c>
      <c r="Q92" s="124">
        <v>0</v>
      </c>
      <c r="R92" s="124">
        <v>260.8</v>
      </c>
    </row>
    <row r="93" spans="1:18">
      <c r="A93" s="123" t="s">
        <v>111</v>
      </c>
      <c r="B93" s="124">
        <v>229.3</v>
      </c>
      <c r="C93" s="124"/>
      <c r="D93" s="124">
        <v>47.9</v>
      </c>
      <c r="E93" s="124">
        <v>0</v>
      </c>
      <c r="F93" s="124">
        <v>0</v>
      </c>
      <c r="G93" s="124">
        <v>0</v>
      </c>
      <c r="H93" s="124">
        <v>47.9</v>
      </c>
      <c r="I93" s="124">
        <v>29.2</v>
      </c>
      <c r="J93" s="124">
        <v>0</v>
      </c>
      <c r="K93" s="124">
        <v>29.2</v>
      </c>
      <c r="L93" s="124">
        <v>9.5</v>
      </c>
      <c r="M93" s="124">
        <v>0</v>
      </c>
      <c r="N93" s="124">
        <v>9.5</v>
      </c>
      <c r="O93" s="124">
        <v>0</v>
      </c>
      <c r="P93" s="124">
        <v>248</v>
      </c>
      <c r="Q93" s="124">
        <v>0</v>
      </c>
      <c r="R93" s="124">
        <v>248</v>
      </c>
    </row>
    <row r="94" spans="1:18">
      <c r="A94" s="123" t="s">
        <v>112</v>
      </c>
      <c r="B94" s="124">
        <v>12.2</v>
      </c>
      <c r="C94" s="124"/>
      <c r="D94" s="124">
        <v>1.2</v>
      </c>
      <c r="E94" s="124">
        <v>0</v>
      </c>
      <c r="F94" s="124">
        <v>0</v>
      </c>
      <c r="G94" s="124">
        <v>0</v>
      </c>
      <c r="H94" s="124">
        <v>1.2</v>
      </c>
      <c r="I94" s="124">
        <v>0.6</v>
      </c>
      <c r="J94" s="124">
        <v>0</v>
      </c>
      <c r="K94" s="124">
        <v>0.6</v>
      </c>
      <c r="L94" s="124">
        <v>0.8</v>
      </c>
      <c r="M94" s="124">
        <v>0</v>
      </c>
      <c r="N94" s="124">
        <v>0.8</v>
      </c>
      <c r="O94" s="124">
        <v>0</v>
      </c>
      <c r="P94" s="124">
        <v>12.8</v>
      </c>
      <c r="Q94" s="124">
        <v>0</v>
      </c>
      <c r="R94" s="124">
        <v>12.8</v>
      </c>
    </row>
    <row r="95" spans="1:18">
      <c r="A95" s="102"/>
      <c r="B95" s="124"/>
      <c r="C95" s="124"/>
      <c r="D95" s="124"/>
      <c r="E95" s="124"/>
      <c r="F95" s="124"/>
      <c r="G95" s="124"/>
      <c r="H95" s="124"/>
      <c r="I95" s="124"/>
      <c r="J95" s="124"/>
      <c r="K95" s="124"/>
      <c r="L95" s="124"/>
      <c r="M95" s="124"/>
      <c r="N95" s="124"/>
      <c r="O95" s="124"/>
      <c r="P95" s="124"/>
      <c r="Q95" s="124"/>
      <c r="R95" s="124"/>
    </row>
    <row r="96" spans="1:18">
      <c r="A96" s="123" t="s">
        <v>135</v>
      </c>
      <c r="B96" s="124">
        <v>260.8</v>
      </c>
      <c r="C96" s="124"/>
      <c r="D96" s="124">
        <v>113.1</v>
      </c>
      <c r="E96" s="124">
        <v>0</v>
      </c>
      <c r="F96" s="124">
        <v>0</v>
      </c>
      <c r="G96" s="124">
        <v>0</v>
      </c>
      <c r="H96" s="124">
        <v>113.1</v>
      </c>
      <c r="I96" s="124">
        <v>30</v>
      </c>
      <c r="J96" s="124">
        <v>0</v>
      </c>
      <c r="K96" s="124">
        <v>30</v>
      </c>
      <c r="L96" s="124">
        <v>12.2</v>
      </c>
      <c r="M96" s="124">
        <v>0</v>
      </c>
      <c r="N96" s="124">
        <v>12.2</v>
      </c>
      <c r="O96" s="124">
        <v>0</v>
      </c>
      <c r="P96" s="124">
        <v>343.9</v>
      </c>
      <c r="Q96" s="124">
        <v>0</v>
      </c>
      <c r="R96" s="124">
        <v>343.9</v>
      </c>
    </row>
    <row r="97" spans="1:18">
      <c r="A97" s="123" t="s">
        <v>111</v>
      </c>
      <c r="B97" s="124">
        <v>248</v>
      </c>
      <c r="C97" s="124"/>
      <c r="D97" s="124">
        <v>105.2</v>
      </c>
      <c r="E97" s="124">
        <v>0</v>
      </c>
      <c r="F97" s="124">
        <v>0</v>
      </c>
      <c r="G97" s="124">
        <v>0</v>
      </c>
      <c r="H97" s="124">
        <v>105.2</v>
      </c>
      <c r="I97" s="124">
        <v>28.6</v>
      </c>
      <c r="J97" s="124">
        <v>0</v>
      </c>
      <c r="K97" s="124">
        <v>28.6</v>
      </c>
      <c r="L97" s="124">
        <v>11.7</v>
      </c>
      <c r="M97" s="124">
        <v>0</v>
      </c>
      <c r="N97" s="124">
        <v>11.7</v>
      </c>
      <c r="O97" s="124">
        <v>0</v>
      </c>
      <c r="P97" s="124">
        <v>324.60000000000002</v>
      </c>
      <c r="Q97" s="124">
        <v>0</v>
      </c>
      <c r="R97" s="124">
        <v>324.60000000000002</v>
      </c>
    </row>
    <row r="98" spans="1:18">
      <c r="A98" s="123" t="s">
        <v>112</v>
      </c>
      <c r="B98" s="124">
        <v>12.8</v>
      </c>
      <c r="C98" s="124"/>
      <c r="D98" s="124">
        <v>7.9</v>
      </c>
      <c r="E98" s="124">
        <v>0</v>
      </c>
      <c r="F98" s="124">
        <v>0</v>
      </c>
      <c r="G98" s="124">
        <v>0</v>
      </c>
      <c r="H98" s="124">
        <v>7.9</v>
      </c>
      <c r="I98" s="124">
        <v>1.4</v>
      </c>
      <c r="J98" s="124">
        <v>0</v>
      </c>
      <c r="K98" s="124">
        <v>1.4</v>
      </c>
      <c r="L98" s="124">
        <v>0.5</v>
      </c>
      <c r="M98" s="124">
        <v>0</v>
      </c>
      <c r="N98" s="124">
        <v>0.5</v>
      </c>
      <c r="O98" s="124">
        <v>0</v>
      </c>
      <c r="P98" s="124">
        <v>19.3</v>
      </c>
      <c r="Q98" s="124">
        <v>0</v>
      </c>
      <c r="R98" s="124">
        <v>19.3</v>
      </c>
    </row>
    <row r="99" spans="1:18">
      <c r="A99" s="102"/>
      <c r="B99" s="124"/>
      <c r="C99" s="124"/>
      <c r="D99" s="124"/>
      <c r="E99" s="124"/>
      <c r="F99" s="124"/>
      <c r="G99" s="124"/>
      <c r="H99" s="124"/>
      <c r="I99" s="124"/>
      <c r="J99" s="124"/>
      <c r="K99" s="124"/>
      <c r="L99" s="124"/>
      <c r="M99" s="124"/>
      <c r="N99" s="124"/>
      <c r="O99" s="124"/>
      <c r="P99" s="124"/>
      <c r="Q99" s="124"/>
      <c r="R99" s="124"/>
    </row>
    <row r="100" spans="1:18">
      <c r="A100" s="123" t="s">
        <v>136</v>
      </c>
      <c r="B100" s="124">
        <v>343.9</v>
      </c>
      <c r="C100" s="124"/>
      <c r="D100" s="124">
        <v>61.1</v>
      </c>
      <c r="E100" s="124">
        <v>0</v>
      </c>
      <c r="F100" s="124">
        <v>0</v>
      </c>
      <c r="G100" s="124">
        <v>0</v>
      </c>
      <c r="H100" s="124">
        <v>61.1</v>
      </c>
      <c r="I100" s="124">
        <v>33</v>
      </c>
      <c r="J100" s="124">
        <v>0</v>
      </c>
      <c r="K100" s="124">
        <v>33</v>
      </c>
      <c r="L100" s="124">
        <v>18</v>
      </c>
      <c r="M100" s="124">
        <v>0</v>
      </c>
      <c r="N100" s="124">
        <v>18</v>
      </c>
      <c r="O100" s="124">
        <v>8.4</v>
      </c>
      <c r="P100" s="124">
        <v>380.4</v>
      </c>
      <c r="Q100" s="124">
        <v>0</v>
      </c>
      <c r="R100" s="124">
        <v>380.4</v>
      </c>
    </row>
    <row r="101" spans="1:18">
      <c r="A101" s="123" t="s">
        <v>111</v>
      </c>
      <c r="B101" s="124">
        <v>329.8</v>
      </c>
      <c r="C101" s="125" t="s">
        <v>133</v>
      </c>
      <c r="D101" s="124">
        <v>60</v>
      </c>
      <c r="E101" s="124">
        <v>0</v>
      </c>
      <c r="F101" s="124">
        <v>0</v>
      </c>
      <c r="G101" s="124">
        <v>0</v>
      </c>
      <c r="H101" s="124">
        <v>60</v>
      </c>
      <c r="I101" s="124">
        <v>32</v>
      </c>
      <c r="J101" s="124">
        <v>0</v>
      </c>
      <c r="K101" s="124">
        <v>32</v>
      </c>
      <c r="L101" s="124">
        <v>17.2</v>
      </c>
      <c r="M101" s="124">
        <v>0</v>
      </c>
      <c r="N101" s="124">
        <v>17.2</v>
      </c>
      <c r="O101" s="124">
        <v>8.4</v>
      </c>
      <c r="P101" s="124">
        <v>366.2</v>
      </c>
      <c r="Q101" s="124">
        <v>0</v>
      </c>
      <c r="R101" s="124">
        <v>366.2</v>
      </c>
    </row>
    <row r="102" spans="1:18">
      <c r="A102" s="123" t="s">
        <v>112</v>
      </c>
      <c r="B102" s="124">
        <v>14.1</v>
      </c>
      <c r="C102" s="125" t="s">
        <v>133</v>
      </c>
      <c r="D102" s="124">
        <v>1.1000000000000001</v>
      </c>
      <c r="E102" s="124">
        <v>0</v>
      </c>
      <c r="F102" s="124">
        <v>0</v>
      </c>
      <c r="G102" s="124">
        <v>0</v>
      </c>
      <c r="H102" s="124">
        <v>1.1000000000000001</v>
      </c>
      <c r="I102" s="124">
        <v>1</v>
      </c>
      <c r="J102" s="124">
        <v>0</v>
      </c>
      <c r="K102" s="124">
        <v>1</v>
      </c>
      <c r="L102" s="124">
        <v>0.8</v>
      </c>
      <c r="M102" s="124">
        <v>0</v>
      </c>
      <c r="N102" s="124">
        <v>0.8</v>
      </c>
      <c r="O102" s="124">
        <v>0</v>
      </c>
      <c r="P102" s="124">
        <v>14.2</v>
      </c>
      <c r="Q102" s="124">
        <v>0</v>
      </c>
      <c r="R102" s="124">
        <v>14.2</v>
      </c>
    </row>
    <row r="103" spans="1:18">
      <c r="A103" s="102"/>
      <c r="B103" s="124"/>
      <c r="C103" s="124"/>
      <c r="D103" s="124"/>
      <c r="E103" s="124"/>
      <c r="F103" s="124"/>
      <c r="G103" s="124"/>
      <c r="H103" s="124"/>
      <c r="I103" s="124"/>
      <c r="J103" s="124"/>
      <c r="K103" s="124"/>
      <c r="L103" s="124"/>
      <c r="M103" s="124"/>
      <c r="N103" s="124"/>
      <c r="O103" s="124"/>
      <c r="P103" s="124"/>
      <c r="Q103" s="124"/>
      <c r="R103" s="124"/>
    </row>
    <row r="104" spans="1:18">
      <c r="A104" s="123" t="s">
        <v>137</v>
      </c>
      <c r="B104" s="124">
        <v>380.4</v>
      </c>
      <c r="C104" s="124"/>
      <c r="D104" s="124">
        <v>124.9</v>
      </c>
      <c r="E104" s="124">
        <v>0</v>
      </c>
      <c r="F104" s="124">
        <v>0</v>
      </c>
      <c r="G104" s="124">
        <v>0</v>
      </c>
      <c r="H104" s="124">
        <v>124.9</v>
      </c>
      <c r="I104" s="124">
        <v>95.7</v>
      </c>
      <c r="J104" s="124">
        <v>0</v>
      </c>
      <c r="K104" s="124">
        <v>95.7</v>
      </c>
      <c r="L104" s="124">
        <v>21.6</v>
      </c>
      <c r="M104" s="124">
        <v>0</v>
      </c>
      <c r="N104" s="124">
        <v>21.6</v>
      </c>
      <c r="O104" s="124">
        <v>0.4</v>
      </c>
      <c r="P104" s="124">
        <v>410</v>
      </c>
      <c r="Q104" s="124">
        <v>0</v>
      </c>
      <c r="R104" s="124">
        <v>410</v>
      </c>
    </row>
    <row r="105" spans="1:18">
      <c r="A105" s="123" t="s">
        <v>111</v>
      </c>
      <c r="B105" s="124">
        <v>366.4</v>
      </c>
      <c r="C105" s="125" t="s">
        <v>133</v>
      </c>
      <c r="D105" s="124">
        <v>91.3</v>
      </c>
      <c r="E105" s="124">
        <v>0</v>
      </c>
      <c r="F105" s="124">
        <v>0</v>
      </c>
      <c r="G105" s="124">
        <v>0</v>
      </c>
      <c r="H105" s="124">
        <v>91.3</v>
      </c>
      <c r="I105" s="124">
        <v>80.900000000000006</v>
      </c>
      <c r="J105" s="124">
        <v>0</v>
      </c>
      <c r="K105" s="124">
        <v>80.900000000000006</v>
      </c>
      <c r="L105" s="124">
        <v>19.399999999999999</v>
      </c>
      <c r="M105" s="124">
        <v>0</v>
      </c>
      <c r="N105" s="124">
        <v>19.399999999999999</v>
      </c>
      <c r="O105" s="124">
        <v>0.4</v>
      </c>
      <c r="P105" s="124">
        <v>377.2</v>
      </c>
      <c r="Q105" s="124">
        <v>0</v>
      </c>
      <c r="R105" s="124">
        <v>377.2</v>
      </c>
    </row>
    <row r="106" spans="1:18">
      <c r="A106" s="123" t="s">
        <v>112</v>
      </c>
      <c r="B106" s="124">
        <v>14</v>
      </c>
      <c r="C106" s="125" t="s">
        <v>133</v>
      </c>
      <c r="D106" s="124">
        <v>33.6</v>
      </c>
      <c r="E106" s="124">
        <v>0</v>
      </c>
      <c r="F106" s="124">
        <v>0</v>
      </c>
      <c r="G106" s="124">
        <v>0</v>
      </c>
      <c r="H106" s="124">
        <v>33.6</v>
      </c>
      <c r="I106" s="124">
        <v>14.8</v>
      </c>
      <c r="J106" s="124">
        <v>0</v>
      </c>
      <c r="K106" s="124">
        <v>14.8</v>
      </c>
      <c r="L106" s="124">
        <v>2.2000000000000002</v>
      </c>
      <c r="M106" s="124">
        <v>0</v>
      </c>
      <c r="N106" s="124">
        <v>2.2000000000000002</v>
      </c>
      <c r="O106" s="124">
        <v>0</v>
      </c>
      <c r="P106" s="124">
        <v>32.799999999999997</v>
      </c>
      <c r="Q106" s="124">
        <v>0</v>
      </c>
      <c r="R106" s="124">
        <v>32.799999999999997</v>
      </c>
    </row>
    <row r="107" spans="1:18">
      <c r="A107" s="102"/>
      <c r="B107" s="124"/>
      <c r="C107" s="124"/>
      <c r="D107" s="124"/>
      <c r="E107" s="124"/>
      <c r="F107" s="124"/>
      <c r="G107" s="124"/>
      <c r="H107" s="124"/>
      <c r="I107" s="124"/>
      <c r="J107" s="124"/>
      <c r="K107" s="124"/>
      <c r="L107" s="124"/>
      <c r="M107" s="124"/>
      <c r="N107" s="124"/>
      <c r="O107" s="124"/>
      <c r="P107" s="124"/>
      <c r="Q107" s="124"/>
      <c r="R107" s="124"/>
    </row>
    <row r="108" spans="1:18">
      <c r="A108" s="123" t="s">
        <v>138</v>
      </c>
      <c r="B108" s="124">
        <v>410</v>
      </c>
      <c r="C108" s="124"/>
      <c r="D108" s="124">
        <v>149.19999999999999</v>
      </c>
      <c r="E108" s="124">
        <v>0</v>
      </c>
      <c r="F108" s="124">
        <v>0</v>
      </c>
      <c r="G108" s="124">
        <v>0</v>
      </c>
      <c r="H108" s="124">
        <v>149.19999999999999</v>
      </c>
      <c r="I108" s="124">
        <v>44</v>
      </c>
      <c r="J108" s="124">
        <v>0</v>
      </c>
      <c r="K108" s="124">
        <v>44</v>
      </c>
      <c r="L108" s="124">
        <v>21.8</v>
      </c>
      <c r="M108" s="124">
        <v>0</v>
      </c>
      <c r="N108" s="124">
        <v>21.8</v>
      </c>
      <c r="O108" s="124">
        <v>-2.5</v>
      </c>
      <c r="P108" s="124">
        <v>512.70000000000005</v>
      </c>
      <c r="Q108" s="124">
        <v>0</v>
      </c>
      <c r="R108" s="124">
        <v>512.70000000000005</v>
      </c>
    </row>
    <row r="109" spans="1:18">
      <c r="A109" s="123" t="s">
        <v>111</v>
      </c>
      <c r="B109" s="124">
        <v>377.2</v>
      </c>
      <c r="C109" s="124"/>
      <c r="D109" s="124">
        <v>117.2</v>
      </c>
      <c r="E109" s="124">
        <v>0</v>
      </c>
      <c r="F109" s="124">
        <v>0</v>
      </c>
      <c r="G109" s="124">
        <v>0</v>
      </c>
      <c r="H109" s="124">
        <v>117.2</v>
      </c>
      <c r="I109" s="124">
        <v>35.4</v>
      </c>
      <c r="J109" s="124">
        <v>0</v>
      </c>
      <c r="K109" s="124">
        <v>35.4</v>
      </c>
      <c r="L109" s="124">
        <v>20.100000000000001</v>
      </c>
      <c r="M109" s="124">
        <v>0</v>
      </c>
      <c r="N109" s="124">
        <v>20.100000000000001</v>
      </c>
      <c r="O109" s="124">
        <v>-2.5</v>
      </c>
      <c r="P109" s="124">
        <v>456.5</v>
      </c>
      <c r="Q109" s="124">
        <v>0</v>
      </c>
      <c r="R109" s="124">
        <v>456.5</v>
      </c>
    </row>
    <row r="110" spans="1:18">
      <c r="A110" s="123" t="s">
        <v>112</v>
      </c>
      <c r="B110" s="124">
        <v>32.799999999999997</v>
      </c>
      <c r="C110" s="124"/>
      <c r="D110" s="124">
        <v>32</v>
      </c>
      <c r="E110" s="124">
        <v>0</v>
      </c>
      <c r="F110" s="124">
        <v>0</v>
      </c>
      <c r="G110" s="124">
        <v>0</v>
      </c>
      <c r="H110" s="124">
        <v>32</v>
      </c>
      <c r="I110" s="124">
        <v>8.6</v>
      </c>
      <c r="J110" s="124">
        <v>0</v>
      </c>
      <c r="K110" s="124">
        <v>8.6</v>
      </c>
      <c r="L110" s="124">
        <v>1.7</v>
      </c>
      <c r="M110" s="124">
        <v>0</v>
      </c>
      <c r="N110" s="124">
        <v>1.7</v>
      </c>
      <c r="O110" s="124">
        <v>0</v>
      </c>
      <c r="P110" s="124">
        <v>56.2</v>
      </c>
      <c r="Q110" s="124">
        <v>0</v>
      </c>
      <c r="R110" s="124">
        <v>56.2</v>
      </c>
    </row>
    <row r="111" spans="1:18">
      <c r="A111" s="102"/>
      <c r="B111" s="124"/>
      <c r="C111" s="124"/>
      <c r="D111" s="124"/>
      <c r="E111" s="124"/>
      <c r="F111" s="124"/>
      <c r="G111" s="124"/>
      <c r="H111" s="124"/>
      <c r="I111" s="124"/>
      <c r="J111" s="124"/>
      <c r="K111" s="124"/>
      <c r="L111" s="124"/>
      <c r="M111" s="124"/>
      <c r="N111" s="124"/>
      <c r="O111" s="124"/>
      <c r="P111" s="124"/>
      <c r="Q111" s="124"/>
      <c r="R111" s="124"/>
    </row>
    <row r="112" spans="1:18">
      <c r="A112" s="123" t="s">
        <v>139</v>
      </c>
      <c r="B112" s="124">
        <v>512.70000000000005</v>
      </c>
      <c r="C112" s="124"/>
      <c r="D112" s="124">
        <v>265.2</v>
      </c>
      <c r="E112" s="124">
        <v>0</v>
      </c>
      <c r="F112" s="124">
        <v>0</v>
      </c>
      <c r="G112" s="124">
        <v>0</v>
      </c>
      <c r="H112" s="124">
        <v>265.2</v>
      </c>
      <c r="I112" s="124">
        <v>85.5</v>
      </c>
      <c r="J112" s="124">
        <v>0</v>
      </c>
      <c r="K112" s="124">
        <v>85.5</v>
      </c>
      <c r="L112" s="124">
        <v>26.5</v>
      </c>
      <c r="M112" s="124">
        <v>0</v>
      </c>
      <c r="N112" s="124">
        <v>26.5</v>
      </c>
      <c r="O112" s="124">
        <v>0.7</v>
      </c>
      <c r="P112" s="124">
        <v>693.1</v>
      </c>
      <c r="Q112" s="124">
        <v>0</v>
      </c>
      <c r="R112" s="124">
        <v>693.1</v>
      </c>
    </row>
    <row r="113" spans="1:18">
      <c r="A113" s="123" t="s">
        <v>111</v>
      </c>
      <c r="B113" s="124">
        <v>456.5</v>
      </c>
      <c r="C113" s="124"/>
      <c r="D113" s="124">
        <v>228.1</v>
      </c>
      <c r="E113" s="124">
        <v>0</v>
      </c>
      <c r="F113" s="124">
        <v>0</v>
      </c>
      <c r="G113" s="124">
        <v>0</v>
      </c>
      <c r="H113" s="124">
        <v>228.1</v>
      </c>
      <c r="I113" s="124">
        <v>49.5</v>
      </c>
      <c r="J113" s="124">
        <v>0</v>
      </c>
      <c r="K113" s="124">
        <v>49.5</v>
      </c>
      <c r="L113" s="124">
        <v>22.8</v>
      </c>
      <c r="M113" s="124">
        <v>0</v>
      </c>
      <c r="N113" s="124">
        <v>22.8</v>
      </c>
      <c r="O113" s="124">
        <v>0.7</v>
      </c>
      <c r="P113" s="124">
        <v>635.79999999999995</v>
      </c>
      <c r="Q113" s="124">
        <v>0</v>
      </c>
      <c r="R113" s="124">
        <v>635.79999999999995</v>
      </c>
    </row>
    <row r="114" spans="1:18">
      <c r="A114" s="123" t="s">
        <v>112</v>
      </c>
      <c r="B114" s="124">
        <v>56.2</v>
      </c>
      <c r="C114" s="124"/>
      <c r="D114" s="124">
        <v>37.1</v>
      </c>
      <c r="E114" s="124">
        <v>0</v>
      </c>
      <c r="F114" s="124">
        <v>0</v>
      </c>
      <c r="G114" s="124">
        <v>0</v>
      </c>
      <c r="H114" s="124">
        <v>37.1</v>
      </c>
      <c r="I114" s="124">
        <v>36</v>
      </c>
      <c r="J114" s="124">
        <v>0</v>
      </c>
      <c r="K114" s="124">
        <v>36</v>
      </c>
      <c r="L114" s="124">
        <v>3.7</v>
      </c>
      <c r="M114" s="124">
        <v>0</v>
      </c>
      <c r="N114" s="124">
        <v>3.7</v>
      </c>
      <c r="O114" s="124">
        <v>0</v>
      </c>
      <c r="P114" s="124">
        <v>57.3</v>
      </c>
      <c r="Q114" s="124">
        <v>0</v>
      </c>
      <c r="R114" s="124">
        <v>57.3</v>
      </c>
    </row>
    <row r="115" spans="1:18">
      <c r="A115" s="102"/>
      <c r="B115" s="124"/>
      <c r="C115" s="124"/>
      <c r="D115" s="124"/>
      <c r="E115" s="124"/>
      <c r="F115" s="124"/>
      <c r="G115" s="124"/>
      <c r="H115" s="124"/>
      <c r="I115" s="124"/>
      <c r="J115" s="124"/>
      <c r="K115" s="124"/>
      <c r="L115" s="124"/>
      <c r="M115" s="124"/>
      <c r="N115" s="124"/>
      <c r="O115" s="124"/>
      <c r="P115" s="124"/>
      <c r="Q115" s="124"/>
      <c r="R115" s="124"/>
    </row>
    <row r="116" spans="1:18">
      <c r="A116" s="123" t="s">
        <v>140</v>
      </c>
      <c r="B116" s="124">
        <v>693.1</v>
      </c>
      <c r="C116" s="124"/>
      <c r="D116" s="124">
        <v>662.4</v>
      </c>
      <c r="E116" s="124">
        <v>0</v>
      </c>
      <c r="F116" s="124">
        <v>0</v>
      </c>
      <c r="G116" s="124">
        <v>0</v>
      </c>
      <c r="H116" s="124">
        <v>662.4</v>
      </c>
      <c r="I116" s="124">
        <v>100.5</v>
      </c>
      <c r="J116" s="124">
        <v>0</v>
      </c>
      <c r="K116" s="124">
        <v>100.5</v>
      </c>
      <c r="L116" s="124">
        <v>56</v>
      </c>
      <c r="M116" s="124">
        <v>0</v>
      </c>
      <c r="N116" s="124">
        <v>56</v>
      </c>
      <c r="O116" s="124">
        <v>8.6999999999999993</v>
      </c>
      <c r="P116" s="124">
        <v>1263.7</v>
      </c>
      <c r="Q116" s="124">
        <v>0</v>
      </c>
      <c r="R116" s="124">
        <v>1263.7</v>
      </c>
    </row>
    <row r="117" spans="1:18">
      <c r="A117" s="123" t="s">
        <v>111</v>
      </c>
      <c r="B117" s="124">
        <v>635.79999999999995</v>
      </c>
      <c r="C117" s="124"/>
      <c r="D117" s="124">
        <v>590.9</v>
      </c>
      <c r="E117" s="124">
        <v>0</v>
      </c>
      <c r="F117" s="124">
        <v>0</v>
      </c>
      <c r="G117" s="124">
        <v>0</v>
      </c>
      <c r="H117" s="124">
        <v>590.9</v>
      </c>
      <c r="I117" s="124">
        <v>61.6</v>
      </c>
      <c r="J117" s="124">
        <v>0</v>
      </c>
      <c r="K117" s="124">
        <v>61.6</v>
      </c>
      <c r="L117" s="124">
        <v>49</v>
      </c>
      <c r="M117" s="124">
        <v>0</v>
      </c>
      <c r="N117" s="124">
        <v>49</v>
      </c>
      <c r="O117" s="124">
        <v>8.6999999999999993</v>
      </c>
      <c r="P117" s="124">
        <v>1173.8</v>
      </c>
      <c r="Q117" s="124">
        <v>0</v>
      </c>
      <c r="R117" s="124">
        <v>1173.8</v>
      </c>
    </row>
    <row r="118" spans="1:18">
      <c r="A118" s="123" t="s">
        <v>112</v>
      </c>
      <c r="B118" s="124">
        <v>57.3</v>
      </c>
      <c r="C118" s="124"/>
      <c r="D118" s="124">
        <v>71.5</v>
      </c>
      <c r="E118" s="124">
        <v>0</v>
      </c>
      <c r="F118" s="124">
        <v>0</v>
      </c>
      <c r="G118" s="124">
        <v>0</v>
      </c>
      <c r="H118" s="124">
        <v>71.5</v>
      </c>
      <c r="I118" s="124">
        <v>38.9</v>
      </c>
      <c r="J118" s="124">
        <v>0</v>
      </c>
      <c r="K118" s="124">
        <v>38.9</v>
      </c>
      <c r="L118" s="124">
        <v>7</v>
      </c>
      <c r="M118" s="124">
        <v>0</v>
      </c>
      <c r="N118" s="124">
        <v>7</v>
      </c>
      <c r="O118" s="124">
        <v>0</v>
      </c>
      <c r="P118" s="124">
        <v>89.9</v>
      </c>
      <c r="Q118" s="124">
        <v>0</v>
      </c>
      <c r="R118" s="124">
        <v>89.9</v>
      </c>
    </row>
    <row r="119" spans="1:18">
      <c r="A119" s="102"/>
      <c r="B119" s="124"/>
      <c r="C119" s="124"/>
      <c r="D119" s="124"/>
      <c r="E119" s="124"/>
      <c r="F119" s="124"/>
      <c r="G119" s="124"/>
      <c r="H119" s="124"/>
      <c r="I119" s="124"/>
      <c r="J119" s="124"/>
      <c r="K119" s="124"/>
      <c r="L119" s="124"/>
      <c r="M119" s="124"/>
      <c r="N119" s="124"/>
      <c r="O119" s="124"/>
      <c r="P119" s="124"/>
      <c r="Q119" s="124"/>
      <c r="R119" s="124"/>
    </row>
    <row r="120" spans="1:18">
      <c r="A120" s="123" t="s">
        <v>141</v>
      </c>
      <c r="B120" s="124">
        <v>1675.8</v>
      </c>
      <c r="C120" s="124"/>
      <c r="D120" s="124">
        <v>1017</v>
      </c>
      <c r="E120" s="124">
        <v>0</v>
      </c>
      <c r="F120" s="124">
        <v>0</v>
      </c>
      <c r="G120" s="124">
        <v>0</v>
      </c>
      <c r="H120" s="124">
        <v>1017</v>
      </c>
      <c r="I120" s="124">
        <v>401.3</v>
      </c>
      <c r="J120" s="124">
        <v>0</v>
      </c>
      <c r="K120" s="124">
        <v>401.3</v>
      </c>
      <c r="L120" s="124">
        <v>143</v>
      </c>
      <c r="M120" s="124">
        <v>0</v>
      </c>
      <c r="N120" s="124">
        <v>143</v>
      </c>
      <c r="O120" s="124">
        <v>22.7</v>
      </c>
      <c r="P120" s="124">
        <v>2314.1999999999998</v>
      </c>
      <c r="Q120" s="124">
        <v>0</v>
      </c>
      <c r="R120" s="124">
        <v>2314.1999999999998</v>
      </c>
    </row>
    <row r="121" spans="1:18">
      <c r="A121" s="123" t="s">
        <v>111</v>
      </c>
      <c r="B121" s="124">
        <v>1423.8</v>
      </c>
      <c r="C121" s="125" t="s">
        <v>142</v>
      </c>
      <c r="D121" s="124">
        <v>615.29999999999995</v>
      </c>
      <c r="E121" s="124">
        <v>0</v>
      </c>
      <c r="F121" s="124">
        <v>0</v>
      </c>
      <c r="G121" s="124">
        <v>0</v>
      </c>
      <c r="H121" s="124">
        <v>615.29999999999995</v>
      </c>
      <c r="I121" s="124">
        <v>243.8</v>
      </c>
      <c r="J121" s="124">
        <v>0</v>
      </c>
      <c r="K121" s="124">
        <v>243.8</v>
      </c>
      <c r="L121" s="124">
        <v>110.4</v>
      </c>
      <c r="M121" s="124">
        <v>0</v>
      </c>
      <c r="N121" s="124">
        <v>110.4</v>
      </c>
      <c r="O121" s="124">
        <v>22.7</v>
      </c>
      <c r="P121" s="124">
        <v>1818</v>
      </c>
      <c r="Q121" s="124">
        <v>0</v>
      </c>
      <c r="R121" s="124">
        <v>1818</v>
      </c>
    </row>
    <row r="122" spans="1:18">
      <c r="A122" s="123" t="s">
        <v>112</v>
      </c>
      <c r="B122" s="124">
        <v>252</v>
      </c>
      <c r="C122" s="125" t="s">
        <v>142</v>
      </c>
      <c r="D122" s="124">
        <v>401.7</v>
      </c>
      <c r="E122" s="124">
        <v>0</v>
      </c>
      <c r="F122" s="124">
        <v>0</v>
      </c>
      <c r="G122" s="124">
        <v>0</v>
      </c>
      <c r="H122" s="124">
        <v>401.7</v>
      </c>
      <c r="I122" s="124">
        <v>157.5</v>
      </c>
      <c r="J122" s="124">
        <v>0</v>
      </c>
      <c r="K122" s="124">
        <v>157.5</v>
      </c>
      <c r="L122" s="124">
        <v>32.6</v>
      </c>
      <c r="M122" s="124">
        <v>0</v>
      </c>
      <c r="N122" s="124">
        <v>32.6</v>
      </c>
      <c r="O122" s="124">
        <v>0</v>
      </c>
      <c r="P122" s="124">
        <v>496.2</v>
      </c>
      <c r="Q122" s="124">
        <v>0</v>
      </c>
      <c r="R122" s="124">
        <v>496.2</v>
      </c>
    </row>
    <row r="123" spans="1:18">
      <c r="A123" s="102"/>
      <c r="B123" s="124"/>
      <c r="C123" s="124"/>
      <c r="D123" s="124"/>
      <c r="E123" s="124"/>
      <c r="F123" s="124"/>
      <c r="G123" s="124"/>
      <c r="H123" s="124"/>
      <c r="I123" s="124"/>
      <c r="J123" s="124"/>
      <c r="K123" s="124"/>
      <c r="L123" s="124"/>
      <c r="M123" s="124"/>
      <c r="N123" s="124"/>
      <c r="O123" s="124"/>
      <c r="P123" s="124"/>
      <c r="Q123" s="124"/>
      <c r="R123" s="124"/>
    </row>
    <row r="124" spans="1:18">
      <c r="A124" s="123" t="s">
        <v>143</v>
      </c>
      <c r="B124" s="124">
        <v>2974.6</v>
      </c>
      <c r="C124" s="124"/>
      <c r="D124" s="124">
        <v>1850.7</v>
      </c>
      <c r="E124" s="124">
        <v>0</v>
      </c>
      <c r="F124" s="124">
        <v>0</v>
      </c>
      <c r="G124" s="124">
        <v>0</v>
      </c>
      <c r="H124" s="124">
        <v>1850.7</v>
      </c>
      <c r="I124" s="124">
        <v>1277.3</v>
      </c>
      <c r="J124" s="124">
        <v>0</v>
      </c>
      <c r="K124" s="124">
        <v>1277.3</v>
      </c>
      <c r="L124" s="124">
        <v>321.60000000000002</v>
      </c>
      <c r="M124" s="124">
        <v>0</v>
      </c>
      <c r="N124" s="124">
        <v>321.60000000000002</v>
      </c>
      <c r="O124" s="124">
        <v>6.1</v>
      </c>
      <c r="P124" s="124">
        <v>3554.1</v>
      </c>
      <c r="Q124" s="124">
        <v>0</v>
      </c>
      <c r="R124" s="124">
        <v>3554.1</v>
      </c>
    </row>
    <row r="125" spans="1:18">
      <c r="A125" s="123" t="s">
        <v>111</v>
      </c>
      <c r="B125" s="124">
        <v>2478.4</v>
      </c>
      <c r="C125" s="125" t="s">
        <v>142</v>
      </c>
      <c r="D125" s="124">
        <v>1269.0999999999999</v>
      </c>
      <c r="E125" s="124">
        <v>0</v>
      </c>
      <c r="F125" s="124">
        <v>0</v>
      </c>
      <c r="G125" s="124">
        <v>0</v>
      </c>
      <c r="H125" s="124">
        <v>1269.0999999999999</v>
      </c>
      <c r="I125" s="124">
        <v>905.8</v>
      </c>
      <c r="J125" s="124">
        <v>0</v>
      </c>
      <c r="K125" s="124">
        <v>905.8</v>
      </c>
      <c r="L125" s="124">
        <v>241.4</v>
      </c>
      <c r="M125" s="124">
        <v>0</v>
      </c>
      <c r="N125" s="124">
        <v>241.4</v>
      </c>
      <c r="O125" s="124">
        <v>6.1</v>
      </c>
      <c r="P125" s="124">
        <v>2847.8</v>
      </c>
      <c r="Q125" s="124">
        <v>0</v>
      </c>
      <c r="R125" s="124">
        <v>2847.8</v>
      </c>
    </row>
    <row r="126" spans="1:18">
      <c r="A126" s="123" t="s">
        <v>112</v>
      </c>
      <c r="B126" s="124">
        <v>496.2</v>
      </c>
      <c r="C126" s="125" t="s">
        <v>142</v>
      </c>
      <c r="D126" s="124">
        <v>581.6</v>
      </c>
      <c r="E126" s="124">
        <v>0</v>
      </c>
      <c r="F126" s="124">
        <v>0</v>
      </c>
      <c r="G126" s="124">
        <v>0</v>
      </c>
      <c r="H126" s="124">
        <v>581.6</v>
      </c>
      <c r="I126" s="124">
        <v>371.5</v>
      </c>
      <c r="J126" s="124">
        <v>0</v>
      </c>
      <c r="K126" s="124">
        <v>371.5</v>
      </c>
      <c r="L126" s="124">
        <v>80.2</v>
      </c>
      <c r="M126" s="124">
        <v>0</v>
      </c>
      <c r="N126" s="124">
        <v>80.2</v>
      </c>
      <c r="O126" s="124">
        <v>0</v>
      </c>
      <c r="P126" s="124">
        <v>706.3</v>
      </c>
      <c r="Q126" s="124">
        <v>0</v>
      </c>
      <c r="R126" s="124">
        <v>706.3</v>
      </c>
    </row>
    <row r="127" spans="1:18">
      <c r="A127" s="102"/>
      <c r="B127" s="124"/>
      <c r="C127" s="124"/>
      <c r="D127" s="124"/>
      <c r="E127" s="124"/>
      <c r="F127" s="124"/>
      <c r="G127" s="124"/>
      <c r="H127" s="124"/>
      <c r="I127" s="124"/>
      <c r="J127" s="124"/>
      <c r="K127" s="124"/>
      <c r="L127" s="124"/>
      <c r="M127" s="124"/>
      <c r="N127" s="124"/>
      <c r="O127" s="124"/>
      <c r="P127" s="124"/>
      <c r="Q127" s="124"/>
      <c r="R127" s="124"/>
    </row>
    <row r="128" spans="1:18">
      <c r="A128" s="123" t="s">
        <v>144</v>
      </c>
      <c r="B128" s="124">
        <v>3554.1</v>
      </c>
      <c r="C128" s="124"/>
      <c r="D128" s="124">
        <v>1949.7</v>
      </c>
      <c r="E128" s="124">
        <v>0</v>
      </c>
      <c r="F128" s="124">
        <v>0</v>
      </c>
      <c r="G128" s="124">
        <v>0</v>
      </c>
      <c r="H128" s="124">
        <v>1949.7</v>
      </c>
      <c r="I128" s="124">
        <v>898.5</v>
      </c>
      <c r="J128" s="124">
        <v>0</v>
      </c>
      <c r="K128" s="124">
        <v>898.5</v>
      </c>
      <c r="L128" s="124">
        <v>510.6</v>
      </c>
      <c r="M128" s="124">
        <v>0</v>
      </c>
      <c r="N128" s="124">
        <v>510.6</v>
      </c>
      <c r="O128" s="124">
        <v>-4</v>
      </c>
      <c r="P128" s="124">
        <v>4601.3</v>
      </c>
      <c r="Q128" s="124">
        <v>0</v>
      </c>
      <c r="R128" s="124">
        <v>4601.3</v>
      </c>
    </row>
    <row r="129" spans="1:18">
      <c r="A129" s="123" t="s">
        <v>111</v>
      </c>
      <c r="B129" s="124">
        <v>2847.8</v>
      </c>
      <c r="C129" s="124"/>
      <c r="D129" s="124">
        <v>1103.2</v>
      </c>
      <c r="E129" s="124">
        <v>0</v>
      </c>
      <c r="F129" s="124">
        <v>0</v>
      </c>
      <c r="G129" s="124">
        <v>0</v>
      </c>
      <c r="H129" s="124">
        <v>1103.2</v>
      </c>
      <c r="I129" s="124">
        <v>416.8</v>
      </c>
      <c r="J129" s="124">
        <v>0</v>
      </c>
      <c r="K129" s="124">
        <v>416.8</v>
      </c>
      <c r="L129" s="124">
        <v>313.8</v>
      </c>
      <c r="M129" s="124">
        <v>0</v>
      </c>
      <c r="N129" s="124">
        <v>313.8</v>
      </c>
      <c r="O129" s="124">
        <v>-4</v>
      </c>
      <c r="P129" s="124">
        <v>3530.2</v>
      </c>
      <c r="Q129" s="124">
        <v>0</v>
      </c>
      <c r="R129" s="124">
        <v>3530.2</v>
      </c>
    </row>
    <row r="130" spans="1:18">
      <c r="A130" s="123" t="s">
        <v>112</v>
      </c>
      <c r="B130" s="124">
        <v>706.3</v>
      </c>
      <c r="C130" s="124"/>
      <c r="D130" s="124">
        <v>846.5</v>
      </c>
      <c r="E130" s="124">
        <v>0</v>
      </c>
      <c r="F130" s="124">
        <v>0</v>
      </c>
      <c r="G130" s="124">
        <v>0</v>
      </c>
      <c r="H130" s="124">
        <v>846.5</v>
      </c>
      <c r="I130" s="124">
        <v>481.7</v>
      </c>
      <c r="J130" s="124">
        <v>0</v>
      </c>
      <c r="K130" s="124">
        <v>481.7</v>
      </c>
      <c r="L130" s="124">
        <v>196.8</v>
      </c>
      <c r="M130" s="124">
        <v>0</v>
      </c>
      <c r="N130" s="124">
        <v>196.8</v>
      </c>
      <c r="O130" s="124">
        <v>0</v>
      </c>
      <c r="P130" s="124">
        <v>1071.0999999999999</v>
      </c>
      <c r="Q130" s="124">
        <v>0</v>
      </c>
      <c r="R130" s="124">
        <v>1071.0999999999999</v>
      </c>
    </row>
    <row r="131" spans="1:18">
      <c r="A131" s="102"/>
      <c r="B131" s="124"/>
      <c r="C131" s="124"/>
      <c r="D131" s="124"/>
      <c r="E131" s="124"/>
      <c r="F131" s="124"/>
      <c r="G131" s="124"/>
      <c r="H131" s="124"/>
      <c r="I131" s="124"/>
      <c r="J131" s="124"/>
      <c r="K131" s="124"/>
      <c r="L131" s="124"/>
      <c r="M131" s="124"/>
      <c r="N131" s="124"/>
      <c r="O131" s="124"/>
      <c r="P131" s="124"/>
      <c r="Q131" s="124"/>
      <c r="R131" s="124"/>
    </row>
    <row r="132" spans="1:18">
      <c r="A132" s="123" t="s">
        <v>145</v>
      </c>
      <c r="B132" s="124">
        <v>4651.7</v>
      </c>
      <c r="C132" s="124"/>
      <c r="D132" s="124">
        <v>2767.8</v>
      </c>
      <c r="E132" s="124">
        <v>0</v>
      </c>
      <c r="F132" s="124">
        <v>0</v>
      </c>
      <c r="G132" s="124">
        <v>0</v>
      </c>
      <c r="H132" s="124">
        <v>2767.8</v>
      </c>
      <c r="I132" s="124">
        <v>1513.2</v>
      </c>
      <c r="J132" s="124">
        <v>0</v>
      </c>
      <c r="K132" s="124">
        <v>1513.2</v>
      </c>
      <c r="L132" s="124">
        <v>625.5</v>
      </c>
      <c r="M132" s="124">
        <v>0</v>
      </c>
      <c r="N132" s="124">
        <v>625.5</v>
      </c>
      <c r="O132" s="124">
        <v>-38.200000000000003</v>
      </c>
      <c r="P132" s="124">
        <v>5868.1</v>
      </c>
      <c r="Q132" s="124">
        <v>0</v>
      </c>
      <c r="R132" s="124">
        <v>5868.1</v>
      </c>
    </row>
    <row r="133" spans="1:18">
      <c r="A133" s="123" t="s">
        <v>111</v>
      </c>
      <c r="B133" s="124">
        <v>3530.2</v>
      </c>
      <c r="C133" s="124"/>
      <c r="D133" s="124">
        <v>1521.9</v>
      </c>
      <c r="E133" s="124">
        <v>0</v>
      </c>
      <c r="F133" s="124">
        <v>0</v>
      </c>
      <c r="G133" s="124">
        <v>0</v>
      </c>
      <c r="H133" s="124">
        <v>1521.9</v>
      </c>
      <c r="I133" s="124">
        <v>598.1</v>
      </c>
      <c r="J133" s="124">
        <v>0</v>
      </c>
      <c r="K133" s="124">
        <v>598.1</v>
      </c>
      <c r="L133" s="124">
        <v>459.2</v>
      </c>
      <c r="M133" s="124">
        <v>0</v>
      </c>
      <c r="N133" s="124">
        <v>459.2</v>
      </c>
      <c r="O133" s="124">
        <v>-38.200000000000003</v>
      </c>
      <c r="P133" s="124">
        <v>4415.8</v>
      </c>
      <c r="Q133" s="124">
        <v>0</v>
      </c>
      <c r="R133" s="124">
        <v>4415.8</v>
      </c>
    </row>
    <row r="134" spans="1:18">
      <c r="A134" s="123" t="s">
        <v>112</v>
      </c>
      <c r="B134" s="124">
        <v>1121.5</v>
      </c>
      <c r="C134" s="125" t="s">
        <v>142</v>
      </c>
      <c r="D134" s="124">
        <v>1245.9000000000001</v>
      </c>
      <c r="E134" s="124">
        <v>0</v>
      </c>
      <c r="F134" s="124">
        <v>0</v>
      </c>
      <c r="G134" s="124">
        <v>0</v>
      </c>
      <c r="H134" s="124">
        <v>1245.9000000000001</v>
      </c>
      <c r="I134" s="124">
        <v>915.1</v>
      </c>
      <c r="J134" s="124">
        <v>0</v>
      </c>
      <c r="K134" s="124">
        <v>915.1</v>
      </c>
      <c r="L134" s="124">
        <v>166.3</v>
      </c>
      <c r="M134" s="124">
        <v>0</v>
      </c>
      <c r="N134" s="124">
        <v>166.3</v>
      </c>
      <c r="O134" s="124">
        <v>0</v>
      </c>
      <c r="P134" s="124">
        <v>1452.3</v>
      </c>
      <c r="Q134" s="124">
        <v>0</v>
      </c>
      <c r="R134" s="124">
        <v>1452.3</v>
      </c>
    </row>
    <row r="135" spans="1:18">
      <c r="A135" s="102"/>
      <c r="B135" s="124"/>
      <c r="C135" s="124"/>
      <c r="D135" s="124"/>
      <c r="E135" s="124"/>
      <c r="F135" s="124"/>
      <c r="G135" s="124"/>
      <c r="H135" s="124"/>
      <c r="I135" s="124"/>
      <c r="J135" s="124"/>
      <c r="K135" s="124"/>
      <c r="L135" s="124"/>
      <c r="M135" s="124"/>
      <c r="N135" s="124"/>
      <c r="O135" s="124"/>
      <c r="P135" s="124"/>
      <c r="Q135" s="124"/>
      <c r="R135" s="124"/>
    </row>
    <row r="136" spans="1:18">
      <c r="A136" s="123" t="s">
        <v>146</v>
      </c>
      <c r="B136" s="124">
        <v>5869.8</v>
      </c>
      <c r="C136" s="126" t="s">
        <v>147</v>
      </c>
      <c r="D136" s="124">
        <v>2025.3</v>
      </c>
      <c r="E136" s="124">
        <v>666.7</v>
      </c>
      <c r="F136" s="124">
        <v>0</v>
      </c>
      <c r="G136" s="124">
        <v>0</v>
      </c>
      <c r="H136" s="124">
        <v>2692</v>
      </c>
      <c r="I136" s="124">
        <v>1218.3</v>
      </c>
      <c r="J136" s="124">
        <v>666.7</v>
      </c>
      <c r="K136" s="124">
        <v>1885</v>
      </c>
      <c r="L136" s="124">
        <v>770.6</v>
      </c>
      <c r="M136" s="124">
        <v>0</v>
      </c>
      <c r="N136" s="124">
        <v>770.6</v>
      </c>
      <c r="O136" s="124">
        <v>-44</v>
      </c>
      <c r="P136" s="124">
        <v>6632.8</v>
      </c>
      <c r="Q136" s="124">
        <v>0</v>
      </c>
      <c r="R136" s="124">
        <v>6632.8</v>
      </c>
    </row>
    <row r="137" spans="1:18">
      <c r="A137" s="123" t="s">
        <v>111</v>
      </c>
      <c r="B137" s="124">
        <v>4417.5</v>
      </c>
      <c r="C137" s="125" t="s">
        <v>142</v>
      </c>
      <c r="D137" s="124">
        <v>1219.2</v>
      </c>
      <c r="E137" s="124">
        <v>130.69999999999999</v>
      </c>
      <c r="F137" s="124">
        <v>0</v>
      </c>
      <c r="G137" s="124">
        <v>0</v>
      </c>
      <c r="H137" s="124">
        <v>1349.9</v>
      </c>
      <c r="I137" s="124">
        <v>588.4</v>
      </c>
      <c r="J137" s="124">
        <v>130.69999999999999</v>
      </c>
      <c r="K137" s="124">
        <v>719.1</v>
      </c>
      <c r="L137" s="124">
        <v>568.1</v>
      </c>
      <c r="M137" s="124">
        <v>0</v>
      </c>
      <c r="N137" s="124">
        <v>568.1</v>
      </c>
      <c r="O137" s="124">
        <v>-44</v>
      </c>
      <c r="P137" s="124">
        <v>5004.3</v>
      </c>
      <c r="Q137" s="124">
        <v>0</v>
      </c>
      <c r="R137" s="124">
        <v>5004.3</v>
      </c>
    </row>
    <row r="138" spans="1:18">
      <c r="A138" s="123" t="s">
        <v>112</v>
      </c>
      <c r="B138" s="124">
        <v>1452.3</v>
      </c>
      <c r="C138" s="124"/>
      <c r="D138" s="124">
        <v>806.1</v>
      </c>
      <c r="E138" s="124">
        <v>536</v>
      </c>
      <c r="F138" s="124">
        <v>0</v>
      </c>
      <c r="G138" s="124">
        <v>0</v>
      </c>
      <c r="H138" s="124">
        <v>1342.1</v>
      </c>
      <c r="I138" s="124">
        <v>629.9</v>
      </c>
      <c r="J138" s="124">
        <v>536</v>
      </c>
      <c r="K138" s="124">
        <v>1165.9000000000001</v>
      </c>
      <c r="L138" s="124">
        <v>202.5</v>
      </c>
      <c r="M138" s="124">
        <v>0</v>
      </c>
      <c r="N138" s="124">
        <v>202.5</v>
      </c>
      <c r="O138" s="124">
        <v>0</v>
      </c>
      <c r="P138" s="124">
        <v>1628.5</v>
      </c>
      <c r="Q138" s="124">
        <v>0</v>
      </c>
      <c r="R138" s="124">
        <v>1628.5</v>
      </c>
    </row>
    <row r="139" spans="1:18">
      <c r="A139" s="102"/>
      <c r="B139" s="124"/>
      <c r="C139" s="124"/>
      <c r="D139" s="124"/>
      <c r="E139" s="124"/>
      <c r="F139" s="124"/>
      <c r="G139" s="124"/>
      <c r="H139" s="124"/>
      <c r="I139" s="124"/>
      <c r="J139" s="124"/>
      <c r="K139" s="124"/>
      <c r="L139" s="124"/>
      <c r="M139" s="124"/>
      <c r="N139" s="124"/>
      <c r="O139" s="124"/>
      <c r="P139" s="124"/>
      <c r="Q139" s="124"/>
      <c r="R139" s="124"/>
    </row>
    <row r="140" spans="1:18">
      <c r="A140" s="123" t="s">
        <v>148</v>
      </c>
      <c r="B140" s="124">
        <v>6632.8</v>
      </c>
      <c r="C140" s="124"/>
      <c r="D140" s="124">
        <v>939.5</v>
      </c>
      <c r="E140" s="124">
        <v>1571.1</v>
      </c>
      <c r="F140" s="124">
        <v>37</v>
      </c>
      <c r="G140" s="124">
        <v>15</v>
      </c>
      <c r="H140" s="124">
        <v>2562.6</v>
      </c>
      <c r="I140" s="124">
        <v>204.1</v>
      </c>
      <c r="J140" s="124">
        <v>1565.4</v>
      </c>
      <c r="K140" s="124">
        <v>1769.5</v>
      </c>
      <c r="L140" s="124">
        <v>715.1</v>
      </c>
      <c r="M140" s="124">
        <v>37</v>
      </c>
      <c r="N140" s="124">
        <v>752.1</v>
      </c>
      <c r="O140" s="124">
        <v>-45.2</v>
      </c>
      <c r="P140" s="124">
        <v>7380.7</v>
      </c>
      <c r="Q140" s="124">
        <v>0</v>
      </c>
      <c r="R140" s="124">
        <v>7380.7</v>
      </c>
    </row>
    <row r="141" spans="1:18">
      <c r="A141" s="123" t="s">
        <v>111</v>
      </c>
      <c r="B141" s="124">
        <v>5004.3</v>
      </c>
      <c r="C141" s="124"/>
      <c r="D141" s="124">
        <v>927.4</v>
      </c>
      <c r="E141" s="124">
        <v>1470.8</v>
      </c>
      <c r="F141" s="124">
        <v>37</v>
      </c>
      <c r="G141" s="124">
        <v>15</v>
      </c>
      <c r="H141" s="124">
        <v>2450.1999999999998</v>
      </c>
      <c r="I141" s="124">
        <v>122.2</v>
      </c>
      <c r="J141" s="124">
        <v>1044.7</v>
      </c>
      <c r="K141" s="124">
        <v>1166.9000000000001</v>
      </c>
      <c r="L141" s="124">
        <v>544.20000000000005</v>
      </c>
      <c r="M141" s="124">
        <v>37</v>
      </c>
      <c r="N141" s="124">
        <v>581.20000000000005</v>
      </c>
      <c r="O141" s="124">
        <v>-45.2</v>
      </c>
      <c r="P141" s="124">
        <v>6242.4</v>
      </c>
      <c r="Q141" s="124">
        <v>0</v>
      </c>
      <c r="R141" s="124">
        <v>6242.4</v>
      </c>
    </row>
    <row r="142" spans="1:18">
      <c r="A142" s="123" t="s">
        <v>112</v>
      </c>
      <c r="B142" s="124">
        <v>1628.5</v>
      </c>
      <c r="C142" s="124"/>
      <c r="D142" s="124">
        <v>12.1</v>
      </c>
      <c r="E142" s="124">
        <v>100.3</v>
      </c>
      <c r="F142" s="124">
        <v>0</v>
      </c>
      <c r="G142" s="124">
        <v>0</v>
      </c>
      <c r="H142" s="124">
        <v>112.4</v>
      </c>
      <c r="I142" s="124">
        <v>81.900000000000006</v>
      </c>
      <c r="J142" s="124">
        <v>520.70000000000005</v>
      </c>
      <c r="K142" s="124">
        <v>602.6</v>
      </c>
      <c r="L142" s="124">
        <v>170.9</v>
      </c>
      <c r="M142" s="124">
        <v>0</v>
      </c>
      <c r="N142" s="124">
        <v>170.9</v>
      </c>
      <c r="O142" s="124">
        <v>0</v>
      </c>
      <c r="P142" s="124">
        <v>1138.3</v>
      </c>
      <c r="Q142" s="124">
        <v>0</v>
      </c>
      <c r="R142" s="124">
        <v>1138.3</v>
      </c>
    </row>
    <row r="143" spans="1:18">
      <c r="A143" s="102"/>
      <c r="B143" s="124"/>
      <c r="C143" s="124"/>
      <c r="D143" s="124"/>
      <c r="E143" s="124"/>
      <c r="F143" s="124"/>
      <c r="G143" s="124"/>
      <c r="H143" s="124"/>
      <c r="I143" s="124"/>
      <c r="J143" s="124"/>
      <c r="K143" s="124"/>
      <c r="L143" s="124"/>
      <c r="M143" s="124"/>
      <c r="N143" s="124"/>
      <c r="O143" s="124"/>
      <c r="P143" s="124"/>
      <c r="Q143" s="124"/>
      <c r="R143" s="124"/>
    </row>
    <row r="144" spans="1:18">
      <c r="A144" s="123" t="s">
        <v>149</v>
      </c>
      <c r="B144" s="124">
        <v>7380.7</v>
      </c>
      <c r="C144" s="124"/>
      <c r="D144" s="124">
        <v>465.1</v>
      </c>
      <c r="E144" s="124">
        <v>1313</v>
      </c>
      <c r="F144" s="124">
        <v>10.199999999999999</v>
      </c>
      <c r="G144" s="124">
        <v>74.900000000000006</v>
      </c>
      <c r="H144" s="124">
        <v>1863.2</v>
      </c>
      <c r="I144" s="124">
        <v>252.4</v>
      </c>
      <c r="J144" s="124">
        <v>1319.4</v>
      </c>
      <c r="K144" s="124">
        <v>1571.8</v>
      </c>
      <c r="L144" s="124">
        <v>911.1</v>
      </c>
      <c r="M144" s="124">
        <v>10.199999999999999</v>
      </c>
      <c r="N144" s="124">
        <v>921.3</v>
      </c>
      <c r="O144" s="124">
        <v>-76.099999999999994</v>
      </c>
      <c r="P144" s="124">
        <v>7596</v>
      </c>
      <c r="Q144" s="124">
        <v>0</v>
      </c>
      <c r="R144" s="124">
        <v>7596</v>
      </c>
    </row>
    <row r="145" spans="1:18">
      <c r="A145" s="123" t="s">
        <v>111</v>
      </c>
      <c r="B145" s="124">
        <v>6242.4</v>
      </c>
      <c r="C145" s="124"/>
      <c r="D145" s="124">
        <v>464.9</v>
      </c>
      <c r="E145" s="124">
        <v>1281.3</v>
      </c>
      <c r="F145" s="124">
        <v>10.199999999999999</v>
      </c>
      <c r="G145" s="124">
        <v>74.900000000000006</v>
      </c>
      <c r="H145" s="124">
        <v>1831.3</v>
      </c>
      <c r="I145" s="124">
        <v>230.1</v>
      </c>
      <c r="J145" s="124">
        <v>398.7</v>
      </c>
      <c r="K145" s="124">
        <v>628.79999999999995</v>
      </c>
      <c r="L145" s="124">
        <v>875.8</v>
      </c>
      <c r="M145" s="124">
        <v>10.199999999999999</v>
      </c>
      <c r="N145" s="124">
        <v>886</v>
      </c>
      <c r="O145" s="124">
        <v>-76.099999999999994</v>
      </c>
      <c r="P145" s="124">
        <v>7368.8</v>
      </c>
      <c r="Q145" s="124">
        <v>0</v>
      </c>
      <c r="R145" s="124">
        <v>7368.8</v>
      </c>
    </row>
    <row r="146" spans="1:18">
      <c r="A146" s="123" t="s">
        <v>112</v>
      </c>
      <c r="B146" s="124">
        <v>1138.3</v>
      </c>
      <c r="C146" s="124"/>
      <c r="D146" s="124">
        <v>0.2</v>
      </c>
      <c r="E146" s="124">
        <v>31.7</v>
      </c>
      <c r="F146" s="124">
        <v>0</v>
      </c>
      <c r="G146" s="124">
        <v>0</v>
      </c>
      <c r="H146" s="124">
        <v>31.9</v>
      </c>
      <c r="I146" s="124">
        <v>22.3</v>
      </c>
      <c r="J146" s="124">
        <v>920.7</v>
      </c>
      <c r="K146" s="124">
        <v>943</v>
      </c>
      <c r="L146" s="124">
        <v>35.299999999999997</v>
      </c>
      <c r="M146" s="124">
        <v>0</v>
      </c>
      <c r="N146" s="124">
        <v>35.299999999999997</v>
      </c>
      <c r="O146" s="124">
        <v>0</v>
      </c>
      <c r="P146" s="124">
        <v>227.2</v>
      </c>
      <c r="Q146" s="124">
        <v>0</v>
      </c>
      <c r="R146" s="124">
        <v>227.2</v>
      </c>
    </row>
    <row r="147" spans="1:18">
      <c r="A147" s="102"/>
      <c r="B147" s="124"/>
      <c r="C147" s="124"/>
      <c r="D147" s="124"/>
      <c r="E147" s="124"/>
      <c r="F147" s="124"/>
      <c r="G147" s="124"/>
      <c r="H147" s="124"/>
      <c r="I147" s="124"/>
      <c r="J147" s="124"/>
      <c r="K147" s="124"/>
      <c r="L147" s="124"/>
      <c r="M147" s="124"/>
      <c r="N147" s="124"/>
      <c r="O147" s="124"/>
      <c r="P147" s="124"/>
      <c r="Q147" s="124"/>
      <c r="R147" s="124"/>
    </row>
    <row r="148" spans="1:18">
      <c r="A148" s="123" t="s">
        <v>150</v>
      </c>
      <c r="B148" s="124">
        <v>7596</v>
      </c>
      <c r="C148" s="124"/>
      <c r="D148" s="124">
        <v>742.2</v>
      </c>
      <c r="E148" s="124">
        <v>1150</v>
      </c>
      <c r="F148" s="124">
        <v>0</v>
      </c>
      <c r="G148" s="124">
        <v>38.9</v>
      </c>
      <c r="H148" s="124">
        <v>1931.1</v>
      </c>
      <c r="I148" s="124">
        <v>322.89999999999998</v>
      </c>
      <c r="J148" s="124">
        <v>1172.3</v>
      </c>
      <c r="K148" s="124">
        <v>1495.2</v>
      </c>
      <c r="L148" s="124">
        <v>840.3</v>
      </c>
      <c r="M148" s="124">
        <v>0</v>
      </c>
      <c r="N148" s="124">
        <v>840.3</v>
      </c>
      <c r="O148" s="124">
        <v>78.8</v>
      </c>
      <c r="P148" s="124">
        <v>8110.7</v>
      </c>
      <c r="Q148" s="124">
        <v>0</v>
      </c>
      <c r="R148" s="124">
        <v>8110.7</v>
      </c>
    </row>
    <row r="149" spans="1:18">
      <c r="A149" s="123" t="s">
        <v>111</v>
      </c>
      <c r="B149" s="124">
        <v>7368.8</v>
      </c>
      <c r="C149" s="124"/>
      <c r="D149" s="124">
        <v>739.4</v>
      </c>
      <c r="E149" s="124">
        <v>1115</v>
      </c>
      <c r="F149" s="124">
        <v>0</v>
      </c>
      <c r="G149" s="124">
        <v>38.9</v>
      </c>
      <c r="H149" s="124">
        <v>1893.3</v>
      </c>
      <c r="I149" s="124">
        <v>284.89999999999998</v>
      </c>
      <c r="J149" s="124">
        <v>1100.5</v>
      </c>
      <c r="K149" s="124">
        <v>1385.4</v>
      </c>
      <c r="L149" s="124">
        <v>807.6</v>
      </c>
      <c r="M149" s="124">
        <v>0</v>
      </c>
      <c r="N149" s="124">
        <v>807.6</v>
      </c>
      <c r="O149" s="124">
        <v>78.7</v>
      </c>
      <c r="P149" s="124">
        <v>7955.4</v>
      </c>
      <c r="Q149" s="124">
        <v>0</v>
      </c>
      <c r="R149" s="124">
        <v>7955.4</v>
      </c>
    </row>
    <row r="150" spans="1:18">
      <c r="A150" s="123" t="s">
        <v>112</v>
      </c>
      <c r="B150" s="124">
        <v>227.2</v>
      </c>
      <c r="C150" s="124"/>
      <c r="D150" s="124">
        <v>2.8</v>
      </c>
      <c r="E150" s="124">
        <v>35</v>
      </c>
      <c r="F150" s="124">
        <v>0</v>
      </c>
      <c r="G150" s="124">
        <v>0</v>
      </c>
      <c r="H150" s="124">
        <v>37.799999999999997</v>
      </c>
      <c r="I150" s="124">
        <v>38</v>
      </c>
      <c r="J150" s="124">
        <v>71.8</v>
      </c>
      <c r="K150" s="124">
        <v>109.8</v>
      </c>
      <c r="L150" s="124">
        <v>32.700000000000003</v>
      </c>
      <c r="M150" s="124">
        <v>0</v>
      </c>
      <c r="N150" s="124">
        <v>32.700000000000003</v>
      </c>
      <c r="O150" s="124">
        <v>0.1</v>
      </c>
      <c r="P150" s="124">
        <v>155.30000000000001</v>
      </c>
      <c r="Q150" s="124">
        <v>0</v>
      </c>
      <c r="R150" s="124">
        <v>155.30000000000001</v>
      </c>
    </row>
    <row r="151" spans="1:18">
      <c r="A151" s="102"/>
      <c r="B151" s="124"/>
      <c r="C151" s="124"/>
      <c r="D151" s="124"/>
      <c r="E151" s="124"/>
      <c r="F151" s="124"/>
      <c r="G151" s="124"/>
      <c r="H151" s="124"/>
      <c r="I151" s="124"/>
      <c r="J151" s="124"/>
      <c r="K151" s="124"/>
      <c r="L151" s="124"/>
      <c r="M151" s="124"/>
      <c r="N151" s="124"/>
      <c r="O151" s="124"/>
      <c r="P151" s="124"/>
      <c r="Q151" s="124"/>
      <c r="R151" s="124"/>
    </row>
    <row r="152" spans="1:18">
      <c r="A152" s="123" t="s">
        <v>151</v>
      </c>
      <c r="B152" s="124">
        <v>8110.7</v>
      </c>
      <c r="C152" s="124"/>
      <c r="D152" s="124">
        <v>1243.9000000000001</v>
      </c>
      <c r="E152" s="124">
        <v>1844.7</v>
      </c>
      <c r="F152" s="124">
        <v>0</v>
      </c>
      <c r="G152" s="124">
        <v>13.1</v>
      </c>
      <c r="H152" s="124">
        <v>3101.7</v>
      </c>
      <c r="I152" s="124">
        <v>441.3</v>
      </c>
      <c r="J152" s="124">
        <v>1844.1</v>
      </c>
      <c r="K152" s="124">
        <v>2285.4</v>
      </c>
      <c r="L152" s="124">
        <v>762.5</v>
      </c>
      <c r="M152" s="124">
        <v>0</v>
      </c>
      <c r="N152" s="124">
        <v>762.5</v>
      </c>
      <c r="O152" s="124">
        <v>135.69999999999999</v>
      </c>
      <c r="P152" s="124">
        <v>9062.7000000000007</v>
      </c>
      <c r="Q152" s="124">
        <v>0</v>
      </c>
      <c r="R152" s="124">
        <v>9062.7000000000007</v>
      </c>
    </row>
    <row r="153" spans="1:18">
      <c r="A153" s="123" t="s">
        <v>111</v>
      </c>
      <c r="B153" s="124">
        <v>7955.4</v>
      </c>
      <c r="C153" s="124"/>
      <c r="D153" s="124">
        <v>1234.7</v>
      </c>
      <c r="E153" s="124">
        <v>1841</v>
      </c>
      <c r="F153" s="124">
        <v>0</v>
      </c>
      <c r="G153" s="124">
        <v>13.1</v>
      </c>
      <c r="H153" s="124">
        <v>3088.8</v>
      </c>
      <c r="I153" s="124">
        <v>395.4</v>
      </c>
      <c r="J153" s="124">
        <v>1806.9</v>
      </c>
      <c r="K153" s="124">
        <v>2202.3000000000002</v>
      </c>
      <c r="L153" s="124">
        <v>748.3</v>
      </c>
      <c r="M153" s="124">
        <v>0</v>
      </c>
      <c r="N153" s="124">
        <v>748.3</v>
      </c>
      <c r="O153" s="124">
        <v>135.6</v>
      </c>
      <c r="P153" s="124">
        <v>8977.5</v>
      </c>
      <c r="Q153" s="124">
        <v>0</v>
      </c>
      <c r="R153" s="124">
        <v>8977.5</v>
      </c>
    </row>
    <row r="154" spans="1:18">
      <c r="A154" s="123" t="s">
        <v>112</v>
      </c>
      <c r="B154" s="124">
        <v>155.30000000000001</v>
      </c>
      <c r="C154" s="124"/>
      <c r="D154" s="124">
        <v>9.1999999999999993</v>
      </c>
      <c r="E154" s="124">
        <v>3.7</v>
      </c>
      <c r="F154" s="124">
        <v>0</v>
      </c>
      <c r="G154" s="124">
        <v>0</v>
      </c>
      <c r="H154" s="124">
        <v>12.9</v>
      </c>
      <c r="I154" s="124">
        <v>45.9</v>
      </c>
      <c r="J154" s="124">
        <v>37.200000000000003</v>
      </c>
      <c r="K154" s="124">
        <v>83.1</v>
      </c>
      <c r="L154" s="124">
        <v>14.2</v>
      </c>
      <c r="M154" s="124">
        <v>0</v>
      </c>
      <c r="N154" s="124">
        <v>14.2</v>
      </c>
      <c r="O154" s="124">
        <v>0.1</v>
      </c>
      <c r="P154" s="124">
        <v>85.200000000000273</v>
      </c>
      <c r="Q154" s="124">
        <v>0</v>
      </c>
      <c r="R154" s="124">
        <v>85.200000000000273</v>
      </c>
    </row>
    <row r="155" spans="1:18">
      <c r="A155" s="102"/>
      <c r="B155" s="124"/>
      <c r="C155" s="124"/>
      <c r="D155" s="124"/>
      <c r="E155" s="124"/>
      <c r="F155" s="124"/>
      <c r="G155" s="124"/>
      <c r="H155" s="124"/>
      <c r="I155" s="124"/>
      <c r="J155" s="124"/>
      <c r="K155" s="124"/>
      <c r="L155" s="124"/>
      <c r="M155" s="124"/>
      <c r="N155" s="124"/>
      <c r="O155" s="124"/>
      <c r="P155" s="124"/>
      <c r="Q155" s="124"/>
      <c r="R155" s="124"/>
    </row>
    <row r="156" spans="1:18">
      <c r="A156" s="123" t="s">
        <v>152</v>
      </c>
      <c r="B156" s="124">
        <v>9062.7000000000007</v>
      </c>
      <c r="C156" s="124"/>
      <c r="D156" s="124">
        <v>1134.0999999999999</v>
      </c>
      <c r="E156" s="124">
        <v>646.9</v>
      </c>
      <c r="F156" s="124">
        <v>0</v>
      </c>
      <c r="G156" s="124">
        <v>2.7</v>
      </c>
      <c r="H156" s="124">
        <v>1783.7</v>
      </c>
      <c r="I156" s="124">
        <v>638.79999999999995</v>
      </c>
      <c r="J156" s="124">
        <v>646.9</v>
      </c>
      <c r="K156" s="124">
        <v>1285.7</v>
      </c>
      <c r="L156" s="124">
        <v>321.5</v>
      </c>
      <c r="M156" s="124">
        <v>0</v>
      </c>
      <c r="N156" s="124">
        <v>321.5</v>
      </c>
      <c r="O156" s="124">
        <v>297.60000000000002</v>
      </c>
      <c r="P156" s="124">
        <v>9858.2999999999993</v>
      </c>
      <c r="Q156" s="124">
        <v>477.2</v>
      </c>
      <c r="R156" s="124">
        <v>10335.5</v>
      </c>
    </row>
    <row r="157" spans="1:18">
      <c r="A157" s="123" t="s">
        <v>111</v>
      </c>
      <c r="B157" s="124">
        <v>8977.5</v>
      </c>
      <c r="C157" s="124"/>
      <c r="D157" s="124">
        <v>1113.9000000000001</v>
      </c>
      <c r="E157" s="124">
        <v>646.9</v>
      </c>
      <c r="F157" s="124">
        <v>0</v>
      </c>
      <c r="G157" s="124">
        <v>2.7</v>
      </c>
      <c r="H157" s="124">
        <v>1763.5</v>
      </c>
      <c r="I157" s="124">
        <v>631.4</v>
      </c>
      <c r="J157" s="124">
        <v>646.9</v>
      </c>
      <c r="K157" s="124">
        <v>1278.3</v>
      </c>
      <c r="L157" s="124">
        <v>319.2</v>
      </c>
      <c r="M157" s="124">
        <v>0</v>
      </c>
      <c r="N157" s="124">
        <v>319.2</v>
      </c>
      <c r="O157" s="124">
        <v>297.60000000000002</v>
      </c>
      <c r="P157" s="124">
        <v>9760.2999999999993</v>
      </c>
      <c r="Q157" s="124">
        <v>473</v>
      </c>
      <c r="R157" s="124">
        <v>10233.299999999999</v>
      </c>
    </row>
    <row r="158" spans="1:18">
      <c r="A158" s="123" t="s">
        <v>112</v>
      </c>
      <c r="B158" s="124">
        <v>85.200000000000273</v>
      </c>
      <c r="C158" s="124"/>
      <c r="D158" s="124">
        <v>20.2</v>
      </c>
      <c r="E158" s="124">
        <v>0</v>
      </c>
      <c r="F158" s="124">
        <v>0</v>
      </c>
      <c r="G158" s="124">
        <v>0</v>
      </c>
      <c r="H158" s="124">
        <v>20.2</v>
      </c>
      <c r="I158" s="124">
        <v>7.4</v>
      </c>
      <c r="J158" s="124">
        <v>0</v>
      </c>
      <c r="K158" s="124">
        <v>7.4</v>
      </c>
      <c r="L158" s="124">
        <v>2.2999999999999998</v>
      </c>
      <c r="M158" s="124">
        <v>0</v>
      </c>
      <c r="N158" s="124">
        <v>2.2999999999999998</v>
      </c>
      <c r="O158" s="124">
        <v>0</v>
      </c>
      <c r="P158" s="124">
        <v>98.00000000000027</v>
      </c>
      <c r="Q158" s="124">
        <v>4.2</v>
      </c>
      <c r="R158" s="124">
        <v>102.2</v>
      </c>
    </row>
    <row r="159" spans="1:18">
      <c r="A159" s="102"/>
      <c r="B159" s="124"/>
      <c r="C159" s="124"/>
      <c r="D159" s="124"/>
      <c r="E159" s="124"/>
      <c r="F159" s="124"/>
      <c r="G159" s="124"/>
      <c r="H159" s="124"/>
      <c r="I159" s="124"/>
      <c r="J159" s="124"/>
      <c r="K159" s="124"/>
      <c r="L159" s="124"/>
      <c r="M159" s="124"/>
      <c r="N159" s="124"/>
      <c r="O159" s="124"/>
      <c r="P159" s="124"/>
      <c r="Q159" s="124"/>
      <c r="R159" s="124"/>
    </row>
    <row r="160" spans="1:18">
      <c r="A160" s="123" t="s">
        <v>153</v>
      </c>
      <c r="B160" s="124">
        <v>9858.2999999999993</v>
      </c>
      <c r="C160" s="124"/>
      <c r="D160" s="124">
        <v>982.7</v>
      </c>
      <c r="E160" s="124">
        <v>791.5</v>
      </c>
      <c r="F160" s="124">
        <v>135.19999999999999</v>
      </c>
      <c r="G160" s="124">
        <v>14.3</v>
      </c>
      <c r="H160" s="124">
        <v>1923.7</v>
      </c>
      <c r="I160" s="124">
        <v>1100.2</v>
      </c>
      <c r="J160" s="124">
        <v>791.4</v>
      </c>
      <c r="K160" s="124">
        <v>1891.6</v>
      </c>
      <c r="L160" s="124">
        <v>336.9</v>
      </c>
      <c r="M160" s="124">
        <v>135</v>
      </c>
      <c r="N160" s="124">
        <v>471.9</v>
      </c>
      <c r="O160" s="124">
        <v>-140.4</v>
      </c>
      <c r="P160" s="124">
        <v>9750.0000000000055</v>
      </c>
      <c r="Q160" s="124">
        <v>918.8</v>
      </c>
      <c r="R160" s="124">
        <v>10668.8</v>
      </c>
    </row>
    <row r="161" spans="1:18">
      <c r="A161" s="123" t="s">
        <v>111</v>
      </c>
      <c r="B161" s="124">
        <v>9760.2999999999993</v>
      </c>
      <c r="C161" s="124"/>
      <c r="D161" s="124">
        <v>925.7</v>
      </c>
      <c r="E161" s="124">
        <v>791.5</v>
      </c>
      <c r="F161" s="124">
        <v>135.19999999999999</v>
      </c>
      <c r="G161" s="124">
        <v>14.3</v>
      </c>
      <c r="H161" s="124">
        <v>1866.7</v>
      </c>
      <c r="I161" s="124">
        <v>1088.5</v>
      </c>
      <c r="J161" s="124">
        <v>767.4</v>
      </c>
      <c r="K161" s="124">
        <v>1855.9</v>
      </c>
      <c r="L161" s="124">
        <v>335.3</v>
      </c>
      <c r="M161" s="124">
        <v>135</v>
      </c>
      <c r="N161" s="124">
        <v>470.3</v>
      </c>
      <c r="O161" s="124">
        <v>-140.4</v>
      </c>
      <c r="P161" s="124">
        <v>9630.7000000000007</v>
      </c>
      <c r="Q161" s="124">
        <v>904.8</v>
      </c>
      <c r="R161" s="124">
        <v>10535.5</v>
      </c>
    </row>
    <row r="162" spans="1:18">
      <c r="A162" s="123" t="s">
        <v>112</v>
      </c>
      <c r="B162" s="124">
        <v>98.00000000000027</v>
      </c>
      <c r="C162" s="124"/>
      <c r="D162" s="124">
        <v>57</v>
      </c>
      <c r="E162" s="124">
        <v>0</v>
      </c>
      <c r="F162" s="124">
        <v>0</v>
      </c>
      <c r="G162" s="124">
        <v>0</v>
      </c>
      <c r="H162" s="124">
        <v>57</v>
      </c>
      <c r="I162" s="124">
        <v>11.7</v>
      </c>
      <c r="J162" s="124">
        <v>24</v>
      </c>
      <c r="K162" s="124">
        <v>35.700000000000003</v>
      </c>
      <c r="L162" s="124">
        <v>1.6</v>
      </c>
      <c r="M162" s="124">
        <v>0</v>
      </c>
      <c r="N162" s="124">
        <v>1.6</v>
      </c>
      <c r="O162" s="124">
        <v>0</v>
      </c>
      <c r="P162" s="124">
        <v>119.3</v>
      </c>
      <c r="Q162" s="124">
        <v>14</v>
      </c>
      <c r="R162" s="124">
        <v>133.30000000000001</v>
      </c>
    </row>
    <row r="163" spans="1:18">
      <c r="A163" s="102"/>
      <c r="B163" s="124"/>
      <c r="C163" s="124"/>
      <c r="D163" s="124"/>
      <c r="E163" s="124"/>
      <c r="F163" s="124"/>
      <c r="G163" s="124"/>
      <c r="H163" s="124"/>
      <c r="I163" s="124"/>
      <c r="J163" s="124"/>
      <c r="K163" s="124"/>
      <c r="L163" s="124"/>
      <c r="M163" s="124"/>
      <c r="N163" s="124"/>
      <c r="O163" s="124"/>
      <c r="P163" s="124"/>
      <c r="Q163" s="124"/>
      <c r="R163" s="124"/>
    </row>
    <row r="164" spans="1:18">
      <c r="A164" s="123" t="s">
        <v>154</v>
      </c>
      <c r="B164" s="124">
        <v>9750.0000000000055</v>
      </c>
      <c r="C164" s="124"/>
      <c r="D164" s="124">
        <v>1012.5</v>
      </c>
      <c r="E164" s="124">
        <v>603.5</v>
      </c>
      <c r="F164" s="124">
        <v>69.599999999999994</v>
      </c>
      <c r="G164" s="124">
        <v>0.5</v>
      </c>
      <c r="H164" s="124">
        <v>1686.1</v>
      </c>
      <c r="I164" s="124">
        <v>712</v>
      </c>
      <c r="J164" s="124">
        <v>603.5</v>
      </c>
      <c r="K164" s="124">
        <v>1315.5</v>
      </c>
      <c r="L164" s="124">
        <v>462.6</v>
      </c>
      <c r="M164" s="124">
        <v>70</v>
      </c>
      <c r="N164" s="124">
        <v>532.6</v>
      </c>
      <c r="O164" s="124">
        <v>-43.9</v>
      </c>
      <c r="P164" s="124">
        <v>10076.700000000001</v>
      </c>
      <c r="Q164" s="124">
        <v>1455.9</v>
      </c>
      <c r="R164" s="124">
        <v>11532.6</v>
      </c>
    </row>
    <row r="165" spans="1:18">
      <c r="A165" s="123" t="s">
        <v>111</v>
      </c>
      <c r="B165" s="124">
        <v>9630.7000000000007</v>
      </c>
      <c r="C165" s="124"/>
      <c r="D165" s="124">
        <v>949.1</v>
      </c>
      <c r="E165" s="124">
        <v>603.5</v>
      </c>
      <c r="F165" s="124">
        <v>69.599999999999994</v>
      </c>
      <c r="G165" s="124">
        <v>0.5</v>
      </c>
      <c r="H165" s="124">
        <v>1622.7</v>
      </c>
      <c r="I165" s="124">
        <v>687.5</v>
      </c>
      <c r="J165" s="124">
        <v>603.5</v>
      </c>
      <c r="K165" s="124">
        <v>1291</v>
      </c>
      <c r="L165" s="124">
        <v>450.8</v>
      </c>
      <c r="M165" s="124">
        <v>70</v>
      </c>
      <c r="N165" s="124">
        <v>520.79999999999995</v>
      </c>
      <c r="O165" s="124">
        <v>-43.9</v>
      </c>
      <c r="P165" s="124">
        <v>9918.5000000000055</v>
      </c>
      <c r="Q165" s="124">
        <v>1447.4</v>
      </c>
      <c r="R165" s="124">
        <v>11365.9</v>
      </c>
    </row>
    <row r="166" spans="1:18">
      <c r="A166" s="123" t="s">
        <v>112</v>
      </c>
      <c r="B166" s="124">
        <v>119.3</v>
      </c>
      <c r="C166" s="124"/>
      <c r="D166" s="124">
        <v>63.4</v>
      </c>
      <c r="E166" s="124">
        <v>0</v>
      </c>
      <c r="F166" s="124">
        <v>0</v>
      </c>
      <c r="G166" s="124">
        <v>0</v>
      </c>
      <c r="H166" s="124">
        <v>63.4</v>
      </c>
      <c r="I166" s="124">
        <v>24.5</v>
      </c>
      <c r="J166" s="124">
        <v>0</v>
      </c>
      <c r="K166" s="124">
        <v>24.5</v>
      </c>
      <c r="L166" s="124">
        <v>11.8</v>
      </c>
      <c r="M166" s="124">
        <v>0</v>
      </c>
      <c r="N166" s="124">
        <v>11.8</v>
      </c>
      <c r="O166" s="124">
        <v>0</v>
      </c>
      <c r="P166" s="124">
        <v>158.19999999999999</v>
      </c>
      <c r="Q166" s="124">
        <v>8.5</v>
      </c>
      <c r="R166" s="124">
        <v>166.7</v>
      </c>
    </row>
    <row r="167" spans="1:18">
      <c r="A167" s="102"/>
      <c r="B167" s="124"/>
      <c r="C167" s="124"/>
      <c r="D167" s="124"/>
      <c r="E167" s="124"/>
      <c r="F167" s="124"/>
      <c r="G167" s="124"/>
      <c r="H167" s="124"/>
      <c r="I167" s="124"/>
      <c r="J167" s="124"/>
      <c r="K167" s="124"/>
      <c r="L167" s="124"/>
      <c r="M167" s="124"/>
      <c r="N167" s="124"/>
      <c r="O167" s="124"/>
      <c r="P167" s="124"/>
      <c r="Q167" s="124"/>
      <c r="R167" s="124"/>
    </row>
    <row r="168" spans="1:18">
      <c r="A168" s="123" t="s">
        <v>155</v>
      </c>
      <c r="B168" s="124">
        <v>10076.700000000001</v>
      </c>
      <c r="C168" s="124"/>
      <c r="D168" s="124">
        <v>605.79999999999995</v>
      </c>
      <c r="E168" s="124">
        <v>153.9</v>
      </c>
      <c r="F168" s="124">
        <v>73.400000000000006</v>
      </c>
      <c r="G168" s="124">
        <v>0</v>
      </c>
      <c r="H168" s="124">
        <v>833.1</v>
      </c>
      <c r="I168" s="124">
        <v>735.7</v>
      </c>
      <c r="J168" s="124">
        <v>154.19999999999999</v>
      </c>
      <c r="K168" s="124">
        <v>889.9</v>
      </c>
      <c r="L168" s="124">
        <v>557</v>
      </c>
      <c r="M168" s="124">
        <v>73.5</v>
      </c>
      <c r="N168" s="124">
        <v>630.5</v>
      </c>
      <c r="O168" s="124">
        <v>278.2</v>
      </c>
      <c r="P168" s="124">
        <v>10298.1</v>
      </c>
      <c r="Q168" s="124">
        <v>1923.9</v>
      </c>
      <c r="R168" s="124">
        <v>12222</v>
      </c>
    </row>
    <row r="169" spans="1:18">
      <c r="A169" s="123" t="s">
        <v>111</v>
      </c>
      <c r="B169" s="124">
        <v>9918.5000000000055</v>
      </c>
      <c r="C169" s="124"/>
      <c r="D169" s="124">
        <v>575.5</v>
      </c>
      <c r="E169" s="124">
        <v>153.9</v>
      </c>
      <c r="F169" s="124">
        <v>73.400000000000006</v>
      </c>
      <c r="G169" s="124">
        <v>0</v>
      </c>
      <c r="H169" s="124">
        <v>802.8</v>
      </c>
      <c r="I169" s="124">
        <v>710.7</v>
      </c>
      <c r="J169" s="124">
        <v>154.19999999999999</v>
      </c>
      <c r="K169" s="124">
        <v>864.9</v>
      </c>
      <c r="L169" s="124">
        <v>545.1</v>
      </c>
      <c r="M169" s="124">
        <v>73.5</v>
      </c>
      <c r="N169" s="124">
        <v>618.6</v>
      </c>
      <c r="O169" s="124">
        <v>278.2</v>
      </c>
      <c r="P169" s="124">
        <v>10134.6</v>
      </c>
      <c r="Q169" s="124">
        <v>1917.4</v>
      </c>
      <c r="R169" s="124">
        <v>12052</v>
      </c>
    </row>
    <row r="170" spans="1:18">
      <c r="A170" s="123" t="s">
        <v>112</v>
      </c>
      <c r="B170" s="124">
        <v>158.19999999999999</v>
      </c>
      <c r="C170" s="124"/>
      <c r="D170" s="124">
        <v>30.3</v>
      </c>
      <c r="E170" s="124">
        <v>0</v>
      </c>
      <c r="F170" s="124">
        <v>0</v>
      </c>
      <c r="G170" s="124">
        <v>0</v>
      </c>
      <c r="H170" s="124">
        <v>30.3</v>
      </c>
      <c r="I170" s="124">
        <v>25</v>
      </c>
      <c r="J170" s="124">
        <v>0</v>
      </c>
      <c r="K170" s="124">
        <v>25</v>
      </c>
      <c r="L170" s="124">
        <v>11.9</v>
      </c>
      <c r="M170" s="124">
        <v>0</v>
      </c>
      <c r="N170" s="124">
        <v>11.9</v>
      </c>
      <c r="O170" s="124">
        <v>0</v>
      </c>
      <c r="P170" s="124">
        <v>163.5</v>
      </c>
      <c r="Q170" s="124">
        <v>6.5</v>
      </c>
      <c r="R170" s="124">
        <v>170</v>
      </c>
    </row>
    <row r="171" spans="1:18">
      <c r="A171" s="102"/>
      <c r="B171" s="124"/>
      <c r="C171" s="124"/>
      <c r="D171" s="124"/>
      <c r="E171" s="124"/>
      <c r="F171" s="124"/>
      <c r="G171" s="124"/>
      <c r="H171" s="124"/>
      <c r="I171" s="124"/>
      <c r="J171" s="124"/>
      <c r="K171" s="124"/>
      <c r="L171" s="124"/>
      <c r="M171" s="124"/>
      <c r="N171" s="124"/>
      <c r="O171" s="124"/>
      <c r="P171" s="124"/>
      <c r="Q171" s="124"/>
      <c r="R171" s="124"/>
    </row>
    <row r="172" spans="1:18">
      <c r="A172" s="123" t="s">
        <v>156</v>
      </c>
      <c r="B172" s="124">
        <v>10298.1</v>
      </c>
      <c r="C172" s="124"/>
      <c r="D172" s="124">
        <v>774.5</v>
      </c>
      <c r="E172" s="124">
        <v>7</v>
      </c>
      <c r="F172" s="124">
        <v>0</v>
      </c>
      <c r="G172" s="124">
        <v>0</v>
      </c>
      <c r="H172" s="124">
        <v>781.5</v>
      </c>
      <c r="I172" s="124">
        <v>791.2</v>
      </c>
      <c r="J172" s="124">
        <v>7</v>
      </c>
      <c r="K172" s="124">
        <v>798.2</v>
      </c>
      <c r="L172" s="124">
        <v>498.9</v>
      </c>
      <c r="M172" s="124">
        <v>0</v>
      </c>
      <c r="N172" s="124">
        <v>498.9</v>
      </c>
      <c r="O172" s="124">
        <v>85.9</v>
      </c>
      <c r="P172" s="124">
        <v>10367.299999999999</v>
      </c>
      <c r="Q172" s="124">
        <v>2434.6</v>
      </c>
      <c r="R172" s="124">
        <v>12801.9</v>
      </c>
    </row>
    <row r="173" spans="1:18">
      <c r="A173" s="123" t="s">
        <v>111</v>
      </c>
      <c r="B173" s="124">
        <v>10134.6</v>
      </c>
      <c r="C173" s="124"/>
      <c r="D173" s="124">
        <v>747.9</v>
      </c>
      <c r="E173" s="124">
        <v>7</v>
      </c>
      <c r="F173" s="124">
        <v>0</v>
      </c>
      <c r="G173" s="124">
        <v>0</v>
      </c>
      <c r="H173" s="124">
        <v>754.9</v>
      </c>
      <c r="I173" s="124">
        <v>767</v>
      </c>
      <c r="J173" s="124">
        <v>7</v>
      </c>
      <c r="K173" s="124">
        <v>774</v>
      </c>
      <c r="L173" s="124">
        <v>486.1</v>
      </c>
      <c r="M173" s="124">
        <v>0</v>
      </c>
      <c r="N173" s="124">
        <v>486.1</v>
      </c>
      <c r="O173" s="124">
        <v>85.9</v>
      </c>
      <c r="P173" s="124">
        <v>10201.4</v>
      </c>
      <c r="Q173" s="124">
        <v>2428.1</v>
      </c>
      <c r="R173" s="124">
        <v>12629.5</v>
      </c>
    </row>
    <row r="174" spans="1:18">
      <c r="A174" s="123" t="s">
        <v>112</v>
      </c>
      <c r="B174" s="124">
        <v>163.5</v>
      </c>
      <c r="C174" s="124"/>
      <c r="D174" s="124">
        <v>26.6</v>
      </c>
      <c r="E174" s="124">
        <v>0</v>
      </c>
      <c r="F174" s="124">
        <v>0</v>
      </c>
      <c r="G174" s="124">
        <v>0</v>
      </c>
      <c r="H174" s="124">
        <v>26.6</v>
      </c>
      <c r="I174" s="124">
        <v>24.2</v>
      </c>
      <c r="J174" s="124">
        <v>0</v>
      </c>
      <c r="K174" s="124">
        <v>24.2</v>
      </c>
      <c r="L174" s="124">
        <v>12.8</v>
      </c>
      <c r="M174" s="124">
        <v>0</v>
      </c>
      <c r="N174" s="124">
        <v>12.8</v>
      </c>
      <c r="O174" s="124">
        <v>0</v>
      </c>
      <c r="P174" s="124">
        <v>165.9</v>
      </c>
      <c r="Q174" s="124">
        <v>6.5</v>
      </c>
      <c r="R174" s="124">
        <v>172.4</v>
      </c>
    </row>
    <row r="175" spans="1:18">
      <c r="A175" s="102"/>
      <c r="B175" s="124"/>
      <c r="C175" s="124"/>
      <c r="D175" s="124"/>
      <c r="E175" s="124"/>
      <c r="F175" s="124"/>
      <c r="G175" s="124"/>
      <c r="H175" s="124"/>
      <c r="I175" s="124"/>
      <c r="J175" s="124"/>
      <c r="K175" s="124"/>
      <c r="L175" s="124"/>
      <c r="M175" s="124"/>
      <c r="N175" s="124"/>
      <c r="O175" s="124"/>
      <c r="P175" s="124"/>
      <c r="Q175" s="124"/>
      <c r="R175" s="124"/>
    </row>
    <row r="176" spans="1:18">
      <c r="A176" s="123" t="s">
        <v>157</v>
      </c>
      <c r="B176" s="124">
        <v>10367.299999999999</v>
      </c>
      <c r="C176" s="124"/>
      <c r="D176" s="124">
        <v>646.9</v>
      </c>
      <c r="E176" s="124">
        <v>178.8</v>
      </c>
      <c r="F176" s="124">
        <v>124.7</v>
      </c>
      <c r="G176" s="124">
        <v>0</v>
      </c>
      <c r="H176" s="124">
        <v>950.4</v>
      </c>
      <c r="I176" s="124">
        <v>968.2</v>
      </c>
      <c r="J176" s="124">
        <v>178.8</v>
      </c>
      <c r="K176" s="124">
        <v>1147</v>
      </c>
      <c r="L176" s="124">
        <v>408</v>
      </c>
      <c r="M176" s="124">
        <v>124.7</v>
      </c>
      <c r="N176" s="124">
        <v>532.70000000000005</v>
      </c>
      <c r="O176" s="124">
        <v>-92</v>
      </c>
      <c r="P176" s="124">
        <v>10078.700000000001</v>
      </c>
      <c r="Q176" s="124">
        <v>2716.5</v>
      </c>
      <c r="R176" s="124">
        <v>12795.2</v>
      </c>
    </row>
    <row r="177" spans="1:18">
      <c r="A177" s="123" t="s">
        <v>111</v>
      </c>
      <c r="B177" s="124">
        <v>10201.4</v>
      </c>
      <c r="C177" s="124"/>
      <c r="D177" s="124">
        <v>500</v>
      </c>
      <c r="E177" s="124">
        <v>178.8</v>
      </c>
      <c r="F177" s="124">
        <v>124.7</v>
      </c>
      <c r="G177" s="124">
        <v>0</v>
      </c>
      <c r="H177" s="124">
        <v>803.5</v>
      </c>
      <c r="I177" s="124">
        <v>910.2</v>
      </c>
      <c r="J177" s="124">
        <v>178.8</v>
      </c>
      <c r="K177" s="124">
        <v>1089</v>
      </c>
      <c r="L177" s="124">
        <v>388.7</v>
      </c>
      <c r="M177" s="124">
        <v>124.7</v>
      </c>
      <c r="N177" s="124">
        <v>513.4</v>
      </c>
      <c r="O177" s="124">
        <v>-92</v>
      </c>
      <c r="P177" s="124">
        <v>9823.9</v>
      </c>
      <c r="Q177" s="124">
        <v>2713.1</v>
      </c>
      <c r="R177" s="124">
        <v>12537</v>
      </c>
    </row>
    <row r="178" spans="1:18">
      <c r="A178" s="123" t="s">
        <v>112</v>
      </c>
      <c r="B178" s="124">
        <v>165.9</v>
      </c>
      <c r="C178" s="124"/>
      <c r="D178" s="124">
        <v>146.9</v>
      </c>
      <c r="E178" s="124">
        <v>0</v>
      </c>
      <c r="F178" s="124">
        <v>0</v>
      </c>
      <c r="G178" s="124">
        <v>0</v>
      </c>
      <c r="H178" s="124">
        <v>146.9</v>
      </c>
      <c r="I178" s="124">
        <v>58</v>
      </c>
      <c r="J178" s="124">
        <v>0</v>
      </c>
      <c r="K178" s="124">
        <v>58</v>
      </c>
      <c r="L178" s="124">
        <v>19.3</v>
      </c>
      <c r="M178" s="124">
        <v>0</v>
      </c>
      <c r="N178" s="124">
        <v>19.3</v>
      </c>
      <c r="O178" s="124">
        <v>0</v>
      </c>
      <c r="P178" s="124">
        <v>254.8</v>
      </c>
      <c r="Q178" s="124">
        <v>3.4</v>
      </c>
      <c r="R178" s="124">
        <v>258.2</v>
      </c>
    </row>
    <row r="179" spans="1:18">
      <c r="A179" s="102"/>
      <c r="B179" s="124"/>
      <c r="C179" s="124"/>
      <c r="D179" s="124"/>
      <c r="E179" s="124"/>
      <c r="F179" s="124"/>
      <c r="G179" s="124"/>
      <c r="H179" s="124"/>
      <c r="I179" s="124"/>
      <c r="J179" s="124"/>
      <c r="K179" s="124"/>
      <c r="L179" s="124"/>
      <c r="M179" s="124"/>
      <c r="N179" s="124"/>
      <c r="O179" s="124"/>
      <c r="P179" s="124"/>
      <c r="Q179" s="124"/>
      <c r="R179" s="124"/>
    </row>
    <row r="180" spans="1:18">
      <c r="A180" s="123" t="s">
        <v>158</v>
      </c>
      <c r="B180" s="124">
        <v>10078.700000000001</v>
      </c>
      <c r="C180" s="124"/>
      <c r="D180" s="124">
        <v>967.6</v>
      </c>
      <c r="E180" s="124">
        <v>26.2</v>
      </c>
      <c r="F180" s="124">
        <v>10.3</v>
      </c>
      <c r="G180" s="124">
        <v>0</v>
      </c>
      <c r="H180" s="124">
        <v>1004.1</v>
      </c>
      <c r="I180" s="124">
        <v>705.6</v>
      </c>
      <c r="J180" s="124">
        <v>26.2</v>
      </c>
      <c r="K180" s="124">
        <v>731.8</v>
      </c>
      <c r="L180" s="124">
        <v>322.89999999999998</v>
      </c>
      <c r="M180" s="124">
        <v>10.3</v>
      </c>
      <c r="N180" s="124">
        <v>333.2</v>
      </c>
      <c r="O180" s="124">
        <v>82</v>
      </c>
      <c r="P180" s="124">
        <v>10433</v>
      </c>
      <c r="Q180" s="124">
        <v>3197.9</v>
      </c>
      <c r="R180" s="124">
        <v>13630.9</v>
      </c>
    </row>
    <row r="181" spans="1:18">
      <c r="A181" s="123" t="s">
        <v>111</v>
      </c>
      <c r="B181" s="124">
        <v>9823.9</v>
      </c>
      <c r="C181" s="124"/>
      <c r="D181" s="124">
        <v>481.9</v>
      </c>
      <c r="E181" s="124">
        <v>26.2</v>
      </c>
      <c r="F181" s="124">
        <v>10.3</v>
      </c>
      <c r="G181" s="124">
        <v>0</v>
      </c>
      <c r="H181" s="124">
        <v>518.4</v>
      </c>
      <c r="I181" s="124">
        <v>568.1</v>
      </c>
      <c r="J181" s="124">
        <v>26.2</v>
      </c>
      <c r="K181" s="124">
        <v>594.29999999999995</v>
      </c>
      <c r="L181" s="124">
        <v>296.89999999999998</v>
      </c>
      <c r="M181" s="124">
        <v>10.3</v>
      </c>
      <c r="N181" s="124">
        <v>307.2</v>
      </c>
      <c r="O181" s="124">
        <v>82.3</v>
      </c>
      <c r="P181" s="124">
        <v>9830.2999999999993</v>
      </c>
      <c r="Q181" s="124">
        <v>3194.7</v>
      </c>
      <c r="R181" s="124">
        <v>13025</v>
      </c>
    </row>
    <row r="182" spans="1:18">
      <c r="A182" s="123" t="s">
        <v>112</v>
      </c>
      <c r="B182" s="124">
        <v>254.8</v>
      </c>
      <c r="C182" s="124"/>
      <c r="D182" s="124">
        <v>485.7</v>
      </c>
      <c r="E182" s="124">
        <v>0</v>
      </c>
      <c r="F182" s="124">
        <v>0</v>
      </c>
      <c r="G182" s="124">
        <v>0</v>
      </c>
      <c r="H182" s="124">
        <v>485.7</v>
      </c>
      <c r="I182" s="124">
        <v>137.5</v>
      </c>
      <c r="J182" s="124">
        <v>0</v>
      </c>
      <c r="K182" s="124">
        <v>137.5</v>
      </c>
      <c r="L182" s="124">
        <v>26</v>
      </c>
      <c r="M182" s="124">
        <v>0</v>
      </c>
      <c r="N182" s="124">
        <v>26</v>
      </c>
      <c r="O182" s="124">
        <v>-0.3</v>
      </c>
      <c r="P182" s="124">
        <v>602.70000000000005</v>
      </c>
      <c r="Q182" s="124">
        <v>3.2</v>
      </c>
      <c r="R182" s="124">
        <v>605.9</v>
      </c>
    </row>
    <row r="183" spans="1:18">
      <c r="A183" s="102"/>
      <c r="B183" s="124"/>
      <c r="C183" s="124"/>
      <c r="D183" s="124"/>
      <c r="E183" s="124"/>
      <c r="F183" s="124"/>
      <c r="G183" s="124"/>
      <c r="H183" s="124"/>
      <c r="I183" s="124"/>
      <c r="J183" s="124"/>
      <c r="K183" s="124"/>
      <c r="L183" s="124"/>
      <c r="M183" s="124"/>
      <c r="N183" s="124"/>
      <c r="O183" s="124"/>
      <c r="P183" s="124"/>
      <c r="Q183" s="124"/>
      <c r="R183" s="124"/>
    </row>
    <row r="184" spans="1:18">
      <c r="A184" s="123" t="s">
        <v>159</v>
      </c>
      <c r="B184" s="124">
        <v>10433</v>
      </c>
      <c r="C184" s="124"/>
      <c r="D184" s="124">
        <v>1779.6</v>
      </c>
      <c r="E184" s="124">
        <v>154.9</v>
      </c>
      <c r="F184" s="124">
        <v>207.3</v>
      </c>
      <c r="G184" s="124">
        <v>0</v>
      </c>
      <c r="H184" s="124">
        <v>2141.8000000000002</v>
      </c>
      <c r="I184" s="124">
        <v>1414</v>
      </c>
      <c r="J184" s="124">
        <v>154.9</v>
      </c>
      <c r="K184" s="124">
        <v>1568.9</v>
      </c>
      <c r="L184" s="124">
        <v>570</v>
      </c>
      <c r="M184" s="124">
        <v>207.3</v>
      </c>
      <c r="N184" s="124">
        <v>777.3</v>
      </c>
      <c r="O184" s="124">
        <v>262.89999999999998</v>
      </c>
      <c r="P184" s="124">
        <v>11268.8</v>
      </c>
      <c r="Q184" s="124">
        <v>3320.6</v>
      </c>
      <c r="R184" s="124">
        <v>14589.4</v>
      </c>
    </row>
    <row r="185" spans="1:18">
      <c r="A185" s="123" t="s">
        <v>111</v>
      </c>
      <c r="B185" s="124">
        <v>9830.2999999999993</v>
      </c>
      <c r="C185" s="124"/>
      <c r="D185" s="124">
        <v>688.2</v>
      </c>
      <c r="E185" s="124">
        <v>6.2</v>
      </c>
      <c r="F185" s="124">
        <v>207.3</v>
      </c>
      <c r="G185" s="124">
        <v>0</v>
      </c>
      <c r="H185" s="124">
        <v>901.7</v>
      </c>
      <c r="I185" s="124">
        <v>547.79999999999995</v>
      </c>
      <c r="J185" s="124">
        <v>6.2</v>
      </c>
      <c r="K185" s="124">
        <v>554</v>
      </c>
      <c r="L185" s="124">
        <v>440.7</v>
      </c>
      <c r="M185" s="124">
        <v>207.3</v>
      </c>
      <c r="N185" s="124">
        <v>648</v>
      </c>
      <c r="O185" s="124">
        <v>262.39999999999998</v>
      </c>
      <c r="P185" s="124">
        <v>10440.4</v>
      </c>
      <c r="Q185" s="124">
        <v>3317.4</v>
      </c>
      <c r="R185" s="124">
        <v>13757.8</v>
      </c>
    </row>
    <row r="186" spans="1:18">
      <c r="A186" s="123" t="s">
        <v>112</v>
      </c>
      <c r="B186" s="124">
        <v>602.70000000000005</v>
      </c>
      <c r="C186" s="124"/>
      <c r="D186" s="124">
        <v>1091.4000000000001</v>
      </c>
      <c r="E186" s="124">
        <v>148.69999999999999</v>
      </c>
      <c r="F186" s="124">
        <v>0</v>
      </c>
      <c r="G186" s="124">
        <v>0</v>
      </c>
      <c r="H186" s="124">
        <v>1240.0999999999999</v>
      </c>
      <c r="I186" s="124">
        <v>866.2</v>
      </c>
      <c r="J186" s="124">
        <v>148.69999999999999</v>
      </c>
      <c r="K186" s="124">
        <v>1014.9</v>
      </c>
      <c r="L186" s="124">
        <v>129.30000000000001</v>
      </c>
      <c r="M186" s="124">
        <v>0</v>
      </c>
      <c r="N186" s="124">
        <v>129.30000000000001</v>
      </c>
      <c r="O186" s="124">
        <v>0.5</v>
      </c>
      <c r="P186" s="124">
        <v>828.4</v>
      </c>
      <c r="Q186" s="124">
        <v>3.2</v>
      </c>
      <c r="R186" s="124">
        <v>831.6</v>
      </c>
    </row>
    <row r="187" spans="1:18">
      <c r="A187" s="102"/>
      <c r="B187" s="124"/>
      <c r="C187" s="124"/>
      <c r="D187" s="124"/>
      <c r="E187" s="124"/>
      <c r="F187" s="124"/>
      <c r="G187" s="124"/>
      <c r="H187" s="124"/>
      <c r="I187" s="124"/>
      <c r="J187" s="124"/>
      <c r="K187" s="124"/>
      <c r="L187" s="124"/>
      <c r="M187" s="124"/>
      <c r="N187" s="124"/>
      <c r="O187" s="124"/>
      <c r="P187" s="124"/>
      <c r="Q187" s="124"/>
      <c r="R187" s="124"/>
    </row>
    <row r="188" spans="1:18">
      <c r="A188" s="123" t="s">
        <v>160</v>
      </c>
      <c r="B188" s="124">
        <v>11268.8</v>
      </c>
      <c r="C188" s="124"/>
      <c r="D188" s="124">
        <v>3533.4</v>
      </c>
      <c r="E188" s="124">
        <v>4302.2</v>
      </c>
      <c r="F188" s="124">
        <v>2589.5</v>
      </c>
      <c r="G188" s="124">
        <v>0</v>
      </c>
      <c r="H188" s="124">
        <v>10425.1</v>
      </c>
      <c r="I188" s="124">
        <v>2429.9</v>
      </c>
      <c r="J188" s="124">
        <v>5484.4</v>
      </c>
      <c r="K188" s="124">
        <v>7914.3</v>
      </c>
      <c r="L188" s="124">
        <v>759.5</v>
      </c>
      <c r="M188" s="124">
        <v>3467.7</v>
      </c>
      <c r="N188" s="124">
        <v>4227.2</v>
      </c>
      <c r="O188" s="124">
        <v>126.6</v>
      </c>
      <c r="P188" s="124">
        <v>13906.2</v>
      </c>
      <c r="Q188" s="124">
        <v>27.8</v>
      </c>
      <c r="R188" s="124">
        <v>13934</v>
      </c>
    </row>
    <row r="189" spans="1:18">
      <c r="A189" s="123" t="s">
        <v>111</v>
      </c>
      <c r="B189" s="124">
        <v>10440.4</v>
      </c>
      <c r="C189" s="124"/>
      <c r="D189" s="124">
        <v>1064.4000000000001</v>
      </c>
      <c r="E189" s="124">
        <v>3580.9</v>
      </c>
      <c r="F189" s="124">
        <v>2589.5</v>
      </c>
      <c r="G189" s="124">
        <v>0</v>
      </c>
      <c r="H189" s="124">
        <v>7234.8</v>
      </c>
      <c r="I189" s="124">
        <v>686.6</v>
      </c>
      <c r="J189" s="124">
        <v>4763.1000000000004</v>
      </c>
      <c r="K189" s="124">
        <v>5449.7</v>
      </c>
      <c r="L189" s="124">
        <v>575.6</v>
      </c>
      <c r="M189" s="124">
        <v>3467.7</v>
      </c>
      <c r="N189" s="124">
        <v>4043.3</v>
      </c>
      <c r="O189" s="124">
        <v>125.6</v>
      </c>
      <c r="P189" s="124">
        <v>12351.1</v>
      </c>
      <c r="Q189" s="124">
        <v>27.8</v>
      </c>
      <c r="R189" s="124">
        <v>12378.9</v>
      </c>
    </row>
    <row r="190" spans="1:18">
      <c r="A190" s="123" t="s">
        <v>112</v>
      </c>
      <c r="B190" s="124">
        <v>828.4</v>
      </c>
      <c r="C190" s="124"/>
      <c r="D190" s="124">
        <v>2469</v>
      </c>
      <c r="E190" s="124">
        <v>721.3</v>
      </c>
      <c r="F190" s="124">
        <v>0</v>
      </c>
      <c r="G190" s="124">
        <v>0</v>
      </c>
      <c r="H190" s="124">
        <v>3190.3</v>
      </c>
      <c r="I190" s="124">
        <v>1743.3</v>
      </c>
      <c r="J190" s="124">
        <v>721.3</v>
      </c>
      <c r="K190" s="124">
        <v>2464.6</v>
      </c>
      <c r="L190" s="124">
        <v>183.9</v>
      </c>
      <c r="M190" s="124">
        <v>0</v>
      </c>
      <c r="N190" s="124">
        <v>183.9</v>
      </c>
      <c r="O190" s="124">
        <v>1</v>
      </c>
      <c r="P190" s="124">
        <v>1555.1</v>
      </c>
      <c r="Q190" s="124">
        <v>0</v>
      </c>
      <c r="R190" s="124">
        <v>1555.1</v>
      </c>
    </row>
    <row r="191" spans="1:18">
      <c r="A191" s="102"/>
      <c r="B191" s="124"/>
      <c r="C191" s="127"/>
      <c r="D191" s="124"/>
      <c r="E191" s="124"/>
      <c r="F191" s="124"/>
      <c r="G191" s="124"/>
      <c r="H191" s="124"/>
      <c r="I191" s="124"/>
      <c r="J191" s="124"/>
      <c r="K191" s="124"/>
      <c r="L191" s="124"/>
      <c r="M191" s="124"/>
      <c r="N191" s="124"/>
      <c r="O191" s="124"/>
      <c r="P191" s="124"/>
      <c r="Q191" s="124"/>
      <c r="R191" s="124"/>
    </row>
    <row r="192" spans="1:18">
      <c r="A192" s="123" t="s">
        <v>161</v>
      </c>
      <c r="B192" s="124">
        <v>13906.2</v>
      </c>
      <c r="C192" s="124"/>
      <c r="D192" s="124">
        <v>4376.3</v>
      </c>
      <c r="E192" s="124">
        <v>505.7</v>
      </c>
      <c r="F192" s="124">
        <v>83.7</v>
      </c>
      <c r="G192" s="124">
        <v>0</v>
      </c>
      <c r="H192" s="124">
        <v>4965.7</v>
      </c>
      <c r="I192" s="124">
        <v>3526.3</v>
      </c>
      <c r="J192" s="124">
        <v>513</v>
      </c>
      <c r="K192" s="124">
        <v>4039.3</v>
      </c>
      <c r="L192" s="124">
        <v>756.3</v>
      </c>
      <c r="M192" s="124">
        <v>92.4</v>
      </c>
      <c r="N192" s="124">
        <v>848.7</v>
      </c>
      <c r="O192" s="124">
        <v>-343.7</v>
      </c>
      <c r="P192" s="124">
        <v>14488.9</v>
      </c>
      <c r="Q192" s="124">
        <v>97.2</v>
      </c>
      <c r="R192" s="124">
        <v>14586.1</v>
      </c>
    </row>
    <row r="193" spans="1:18">
      <c r="A193" s="123" t="s">
        <v>111</v>
      </c>
      <c r="B193" s="124">
        <v>12351.1</v>
      </c>
      <c r="C193" s="124"/>
      <c r="D193" s="124">
        <v>1012.9</v>
      </c>
      <c r="E193" s="124">
        <v>0</v>
      </c>
      <c r="F193" s="124">
        <v>83.7</v>
      </c>
      <c r="G193" s="124">
        <v>0</v>
      </c>
      <c r="H193" s="124">
        <v>1096.5999999999999</v>
      </c>
      <c r="I193" s="124">
        <v>566.4</v>
      </c>
      <c r="J193" s="124">
        <v>7.3</v>
      </c>
      <c r="K193" s="124">
        <v>573.70000000000005</v>
      </c>
      <c r="L193" s="124">
        <v>560.70000000000005</v>
      </c>
      <c r="M193" s="124">
        <v>92.4</v>
      </c>
      <c r="N193" s="124">
        <v>653.1</v>
      </c>
      <c r="O193" s="124">
        <v>-343.2</v>
      </c>
      <c r="P193" s="124">
        <v>12530.8</v>
      </c>
      <c r="Q193" s="124">
        <v>97.2</v>
      </c>
      <c r="R193" s="124">
        <v>12628</v>
      </c>
    </row>
    <row r="194" spans="1:18">
      <c r="A194" s="123" t="s">
        <v>112</v>
      </c>
      <c r="B194" s="124">
        <v>1555.1</v>
      </c>
      <c r="C194" s="124"/>
      <c r="D194" s="124">
        <v>3363.4</v>
      </c>
      <c r="E194" s="124">
        <v>505.7</v>
      </c>
      <c r="F194" s="124">
        <v>0</v>
      </c>
      <c r="G194" s="124">
        <v>0</v>
      </c>
      <c r="H194" s="124">
        <v>3869.1</v>
      </c>
      <c r="I194" s="124">
        <v>2959.9</v>
      </c>
      <c r="J194" s="124">
        <v>505.7</v>
      </c>
      <c r="K194" s="124">
        <v>3465.6</v>
      </c>
      <c r="L194" s="124">
        <v>195.6</v>
      </c>
      <c r="M194" s="124">
        <v>0</v>
      </c>
      <c r="N194" s="124">
        <v>195.6</v>
      </c>
      <c r="O194" s="124">
        <v>-0.5</v>
      </c>
      <c r="P194" s="124">
        <v>1958.1</v>
      </c>
      <c r="Q194" s="124">
        <v>0</v>
      </c>
      <c r="R194" s="124">
        <v>1958.1</v>
      </c>
    </row>
    <row r="195" spans="1:18">
      <c r="A195" s="102"/>
      <c r="B195" s="12"/>
      <c r="C195" s="71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</row>
    <row r="196" spans="1:18">
      <c r="A196" s="123" t="s">
        <v>162</v>
      </c>
      <c r="B196" s="124">
        <v>14488.9</v>
      </c>
      <c r="C196" s="124"/>
      <c r="D196" s="124">
        <v>5466.107</v>
      </c>
      <c r="E196" s="124">
        <v>226.21299999999999</v>
      </c>
      <c r="F196" s="124">
        <v>88.1</v>
      </c>
      <c r="G196" s="124">
        <v>0</v>
      </c>
      <c r="H196" s="124">
        <v>5780.42</v>
      </c>
      <c r="I196" s="124">
        <v>4616.6970000000001</v>
      </c>
      <c r="J196" s="124">
        <v>364.21299999999997</v>
      </c>
      <c r="K196" s="124">
        <v>4980.91</v>
      </c>
      <c r="L196" s="124">
        <v>872.24399999999991</v>
      </c>
      <c r="M196" s="124">
        <v>90.3</v>
      </c>
      <c r="N196" s="124">
        <v>962.54399999999987</v>
      </c>
      <c r="O196" s="124">
        <v>-273.2</v>
      </c>
      <c r="P196" s="124">
        <v>15015.223000000004</v>
      </c>
      <c r="Q196" s="124">
        <v>84</v>
      </c>
      <c r="R196" s="124">
        <v>15099.223000000004</v>
      </c>
    </row>
    <row r="197" spans="1:18">
      <c r="A197" s="123" t="s">
        <v>111</v>
      </c>
      <c r="B197" s="124">
        <v>12530.8</v>
      </c>
      <c r="C197" s="124"/>
      <c r="D197" s="128">
        <v>1262.7</v>
      </c>
      <c r="E197" s="124">
        <v>0</v>
      </c>
      <c r="F197" s="128">
        <v>88.1</v>
      </c>
      <c r="G197" s="124">
        <v>0</v>
      </c>
      <c r="H197" s="124">
        <v>1350.8</v>
      </c>
      <c r="I197" s="124">
        <v>975.3</v>
      </c>
      <c r="J197" s="124">
        <v>138</v>
      </c>
      <c r="K197" s="124">
        <v>1113.3</v>
      </c>
      <c r="L197" s="124">
        <v>670.4</v>
      </c>
      <c r="M197" s="124">
        <v>90.3</v>
      </c>
      <c r="N197" s="124">
        <v>760.7</v>
      </c>
      <c r="O197" s="124">
        <v>-273.2</v>
      </c>
      <c r="P197" s="124">
        <v>12495.113000000003</v>
      </c>
      <c r="Q197" s="128">
        <v>84</v>
      </c>
      <c r="R197" s="124">
        <v>12579.113000000003</v>
      </c>
    </row>
    <row r="198" spans="1:18">
      <c r="A198" s="123" t="s">
        <v>112</v>
      </c>
      <c r="B198" s="124">
        <v>1958.1</v>
      </c>
      <c r="C198" s="124"/>
      <c r="D198" s="128">
        <v>4203.4070000000002</v>
      </c>
      <c r="E198" s="128">
        <v>226.21299999999999</v>
      </c>
      <c r="F198" s="124">
        <v>0</v>
      </c>
      <c r="G198" s="124">
        <v>0</v>
      </c>
      <c r="H198" s="124">
        <v>4429.62</v>
      </c>
      <c r="I198" s="124">
        <v>3641.3969999999999</v>
      </c>
      <c r="J198" s="128">
        <v>226.21299999999999</v>
      </c>
      <c r="K198" s="124">
        <v>3867.61</v>
      </c>
      <c r="L198" s="128">
        <v>201.84399999999999</v>
      </c>
      <c r="M198" s="128">
        <v>0</v>
      </c>
      <c r="N198" s="124">
        <v>201.84399999999999</v>
      </c>
      <c r="O198" s="128">
        <v>0</v>
      </c>
      <c r="P198" s="124">
        <v>2520.11</v>
      </c>
      <c r="Q198" s="124">
        <v>0</v>
      </c>
      <c r="R198" s="124">
        <v>2520.11</v>
      </c>
    </row>
    <row r="199" spans="1:18">
      <c r="A199" s="129"/>
      <c r="B199" s="11"/>
      <c r="C199" s="17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</row>
    <row r="200" spans="1:18">
      <c r="A200" s="123" t="s">
        <v>163</v>
      </c>
      <c r="B200" s="124">
        <v>15015.223000000004</v>
      </c>
      <c r="C200" s="124"/>
      <c r="D200" s="124">
        <v>7098.4670000000006</v>
      </c>
      <c r="E200" s="124">
        <v>474.35599999999999</v>
      </c>
      <c r="F200" s="124">
        <v>89.872</v>
      </c>
      <c r="G200" s="124">
        <v>0</v>
      </c>
      <c r="H200" s="124">
        <v>7662.6949999999997</v>
      </c>
      <c r="I200" s="124">
        <v>6093.3339999999998</v>
      </c>
      <c r="J200" s="124">
        <v>488.94400000000002</v>
      </c>
      <c r="K200" s="124">
        <v>6582.2780000000002</v>
      </c>
      <c r="L200" s="124">
        <v>899.673</v>
      </c>
      <c r="M200" s="124">
        <v>94.382000000000005</v>
      </c>
      <c r="N200" s="124">
        <v>994.05499999999995</v>
      </c>
      <c r="O200" s="124">
        <v>125.73</v>
      </c>
      <c r="P200" s="124">
        <v>16221.37</v>
      </c>
      <c r="Q200" s="124">
        <v>178.887</v>
      </c>
      <c r="R200" s="124">
        <v>16400.257000000005</v>
      </c>
    </row>
    <row r="201" spans="1:18">
      <c r="A201" s="123" t="s">
        <v>111</v>
      </c>
      <c r="B201" s="124">
        <v>12495.113000000003</v>
      </c>
      <c r="C201" s="124"/>
      <c r="D201" s="128">
        <v>980.70299999999997</v>
      </c>
      <c r="E201" s="128">
        <v>109.166</v>
      </c>
      <c r="F201" s="128">
        <v>89.872</v>
      </c>
      <c r="G201" s="124">
        <v>0</v>
      </c>
      <c r="H201" s="124">
        <v>1179.741</v>
      </c>
      <c r="I201" s="124">
        <v>615.86</v>
      </c>
      <c r="J201" s="124">
        <v>123.754</v>
      </c>
      <c r="K201" s="124">
        <v>739.61400000000003</v>
      </c>
      <c r="L201" s="124">
        <v>617.36</v>
      </c>
      <c r="M201" s="124">
        <v>94.382000000000005</v>
      </c>
      <c r="N201" s="124">
        <v>711.74199999999996</v>
      </c>
      <c r="O201" s="128">
        <v>126.658</v>
      </c>
      <c r="P201" s="124">
        <v>13061.898000000003</v>
      </c>
      <c r="Q201" s="128">
        <v>178.887</v>
      </c>
      <c r="R201" s="124">
        <v>13240.785000000003</v>
      </c>
    </row>
    <row r="202" spans="1:18">
      <c r="A202" s="123" t="s">
        <v>112</v>
      </c>
      <c r="B202" s="124">
        <v>2520.11</v>
      </c>
      <c r="C202" s="124"/>
      <c r="D202" s="128">
        <v>6117.7640000000001</v>
      </c>
      <c r="E202" s="128">
        <v>365.19</v>
      </c>
      <c r="F202" s="124">
        <v>0</v>
      </c>
      <c r="G202" s="124">
        <v>0</v>
      </c>
      <c r="H202" s="124">
        <v>6482.9539999999997</v>
      </c>
      <c r="I202" s="128">
        <v>5477.4740000000002</v>
      </c>
      <c r="J202" s="128">
        <v>365.19</v>
      </c>
      <c r="K202" s="124">
        <v>5842.6639999999998</v>
      </c>
      <c r="L202" s="128">
        <v>282.31299999999999</v>
      </c>
      <c r="M202" s="128">
        <v>0</v>
      </c>
      <c r="N202" s="124">
        <v>282.31299999999999</v>
      </c>
      <c r="O202" s="130">
        <v>-0.92800000000000005</v>
      </c>
      <c r="P202" s="124">
        <v>3159.4720000000007</v>
      </c>
      <c r="Q202" s="124">
        <v>0</v>
      </c>
      <c r="R202" s="124">
        <v>3159.4720000000007</v>
      </c>
    </row>
    <row r="203" spans="1:18">
      <c r="A203" s="18"/>
      <c r="B203" s="11"/>
      <c r="C203" s="17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</row>
    <row r="204" spans="1:18">
      <c r="A204" s="123" t="s">
        <v>164</v>
      </c>
      <c r="B204" s="124">
        <v>16221.37</v>
      </c>
      <c r="C204" s="124"/>
      <c r="D204" s="124">
        <v>4212.2160000000003</v>
      </c>
      <c r="E204" s="124">
        <v>1070.0409999999999</v>
      </c>
      <c r="F204" s="124">
        <v>75.725999999999999</v>
      </c>
      <c r="G204" s="124">
        <v>0</v>
      </c>
      <c r="H204" s="124">
        <v>5357.9830000000002</v>
      </c>
      <c r="I204" s="124">
        <v>4568.25</v>
      </c>
      <c r="J204" s="124">
        <v>1086.271</v>
      </c>
      <c r="K204" s="124">
        <v>5654.5210000000006</v>
      </c>
      <c r="L204" s="124">
        <v>849.32400000000007</v>
      </c>
      <c r="M204" s="124">
        <v>76.802999999999997</v>
      </c>
      <c r="N204" s="124">
        <v>926.12700000000007</v>
      </c>
      <c r="O204" s="124">
        <v>-22.544</v>
      </c>
      <c r="P204" s="124">
        <v>15902.288000000002</v>
      </c>
      <c r="Q204" s="124">
        <v>379.94299999999998</v>
      </c>
      <c r="R204" s="124">
        <v>16282.231000000002</v>
      </c>
    </row>
    <row r="205" spans="1:18">
      <c r="A205" s="123" t="s">
        <v>111</v>
      </c>
      <c r="B205" s="124">
        <v>13061.898000000003</v>
      </c>
      <c r="C205" s="124"/>
      <c r="D205" s="128">
        <v>788.48800000000006</v>
      </c>
      <c r="E205" s="128">
        <v>0</v>
      </c>
      <c r="F205" s="128">
        <v>75.725999999999999</v>
      </c>
      <c r="G205" s="124">
        <v>0</v>
      </c>
      <c r="H205" s="124">
        <v>864.21400000000006</v>
      </c>
      <c r="I205" s="128">
        <v>523.63799999999992</v>
      </c>
      <c r="J205" s="124">
        <v>16.23</v>
      </c>
      <c r="K205" s="124">
        <v>539.86799999999994</v>
      </c>
      <c r="L205" s="124">
        <v>528.67600000000004</v>
      </c>
      <c r="M205" s="124">
        <v>76.802999999999997</v>
      </c>
      <c r="N205" s="124">
        <v>605.47900000000004</v>
      </c>
      <c r="O205" s="130">
        <v>-13.814</v>
      </c>
      <c r="P205" s="124">
        <v>13372.43</v>
      </c>
      <c r="Q205" s="128">
        <v>379.94299999999998</v>
      </c>
      <c r="R205" s="124">
        <v>13752.373000000001</v>
      </c>
    </row>
    <row r="206" spans="1:18">
      <c r="A206" s="123" t="s">
        <v>112</v>
      </c>
      <c r="B206" s="124">
        <v>3159.4720000000007</v>
      </c>
      <c r="C206" s="124"/>
      <c r="D206" s="128">
        <v>3423.7280000000001</v>
      </c>
      <c r="E206" s="128">
        <v>1070.0409999999999</v>
      </c>
      <c r="F206" s="124">
        <v>0</v>
      </c>
      <c r="G206" s="124">
        <v>0</v>
      </c>
      <c r="H206" s="124">
        <v>4493.7690000000002</v>
      </c>
      <c r="I206" s="128">
        <v>4044.6120000000001</v>
      </c>
      <c r="J206" s="128">
        <v>1070.0409999999999</v>
      </c>
      <c r="K206" s="124">
        <v>5114.6530000000002</v>
      </c>
      <c r="L206" s="128">
        <v>320.64800000000002</v>
      </c>
      <c r="M206" s="128">
        <v>0</v>
      </c>
      <c r="N206" s="124">
        <v>320.64800000000002</v>
      </c>
      <c r="O206" s="130">
        <v>-8.73</v>
      </c>
      <c r="P206" s="124">
        <v>2529.8580000000006</v>
      </c>
      <c r="Q206" s="124">
        <v>0</v>
      </c>
      <c r="R206" s="124">
        <v>2529.8580000000006</v>
      </c>
    </row>
    <row r="207" spans="1:18">
      <c r="A207" s="18"/>
      <c r="B207" s="11"/>
      <c r="C207" s="17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</row>
    <row r="208" spans="1:18">
      <c r="A208" s="123" t="s">
        <v>165</v>
      </c>
      <c r="B208" s="124">
        <v>15902.288000000002</v>
      </c>
      <c r="C208" s="124"/>
      <c r="D208" s="124">
        <v>3183.288</v>
      </c>
      <c r="E208" s="124">
        <v>4748.68</v>
      </c>
      <c r="F208" s="124">
        <v>266.214</v>
      </c>
      <c r="G208" s="124">
        <v>0</v>
      </c>
      <c r="H208" s="124">
        <v>8198.1820000000007</v>
      </c>
      <c r="I208" s="124">
        <v>4008.4690000000001</v>
      </c>
      <c r="J208" s="124">
        <v>6725.2289999999994</v>
      </c>
      <c r="K208" s="124">
        <v>10733.698</v>
      </c>
      <c r="L208" s="124">
        <v>961.846</v>
      </c>
      <c r="M208" s="124">
        <v>268.06599999999997</v>
      </c>
      <c r="N208" s="124">
        <v>1229.912</v>
      </c>
      <c r="O208" s="124">
        <v>-150.59900000000002</v>
      </c>
      <c r="P208" s="124">
        <v>13216.173000000001</v>
      </c>
      <c r="Q208" s="124">
        <v>348.28100000000001</v>
      </c>
      <c r="R208" s="124">
        <v>13564.454000000002</v>
      </c>
    </row>
    <row r="209" spans="1:18">
      <c r="A209" s="123" t="s">
        <v>111</v>
      </c>
      <c r="B209" s="124">
        <v>13372.43</v>
      </c>
      <c r="C209" s="124"/>
      <c r="D209" s="128">
        <v>898.25300000000004</v>
      </c>
      <c r="E209" s="128">
        <v>3596.2170000000001</v>
      </c>
      <c r="F209" s="128">
        <v>266.214</v>
      </c>
      <c r="G209" s="124">
        <v>0</v>
      </c>
      <c r="H209" s="124">
        <v>4760.6840000000002</v>
      </c>
      <c r="I209" s="128">
        <v>1418.3620000000001</v>
      </c>
      <c r="J209" s="124">
        <v>5572.7659999999996</v>
      </c>
      <c r="K209" s="124">
        <v>6991.1279999999997</v>
      </c>
      <c r="L209" s="124">
        <v>687.61599999999999</v>
      </c>
      <c r="M209" s="128">
        <v>268.06599999999997</v>
      </c>
      <c r="N209" s="124">
        <v>955.68200000000002</v>
      </c>
      <c r="O209" s="130">
        <v>-154.82300000000001</v>
      </c>
      <c r="P209" s="124">
        <v>10987.163</v>
      </c>
      <c r="Q209" s="128">
        <v>348.28100000000001</v>
      </c>
      <c r="R209" s="124">
        <v>11335.444000000001</v>
      </c>
    </row>
    <row r="210" spans="1:18">
      <c r="A210" s="123" t="s">
        <v>112</v>
      </c>
      <c r="B210" s="124">
        <v>2529.8580000000006</v>
      </c>
      <c r="C210" s="124"/>
      <c r="D210" s="131">
        <v>2285.0349999999999</v>
      </c>
      <c r="E210" s="131">
        <v>1152.463</v>
      </c>
      <c r="F210" s="124">
        <v>0</v>
      </c>
      <c r="G210" s="124">
        <v>0</v>
      </c>
      <c r="H210" s="124">
        <v>3437.4979999999996</v>
      </c>
      <c r="I210" s="131">
        <v>2590.107</v>
      </c>
      <c r="J210" s="131">
        <v>1152.463</v>
      </c>
      <c r="K210" s="124">
        <v>3742.57</v>
      </c>
      <c r="L210" s="131">
        <v>274.23</v>
      </c>
      <c r="M210" s="128">
        <v>0</v>
      </c>
      <c r="N210" s="124">
        <v>274.23</v>
      </c>
      <c r="O210" s="131">
        <v>4.2240000000000002</v>
      </c>
      <c r="P210" s="124">
        <v>2229.0100000000002</v>
      </c>
      <c r="Q210" s="124">
        <v>0</v>
      </c>
      <c r="R210" s="124">
        <v>2229.0100000000002</v>
      </c>
    </row>
    <row r="211" spans="1:18">
      <c r="A211" s="18"/>
      <c r="B211" s="11"/>
      <c r="C211" s="17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</row>
    <row r="212" spans="1:18">
      <c r="A212" s="123" t="s">
        <v>166</v>
      </c>
      <c r="B212" s="124">
        <v>13216.173000000001</v>
      </c>
      <c r="C212" s="124"/>
      <c r="D212" s="124">
        <v>5739.2340000000004</v>
      </c>
      <c r="E212" s="124">
        <v>514.18899999999996</v>
      </c>
      <c r="F212" s="124">
        <v>415.62600000000003</v>
      </c>
      <c r="G212" s="124">
        <v>0</v>
      </c>
      <c r="H212" s="124">
        <v>6669.049</v>
      </c>
      <c r="I212" s="124">
        <v>4858.1629999999996</v>
      </c>
      <c r="J212" s="124">
        <v>514.18899999999996</v>
      </c>
      <c r="K212" s="124">
        <v>5372.3519999999999</v>
      </c>
      <c r="L212" s="124">
        <v>1028.6539999999998</v>
      </c>
      <c r="M212" s="124">
        <v>355.19400000000002</v>
      </c>
      <c r="N212" s="124">
        <v>1383.848</v>
      </c>
      <c r="O212" s="124">
        <v>-137.15200000000002</v>
      </c>
      <c r="P212" s="124">
        <v>14375.718000000001</v>
      </c>
      <c r="Q212" s="124">
        <v>35.067999999999998</v>
      </c>
      <c r="R212" s="124">
        <v>14410.786</v>
      </c>
    </row>
    <row r="213" spans="1:18">
      <c r="A213" s="123" t="s">
        <v>111</v>
      </c>
      <c r="B213" s="124">
        <v>10987.163</v>
      </c>
      <c r="C213" s="124"/>
      <c r="D213" s="132">
        <v>941.52</v>
      </c>
      <c r="E213" s="128">
        <v>514.18899999999996</v>
      </c>
      <c r="F213" s="132">
        <v>415.62600000000003</v>
      </c>
      <c r="G213" s="124">
        <v>0</v>
      </c>
      <c r="H213" s="124">
        <v>1871.335</v>
      </c>
      <c r="I213" s="132">
        <v>867.19199999999989</v>
      </c>
      <c r="J213" s="124">
        <v>514.18899999999996</v>
      </c>
      <c r="K213" s="124">
        <v>1381.3809999999999</v>
      </c>
      <c r="L213" s="124">
        <v>755.68599999999981</v>
      </c>
      <c r="M213" s="128">
        <v>355.19400000000002</v>
      </c>
      <c r="N213" s="124">
        <v>1110.8800000000001</v>
      </c>
      <c r="O213" s="130">
        <v>-139.364</v>
      </c>
      <c r="P213" s="124">
        <v>11337.753000000001</v>
      </c>
      <c r="Q213" s="132">
        <v>35.067999999999998</v>
      </c>
      <c r="R213" s="124">
        <v>11372.821</v>
      </c>
    </row>
    <row r="214" spans="1:18">
      <c r="A214" s="123" t="s">
        <v>112</v>
      </c>
      <c r="B214" s="124">
        <v>2229.0100000000002</v>
      </c>
      <c r="C214" s="124"/>
      <c r="D214" s="133">
        <v>4797.7139999999999</v>
      </c>
      <c r="E214" s="131">
        <v>0</v>
      </c>
      <c r="F214" s="124">
        <v>0</v>
      </c>
      <c r="G214" s="124">
        <v>0</v>
      </c>
      <c r="H214" s="124">
        <v>4797.7139999999999</v>
      </c>
      <c r="I214" s="133">
        <v>3990.971</v>
      </c>
      <c r="J214" s="131">
        <v>0</v>
      </c>
      <c r="K214" s="124">
        <v>3990.971</v>
      </c>
      <c r="L214" s="131">
        <v>272.96800000000002</v>
      </c>
      <c r="M214" s="128">
        <v>0</v>
      </c>
      <c r="N214" s="124">
        <v>272.96800000000002</v>
      </c>
      <c r="O214" s="133">
        <v>2.2120000000000002</v>
      </c>
      <c r="P214" s="124">
        <v>3037.9650000000001</v>
      </c>
      <c r="Q214" s="124">
        <v>0</v>
      </c>
      <c r="R214" s="124">
        <v>3037.9650000000001</v>
      </c>
    </row>
    <row r="215" spans="1:18">
      <c r="A215" s="123"/>
      <c r="B215" s="124"/>
      <c r="C215" s="124"/>
      <c r="D215" s="133"/>
      <c r="E215" s="131"/>
      <c r="F215" s="124"/>
      <c r="G215" s="124"/>
      <c r="H215" s="124"/>
      <c r="I215" s="133"/>
      <c r="J215" s="131"/>
      <c r="K215" s="124"/>
      <c r="L215" s="131"/>
      <c r="M215" s="128"/>
      <c r="N215" s="124"/>
      <c r="O215" s="133"/>
      <c r="P215" s="124"/>
      <c r="Q215" s="124"/>
      <c r="R215" s="124"/>
    </row>
    <row r="216" spans="1:18">
      <c r="A216" s="123" t="s">
        <v>167</v>
      </c>
      <c r="B216" s="124">
        <v>14375.753000000001</v>
      </c>
      <c r="C216" s="124"/>
      <c r="D216" s="133">
        <v>7466.22</v>
      </c>
      <c r="E216" s="131">
        <v>62.927999999999997</v>
      </c>
      <c r="F216" s="124">
        <v>0</v>
      </c>
      <c r="G216" s="124">
        <v>0</v>
      </c>
      <c r="H216" s="124">
        <v>7529.1480000000001</v>
      </c>
      <c r="I216" s="133">
        <v>5881.8429999999998</v>
      </c>
      <c r="J216" s="131">
        <v>4.4130000000000003</v>
      </c>
      <c r="K216" s="124">
        <v>5886.2560000000003</v>
      </c>
      <c r="L216" s="131">
        <v>1008.1089999999999</v>
      </c>
      <c r="M216" s="128">
        <v>6.6429999999999998</v>
      </c>
      <c r="N216" s="124">
        <v>1014.752</v>
      </c>
      <c r="O216" s="133">
        <v>217.613</v>
      </c>
      <c r="P216" s="124">
        <v>16236.258000000002</v>
      </c>
      <c r="Q216" s="124">
        <v>51.21</v>
      </c>
      <c r="R216" s="124">
        <v>16287.468000000001</v>
      </c>
    </row>
    <row r="217" spans="1:18">
      <c r="A217" s="123" t="s">
        <v>111</v>
      </c>
      <c r="B217" s="124">
        <v>11337.753000000001</v>
      </c>
      <c r="C217" s="124"/>
      <c r="D217" s="133">
        <v>506.52</v>
      </c>
      <c r="E217" s="131">
        <v>62.927999999999997</v>
      </c>
      <c r="F217" s="124">
        <v>0</v>
      </c>
      <c r="G217" s="124">
        <v>0</v>
      </c>
      <c r="H217" s="124">
        <v>569.44799999999998</v>
      </c>
      <c r="I217" s="133">
        <v>778.34299999999996</v>
      </c>
      <c r="J217" s="131">
        <v>4.4130000000000003</v>
      </c>
      <c r="K217" s="124">
        <v>782.75599999999997</v>
      </c>
      <c r="L217" s="131">
        <v>628.70899999999995</v>
      </c>
      <c r="M217" s="128">
        <v>6.6429999999999998</v>
      </c>
      <c r="N217" s="124">
        <v>635.35199999999998</v>
      </c>
      <c r="O217" s="133">
        <v>212.41300000000001</v>
      </c>
      <c r="P217" s="124">
        <v>11336.858000000002</v>
      </c>
      <c r="Q217" s="124">
        <v>51.21</v>
      </c>
      <c r="R217" s="124">
        <v>11388.068000000001</v>
      </c>
    </row>
    <row r="218" spans="1:18">
      <c r="A218" s="123" t="s">
        <v>112</v>
      </c>
      <c r="B218" s="124">
        <v>3038</v>
      </c>
      <c r="C218" s="124"/>
      <c r="D218" s="133">
        <v>6959.7</v>
      </c>
      <c r="E218" s="131">
        <v>0</v>
      </c>
      <c r="F218" s="124">
        <v>0</v>
      </c>
      <c r="G218" s="124">
        <v>0</v>
      </c>
      <c r="H218" s="124">
        <v>6959.7</v>
      </c>
      <c r="I218" s="133">
        <v>5103.5</v>
      </c>
      <c r="J218" s="131">
        <v>0</v>
      </c>
      <c r="K218" s="124">
        <v>5103.5</v>
      </c>
      <c r="L218" s="131">
        <v>379.4</v>
      </c>
      <c r="M218" s="128">
        <v>0</v>
      </c>
      <c r="N218" s="124">
        <v>379.4</v>
      </c>
      <c r="O218" s="133">
        <v>5.2</v>
      </c>
      <c r="P218" s="124">
        <v>4899.3999999999996</v>
      </c>
      <c r="Q218" s="124">
        <v>0</v>
      </c>
      <c r="R218" s="124">
        <v>4899.3999999999996</v>
      </c>
    </row>
    <row r="219" spans="1:18">
      <c r="A219" s="123"/>
      <c r="B219" s="124"/>
      <c r="C219" s="124"/>
      <c r="D219" s="133"/>
      <c r="E219" s="131"/>
      <c r="F219" s="124"/>
      <c r="G219" s="124"/>
      <c r="H219" s="124"/>
      <c r="I219" s="133"/>
      <c r="J219" s="131"/>
      <c r="K219" s="124"/>
      <c r="L219" s="131"/>
      <c r="M219" s="128"/>
      <c r="N219" s="124"/>
      <c r="O219" s="133"/>
      <c r="P219" s="124"/>
      <c r="Q219" s="124"/>
      <c r="R219" s="124"/>
    </row>
    <row r="220" spans="1:18">
      <c r="A220" s="123" t="s">
        <v>168</v>
      </c>
      <c r="B220" s="124">
        <v>16236.258000000002</v>
      </c>
      <c r="C220" s="124"/>
      <c r="D220" s="133">
        <v>6712.8690000000006</v>
      </c>
      <c r="E220" s="131">
        <v>78.373000000000005</v>
      </c>
      <c r="F220" s="124">
        <v>0</v>
      </c>
      <c r="G220" s="124">
        <v>0</v>
      </c>
      <c r="H220" s="124">
        <v>6791.2420000000002</v>
      </c>
      <c r="I220" s="133">
        <v>6295.027</v>
      </c>
      <c r="J220" s="131">
        <v>119.375</v>
      </c>
      <c r="K220" s="124">
        <v>6414.402</v>
      </c>
      <c r="L220" s="131">
        <v>1139.569</v>
      </c>
      <c r="M220" s="128">
        <v>29.763999999999996</v>
      </c>
      <c r="N220" s="124">
        <v>1169.3329999999999</v>
      </c>
      <c r="O220" s="133">
        <v>142.96099999999998</v>
      </c>
      <c r="P220" s="124">
        <v>16756.059000000001</v>
      </c>
      <c r="Q220" s="124">
        <v>9.1780000000000008</v>
      </c>
      <c r="R220" s="124">
        <v>16765.237000000001</v>
      </c>
    </row>
    <row r="221" spans="1:18">
      <c r="A221" s="123" t="s">
        <v>111</v>
      </c>
      <c r="B221" s="124">
        <v>11336.858000000002</v>
      </c>
      <c r="C221" s="124"/>
      <c r="D221" s="133">
        <v>728.61199999999997</v>
      </c>
      <c r="E221" s="131">
        <v>78.373000000000005</v>
      </c>
      <c r="F221" s="124">
        <v>0</v>
      </c>
      <c r="G221" s="124">
        <v>0</v>
      </c>
      <c r="H221" s="124">
        <v>806.98500000000001</v>
      </c>
      <c r="I221" s="133">
        <v>786.03700000000003</v>
      </c>
      <c r="J221" s="131">
        <v>119.375</v>
      </c>
      <c r="K221" s="124">
        <v>905.41200000000003</v>
      </c>
      <c r="L221" s="131">
        <v>664.06399999999996</v>
      </c>
      <c r="M221" s="128">
        <v>29.763999999999996</v>
      </c>
      <c r="N221" s="124">
        <v>693.82799999999997</v>
      </c>
      <c r="O221" s="133">
        <v>245.613</v>
      </c>
      <c r="P221" s="124">
        <v>11484.044000000002</v>
      </c>
      <c r="Q221" s="124">
        <v>9.1780000000000008</v>
      </c>
      <c r="R221" s="124">
        <v>11493.222000000002</v>
      </c>
    </row>
    <row r="222" spans="1:18">
      <c r="A222" s="123" t="s">
        <v>112</v>
      </c>
      <c r="B222" s="124">
        <v>4899.3999999999996</v>
      </c>
      <c r="C222" s="124"/>
      <c r="D222" s="133">
        <v>5984.2570000000005</v>
      </c>
      <c r="E222" s="131">
        <v>0</v>
      </c>
      <c r="F222" s="124">
        <v>0</v>
      </c>
      <c r="G222" s="124">
        <v>0</v>
      </c>
      <c r="H222" s="124">
        <v>5984.2570000000005</v>
      </c>
      <c r="I222" s="133">
        <v>5508.99</v>
      </c>
      <c r="J222" s="131">
        <v>0</v>
      </c>
      <c r="K222" s="124">
        <v>5508.99</v>
      </c>
      <c r="L222" s="131">
        <v>475.505</v>
      </c>
      <c r="M222" s="128">
        <v>0</v>
      </c>
      <c r="N222" s="124">
        <v>475.505</v>
      </c>
      <c r="O222" s="133">
        <v>-102.65200000000002</v>
      </c>
      <c r="P222" s="124">
        <v>5272.0150000000012</v>
      </c>
      <c r="Q222" s="124">
        <v>0</v>
      </c>
      <c r="R222" s="124">
        <v>5272.0150000000012</v>
      </c>
    </row>
    <row r="223" spans="1:18">
      <c r="A223" s="123"/>
      <c r="B223" s="124"/>
      <c r="C223" s="124"/>
      <c r="D223" s="133"/>
      <c r="E223" s="131"/>
      <c r="F223" s="124"/>
      <c r="G223" s="124"/>
      <c r="H223" s="124"/>
      <c r="I223" s="133"/>
      <c r="J223" s="131"/>
      <c r="K223" s="124"/>
      <c r="L223" s="131"/>
      <c r="M223" s="128"/>
      <c r="N223" s="124"/>
      <c r="O223" s="133"/>
      <c r="P223" s="124"/>
      <c r="Q223" s="124"/>
      <c r="R223" s="124"/>
    </row>
    <row r="224" spans="1:18">
      <c r="A224" s="123" t="s">
        <v>169</v>
      </c>
      <c r="B224" s="124">
        <v>16756.059000000001</v>
      </c>
      <c r="C224" s="124"/>
      <c r="D224" s="133">
        <v>3853.4140000000002</v>
      </c>
      <c r="E224" s="131">
        <v>3367.9250000000006</v>
      </c>
      <c r="F224" s="124">
        <v>0</v>
      </c>
      <c r="G224" s="124">
        <v>0</v>
      </c>
      <c r="H224" s="124">
        <v>7221.3390000000009</v>
      </c>
      <c r="I224" s="133">
        <v>3883.8550000000005</v>
      </c>
      <c r="J224" s="131">
        <v>2988.1930000000002</v>
      </c>
      <c r="K224" s="124">
        <v>6872.0480000000007</v>
      </c>
      <c r="L224" s="131">
        <v>1238.1730000000002</v>
      </c>
      <c r="M224" s="128">
        <v>5.7119999999999997</v>
      </c>
      <c r="N224" s="124">
        <v>1243.885</v>
      </c>
      <c r="O224" s="133">
        <v>105.28100000000001</v>
      </c>
      <c r="P224" s="124">
        <v>17210.631000000001</v>
      </c>
      <c r="Q224" s="124">
        <v>2.2770000000000001</v>
      </c>
      <c r="R224" s="124">
        <v>17212.908000000003</v>
      </c>
    </row>
    <row r="225" spans="1:18">
      <c r="A225" s="123" t="s">
        <v>111</v>
      </c>
      <c r="B225" s="124">
        <v>11484.044000000002</v>
      </c>
      <c r="C225" s="124"/>
      <c r="D225" s="133">
        <v>374.22800000000001</v>
      </c>
      <c r="E225" s="131">
        <v>1.4059999999999999</v>
      </c>
      <c r="F225" s="124">
        <v>0</v>
      </c>
      <c r="G225" s="124">
        <v>0</v>
      </c>
      <c r="H225" s="124">
        <v>375.63400000000001</v>
      </c>
      <c r="I225" s="133">
        <v>903.68900000000008</v>
      </c>
      <c r="J225" s="131">
        <v>1.4059999999999999</v>
      </c>
      <c r="K225" s="124">
        <v>905.09500000000003</v>
      </c>
      <c r="L225" s="131">
        <v>631.65200000000004</v>
      </c>
      <c r="M225" s="128">
        <v>5.7119999999999997</v>
      </c>
      <c r="N225" s="124">
        <v>637.36400000000003</v>
      </c>
      <c r="O225" s="133">
        <v>104.768</v>
      </c>
      <c r="P225" s="124">
        <v>11059.351000000002</v>
      </c>
      <c r="Q225" s="124">
        <v>2.2770000000000001</v>
      </c>
      <c r="R225" s="124">
        <v>11061.628000000002</v>
      </c>
    </row>
    <row r="226" spans="1:18">
      <c r="A226" s="123" t="s">
        <v>112</v>
      </c>
      <c r="B226" s="124">
        <v>5272.0150000000012</v>
      </c>
      <c r="C226" s="124"/>
      <c r="D226" s="133">
        <v>3479.1860000000001</v>
      </c>
      <c r="E226" s="131">
        <v>3366.5190000000007</v>
      </c>
      <c r="F226" s="124">
        <v>0</v>
      </c>
      <c r="G226" s="124">
        <v>0</v>
      </c>
      <c r="H226" s="124">
        <v>6845.7050000000008</v>
      </c>
      <c r="I226" s="133">
        <v>2980.1660000000002</v>
      </c>
      <c r="J226" s="131">
        <v>2986.7870000000003</v>
      </c>
      <c r="K226" s="124">
        <v>5966.9530000000004</v>
      </c>
      <c r="L226" s="131">
        <v>606.52100000000007</v>
      </c>
      <c r="M226" s="128">
        <v>0</v>
      </c>
      <c r="N226" s="124">
        <v>606.52100000000007</v>
      </c>
      <c r="O226" s="133">
        <v>0.51300000000000001</v>
      </c>
      <c r="P226" s="124">
        <v>6151.28</v>
      </c>
      <c r="Q226" s="124">
        <v>0</v>
      </c>
      <c r="R226" s="124">
        <v>6151.28</v>
      </c>
    </row>
    <row r="227" spans="1:18">
      <c r="A227" s="123"/>
      <c r="B227" s="124"/>
      <c r="C227" s="124"/>
      <c r="D227" s="133"/>
      <c r="E227" s="131"/>
      <c r="F227" s="124"/>
      <c r="G227" s="124"/>
      <c r="H227" s="124"/>
      <c r="I227" s="133"/>
      <c r="J227" s="131"/>
      <c r="K227" s="124"/>
      <c r="L227" s="131"/>
      <c r="M227" s="128"/>
      <c r="N227" s="124"/>
      <c r="O227" s="133"/>
      <c r="P227" s="124"/>
      <c r="Q227" s="124"/>
      <c r="R227" s="124"/>
    </row>
    <row r="228" spans="1:18">
      <c r="A228" s="123" t="s">
        <v>170</v>
      </c>
      <c r="B228" s="124">
        <v>17210.631000000001</v>
      </c>
      <c r="C228" s="124"/>
      <c r="D228" s="133">
        <v>3754.7280000000001</v>
      </c>
      <c r="E228" s="131">
        <v>4878.1769999999997</v>
      </c>
      <c r="F228" s="124">
        <v>54.002000000000002</v>
      </c>
      <c r="G228" s="124">
        <v>0</v>
      </c>
      <c r="H228" s="124">
        <v>8686.9069999999992</v>
      </c>
      <c r="I228" s="133">
        <v>3810.0230000000001</v>
      </c>
      <c r="J228" s="131">
        <v>4660.2660000000005</v>
      </c>
      <c r="K228" s="124">
        <v>8470.2890000000007</v>
      </c>
      <c r="L228" s="131">
        <v>1244.6109999999999</v>
      </c>
      <c r="M228" s="128">
        <v>15.11</v>
      </c>
      <c r="N228" s="124">
        <v>1259.721</v>
      </c>
      <c r="O228" s="133">
        <v>-190.03700000000001</v>
      </c>
      <c r="P228" s="124">
        <v>17237.212</v>
      </c>
      <c r="Q228" s="124">
        <v>0.47899999999999998</v>
      </c>
      <c r="R228" s="124">
        <v>17237.690999999999</v>
      </c>
    </row>
    <row r="229" spans="1:18">
      <c r="A229" s="123" t="s">
        <v>111</v>
      </c>
      <c r="B229" s="124">
        <v>11059.351000000002</v>
      </c>
      <c r="C229" s="124" t="s">
        <v>171</v>
      </c>
      <c r="D229" s="133">
        <v>965.68499999999995</v>
      </c>
      <c r="E229" s="131">
        <v>0</v>
      </c>
      <c r="F229" s="124">
        <v>54.002000000000002</v>
      </c>
      <c r="G229" s="124">
        <v>0</v>
      </c>
      <c r="H229" s="124">
        <v>1019.6869999999999</v>
      </c>
      <c r="I229" s="133">
        <v>999.75300000000004</v>
      </c>
      <c r="J229" s="131">
        <v>41.951999999999998</v>
      </c>
      <c r="K229" s="124">
        <v>1041.7049999999999</v>
      </c>
      <c r="L229" s="131">
        <v>663.904</v>
      </c>
      <c r="M229" s="128">
        <v>15.11</v>
      </c>
      <c r="N229" s="124">
        <v>679.01400000000001</v>
      </c>
      <c r="O229" s="133">
        <v>-186.79900000000001</v>
      </c>
      <c r="P229" s="124">
        <v>10850.534000000001</v>
      </c>
      <c r="Q229" s="124">
        <v>0.47899999999999998</v>
      </c>
      <c r="R229" s="124">
        <v>10851.013000000001</v>
      </c>
    </row>
    <row r="230" spans="1:18">
      <c r="A230" s="123" t="s">
        <v>112</v>
      </c>
      <c r="B230" s="124">
        <v>6151.28</v>
      </c>
      <c r="C230" s="124"/>
      <c r="D230" s="133">
        <v>2789.0430000000001</v>
      </c>
      <c r="E230" s="131">
        <v>4878.1769999999997</v>
      </c>
      <c r="F230" s="124">
        <v>0</v>
      </c>
      <c r="G230" s="124">
        <v>0</v>
      </c>
      <c r="H230" s="124">
        <v>7667.22</v>
      </c>
      <c r="I230" s="133">
        <v>2810.27</v>
      </c>
      <c r="J230" s="131">
        <v>4618.3140000000003</v>
      </c>
      <c r="K230" s="124">
        <v>7428.5840000000007</v>
      </c>
      <c r="L230" s="131">
        <v>580.70699999999999</v>
      </c>
      <c r="M230" s="128">
        <v>0</v>
      </c>
      <c r="N230" s="124">
        <v>580.70699999999999</v>
      </c>
      <c r="O230" s="133">
        <v>-3.2380000000000009</v>
      </c>
      <c r="P230" s="124">
        <v>6386.677999999999</v>
      </c>
      <c r="Q230" s="124">
        <v>0</v>
      </c>
      <c r="R230" s="124">
        <v>6386.677999999999</v>
      </c>
    </row>
    <row r="231" spans="1:18">
      <c r="A231" s="123"/>
      <c r="B231" s="124"/>
      <c r="C231" s="124"/>
      <c r="D231" s="133"/>
      <c r="E231" s="131"/>
      <c r="F231" s="124"/>
      <c r="G231" s="124"/>
      <c r="H231" s="124"/>
      <c r="I231" s="133"/>
      <c r="J231" s="131"/>
      <c r="K231" s="124"/>
      <c r="L231" s="131"/>
      <c r="M231" s="128"/>
      <c r="N231" s="124"/>
      <c r="O231" s="133"/>
      <c r="P231" s="124"/>
      <c r="Q231" s="124"/>
      <c r="R231" s="124"/>
    </row>
    <row r="232" spans="1:18">
      <c r="A232" s="123" t="s">
        <v>172</v>
      </c>
      <c r="B232" s="124">
        <v>17237.212</v>
      </c>
      <c r="C232" s="124"/>
      <c r="D232" s="133">
        <v>7441.697000000001</v>
      </c>
      <c r="E232" s="131">
        <v>2364.4639999999999</v>
      </c>
      <c r="F232" s="124">
        <v>0</v>
      </c>
      <c r="G232" s="124">
        <v>0</v>
      </c>
      <c r="H232" s="124">
        <v>9806.1610000000001</v>
      </c>
      <c r="I232" s="133">
        <v>7505.5250000000005</v>
      </c>
      <c r="J232" s="131">
        <v>2606.9719999999998</v>
      </c>
      <c r="K232" s="124">
        <v>10112.496999999999</v>
      </c>
      <c r="L232" s="131">
        <v>1321.66</v>
      </c>
      <c r="M232" s="128">
        <v>7.6340000000000003</v>
      </c>
      <c r="N232" s="124">
        <v>1329.2939999999999</v>
      </c>
      <c r="O232" s="133">
        <v>168.54899999999998</v>
      </c>
      <c r="P232" s="124">
        <v>17099.425000000003</v>
      </c>
      <c r="Q232" s="124">
        <v>0.38400000000000001</v>
      </c>
      <c r="R232" s="124">
        <v>17099.809000000001</v>
      </c>
    </row>
    <row r="233" spans="1:18">
      <c r="A233" s="123" t="s">
        <v>111</v>
      </c>
      <c r="B233" s="124">
        <v>10850.534000000001</v>
      </c>
      <c r="C233" s="124"/>
      <c r="D233" s="133">
        <v>928.25599999999997</v>
      </c>
      <c r="E233" s="131">
        <v>0</v>
      </c>
      <c r="F233" s="124">
        <v>0</v>
      </c>
      <c r="G233" s="124">
        <v>0</v>
      </c>
      <c r="H233" s="124">
        <v>928.25599999999997</v>
      </c>
      <c r="I233" s="133">
        <v>1630.1559999999999</v>
      </c>
      <c r="J233" s="131">
        <v>0</v>
      </c>
      <c r="K233" s="124">
        <v>1630.1559999999999</v>
      </c>
      <c r="L233" s="131">
        <v>752.16199999999992</v>
      </c>
      <c r="M233" s="128">
        <v>7.6340000000000003</v>
      </c>
      <c r="N233" s="124">
        <v>759.79599999999994</v>
      </c>
      <c r="O233" s="133">
        <v>66.655000000000001</v>
      </c>
      <c r="P233" s="124">
        <v>10215.289000000002</v>
      </c>
      <c r="Q233" s="124">
        <v>0.38400000000000001</v>
      </c>
      <c r="R233" s="124">
        <v>10215.673000000003</v>
      </c>
    </row>
    <row r="234" spans="1:18">
      <c r="A234" s="123" t="s">
        <v>112</v>
      </c>
      <c r="B234" s="124">
        <v>6386.677999999999</v>
      </c>
      <c r="C234" s="124"/>
      <c r="D234" s="133">
        <v>6513.4410000000007</v>
      </c>
      <c r="E234" s="131">
        <v>2364.4639999999999</v>
      </c>
      <c r="F234" s="124">
        <v>0</v>
      </c>
      <c r="G234" s="124">
        <v>0</v>
      </c>
      <c r="H234" s="124">
        <v>8877.9050000000007</v>
      </c>
      <c r="I234" s="133">
        <v>5875.3690000000006</v>
      </c>
      <c r="J234" s="131">
        <v>2606.9719999999998</v>
      </c>
      <c r="K234" s="124">
        <v>8482.3410000000003</v>
      </c>
      <c r="L234" s="131">
        <v>569.49800000000005</v>
      </c>
      <c r="M234" s="128">
        <v>0</v>
      </c>
      <c r="N234" s="124">
        <v>569.49800000000005</v>
      </c>
      <c r="O234" s="133">
        <v>101.89399999999999</v>
      </c>
      <c r="P234" s="124">
        <v>6884.1359999999986</v>
      </c>
      <c r="Q234" s="124">
        <v>0</v>
      </c>
      <c r="R234" s="124">
        <v>6884.1359999999986</v>
      </c>
    </row>
    <row r="235" spans="1:18">
      <c r="A235" s="123"/>
      <c r="B235" s="124"/>
      <c r="C235" s="124"/>
      <c r="D235" s="133"/>
      <c r="E235" s="131"/>
      <c r="F235" s="124"/>
      <c r="G235" s="124"/>
      <c r="H235" s="124"/>
      <c r="I235" s="133"/>
      <c r="J235" s="131"/>
      <c r="K235" s="124"/>
      <c r="L235" s="131"/>
      <c r="M235" s="128"/>
      <c r="N235" s="124"/>
      <c r="O235" s="133"/>
      <c r="P235" s="124"/>
      <c r="Q235" s="124"/>
      <c r="R235" s="124"/>
    </row>
    <row r="236" spans="1:18">
      <c r="A236" s="123" t="s">
        <v>173</v>
      </c>
      <c r="B236" s="124">
        <v>17099.400000000001</v>
      </c>
      <c r="C236" s="124"/>
      <c r="D236" s="133">
        <v>8444.4</v>
      </c>
      <c r="E236" s="131">
        <v>3594.4</v>
      </c>
      <c r="F236" s="124">
        <v>0</v>
      </c>
      <c r="G236" s="124">
        <v>0</v>
      </c>
      <c r="H236" s="124">
        <v>12038.9</v>
      </c>
      <c r="I236" s="133">
        <v>6809.3</v>
      </c>
      <c r="J236" s="131">
        <v>3541.8</v>
      </c>
      <c r="K236" s="124">
        <v>11840.7</v>
      </c>
      <c r="L236" s="131">
        <v>1057.5</v>
      </c>
      <c r="M236" s="128">
        <v>8.5</v>
      </c>
      <c r="N236" s="124">
        <v>1066</v>
      </c>
      <c r="O236" s="133">
        <v>95.2</v>
      </c>
      <c r="P236" s="124">
        <v>17392.7</v>
      </c>
      <c r="Q236" s="124">
        <v>28.1</v>
      </c>
      <c r="R236" s="124">
        <v>17420.900000000001</v>
      </c>
    </row>
    <row r="237" spans="1:18">
      <c r="A237" s="123" t="s">
        <v>111</v>
      </c>
      <c r="B237" s="124">
        <v>10215.299999999999</v>
      </c>
      <c r="C237" s="124"/>
      <c r="D237" s="133">
        <v>1356.7</v>
      </c>
      <c r="E237" s="131">
        <v>0</v>
      </c>
      <c r="F237" s="124">
        <v>0</v>
      </c>
      <c r="G237" s="124">
        <v>0</v>
      </c>
      <c r="H237" s="124">
        <v>1356.7</v>
      </c>
      <c r="I237" s="133">
        <v>1019.6</v>
      </c>
      <c r="J237" s="131">
        <v>34.200000000000003</v>
      </c>
      <c r="K237" s="124">
        <v>1053.8</v>
      </c>
      <c r="L237" s="131">
        <v>737.2</v>
      </c>
      <c r="M237" s="128">
        <v>8.5</v>
      </c>
      <c r="N237" s="124">
        <v>745.7</v>
      </c>
      <c r="O237" s="133">
        <v>87.1</v>
      </c>
      <c r="P237" s="124">
        <v>10605.2</v>
      </c>
      <c r="Q237" s="124">
        <v>28.1</v>
      </c>
      <c r="R237" s="124">
        <v>10633.4</v>
      </c>
    </row>
    <row r="238" spans="1:18">
      <c r="A238" s="123" t="s">
        <v>112</v>
      </c>
      <c r="B238" s="124">
        <v>6884.1</v>
      </c>
      <c r="C238" s="124"/>
      <c r="D238" s="133">
        <v>7087.7</v>
      </c>
      <c r="E238" s="131">
        <v>3594.4</v>
      </c>
      <c r="F238" s="124">
        <v>0</v>
      </c>
      <c r="G238" s="124">
        <v>0</v>
      </c>
      <c r="H238" s="124">
        <v>10682.2</v>
      </c>
      <c r="I238" s="133">
        <v>5789.7</v>
      </c>
      <c r="J238" s="131">
        <v>3507.6</v>
      </c>
      <c r="K238" s="124">
        <v>10786.9</v>
      </c>
      <c r="L238" s="131">
        <v>320.3</v>
      </c>
      <c r="M238" s="128">
        <v>0</v>
      </c>
      <c r="N238" s="124">
        <v>320.3</v>
      </c>
      <c r="O238" s="133">
        <v>8.1</v>
      </c>
      <c r="P238" s="124">
        <v>6787.5</v>
      </c>
      <c r="Q238" s="124">
        <v>0</v>
      </c>
      <c r="R238" s="124">
        <v>6787.5</v>
      </c>
    </row>
    <row r="239" spans="1:18">
      <c r="A239" s="123"/>
      <c r="B239" s="124"/>
      <c r="C239" s="124"/>
      <c r="D239" s="133"/>
      <c r="E239" s="131"/>
      <c r="F239" s="124"/>
      <c r="G239" s="124"/>
      <c r="H239" s="124"/>
      <c r="I239" s="133"/>
      <c r="J239" s="131"/>
      <c r="K239" s="124"/>
      <c r="L239" s="131"/>
      <c r="M239" s="128"/>
      <c r="N239" s="124"/>
      <c r="O239" s="133"/>
      <c r="P239" s="124"/>
      <c r="Q239" s="124"/>
      <c r="R239" s="124"/>
    </row>
    <row r="240" spans="1:18">
      <c r="A240" s="123" t="s">
        <v>230</v>
      </c>
      <c r="B240" s="124">
        <v>17450.655999999999</v>
      </c>
      <c r="C240" s="124">
        <v>0</v>
      </c>
      <c r="D240" s="133">
        <v>5971.4520000000002</v>
      </c>
      <c r="E240" s="131">
        <v>2769.337</v>
      </c>
      <c r="F240" s="124">
        <v>0</v>
      </c>
      <c r="G240" s="124">
        <v>0</v>
      </c>
      <c r="H240" s="124">
        <v>8740.7890000000007</v>
      </c>
      <c r="I240" s="133">
        <v>6268.0320000000002</v>
      </c>
      <c r="J240" s="131">
        <v>3072.3500000000008</v>
      </c>
      <c r="K240" s="124">
        <v>9340.3819999999996</v>
      </c>
      <c r="L240" s="131">
        <v>1022.2639999999999</v>
      </c>
      <c r="M240" s="128">
        <v>14.138999999999999</v>
      </c>
      <c r="N240" s="124">
        <v>1036.4029999999998</v>
      </c>
      <c r="O240" s="133">
        <v>41.989000000000004</v>
      </c>
      <c r="P240" s="124">
        <v>16893.052</v>
      </c>
      <c r="Q240" s="124">
        <v>61.49</v>
      </c>
      <c r="R240" s="124">
        <v>16954.542000000001</v>
      </c>
    </row>
    <row r="241" spans="1:18">
      <c r="A241" s="123" t="s">
        <v>111</v>
      </c>
      <c r="B241" s="124">
        <v>10605.243999999999</v>
      </c>
      <c r="C241" s="124"/>
      <c r="D241" s="133">
        <v>355.34799999999996</v>
      </c>
      <c r="E241" s="131">
        <v>0</v>
      </c>
      <c r="F241" s="124">
        <v>0</v>
      </c>
      <c r="G241" s="124">
        <v>0</v>
      </c>
      <c r="H241" s="124">
        <v>355.34799999999996</v>
      </c>
      <c r="I241" s="133">
        <v>972.79399999999998</v>
      </c>
      <c r="J241" s="131">
        <v>11.212</v>
      </c>
      <c r="K241" s="124">
        <v>984.00599999999997</v>
      </c>
      <c r="L241" s="131">
        <v>652.24599999999987</v>
      </c>
      <c r="M241" s="128">
        <v>14.138999999999999</v>
      </c>
      <c r="N241" s="124">
        <v>666.38499999999988</v>
      </c>
      <c r="O241" s="133">
        <v>51.871000000000002</v>
      </c>
      <c r="P241" s="124">
        <v>10028.456999999999</v>
      </c>
      <c r="Q241" s="124">
        <v>61.49</v>
      </c>
      <c r="R241" s="124">
        <v>10089.946999999998</v>
      </c>
    </row>
    <row r="242" spans="1:18">
      <c r="A242" s="123" t="s">
        <v>112</v>
      </c>
      <c r="B242" s="124">
        <v>6845.4120000000003</v>
      </c>
      <c r="C242" s="124"/>
      <c r="D242" s="133">
        <v>5616.1040000000003</v>
      </c>
      <c r="E242" s="131">
        <v>2769.337</v>
      </c>
      <c r="F242" s="124">
        <v>0</v>
      </c>
      <c r="G242" s="124">
        <v>0</v>
      </c>
      <c r="H242" s="124">
        <v>8385.4410000000007</v>
      </c>
      <c r="I242" s="133">
        <v>5295.2380000000003</v>
      </c>
      <c r="J242" s="131">
        <v>3061.1380000000008</v>
      </c>
      <c r="K242" s="124">
        <v>8356.3760000000002</v>
      </c>
      <c r="L242" s="131">
        <v>370.01799999999997</v>
      </c>
      <c r="M242" s="128">
        <v>0</v>
      </c>
      <c r="N242" s="124">
        <v>370.01799999999997</v>
      </c>
      <c r="O242" s="133">
        <v>-9.8819999999999997</v>
      </c>
      <c r="P242" s="124">
        <v>6864.5950000000012</v>
      </c>
      <c r="Q242" s="124">
        <v>0</v>
      </c>
      <c r="R242" s="124">
        <v>6864.5950000000012</v>
      </c>
    </row>
    <row r="243" spans="1:18">
      <c r="A243" s="123"/>
      <c r="B243" s="124"/>
      <c r="C243" s="124"/>
      <c r="D243" s="133"/>
      <c r="E243" s="131"/>
      <c r="F243" s="124"/>
      <c r="G243" s="124"/>
      <c r="H243" s="124"/>
      <c r="I243" s="133"/>
      <c r="J243" s="131"/>
      <c r="K243" s="124"/>
      <c r="L243" s="131"/>
      <c r="M243" s="128"/>
      <c r="N243" s="124"/>
      <c r="O243" s="133"/>
      <c r="P243" s="124"/>
      <c r="Q243" s="124"/>
      <c r="R243" s="124"/>
    </row>
    <row r="244" spans="1:18">
      <c r="A244" s="123" t="s">
        <v>231</v>
      </c>
      <c r="B244" s="124">
        <v>16893.052</v>
      </c>
      <c r="C244" s="124">
        <v>0</v>
      </c>
      <c r="D244" s="133">
        <v>5731.1390000000001</v>
      </c>
      <c r="E244" s="131">
        <v>2417.6959999999999</v>
      </c>
      <c r="F244" s="124">
        <v>0</v>
      </c>
      <c r="G244" s="124">
        <v>0</v>
      </c>
      <c r="H244" s="124">
        <v>8148.835</v>
      </c>
      <c r="I244" s="133">
        <v>8206.762999999999</v>
      </c>
      <c r="J244" s="131">
        <v>3329.5800000000004</v>
      </c>
      <c r="K244" s="124">
        <v>11536.343000000001</v>
      </c>
      <c r="L244" s="131">
        <v>675.6925</v>
      </c>
      <c r="M244" s="128">
        <v>13.528</v>
      </c>
      <c r="N244" s="124">
        <v>689.22050000000002</v>
      </c>
      <c r="O244" s="133">
        <v>1.246</v>
      </c>
      <c r="P244" s="124">
        <v>13506.789999999999</v>
      </c>
      <c r="Q244" s="124">
        <v>28.446000000000002</v>
      </c>
      <c r="R244" s="124">
        <v>13535.235999999999</v>
      </c>
    </row>
    <row r="245" spans="1:18">
      <c r="A245" s="123" t="s">
        <v>111</v>
      </c>
      <c r="B245" s="124">
        <v>10028.456999999999</v>
      </c>
      <c r="C245" s="124"/>
      <c r="D245" s="133">
        <v>862.40699999999993</v>
      </c>
      <c r="E245" s="131">
        <v>0</v>
      </c>
      <c r="F245" s="124">
        <v>0</v>
      </c>
      <c r="G245" s="124">
        <v>0</v>
      </c>
      <c r="H245" s="124">
        <v>862.40699999999993</v>
      </c>
      <c r="I245" s="133">
        <v>3527.37</v>
      </c>
      <c r="J245" s="131">
        <v>0</v>
      </c>
      <c r="K245" s="124">
        <v>3527.37</v>
      </c>
      <c r="L245" s="131">
        <v>331.82499999999999</v>
      </c>
      <c r="M245" s="128">
        <v>13.528</v>
      </c>
      <c r="N245" s="124">
        <v>345.35300000000001</v>
      </c>
      <c r="O245" s="133">
        <v>0.755</v>
      </c>
      <c r="P245" s="124">
        <v>7364.248999999998</v>
      </c>
      <c r="Q245" s="124">
        <v>28.446000000000002</v>
      </c>
      <c r="R245" s="124">
        <v>7392.6949999999979</v>
      </c>
    </row>
    <row r="246" spans="1:18">
      <c r="A246" s="123" t="s">
        <v>112</v>
      </c>
      <c r="B246" s="124">
        <v>6864.5950000000012</v>
      </c>
      <c r="C246" s="124"/>
      <c r="D246" s="133">
        <v>4868.732</v>
      </c>
      <c r="E246" s="131">
        <v>2417.6959999999999</v>
      </c>
      <c r="F246" s="124">
        <v>0</v>
      </c>
      <c r="G246" s="124">
        <v>0</v>
      </c>
      <c r="H246" s="124">
        <v>7286.4279999999999</v>
      </c>
      <c r="I246" s="133">
        <v>4679.393</v>
      </c>
      <c r="J246" s="131">
        <v>3329.5800000000004</v>
      </c>
      <c r="K246" s="124">
        <v>8008.973</v>
      </c>
      <c r="L246" s="131">
        <v>343.86750000000001</v>
      </c>
      <c r="M246" s="128">
        <v>0</v>
      </c>
      <c r="N246" s="124">
        <v>343.86750000000001</v>
      </c>
      <c r="O246" s="133">
        <v>0.49099999999999999</v>
      </c>
      <c r="P246" s="124">
        <v>6142.5410000000011</v>
      </c>
      <c r="Q246" s="124">
        <v>0</v>
      </c>
      <c r="R246" s="124">
        <v>6142.5410000000011</v>
      </c>
    </row>
    <row r="247" spans="1:18">
      <c r="A247" s="123"/>
      <c r="B247" s="124"/>
      <c r="C247" s="124"/>
      <c r="D247" s="133"/>
      <c r="E247" s="131"/>
      <c r="F247" s="124"/>
      <c r="G247" s="124"/>
      <c r="H247" s="124"/>
      <c r="I247" s="133"/>
      <c r="J247" s="131"/>
      <c r="K247" s="124"/>
      <c r="L247" s="131"/>
      <c r="M247" s="128"/>
      <c r="N247" s="124"/>
      <c r="O247" s="133"/>
      <c r="P247" s="124"/>
      <c r="Q247" s="124"/>
      <c r="R247" s="124"/>
    </row>
    <row r="248" spans="1:18">
      <c r="A248" s="123" t="s">
        <v>232</v>
      </c>
      <c r="B248" s="124">
        <v>13506.789999999999</v>
      </c>
      <c r="C248" s="124">
        <v>0</v>
      </c>
      <c r="D248" s="133">
        <v>6364.78</v>
      </c>
      <c r="E248" s="131">
        <v>1478.0519999999999</v>
      </c>
      <c r="F248" s="124">
        <v>0</v>
      </c>
      <c r="G248" s="124">
        <v>0</v>
      </c>
      <c r="H248" s="124">
        <v>7842.8319999999994</v>
      </c>
      <c r="I248" s="133">
        <v>5261.18</v>
      </c>
      <c r="J248" s="131">
        <v>2176.5129999999999</v>
      </c>
      <c r="K248" s="124">
        <v>7437.6930000000002</v>
      </c>
      <c r="L248" s="131">
        <v>553.24800000000005</v>
      </c>
      <c r="M248" s="128">
        <v>15.858000000000001</v>
      </c>
      <c r="N248" s="124">
        <v>569.10599999999999</v>
      </c>
      <c r="O248" s="133">
        <v>10.292</v>
      </c>
      <c r="P248" s="124">
        <v>13922.220999999998</v>
      </c>
      <c r="Q248" s="124">
        <v>50.728000000000002</v>
      </c>
      <c r="R248" s="124">
        <v>13972.948999999997</v>
      </c>
    </row>
    <row r="249" spans="1:18">
      <c r="A249" s="123" t="s">
        <v>111</v>
      </c>
      <c r="B249" s="124">
        <v>7364.248999999998</v>
      </c>
      <c r="C249" s="124"/>
      <c r="D249" s="133">
        <v>1874.2819999999999</v>
      </c>
      <c r="E249" s="131">
        <v>0</v>
      </c>
      <c r="F249" s="124">
        <v>0</v>
      </c>
      <c r="G249" s="124">
        <v>0</v>
      </c>
      <c r="H249" s="124">
        <v>1874.2819999999999</v>
      </c>
      <c r="I249" s="133">
        <v>626.46400000000006</v>
      </c>
      <c r="J249" s="131">
        <v>0</v>
      </c>
      <c r="K249" s="124">
        <v>626.46400000000006</v>
      </c>
      <c r="L249" s="131">
        <v>311.02200000000005</v>
      </c>
      <c r="M249" s="128">
        <v>15.858000000000001</v>
      </c>
      <c r="N249" s="124">
        <v>326.88000000000005</v>
      </c>
      <c r="O249" s="133">
        <v>9.8010000000000002</v>
      </c>
      <c r="P249" s="124">
        <v>8621.8679999999968</v>
      </c>
      <c r="Q249" s="124">
        <v>50.728000000000002</v>
      </c>
      <c r="R249" s="124">
        <v>8672.5959999999959</v>
      </c>
    </row>
    <row r="250" spans="1:18">
      <c r="A250" s="123" t="s">
        <v>112</v>
      </c>
      <c r="B250" s="124">
        <v>6142.5410000000011</v>
      </c>
      <c r="C250" s="124"/>
      <c r="D250" s="133">
        <v>4490.4979999999996</v>
      </c>
      <c r="E250" s="131">
        <v>1478.0519999999999</v>
      </c>
      <c r="F250" s="124">
        <v>0</v>
      </c>
      <c r="G250" s="124">
        <v>0</v>
      </c>
      <c r="H250" s="124">
        <v>5968.5499999999993</v>
      </c>
      <c r="I250" s="133">
        <v>4634.7160000000003</v>
      </c>
      <c r="J250" s="131">
        <v>2176.5129999999999</v>
      </c>
      <c r="K250" s="124">
        <v>6811.2290000000003</v>
      </c>
      <c r="L250" s="131">
        <v>242.226</v>
      </c>
      <c r="M250" s="128">
        <v>0</v>
      </c>
      <c r="N250" s="124">
        <v>242.226</v>
      </c>
      <c r="O250" s="133">
        <v>0.49099999999999999</v>
      </c>
      <c r="P250" s="124">
        <v>5300.3530000000001</v>
      </c>
      <c r="Q250" s="124">
        <v>0</v>
      </c>
      <c r="R250" s="124">
        <v>5300.3530000000001</v>
      </c>
    </row>
    <row r="251" spans="1:18">
      <c r="A251" s="123"/>
      <c r="B251" s="124"/>
      <c r="C251" s="124"/>
      <c r="D251" s="133"/>
      <c r="E251" s="131"/>
      <c r="F251" s="124"/>
      <c r="G251" s="124"/>
      <c r="H251" s="124"/>
      <c r="I251" s="133"/>
      <c r="J251" s="131"/>
      <c r="K251" s="124"/>
      <c r="L251" s="131"/>
      <c r="M251" s="128"/>
      <c r="N251" s="124"/>
      <c r="O251" s="133"/>
      <c r="P251" s="124"/>
      <c r="Q251" s="124"/>
      <c r="R251" s="124"/>
    </row>
    <row r="252" spans="1:18">
      <c r="A252" s="123" t="s">
        <v>233</v>
      </c>
      <c r="B252" s="124">
        <v>13922.220999999998</v>
      </c>
      <c r="C252" s="124">
        <v>0</v>
      </c>
      <c r="D252" s="133">
        <v>7797.6980000000003</v>
      </c>
      <c r="E252" s="131">
        <v>1270.6289999999999</v>
      </c>
      <c r="F252" s="124">
        <v>0</v>
      </c>
      <c r="G252" s="124">
        <v>0</v>
      </c>
      <c r="H252" s="124">
        <v>9068.3269999999993</v>
      </c>
      <c r="I252" s="133">
        <v>5888.6489999999994</v>
      </c>
      <c r="J252" s="131">
        <v>1514.3529999999994</v>
      </c>
      <c r="K252" s="124">
        <v>7403.0019999999986</v>
      </c>
      <c r="L252" s="131">
        <v>592.79600000000005</v>
      </c>
      <c r="M252" s="128">
        <v>16.434999999999999</v>
      </c>
      <c r="N252" s="124">
        <v>609.23099999999999</v>
      </c>
      <c r="O252" s="133">
        <v>-353.54399999999998</v>
      </c>
      <c r="P252" s="124">
        <v>15234.001999999997</v>
      </c>
      <c r="Q252" s="124">
        <v>82.17</v>
      </c>
      <c r="R252" s="124">
        <v>15316.171999999995</v>
      </c>
    </row>
    <row r="253" spans="1:18">
      <c r="A253" s="123" t="s">
        <v>111</v>
      </c>
      <c r="B253" s="124">
        <v>8621.8679999999968</v>
      </c>
      <c r="C253" s="124"/>
      <c r="D253" s="133">
        <v>2434.7220000000002</v>
      </c>
      <c r="E253" s="131">
        <v>0</v>
      </c>
      <c r="F253" s="124">
        <v>0</v>
      </c>
      <c r="G253" s="124">
        <v>0</v>
      </c>
      <c r="H253" s="124">
        <v>2434.7220000000002</v>
      </c>
      <c r="I253" s="133">
        <v>1090.1589999999999</v>
      </c>
      <c r="J253" s="131">
        <v>0</v>
      </c>
      <c r="K253" s="124">
        <v>1090.1589999999999</v>
      </c>
      <c r="L253" s="131">
        <v>353.21800000000002</v>
      </c>
      <c r="M253" s="128">
        <v>16.434999999999999</v>
      </c>
      <c r="N253" s="124">
        <v>369.65300000000002</v>
      </c>
      <c r="O253" s="133">
        <v>6.7370000000000001</v>
      </c>
      <c r="P253" s="124">
        <v>9973.167999999996</v>
      </c>
      <c r="Q253" s="124">
        <v>82.17</v>
      </c>
      <c r="R253" s="124">
        <v>10055.337999999996</v>
      </c>
    </row>
    <row r="254" spans="1:18">
      <c r="A254" s="123" t="s">
        <v>112</v>
      </c>
      <c r="B254" s="124">
        <v>5300.3530000000001</v>
      </c>
      <c r="C254" s="124"/>
      <c r="D254" s="133">
        <v>5362.9759999999997</v>
      </c>
      <c r="E254" s="131">
        <v>1270.6289999999999</v>
      </c>
      <c r="F254" s="124">
        <v>0</v>
      </c>
      <c r="G254" s="124">
        <v>0</v>
      </c>
      <c r="H254" s="124">
        <v>6633.6049999999996</v>
      </c>
      <c r="I254" s="133">
        <v>4798.49</v>
      </c>
      <c r="J254" s="131">
        <v>1514.3529999999994</v>
      </c>
      <c r="K254" s="124">
        <v>6312.8429999999989</v>
      </c>
      <c r="L254" s="131">
        <v>239.578</v>
      </c>
      <c r="M254" s="128">
        <v>0</v>
      </c>
      <c r="N254" s="124">
        <v>239.578</v>
      </c>
      <c r="O254" s="133">
        <v>-360.28100000000001</v>
      </c>
      <c r="P254" s="124">
        <v>5260.8339999999998</v>
      </c>
      <c r="Q254" s="124">
        <v>0</v>
      </c>
      <c r="R254" s="124">
        <v>5260.8339999999998</v>
      </c>
    </row>
    <row r="255" spans="1:18">
      <c r="A255" s="123"/>
      <c r="B255" s="124"/>
      <c r="C255" s="124"/>
      <c r="D255" s="133"/>
      <c r="E255" s="131"/>
      <c r="F255" s="124"/>
      <c r="G255" s="124"/>
      <c r="H255" s="124"/>
      <c r="I255" s="133"/>
      <c r="J255" s="131"/>
      <c r="K255" s="124"/>
      <c r="L255" s="131"/>
      <c r="M255" s="128"/>
      <c r="N255" s="124"/>
      <c r="O255" s="133"/>
      <c r="P255" s="124"/>
      <c r="Q255" s="124"/>
      <c r="R255" s="124"/>
    </row>
    <row r="256" spans="1:18">
      <c r="A256" s="123" t="s">
        <v>453</v>
      </c>
      <c r="B256" s="124">
        <v>15234.001999999997</v>
      </c>
      <c r="C256" s="124">
        <v>0</v>
      </c>
      <c r="D256" s="133">
        <v>6274.7950000000001</v>
      </c>
      <c r="E256" s="131">
        <v>1367.567</v>
      </c>
      <c r="F256" s="124">
        <v>0</v>
      </c>
      <c r="G256" s="124">
        <v>0</v>
      </c>
      <c r="H256" s="124">
        <v>7642.3620000000001</v>
      </c>
      <c r="I256" s="133">
        <v>5208.4249999999993</v>
      </c>
      <c r="J256" s="131">
        <v>1749.8760000000011</v>
      </c>
      <c r="K256" s="124">
        <v>6958.3010000000013</v>
      </c>
      <c r="L256" s="131">
        <v>709.3</v>
      </c>
      <c r="M256" s="128">
        <v>16.442</v>
      </c>
      <c r="N256" s="124">
        <v>725.74199999999996</v>
      </c>
      <c r="O256" s="133">
        <v>-17.850000000000001</v>
      </c>
      <c r="P256" s="124">
        <v>15900.212999999996</v>
      </c>
      <c r="Q256" s="124">
        <v>104.05500000000001</v>
      </c>
      <c r="R256" s="124">
        <v>16004.267999999996</v>
      </c>
    </row>
    <row r="257" spans="1:18">
      <c r="A257" s="123" t="s">
        <v>111</v>
      </c>
      <c r="B257" s="124">
        <v>9973.167999999996</v>
      </c>
      <c r="C257" s="124"/>
      <c r="D257" s="133">
        <v>1970.192</v>
      </c>
      <c r="E257" s="131">
        <v>0</v>
      </c>
      <c r="F257" s="124">
        <v>0</v>
      </c>
      <c r="G257" s="124">
        <v>0</v>
      </c>
      <c r="H257" s="124">
        <v>1970.192</v>
      </c>
      <c r="I257" s="133">
        <v>1168.8579999999997</v>
      </c>
      <c r="J257" s="131">
        <v>0</v>
      </c>
      <c r="K257" s="124">
        <v>1168.8579999999997</v>
      </c>
      <c r="L257" s="131">
        <v>477.709</v>
      </c>
      <c r="M257" s="128">
        <v>16.442</v>
      </c>
      <c r="N257" s="124">
        <v>494.15100000000001</v>
      </c>
      <c r="O257" s="133">
        <v>-6.7110000000000003</v>
      </c>
      <c r="P257" s="124">
        <v>10767.790999999997</v>
      </c>
      <c r="Q257" s="124">
        <v>104.05500000000001</v>
      </c>
      <c r="R257" s="124">
        <v>10871.845999999998</v>
      </c>
    </row>
    <row r="258" spans="1:18">
      <c r="A258" s="123" t="s">
        <v>112</v>
      </c>
      <c r="B258" s="124">
        <v>5260.8339999999998</v>
      </c>
      <c r="C258" s="124"/>
      <c r="D258" s="133">
        <v>4304.6030000000001</v>
      </c>
      <c r="E258" s="131">
        <v>1367.567</v>
      </c>
      <c r="F258" s="124">
        <v>0</v>
      </c>
      <c r="G258" s="124">
        <v>0</v>
      </c>
      <c r="H258" s="124">
        <v>5672.17</v>
      </c>
      <c r="I258" s="133">
        <v>4039.567</v>
      </c>
      <c r="J258" s="131">
        <v>1749.8760000000011</v>
      </c>
      <c r="K258" s="124">
        <v>5789.4430000000011</v>
      </c>
      <c r="L258" s="131">
        <v>231.59100000000001</v>
      </c>
      <c r="M258" s="128">
        <v>0</v>
      </c>
      <c r="N258" s="124">
        <v>231.59100000000001</v>
      </c>
      <c r="O258" s="133">
        <v>-11.138999999999999</v>
      </c>
      <c r="P258" s="124">
        <v>5132.4219999999996</v>
      </c>
      <c r="Q258" s="124">
        <v>0</v>
      </c>
      <c r="R258" s="124">
        <v>5132.4219999999996</v>
      </c>
    </row>
    <row r="259" spans="1:18">
      <c r="A259" s="123"/>
      <c r="B259" s="124"/>
      <c r="C259" s="124"/>
      <c r="D259" s="133"/>
      <c r="E259" s="131"/>
      <c r="F259" s="124"/>
      <c r="G259" s="124"/>
      <c r="H259" s="124"/>
      <c r="I259" s="133"/>
      <c r="J259" s="131"/>
      <c r="K259" s="124"/>
      <c r="L259" s="131"/>
      <c r="M259" s="128"/>
      <c r="N259" s="124"/>
      <c r="O259" s="133"/>
      <c r="P259" s="124"/>
      <c r="Q259" s="124"/>
      <c r="R259" s="124"/>
    </row>
    <row r="260" spans="1:18">
      <c r="A260" s="123" t="s">
        <v>454</v>
      </c>
      <c r="B260" s="124">
        <v>15900.212999999996</v>
      </c>
      <c r="C260" s="124">
        <v>0</v>
      </c>
      <c r="D260" s="133">
        <v>8310.6450000000004</v>
      </c>
      <c r="E260" s="131">
        <v>1070.951</v>
      </c>
      <c r="F260" s="124">
        <v>0</v>
      </c>
      <c r="G260" s="124">
        <v>0</v>
      </c>
      <c r="H260" s="124">
        <v>9381.5959999999995</v>
      </c>
      <c r="I260" s="133">
        <v>5197.3359999999993</v>
      </c>
      <c r="J260" s="131">
        <v>1431.8719999999987</v>
      </c>
      <c r="K260" s="124">
        <v>6629.2079999999987</v>
      </c>
      <c r="L260" s="131">
        <v>884.66</v>
      </c>
      <c r="M260" s="128">
        <v>18.79</v>
      </c>
      <c r="N260" s="124">
        <v>903.44999999999993</v>
      </c>
      <c r="O260" s="133">
        <v>5.2000000000000046E-2</v>
      </c>
      <c r="P260" s="124">
        <v>18652.652999999998</v>
      </c>
      <c r="Q260" s="124">
        <v>117.77500000000001</v>
      </c>
      <c r="R260" s="124">
        <v>18770.428</v>
      </c>
    </row>
    <row r="261" spans="1:18">
      <c r="A261" s="123" t="s">
        <v>111</v>
      </c>
      <c r="B261" s="124">
        <v>10767.790999999997</v>
      </c>
      <c r="C261" s="124"/>
      <c r="D261" s="133">
        <v>3271.6640000000002</v>
      </c>
      <c r="E261" s="131">
        <v>0</v>
      </c>
      <c r="F261" s="124">
        <v>0</v>
      </c>
      <c r="G261" s="124">
        <v>0</v>
      </c>
      <c r="H261" s="124">
        <v>3271.6640000000002</v>
      </c>
      <c r="I261" s="133">
        <v>1234.9059999999999</v>
      </c>
      <c r="J261" s="131">
        <v>0</v>
      </c>
      <c r="K261" s="124">
        <v>1234.9059999999999</v>
      </c>
      <c r="L261" s="131">
        <v>664.85199999999998</v>
      </c>
      <c r="M261" s="128">
        <v>18.79</v>
      </c>
      <c r="N261" s="124">
        <v>683.64199999999994</v>
      </c>
      <c r="O261" s="133">
        <v>-2.1560000000000001</v>
      </c>
      <c r="P261" s="124">
        <v>12802.392999999998</v>
      </c>
      <c r="Q261" s="124">
        <v>117.77500000000001</v>
      </c>
      <c r="R261" s="124">
        <v>12920.167999999998</v>
      </c>
    </row>
    <row r="262" spans="1:18">
      <c r="A262" s="123" t="s">
        <v>112</v>
      </c>
      <c r="B262" s="124">
        <v>5132.4219999999996</v>
      </c>
      <c r="C262" s="124"/>
      <c r="D262" s="133">
        <v>5038.9809999999998</v>
      </c>
      <c r="E262" s="131">
        <v>1070.951</v>
      </c>
      <c r="F262" s="124">
        <v>0</v>
      </c>
      <c r="G262" s="124">
        <v>0</v>
      </c>
      <c r="H262" s="124">
        <v>6109.9319999999998</v>
      </c>
      <c r="I262" s="133">
        <v>3962.43</v>
      </c>
      <c r="J262" s="131">
        <v>1431.8719999999987</v>
      </c>
      <c r="K262" s="124">
        <v>5394.3019999999988</v>
      </c>
      <c r="L262" s="131">
        <v>219.80799999999999</v>
      </c>
      <c r="M262" s="128">
        <v>0</v>
      </c>
      <c r="N262" s="124">
        <v>219.80799999999999</v>
      </c>
      <c r="O262" s="133">
        <v>2.2080000000000002</v>
      </c>
      <c r="P262" s="124">
        <v>5850.26</v>
      </c>
      <c r="Q262" s="124">
        <v>0</v>
      </c>
      <c r="R262" s="124">
        <v>5850.26</v>
      </c>
    </row>
    <row r="263" spans="1:18">
      <c r="A263" s="123"/>
      <c r="B263" s="124"/>
      <c r="C263" s="124"/>
      <c r="D263" s="133"/>
      <c r="E263" s="131"/>
      <c r="F263" s="124"/>
      <c r="G263" s="124"/>
      <c r="H263" s="124"/>
      <c r="I263" s="133"/>
      <c r="J263" s="131"/>
      <c r="K263" s="124"/>
      <c r="L263" s="131"/>
      <c r="M263" s="128"/>
      <c r="N263" s="124"/>
      <c r="O263" s="133"/>
      <c r="P263" s="124"/>
      <c r="Q263" s="124"/>
      <c r="R263" s="124"/>
    </row>
    <row r="264" spans="1:18">
      <c r="A264" s="123" t="s">
        <v>455</v>
      </c>
      <c r="B264" s="124">
        <v>18652.652999999998</v>
      </c>
      <c r="C264" s="124">
        <v>0</v>
      </c>
      <c r="D264" s="133">
        <v>11455.884</v>
      </c>
      <c r="E264" s="131">
        <v>956.01900000000001</v>
      </c>
      <c r="F264" s="124">
        <v>0</v>
      </c>
      <c r="G264" s="124">
        <v>0</v>
      </c>
      <c r="H264" s="124">
        <v>12411.903</v>
      </c>
      <c r="I264" s="133">
        <v>5783.9979999999996</v>
      </c>
      <c r="J264" s="131">
        <v>1247.9510000000005</v>
      </c>
      <c r="K264" s="124">
        <v>7031.9490000000005</v>
      </c>
      <c r="L264" s="131">
        <v>980.64199999999994</v>
      </c>
      <c r="M264" s="128">
        <v>20.024000000000001</v>
      </c>
      <c r="N264" s="124">
        <v>1000.6659999999999</v>
      </c>
      <c r="O264" s="133">
        <v>-60.317</v>
      </c>
      <c r="P264" s="124">
        <v>23972.29</v>
      </c>
      <c r="Q264" s="124">
        <v>126.55200000000001</v>
      </c>
      <c r="R264" s="124">
        <v>24098.841999999997</v>
      </c>
    </row>
    <row r="265" spans="1:18">
      <c r="A265" s="123" t="s">
        <v>111</v>
      </c>
      <c r="B265" s="124">
        <v>12802.392999999998</v>
      </c>
      <c r="C265" s="124"/>
      <c r="D265" s="133">
        <v>6412.6890000000003</v>
      </c>
      <c r="E265" s="131">
        <v>0</v>
      </c>
      <c r="F265" s="124">
        <v>0</v>
      </c>
      <c r="G265" s="124">
        <v>0</v>
      </c>
      <c r="H265" s="124">
        <v>6412.6890000000003</v>
      </c>
      <c r="I265" s="133">
        <v>1713.479</v>
      </c>
      <c r="J265" s="131">
        <v>0</v>
      </c>
      <c r="K265" s="124">
        <v>1713.479</v>
      </c>
      <c r="L265" s="131">
        <v>748.85699999999997</v>
      </c>
      <c r="M265" s="128">
        <v>20.024000000000001</v>
      </c>
      <c r="N265" s="124">
        <v>768.88099999999997</v>
      </c>
      <c r="O265" s="133">
        <v>-46.213999999999999</v>
      </c>
      <c r="P265" s="124">
        <v>17455.388999999999</v>
      </c>
      <c r="Q265" s="124">
        <v>126.55200000000001</v>
      </c>
      <c r="R265" s="124">
        <v>17581.940999999999</v>
      </c>
    </row>
    <row r="266" spans="1:18">
      <c r="A266" s="123" t="s">
        <v>112</v>
      </c>
      <c r="B266" s="124">
        <v>5850.26</v>
      </c>
      <c r="C266" s="124"/>
      <c r="D266" s="133">
        <v>5043.1949999999997</v>
      </c>
      <c r="E266" s="131">
        <v>956.01900000000001</v>
      </c>
      <c r="F266" s="124">
        <v>0</v>
      </c>
      <c r="G266" s="124">
        <v>0</v>
      </c>
      <c r="H266" s="124">
        <v>5999.2139999999999</v>
      </c>
      <c r="I266" s="133">
        <v>4070.5189999999998</v>
      </c>
      <c r="J266" s="131">
        <v>1247.9510000000005</v>
      </c>
      <c r="K266" s="124">
        <v>5318.47</v>
      </c>
      <c r="L266" s="131">
        <v>231.785</v>
      </c>
      <c r="M266" s="128">
        <v>0</v>
      </c>
      <c r="N266" s="124">
        <v>231.785</v>
      </c>
      <c r="O266" s="133">
        <v>-14.103</v>
      </c>
      <c r="P266" s="124">
        <v>6516.9009999999998</v>
      </c>
      <c r="Q266" s="124">
        <v>0</v>
      </c>
      <c r="R266" s="124">
        <v>6516.9009999999998</v>
      </c>
    </row>
    <row r="267" spans="1:18">
      <c r="A267" s="123"/>
      <c r="B267" s="124"/>
      <c r="C267" s="124"/>
      <c r="D267" s="133"/>
      <c r="E267" s="131"/>
      <c r="F267" s="124"/>
      <c r="G267" s="124"/>
      <c r="H267" s="124"/>
      <c r="I267" s="133"/>
      <c r="J267" s="131"/>
      <c r="K267" s="124"/>
      <c r="L267" s="131"/>
      <c r="M267" s="128"/>
      <c r="N267" s="124"/>
      <c r="O267" s="133"/>
      <c r="P267" s="124"/>
      <c r="Q267" s="124"/>
      <c r="R267" s="124"/>
    </row>
    <row r="268" spans="1:18">
      <c r="A268" s="123" t="s">
        <v>456</v>
      </c>
      <c r="B268" s="124">
        <v>23972.29</v>
      </c>
      <c r="C268" s="124">
        <v>0</v>
      </c>
      <c r="D268" s="133">
        <v>10371.958000000001</v>
      </c>
      <c r="E268" s="131">
        <v>1028.095</v>
      </c>
      <c r="F268" s="124">
        <v>0</v>
      </c>
      <c r="G268" s="124">
        <v>0</v>
      </c>
      <c r="H268" s="124">
        <v>11400.053</v>
      </c>
      <c r="I268" s="133">
        <v>6011.2669999999998</v>
      </c>
      <c r="J268" s="131">
        <v>1686.4669999999996</v>
      </c>
      <c r="K268" s="124">
        <v>7697.7340000000004</v>
      </c>
      <c r="L268" s="131">
        <v>1294.5059999999999</v>
      </c>
      <c r="M268" s="128">
        <v>20.373999999999999</v>
      </c>
      <c r="N268" s="124">
        <v>1314.8799999999999</v>
      </c>
      <c r="O268" s="133">
        <v>-60.924999999999997</v>
      </c>
      <c r="P268" s="124">
        <v>27613.683999999997</v>
      </c>
      <c r="Q268" s="124">
        <v>141.51</v>
      </c>
      <c r="R268" s="124">
        <v>27755.193999999996</v>
      </c>
    </row>
    <row r="269" spans="1:18">
      <c r="A269" s="123" t="s">
        <v>111</v>
      </c>
      <c r="B269" s="124">
        <v>17455.388999999999</v>
      </c>
      <c r="C269" s="124"/>
      <c r="D269" s="133">
        <v>4770.1350000000002</v>
      </c>
      <c r="E269" s="131">
        <v>0</v>
      </c>
      <c r="F269" s="124">
        <v>0</v>
      </c>
      <c r="G269" s="124">
        <v>0</v>
      </c>
      <c r="H269" s="124">
        <v>4770.1350000000002</v>
      </c>
      <c r="I269" s="133">
        <v>2092.8870000000002</v>
      </c>
      <c r="J269" s="131">
        <v>0</v>
      </c>
      <c r="K269" s="124">
        <v>2092.8870000000002</v>
      </c>
      <c r="L269" s="131">
        <v>1047.6009999999999</v>
      </c>
      <c r="M269" s="128">
        <v>20.373999999999999</v>
      </c>
      <c r="N269" s="124">
        <v>1067.9749999999999</v>
      </c>
      <c r="O269" s="133">
        <v>-48.488</v>
      </c>
      <c r="P269" s="124">
        <v>20084.148999999998</v>
      </c>
      <c r="Q269" s="124">
        <v>141.51</v>
      </c>
      <c r="R269" s="124">
        <v>20225.658999999996</v>
      </c>
    </row>
    <row r="270" spans="1:18">
      <c r="A270" s="123" t="s">
        <v>112</v>
      </c>
      <c r="B270" s="124">
        <v>6516.9009999999998</v>
      </c>
      <c r="C270" s="124"/>
      <c r="D270" s="133">
        <v>5601.8230000000003</v>
      </c>
      <c r="E270" s="131">
        <v>1028.095</v>
      </c>
      <c r="F270" s="124">
        <v>0</v>
      </c>
      <c r="G270" s="124">
        <v>0</v>
      </c>
      <c r="H270" s="124">
        <v>6629.9180000000006</v>
      </c>
      <c r="I270" s="133">
        <v>3918.38</v>
      </c>
      <c r="J270" s="131">
        <v>1686.4669999999996</v>
      </c>
      <c r="K270" s="124">
        <v>5604.8469999999998</v>
      </c>
      <c r="L270" s="131">
        <v>246.905</v>
      </c>
      <c r="M270" s="128">
        <v>0</v>
      </c>
      <c r="N270" s="124">
        <v>246.905</v>
      </c>
      <c r="O270" s="133">
        <v>-12.436999999999999</v>
      </c>
      <c r="P270" s="124">
        <v>7529.5349999999999</v>
      </c>
      <c r="Q270" s="124">
        <v>0</v>
      </c>
      <c r="R270" s="124">
        <v>7529.5349999999999</v>
      </c>
    </row>
    <row r="271" spans="1:18">
      <c r="A271" s="123"/>
      <c r="B271" s="124"/>
      <c r="C271" s="124"/>
      <c r="D271" s="133"/>
      <c r="E271" s="131"/>
      <c r="F271" s="124"/>
      <c r="G271" s="124"/>
      <c r="H271" s="124"/>
      <c r="I271" s="133"/>
      <c r="J271" s="131"/>
      <c r="K271" s="124"/>
      <c r="L271" s="131"/>
      <c r="M271" s="128"/>
      <c r="N271" s="124"/>
      <c r="O271" s="133"/>
      <c r="P271" s="124"/>
      <c r="Q271" s="124"/>
      <c r="R271" s="124"/>
    </row>
    <row r="272" spans="1:18">
      <c r="A272" s="123" t="s">
        <v>457</v>
      </c>
      <c r="B272" s="124">
        <v>27613.683999999997</v>
      </c>
      <c r="C272" s="124">
        <v>0</v>
      </c>
      <c r="D272" s="133">
        <v>12056.743</v>
      </c>
      <c r="E272" s="131">
        <v>1916.848</v>
      </c>
      <c r="F272" s="124">
        <v>0</v>
      </c>
      <c r="G272" s="124">
        <v>0</v>
      </c>
      <c r="H272" s="124">
        <v>13973.591</v>
      </c>
      <c r="I272" s="133">
        <v>5670.3369999999995</v>
      </c>
      <c r="J272" s="131">
        <v>2101.9229999999989</v>
      </c>
      <c r="K272" s="124">
        <v>7772.2599999999984</v>
      </c>
      <c r="L272" s="131">
        <v>1512.5709999999999</v>
      </c>
      <c r="M272" s="128">
        <v>19.547000000000001</v>
      </c>
      <c r="N272" s="124">
        <v>1532.1179999999999</v>
      </c>
      <c r="O272" s="133">
        <v>-41.195</v>
      </c>
      <c r="P272" s="124">
        <v>33773.82</v>
      </c>
      <c r="Q272" s="124">
        <v>156.47</v>
      </c>
      <c r="R272" s="124">
        <v>33930.29</v>
      </c>
    </row>
    <row r="273" spans="1:18">
      <c r="A273" s="123" t="s">
        <v>111</v>
      </c>
      <c r="B273" s="124">
        <v>20084.148999999998</v>
      </c>
      <c r="C273" s="124"/>
      <c r="D273" s="133">
        <v>7304.5240000000003</v>
      </c>
      <c r="E273" s="131">
        <v>0</v>
      </c>
      <c r="F273" s="124">
        <v>0</v>
      </c>
      <c r="G273" s="124">
        <v>0</v>
      </c>
      <c r="H273" s="124">
        <v>7304.5240000000003</v>
      </c>
      <c r="I273" s="133">
        <v>1828.556</v>
      </c>
      <c r="J273" s="131">
        <v>0</v>
      </c>
      <c r="K273" s="124">
        <v>1828.556</v>
      </c>
      <c r="L273" s="131">
        <v>1190.626</v>
      </c>
      <c r="M273" s="128">
        <v>19.547000000000001</v>
      </c>
      <c r="N273" s="124">
        <v>1210.173</v>
      </c>
      <c r="O273" s="133">
        <v>-36.658000000000001</v>
      </c>
      <c r="P273" s="124">
        <v>25523.458999999999</v>
      </c>
      <c r="Q273" s="124">
        <v>156.47</v>
      </c>
      <c r="R273" s="124">
        <v>25679.929</v>
      </c>
    </row>
    <row r="274" spans="1:18">
      <c r="A274" s="123" t="s">
        <v>112</v>
      </c>
      <c r="B274" s="124">
        <v>7529.5349999999999</v>
      </c>
      <c r="C274" s="124"/>
      <c r="D274" s="133">
        <v>4752.2190000000001</v>
      </c>
      <c r="E274" s="131">
        <v>1916.848</v>
      </c>
      <c r="F274" s="124">
        <v>0</v>
      </c>
      <c r="G274" s="124">
        <v>0</v>
      </c>
      <c r="H274" s="124">
        <v>6669.067</v>
      </c>
      <c r="I274" s="133">
        <v>3841.7809999999999</v>
      </c>
      <c r="J274" s="131">
        <v>2101.9229999999989</v>
      </c>
      <c r="K274" s="124">
        <v>5943.7039999999988</v>
      </c>
      <c r="L274" s="131">
        <v>321.94499999999999</v>
      </c>
      <c r="M274" s="128">
        <v>0</v>
      </c>
      <c r="N274" s="124">
        <v>321.94499999999999</v>
      </c>
      <c r="O274" s="133">
        <v>-4.5369999999999999</v>
      </c>
      <c r="P274" s="124">
        <v>8250.3610000000008</v>
      </c>
      <c r="Q274" s="124">
        <v>0</v>
      </c>
      <c r="R274" s="124">
        <v>8250.3610000000008</v>
      </c>
    </row>
    <row r="275" spans="1:18">
      <c r="A275" s="123"/>
      <c r="B275" s="124"/>
      <c r="C275" s="124"/>
      <c r="D275" s="133"/>
      <c r="E275" s="131"/>
      <c r="F275" s="124"/>
      <c r="G275" s="124"/>
      <c r="H275" s="124"/>
      <c r="I275" s="133"/>
      <c r="J275" s="131"/>
      <c r="K275" s="124"/>
      <c r="L275" s="131"/>
      <c r="M275" s="128"/>
      <c r="N275" s="124"/>
      <c r="O275" s="133"/>
      <c r="P275" s="124"/>
      <c r="Q275" s="124"/>
      <c r="R275" s="124"/>
    </row>
    <row r="276" spans="1:18">
      <c r="A276" s="16"/>
      <c r="B276" s="201"/>
      <c r="C276" s="59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</row>
    <row r="277" spans="1:18"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</row>
    <row r="278" spans="1:18">
      <c r="A278" s="197" t="s">
        <v>234</v>
      </c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</row>
    <row r="279" spans="1:18">
      <c r="A279" s="9" t="s">
        <v>222</v>
      </c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</row>
    <row r="280" spans="1:18">
      <c r="B280" s="63"/>
    </row>
  </sheetData>
  <mergeCells count="15">
    <mergeCell ref="A1:R1"/>
    <mergeCell ref="A2:R2"/>
    <mergeCell ref="A4:A6"/>
    <mergeCell ref="B4:C6"/>
    <mergeCell ref="D4:H4"/>
    <mergeCell ref="I4:K5"/>
    <mergeCell ref="L4:N5"/>
    <mergeCell ref="O4:O6"/>
    <mergeCell ref="P4:P6"/>
    <mergeCell ref="Q4:Q6"/>
    <mergeCell ref="R4:R6"/>
    <mergeCell ref="D5:D6"/>
    <mergeCell ref="E5:E6"/>
    <mergeCell ref="F5:G5"/>
    <mergeCell ref="H5:H6"/>
  </mergeCells>
  <hyperlinks>
    <hyperlink ref="A279" location="'indice cap.2'!A1" display="regresar al índice"/>
    <hyperlink ref="A278" location="'indice cap.2'!A1" display="Notas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N99"/>
  <sheetViews>
    <sheetView showGridLines="0" workbookViewId="0">
      <pane xSplit="2" ySplit="6" topLeftCell="C7" activePane="bottomRight" state="frozen"/>
      <selection activeCell="T16" sqref="T16"/>
      <selection pane="topRight" activeCell="T16" sqref="T16"/>
      <selection pane="bottomLeft" activeCell="T16" sqref="T16"/>
      <selection pane="bottomRight" activeCell="T16" sqref="T16"/>
    </sheetView>
  </sheetViews>
  <sheetFormatPr baseColWidth="10" defaultRowHeight="12.75"/>
  <cols>
    <col min="1" max="1" width="11.42578125" style="134"/>
    <col min="2" max="2" width="3.85546875" style="134" customWidth="1"/>
    <col min="3" max="14" width="12.85546875" style="134" customWidth="1"/>
    <col min="15" max="16384" width="11.42578125" style="134"/>
  </cols>
  <sheetData>
    <row r="1" spans="1:14">
      <c r="A1" s="335" t="s">
        <v>174</v>
      </c>
      <c r="B1" s="313"/>
      <c r="C1" s="313"/>
      <c r="D1" s="313"/>
      <c r="E1" s="313"/>
      <c r="F1" s="313"/>
      <c r="G1" s="313"/>
      <c r="H1" s="313"/>
      <c r="I1" s="313"/>
      <c r="J1" s="313"/>
      <c r="K1" s="313"/>
      <c r="L1" s="313"/>
      <c r="M1" s="313"/>
      <c r="N1" s="313"/>
    </row>
    <row r="2" spans="1:14">
      <c r="A2" s="347" t="s">
        <v>175</v>
      </c>
      <c r="B2" s="313"/>
      <c r="C2" s="313"/>
      <c r="D2" s="313"/>
      <c r="E2" s="313"/>
      <c r="F2" s="313"/>
      <c r="G2" s="313"/>
      <c r="H2" s="313"/>
      <c r="I2" s="313"/>
      <c r="J2" s="313"/>
      <c r="K2" s="313"/>
      <c r="L2" s="313"/>
      <c r="M2" s="313"/>
      <c r="N2" s="313"/>
    </row>
    <row r="3" spans="1:14">
      <c r="A3" s="97"/>
      <c r="B3" s="97"/>
      <c r="C3" s="135"/>
      <c r="D3" s="135"/>
      <c r="E3" s="135"/>
      <c r="F3" s="135"/>
      <c r="G3" s="135"/>
      <c r="H3" s="135"/>
      <c r="I3" s="135"/>
      <c r="J3" s="135"/>
      <c r="K3" s="135"/>
      <c r="L3" s="135"/>
      <c r="M3" s="135"/>
      <c r="N3" s="135"/>
    </row>
    <row r="4" spans="1:14">
      <c r="A4" s="369" t="s">
        <v>101</v>
      </c>
      <c r="B4" s="370"/>
      <c r="C4" s="375" t="s">
        <v>176</v>
      </c>
      <c r="D4" s="375"/>
      <c r="E4" s="375"/>
      <c r="F4" s="375"/>
      <c r="G4" s="375" t="s">
        <v>177</v>
      </c>
      <c r="H4" s="375"/>
      <c r="I4" s="375"/>
      <c r="J4" s="375"/>
      <c r="K4" s="375" t="s">
        <v>178</v>
      </c>
      <c r="L4" s="375"/>
      <c r="M4" s="375"/>
      <c r="N4" s="376"/>
    </row>
    <row r="5" spans="1:14">
      <c r="A5" s="371"/>
      <c r="B5" s="372"/>
      <c r="C5" s="367" t="s">
        <v>179</v>
      </c>
      <c r="D5" s="367"/>
      <c r="E5" s="367" t="s">
        <v>276</v>
      </c>
      <c r="F5" s="367"/>
      <c r="G5" s="367" t="s">
        <v>179</v>
      </c>
      <c r="H5" s="367"/>
      <c r="I5" s="367" t="s">
        <v>276</v>
      </c>
      <c r="J5" s="367"/>
      <c r="K5" s="367" t="s">
        <v>179</v>
      </c>
      <c r="L5" s="367"/>
      <c r="M5" s="367" t="s">
        <v>276</v>
      </c>
      <c r="N5" s="368"/>
    </row>
    <row r="6" spans="1:14" s="154" customFormat="1">
      <c r="A6" s="373"/>
      <c r="B6" s="374"/>
      <c r="C6" s="136" t="s">
        <v>180</v>
      </c>
      <c r="D6" s="137" t="s">
        <v>181</v>
      </c>
      <c r="E6" s="136" t="s">
        <v>180</v>
      </c>
      <c r="F6" s="136" t="s">
        <v>181</v>
      </c>
      <c r="G6" s="136" t="s">
        <v>180</v>
      </c>
      <c r="H6" s="136" t="s">
        <v>181</v>
      </c>
      <c r="I6" s="136" t="s">
        <v>180</v>
      </c>
      <c r="J6" s="136" t="s">
        <v>181</v>
      </c>
      <c r="K6" s="136" t="s">
        <v>180</v>
      </c>
      <c r="L6" s="136" t="s">
        <v>181</v>
      </c>
      <c r="M6" s="136" t="s">
        <v>180</v>
      </c>
      <c r="N6" s="153" t="s">
        <v>181</v>
      </c>
    </row>
    <row r="7" spans="1:14">
      <c r="C7" s="138"/>
      <c r="D7" s="138"/>
      <c r="E7" s="138"/>
      <c r="F7" s="138"/>
      <c r="G7" s="138"/>
      <c r="H7" s="138"/>
      <c r="I7" s="138"/>
      <c r="J7" s="138"/>
      <c r="K7" s="138"/>
      <c r="L7" s="138"/>
      <c r="M7" s="138"/>
      <c r="N7" s="138"/>
    </row>
    <row r="8" spans="1:14">
      <c r="A8" s="139">
        <v>1927</v>
      </c>
      <c r="B8" s="139"/>
      <c r="C8" s="140" t="s">
        <v>182</v>
      </c>
      <c r="D8" s="141">
        <v>4.9883333333333342</v>
      </c>
      <c r="E8" s="140" t="s">
        <v>182</v>
      </c>
      <c r="F8" s="140" t="s">
        <v>182</v>
      </c>
      <c r="G8" s="142" t="s">
        <v>13</v>
      </c>
      <c r="H8" s="142" t="s">
        <v>13</v>
      </c>
      <c r="I8" s="142" t="s">
        <v>13</v>
      </c>
      <c r="J8" s="142" t="s">
        <v>13</v>
      </c>
      <c r="K8" s="142" t="s">
        <v>13</v>
      </c>
      <c r="L8" s="142" t="s">
        <v>13</v>
      </c>
      <c r="M8" s="142" t="s">
        <v>13</v>
      </c>
      <c r="N8" s="142" t="s">
        <v>13</v>
      </c>
    </row>
    <row r="9" spans="1:14">
      <c r="A9" s="139">
        <v>1928</v>
      </c>
      <c r="B9" s="139"/>
      <c r="C9" s="140" t="s">
        <v>182</v>
      </c>
      <c r="D9" s="141">
        <v>5.001666666666666</v>
      </c>
      <c r="E9" s="140" t="s">
        <v>182</v>
      </c>
      <c r="F9" s="140" t="s">
        <v>182</v>
      </c>
      <c r="G9" s="142" t="s">
        <v>13</v>
      </c>
      <c r="H9" s="142" t="s">
        <v>13</v>
      </c>
      <c r="I9" s="142" t="s">
        <v>13</v>
      </c>
      <c r="J9" s="142" t="s">
        <v>13</v>
      </c>
      <c r="K9" s="142" t="s">
        <v>13</v>
      </c>
      <c r="L9" s="142" t="s">
        <v>13</v>
      </c>
      <c r="M9" s="142" t="s">
        <v>13</v>
      </c>
      <c r="N9" s="142" t="s">
        <v>13</v>
      </c>
    </row>
    <row r="10" spans="1:14">
      <c r="A10" s="139">
        <v>1929</v>
      </c>
      <c r="B10" s="139"/>
      <c r="C10" s="140" t="s">
        <v>182</v>
      </c>
      <c r="D10" s="141">
        <v>5.0433333333333339</v>
      </c>
      <c r="E10" s="140" t="s">
        <v>182</v>
      </c>
      <c r="F10" s="140" t="s">
        <v>182</v>
      </c>
      <c r="G10" s="142" t="s">
        <v>13</v>
      </c>
      <c r="H10" s="142" t="s">
        <v>13</v>
      </c>
      <c r="I10" s="142" t="s">
        <v>13</v>
      </c>
      <c r="J10" s="142" t="s">
        <v>13</v>
      </c>
      <c r="K10" s="142" t="s">
        <v>13</v>
      </c>
      <c r="L10" s="142" t="s">
        <v>13</v>
      </c>
      <c r="M10" s="142" t="s">
        <v>13</v>
      </c>
      <c r="N10" s="142" t="s">
        <v>13</v>
      </c>
    </row>
    <row r="11" spans="1:14">
      <c r="A11" s="139">
        <v>1930</v>
      </c>
      <c r="B11" s="139"/>
      <c r="C11" s="140" t="s">
        <v>182</v>
      </c>
      <c r="D11" s="141">
        <v>5.05</v>
      </c>
      <c r="E11" s="140" t="s">
        <v>182</v>
      </c>
      <c r="F11" s="140" t="s">
        <v>182</v>
      </c>
      <c r="G11" s="142" t="s">
        <v>13</v>
      </c>
      <c r="H11" s="142" t="s">
        <v>13</v>
      </c>
      <c r="I11" s="142" t="s">
        <v>13</v>
      </c>
      <c r="J11" s="142" t="s">
        <v>13</v>
      </c>
      <c r="K11" s="142" t="s">
        <v>13</v>
      </c>
      <c r="L11" s="142" t="s">
        <v>13</v>
      </c>
      <c r="M11" s="142" t="s">
        <v>13</v>
      </c>
      <c r="N11" s="142" t="s">
        <v>13</v>
      </c>
    </row>
    <row r="12" spans="1:14">
      <c r="A12" s="139">
        <v>1931</v>
      </c>
      <c r="B12" s="139"/>
      <c r="C12" s="140" t="s">
        <v>182</v>
      </c>
      <c r="D12" s="141">
        <v>5.0599999999999996</v>
      </c>
      <c r="E12" s="140" t="s">
        <v>182</v>
      </c>
      <c r="F12" s="140" t="s">
        <v>182</v>
      </c>
      <c r="G12" s="142" t="s">
        <v>13</v>
      </c>
      <c r="H12" s="142" t="s">
        <v>13</v>
      </c>
      <c r="I12" s="142" t="s">
        <v>13</v>
      </c>
      <c r="J12" s="142" t="s">
        <v>13</v>
      </c>
      <c r="K12" s="142" t="s">
        <v>13</v>
      </c>
      <c r="L12" s="142" t="s">
        <v>13</v>
      </c>
      <c r="M12" s="142" t="s">
        <v>13</v>
      </c>
      <c r="N12" s="142" t="s">
        <v>13</v>
      </c>
    </row>
    <row r="13" spans="1:14">
      <c r="A13" s="139">
        <v>1932</v>
      </c>
      <c r="B13" s="139"/>
      <c r="C13" s="140" t="s">
        <v>182</v>
      </c>
      <c r="D13" s="141">
        <v>5.9354545454545447</v>
      </c>
      <c r="E13" s="140" t="s">
        <v>182</v>
      </c>
      <c r="F13" s="140" t="s">
        <v>182</v>
      </c>
      <c r="G13" s="142" t="s">
        <v>13</v>
      </c>
      <c r="H13" s="142" t="s">
        <v>13</v>
      </c>
      <c r="I13" s="142" t="s">
        <v>13</v>
      </c>
      <c r="J13" s="142" t="s">
        <v>13</v>
      </c>
      <c r="K13" s="142" t="s">
        <v>13</v>
      </c>
      <c r="L13" s="142" t="s">
        <v>13</v>
      </c>
      <c r="M13" s="142" t="s">
        <v>13</v>
      </c>
      <c r="N13" s="142" t="s">
        <v>13</v>
      </c>
    </row>
    <row r="14" spans="1:14">
      <c r="A14" s="139">
        <v>1933</v>
      </c>
      <c r="B14" s="139"/>
      <c r="C14" s="140" t="s">
        <v>182</v>
      </c>
      <c r="D14" s="141">
        <v>6</v>
      </c>
      <c r="E14" s="140" t="s">
        <v>182</v>
      </c>
      <c r="F14" s="140" t="s">
        <v>182</v>
      </c>
      <c r="G14" s="142" t="s">
        <v>13</v>
      </c>
      <c r="H14" s="142" t="s">
        <v>13</v>
      </c>
      <c r="I14" s="142" t="s">
        <v>13</v>
      </c>
      <c r="J14" s="142" t="s">
        <v>13</v>
      </c>
      <c r="K14" s="142" t="s">
        <v>13</v>
      </c>
      <c r="L14" s="142" t="s">
        <v>13</v>
      </c>
      <c r="M14" s="142" t="s">
        <v>13</v>
      </c>
      <c r="N14" s="142" t="s">
        <v>13</v>
      </c>
    </row>
    <row r="15" spans="1:14">
      <c r="A15" s="139">
        <v>1934</v>
      </c>
      <c r="B15" s="139"/>
      <c r="C15" s="140" t="s">
        <v>182</v>
      </c>
      <c r="D15" s="141">
        <v>10.795</v>
      </c>
      <c r="E15" s="140" t="s">
        <v>182</v>
      </c>
      <c r="F15" s="140" t="s">
        <v>182</v>
      </c>
      <c r="G15" s="142" t="s">
        <v>13</v>
      </c>
      <c r="H15" s="142" t="s">
        <v>13</v>
      </c>
      <c r="I15" s="142" t="s">
        <v>13</v>
      </c>
      <c r="J15" s="142" t="s">
        <v>13</v>
      </c>
      <c r="K15" s="142" t="s">
        <v>13</v>
      </c>
      <c r="L15" s="142" t="s">
        <v>13</v>
      </c>
      <c r="M15" s="142" t="s">
        <v>13</v>
      </c>
      <c r="N15" s="142" t="s">
        <v>13</v>
      </c>
    </row>
    <row r="16" spans="1:14">
      <c r="A16" s="139">
        <v>1935</v>
      </c>
      <c r="B16" s="139"/>
      <c r="C16" s="140" t="s">
        <v>182</v>
      </c>
      <c r="D16" s="141">
        <v>10.569166666666666</v>
      </c>
      <c r="E16" s="140" t="s">
        <v>182</v>
      </c>
      <c r="F16" s="140" t="s">
        <v>182</v>
      </c>
      <c r="G16" s="142" t="s">
        <v>13</v>
      </c>
      <c r="H16" s="142" t="s">
        <v>13</v>
      </c>
      <c r="I16" s="142" t="s">
        <v>13</v>
      </c>
      <c r="J16" s="142" t="s">
        <v>13</v>
      </c>
      <c r="K16" s="142" t="s">
        <v>13</v>
      </c>
      <c r="L16" s="142" t="s">
        <v>13</v>
      </c>
      <c r="M16" s="142" t="s">
        <v>13</v>
      </c>
      <c r="N16" s="142" t="s">
        <v>13</v>
      </c>
    </row>
    <row r="17" spans="1:14">
      <c r="A17" s="139">
        <v>1936</v>
      </c>
      <c r="B17" s="139"/>
      <c r="C17" s="140" t="s">
        <v>182</v>
      </c>
      <c r="D17" s="141">
        <v>10.5</v>
      </c>
      <c r="E17" s="140" t="s">
        <v>182</v>
      </c>
      <c r="F17" s="140" t="s">
        <v>182</v>
      </c>
      <c r="G17" s="142" t="s">
        <v>13</v>
      </c>
      <c r="H17" s="142" t="s">
        <v>13</v>
      </c>
      <c r="I17" s="142" t="s">
        <v>13</v>
      </c>
      <c r="J17" s="142" t="s">
        <v>13</v>
      </c>
      <c r="K17" s="142" t="s">
        <v>13</v>
      </c>
      <c r="L17" s="142" t="s">
        <v>13</v>
      </c>
      <c r="M17" s="142" t="s">
        <v>13</v>
      </c>
      <c r="N17" s="142" t="s">
        <v>13</v>
      </c>
    </row>
    <row r="18" spans="1:14">
      <c r="A18" s="139">
        <v>1937</v>
      </c>
      <c r="B18" s="139"/>
      <c r="C18" s="140" t="s">
        <v>182</v>
      </c>
      <c r="D18" s="141">
        <v>11.6675</v>
      </c>
      <c r="E18" s="140" t="s">
        <v>182</v>
      </c>
      <c r="F18" s="140" t="s">
        <v>182</v>
      </c>
      <c r="G18" s="142" t="s">
        <v>13</v>
      </c>
      <c r="H18" s="142" t="s">
        <v>13</v>
      </c>
      <c r="I18" s="142" t="s">
        <v>13</v>
      </c>
      <c r="J18" s="142" t="s">
        <v>13</v>
      </c>
      <c r="K18" s="142" t="s">
        <v>13</v>
      </c>
      <c r="L18" s="142" t="s">
        <v>13</v>
      </c>
      <c r="M18" s="142" t="s">
        <v>13</v>
      </c>
      <c r="N18" s="142" t="s">
        <v>13</v>
      </c>
    </row>
    <row r="19" spans="1:14">
      <c r="A19" s="139">
        <v>1938</v>
      </c>
      <c r="B19" s="139"/>
      <c r="C19" s="140" t="s">
        <v>182</v>
      </c>
      <c r="D19" s="141">
        <v>14.13</v>
      </c>
      <c r="E19" s="140" t="s">
        <v>182</v>
      </c>
      <c r="F19" s="140" t="s">
        <v>182</v>
      </c>
      <c r="G19" s="142" t="s">
        <v>13</v>
      </c>
      <c r="H19" s="142" t="s">
        <v>13</v>
      </c>
      <c r="I19" s="142" t="s">
        <v>13</v>
      </c>
      <c r="J19" s="142" t="s">
        <v>13</v>
      </c>
      <c r="K19" s="142" t="s">
        <v>13</v>
      </c>
      <c r="L19" s="142" t="s">
        <v>13</v>
      </c>
      <c r="M19" s="142" t="s">
        <v>13</v>
      </c>
      <c r="N19" s="142" t="s">
        <v>13</v>
      </c>
    </row>
    <row r="20" spans="1:14">
      <c r="A20" s="139">
        <v>1939</v>
      </c>
      <c r="B20" s="139"/>
      <c r="C20" s="140" t="s">
        <v>182</v>
      </c>
      <c r="D20" s="141">
        <v>14.834166666666667</v>
      </c>
      <c r="E20" s="140" t="s">
        <v>182</v>
      </c>
      <c r="F20" s="140" t="s">
        <v>182</v>
      </c>
      <c r="G20" s="142" t="s">
        <v>13</v>
      </c>
      <c r="H20" s="142" t="s">
        <v>13</v>
      </c>
      <c r="I20" s="142" t="s">
        <v>13</v>
      </c>
      <c r="J20" s="142" t="s">
        <v>13</v>
      </c>
      <c r="K20" s="142" t="s">
        <v>13</v>
      </c>
      <c r="L20" s="142" t="s">
        <v>13</v>
      </c>
      <c r="M20" s="142" t="s">
        <v>13</v>
      </c>
      <c r="N20" s="142" t="s">
        <v>13</v>
      </c>
    </row>
    <row r="21" spans="1:14">
      <c r="A21" s="139">
        <v>1940</v>
      </c>
      <c r="B21" s="139"/>
      <c r="C21" s="140" t="s">
        <v>182</v>
      </c>
      <c r="D21" s="141">
        <v>16.0425</v>
      </c>
      <c r="E21" s="140" t="s">
        <v>182</v>
      </c>
      <c r="F21" s="140" t="s">
        <v>182</v>
      </c>
      <c r="G21" s="142" t="s">
        <v>13</v>
      </c>
      <c r="H21" s="142" t="s">
        <v>13</v>
      </c>
      <c r="I21" s="142" t="s">
        <v>13</v>
      </c>
      <c r="J21" s="142" t="s">
        <v>13</v>
      </c>
      <c r="K21" s="142" t="s">
        <v>13</v>
      </c>
      <c r="L21" s="142" t="s">
        <v>13</v>
      </c>
      <c r="M21" s="142" t="s">
        <v>13</v>
      </c>
      <c r="N21" s="142" t="s">
        <v>13</v>
      </c>
    </row>
    <row r="22" spans="1:14">
      <c r="A22" s="139">
        <v>1941</v>
      </c>
      <c r="B22" s="139"/>
      <c r="C22" s="140" t="s">
        <v>182</v>
      </c>
      <c r="D22" s="141">
        <v>15</v>
      </c>
      <c r="E22" s="140" t="s">
        <v>182</v>
      </c>
      <c r="F22" s="140" t="s">
        <v>182</v>
      </c>
      <c r="G22" s="142" t="s">
        <v>13</v>
      </c>
      <c r="H22" s="142" t="s">
        <v>13</v>
      </c>
      <c r="I22" s="142" t="s">
        <v>13</v>
      </c>
      <c r="J22" s="142" t="s">
        <v>13</v>
      </c>
      <c r="K22" s="142" t="s">
        <v>13</v>
      </c>
      <c r="L22" s="142" t="s">
        <v>13</v>
      </c>
      <c r="M22" s="142" t="s">
        <v>13</v>
      </c>
      <c r="N22" s="142" t="s">
        <v>13</v>
      </c>
    </row>
    <row r="23" spans="1:14">
      <c r="A23" s="139">
        <v>1942</v>
      </c>
      <c r="B23" s="139"/>
      <c r="C23" s="140" t="s">
        <v>182</v>
      </c>
      <c r="D23" s="141">
        <v>14.3925</v>
      </c>
      <c r="E23" s="140" t="s">
        <v>182</v>
      </c>
      <c r="F23" s="140" t="s">
        <v>182</v>
      </c>
      <c r="G23" s="142" t="s">
        <v>13</v>
      </c>
      <c r="H23" s="142" t="s">
        <v>13</v>
      </c>
      <c r="I23" s="142" t="s">
        <v>13</v>
      </c>
      <c r="J23" s="142" t="s">
        <v>13</v>
      </c>
      <c r="K23" s="142" t="s">
        <v>13</v>
      </c>
      <c r="L23" s="142" t="s">
        <v>13</v>
      </c>
      <c r="M23" s="142" t="s">
        <v>13</v>
      </c>
      <c r="N23" s="142" t="s">
        <v>13</v>
      </c>
    </row>
    <row r="24" spans="1:14">
      <c r="A24" s="139">
        <v>1943</v>
      </c>
      <c r="B24" s="139"/>
      <c r="C24" s="140" t="s">
        <v>182</v>
      </c>
      <c r="D24" s="141">
        <v>14.1</v>
      </c>
      <c r="E24" s="140" t="s">
        <v>182</v>
      </c>
      <c r="F24" s="140" t="s">
        <v>182</v>
      </c>
      <c r="G24" s="142" t="s">
        <v>13</v>
      </c>
      <c r="H24" s="142" t="s">
        <v>13</v>
      </c>
      <c r="I24" s="142" t="s">
        <v>13</v>
      </c>
      <c r="J24" s="142" t="s">
        <v>13</v>
      </c>
      <c r="K24" s="142" t="s">
        <v>13</v>
      </c>
      <c r="L24" s="142" t="s">
        <v>13</v>
      </c>
      <c r="M24" s="142" t="s">
        <v>13</v>
      </c>
      <c r="N24" s="142" t="s">
        <v>13</v>
      </c>
    </row>
    <row r="25" spans="1:14">
      <c r="A25" s="139">
        <v>1944</v>
      </c>
      <c r="B25" s="139"/>
      <c r="C25" s="140" t="s">
        <v>182</v>
      </c>
      <c r="D25" s="141">
        <v>14.03</v>
      </c>
      <c r="E25" s="140" t="s">
        <v>182</v>
      </c>
      <c r="F25" s="140" t="s">
        <v>182</v>
      </c>
      <c r="G25" s="142" t="s">
        <v>13</v>
      </c>
      <c r="H25" s="142" t="s">
        <v>13</v>
      </c>
      <c r="I25" s="142" t="s">
        <v>13</v>
      </c>
      <c r="J25" s="142" t="s">
        <v>13</v>
      </c>
      <c r="K25" s="142" t="s">
        <v>13</v>
      </c>
      <c r="L25" s="142" t="s">
        <v>13</v>
      </c>
      <c r="M25" s="142" t="s">
        <v>13</v>
      </c>
      <c r="N25" s="142" t="s">
        <v>13</v>
      </c>
    </row>
    <row r="26" spans="1:14">
      <c r="A26" s="139">
        <v>1945</v>
      </c>
      <c r="B26" s="139"/>
      <c r="C26" s="140" t="s">
        <v>182</v>
      </c>
      <c r="D26" s="143">
        <v>13.5</v>
      </c>
      <c r="E26" s="140" t="s">
        <v>182</v>
      </c>
      <c r="F26" s="140" t="s">
        <v>182</v>
      </c>
      <c r="G26" s="142" t="s">
        <v>13</v>
      </c>
      <c r="H26" s="142" t="s">
        <v>13</v>
      </c>
      <c r="I26" s="142" t="s">
        <v>13</v>
      </c>
      <c r="J26" s="142" t="s">
        <v>13</v>
      </c>
      <c r="K26" s="142" t="s">
        <v>13</v>
      </c>
      <c r="L26" s="142" t="s">
        <v>13</v>
      </c>
      <c r="M26" s="142" t="s">
        <v>13</v>
      </c>
      <c r="N26" s="142" t="s">
        <v>13</v>
      </c>
    </row>
    <row r="27" spans="1:14">
      <c r="A27" s="139">
        <v>1946</v>
      </c>
      <c r="B27" s="139"/>
      <c r="C27" s="140" t="s">
        <v>182</v>
      </c>
      <c r="D27" s="143">
        <v>13.5</v>
      </c>
      <c r="E27" s="140" t="s">
        <v>182</v>
      </c>
      <c r="F27" s="140" t="s">
        <v>182</v>
      </c>
      <c r="G27" s="142" t="s">
        <v>13</v>
      </c>
      <c r="H27" s="142" t="s">
        <v>13</v>
      </c>
      <c r="I27" s="142" t="s">
        <v>13</v>
      </c>
      <c r="J27" s="142" t="s">
        <v>13</v>
      </c>
      <c r="K27" s="142" t="s">
        <v>13</v>
      </c>
      <c r="L27" s="142" t="s">
        <v>13</v>
      </c>
      <c r="M27" s="142" t="s">
        <v>13</v>
      </c>
      <c r="N27" s="142" t="s">
        <v>13</v>
      </c>
    </row>
    <row r="28" spans="1:14">
      <c r="A28" s="139">
        <v>1947</v>
      </c>
      <c r="B28" s="139"/>
      <c r="C28" s="140" t="s">
        <v>182</v>
      </c>
      <c r="D28" s="143">
        <v>13.5</v>
      </c>
      <c r="E28" s="143">
        <v>13.5</v>
      </c>
      <c r="F28" s="143">
        <v>13.5</v>
      </c>
      <c r="G28" s="142" t="s">
        <v>13</v>
      </c>
      <c r="H28" s="142" t="s">
        <v>13</v>
      </c>
      <c r="I28" s="142" t="s">
        <v>13</v>
      </c>
      <c r="J28" s="142" t="s">
        <v>13</v>
      </c>
      <c r="K28" s="143">
        <v>17.748571428571427</v>
      </c>
      <c r="L28" s="143">
        <v>18.068571428571428</v>
      </c>
      <c r="M28" s="140" t="s">
        <v>182</v>
      </c>
      <c r="N28" s="140" t="s">
        <v>182</v>
      </c>
    </row>
    <row r="29" spans="1:14">
      <c r="A29" s="139">
        <v>1948</v>
      </c>
      <c r="B29" s="139"/>
      <c r="C29" s="140" t="s">
        <v>182</v>
      </c>
      <c r="D29" s="143">
        <v>13.5</v>
      </c>
      <c r="E29" s="143">
        <v>13.5</v>
      </c>
      <c r="F29" s="143">
        <v>13.5</v>
      </c>
      <c r="G29" s="142" t="s">
        <v>13</v>
      </c>
      <c r="H29" s="142" t="s">
        <v>13</v>
      </c>
      <c r="I29" s="142" t="s">
        <v>13</v>
      </c>
      <c r="J29" s="142" t="s">
        <v>13</v>
      </c>
      <c r="K29" s="143">
        <v>17.754166666666666</v>
      </c>
      <c r="L29" s="143">
        <v>18.050833333333333</v>
      </c>
      <c r="M29" s="140" t="s">
        <v>182</v>
      </c>
      <c r="N29" s="140" t="s">
        <v>182</v>
      </c>
    </row>
    <row r="30" spans="1:14">
      <c r="A30" s="139">
        <v>1949</v>
      </c>
      <c r="B30" s="139"/>
      <c r="C30" s="140" t="s">
        <v>182</v>
      </c>
      <c r="D30" s="143">
        <v>13.5</v>
      </c>
      <c r="E30" s="143">
        <v>13.5</v>
      </c>
      <c r="F30" s="143">
        <v>13.5</v>
      </c>
      <c r="G30" s="142" t="s">
        <v>13</v>
      </c>
      <c r="H30" s="142" t="s">
        <v>13</v>
      </c>
      <c r="I30" s="142" t="s">
        <v>13</v>
      </c>
      <c r="J30" s="142" t="s">
        <v>13</v>
      </c>
      <c r="K30" s="143">
        <v>17.407499999999999</v>
      </c>
      <c r="L30" s="143">
        <v>17.633333333333336</v>
      </c>
      <c r="M30" s="140" t="s">
        <v>182</v>
      </c>
      <c r="N30" s="140" t="s">
        <v>182</v>
      </c>
    </row>
    <row r="31" spans="1:14">
      <c r="A31" s="139">
        <v>1950</v>
      </c>
      <c r="B31" s="139"/>
      <c r="C31" s="143">
        <v>14.85</v>
      </c>
      <c r="D31" s="143">
        <v>15.15</v>
      </c>
      <c r="E31" s="143">
        <v>14.85</v>
      </c>
      <c r="F31" s="143">
        <v>15.15</v>
      </c>
      <c r="G31" s="142" t="s">
        <v>13</v>
      </c>
      <c r="H31" s="142" t="s">
        <v>13</v>
      </c>
      <c r="I31" s="142" t="s">
        <v>13</v>
      </c>
      <c r="J31" s="142" t="s">
        <v>13</v>
      </c>
      <c r="K31" s="143">
        <v>18.179166666666671</v>
      </c>
      <c r="L31" s="143">
        <v>18.37833333333333</v>
      </c>
      <c r="M31" s="140" t="s">
        <v>182</v>
      </c>
      <c r="N31" s="140" t="s">
        <v>182</v>
      </c>
    </row>
    <row r="32" spans="1:14">
      <c r="A32" s="139">
        <v>1951</v>
      </c>
      <c r="B32" s="139"/>
      <c r="C32" s="143">
        <v>14.85</v>
      </c>
      <c r="D32" s="143">
        <v>15.15</v>
      </c>
      <c r="E32" s="143">
        <v>14.85</v>
      </c>
      <c r="F32" s="143">
        <v>15.15</v>
      </c>
      <c r="G32" s="142" t="s">
        <v>13</v>
      </c>
      <c r="H32" s="142" t="s">
        <v>13</v>
      </c>
      <c r="I32" s="142" t="s">
        <v>13</v>
      </c>
      <c r="J32" s="142" t="s">
        <v>13</v>
      </c>
      <c r="K32" s="143">
        <v>17.664999999999999</v>
      </c>
      <c r="L32" s="143">
        <v>17.858333333333331</v>
      </c>
      <c r="M32" s="140" t="s">
        <v>182</v>
      </c>
      <c r="N32" s="140" t="s">
        <v>182</v>
      </c>
    </row>
    <row r="33" spans="1:14">
      <c r="A33" s="139">
        <v>1952</v>
      </c>
      <c r="B33" s="139"/>
      <c r="C33" s="143">
        <v>14.85</v>
      </c>
      <c r="D33" s="143">
        <v>15.15</v>
      </c>
      <c r="E33" s="143">
        <v>14.85</v>
      </c>
      <c r="F33" s="143">
        <v>15.15</v>
      </c>
      <c r="G33" s="142" t="s">
        <v>13</v>
      </c>
      <c r="H33" s="142" t="s">
        <v>13</v>
      </c>
      <c r="I33" s="142" t="s">
        <v>13</v>
      </c>
      <c r="J33" s="142" t="s">
        <v>13</v>
      </c>
      <c r="K33" s="143">
        <v>17.342500000000001</v>
      </c>
      <c r="L33" s="143">
        <v>17.438333333333333</v>
      </c>
      <c r="M33" s="140" t="s">
        <v>182</v>
      </c>
      <c r="N33" s="140" t="s">
        <v>182</v>
      </c>
    </row>
    <row r="34" spans="1:14">
      <c r="A34" s="139">
        <v>1953</v>
      </c>
      <c r="B34" s="139"/>
      <c r="C34" s="143">
        <v>14.85</v>
      </c>
      <c r="D34" s="143">
        <v>15.15</v>
      </c>
      <c r="E34" s="143">
        <v>14.85</v>
      </c>
      <c r="F34" s="143">
        <v>15.15</v>
      </c>
      <c r="G34" s="142" t="s">
        <v>13</v>
      </c>
      <c r="H34" s="142" t="s">
        <v>13</v>
      </c>
      <c r="I34" s="142" t="s">
        <v>13</v>
      </c>
      <c r="J34" s="142" t="s">
        <v>13</v>
      </c>
      <c r="K34" s="143">
        <v>17.336666666666666</v>
      </c>
      <c r="L34" s="143">
        <v>17.441666666666666</v>
      </c>
      <c r="M34" s="140" t="s">
        <v>182</v>
      </c>
      <c r="N34" s="140" t="s">
        <v>182</v>
      </c>
    </row>
    <row r="35" spans="1:14">
      <c r="A35" s="139">
        <v>1954</v>
      </c>
      <c r="B35" s="139"/>
      <c r="C35" s="143">
        <v>14.85</v>
      </c>
      <c r="D35" s="143">
        <v>15.15</v>
      </c>
      <c r="E35" s="143">
        <v>14.85</v>
      </c>
      <c r="F35" s="143">
        <v>15.15</v>
      </c>
      <c r="G35" s="142" t="s">
        <v>13</v>
      </c>
      <c r="H35" s="142" t="s">
        <v>13</v>
      </c>
      <c r="I35" s="142" t="s">
        <v>13</v>
      </c>
      <c r="J35" s="142" t="s">
        <v>13</v>
      </c>
      <c r="K35" s="143">
        <v>17.328333333333333</v>
      </c>
      <c r="L35" s="143">
        <v>17.422499999999999</v>
      </c>
      <c r="M35" s="140" t="s">
        <v>182</v>
      </c>
      <c r="N35" s="140" t="s">
        <v>182</v>
      </c>
    </row>
    <row r="36" spans="1:14">
      <c r="A36" s="139">
        <v>1955</v>
      </c>
      <c r="B36" s="139"/>
      <c r="C36" s="143">
        <v>14.85</v>
      </c>
      <c r="D36" s="143">
        <v>15.15</v>
      </c>
      <c r="E36" s="143">
        <v>14.85</v>
      </c>
      <c r="F36" s="143">
        <v>15.15</v>
      </c>
      <c r="G36" s="142" t="s">
        <v>13</v>
      </c>
      <c r="H36" s="142" t="s">
        <v>13</v>
      </c>
      <c r="I36" s="142" t="s">
        <v>13</v>
      </c>
      <c r="J36" s="142" t="s">
        <v>13</v>
      </c>
      <c r="K36" s="143">
        <v>17.375833333333336</v>
      </c>
      <c r="L36" s="143">
        <v>17.431666666666668</v>
      </c>
      <c r="M36" s="140" t="s">
        <v>182</v>
      </c>
      <c r="N36" s="140" t="s">
        <v>182</v>
      </c>
    </row>
    <row r="37" spans="1:14">
      <c r="A37" s="139">
        <v>1956</v>
      </c>
      <c r="B37" s="139"/>
      <c r="C37" s="143">
        <v>14.85</v>
      </c>
      <c r="D37" s="143">
        <v>15.15</v>
      </c>
      <c r="E37" s="143">
        <v>14.85</v>
      </c>
      <c r="F37" s="143">
        <v>15.15</v>
      </c>
      <c r="G37" s="142" t="s">
        <v>13</v>
      </c>
      <c r="H37" s="142" t="s">
        <v>13</v>
      </c>
      <c r="I37" s="142" t="s">
        <v>13</v>
      </c>
      <c r="J37" s="142" t="s">
        <v>13</v>
      </c>
      <c r="K37" s="143">
        <v>18.393333333333334</v>
      </c>
      <c r="L37" s="143">
        <v>18.488333333333337</v>
      </c>
      <c r="M37" s="140" t="s">
        <v>182</v>
      </c>
      <c r="N37" s="140" t="s">
        <v>182</v>
      </c>
    </row>
    <row r="38" spans="1:14">
      <c r="A38" s="139">
        <v>1957</v>
      </c>
      <c r="B38" s="139"/>
      <c r="C38" s="143">
        <v>14.85</v>
      </c>
      <c r="D38" s="143">
        <v>15.15</v>
      </c>
      <c r="E38" s="143">
        <v>14.85</v>
      </c>
      <c r="F38" s="143">
        <v>15.15</v>
      </c>
      <c r="G38" s="142" t="s">
        <v>13</v>
      </c>
      <c r="H38" s="142" t="s">
        <v>13</v>
      </c>
      <c r="I38" s="142" t="s">
        <v>13</v>
      </c>
      <c r="J38" s="142" t="s">
        <v>13</v>
      </c>
      <c r="K38" s="143">
        <v>17.63</v>
      </c>
      <c r="L38" s="143">
        <v>17.6875</v>
      </c>
      <c r="M38" s="140" t="s">
        <v>182</v>
      </c>
      <c r="N38" s="140" t="s">
        <v>182</v>
      </c>
    </row>
    <row r="39" spans="1:14">
      <c r="A39" s="139">
        <v>1958</v>
      </c>
      <c r="B39" s="139"/>
      <c r="C39" s="143">
        <v>14.85</v>
      </c>
      <c r="D39" s="143">
        <v>15.15</v>
      </c>
      <c r="E39" s="143">
        <v>14.85</v>
      </c>
      <c r="F39" s="143">
        <v>15.15</v>
      </c>
      <c r="G39" s="142" t="s">
        <v>13</v>
      </c>
      <c r="H39" s="142" t="s">
        <v>13</v>
      </c>
      <c r="I39" s="142" t="s">
        <v>13</v>
      </c>
      <c r="J39" s="142" t="s">
        <v>13</v>
      </c>
      <c r="K39" s="143">
        <v>16.64833333333333</v>
      </c>
      <c r="L39" s="143">
        <v>16.706666666666667</v>
      </c>
      <c r="M39" s="140" t="s">
        <v>182</v>
      </c>
      <c r="N39" s="140" t="s">
        <v>182</v>
      </c>
    </row>
    <row r="40" spans="1:14">
      <c r="A40" s="139">
        <v>1959</v>
      </c>
      <c r="B40" s="139"/>
      <c r="C40" s="143">
        <v>14.85</v>
      </c>
      <c r="D40" s="143">
        <v>15.15</v>
      </c>
      <c r="E40" s="143">
        <v>14.85</v>
      </c>
      <c r="F40" s="143">
        <v>15.15</v>
      </c>
      <c r="G40" s="142" t="s">
        <v>13</v>
      </c>
      <c r="H40" s="142" t="s">
        <v>13</v>
      </c>
      <c r="I40" s="142" t="s">
        <v>13</v>
      </c>
      <c r="J40" s="142" t="s">
        <v>13</v>
      </c>
      <c r="K40" s="143">
        <v>17.431666666666668</v>
      </c>
      <c r="L40" s="143">
        <v>17.491666666666667</v>
      </c>
      <c r="M40" s="140" t="s">
        <v>182</v>
      </c>
      <c r="N40" s="140" t="s">
        <v>182</v>
      </c>
    </row>
    <row r="41" spans="1:14">
      <c r="A41" s="139">
        <v>1960</v>
      </c>
      <c r="B41" s="139"/>
      <c r="C41" s="143">
        <v>14.85</v>
      </c>
      <c r="D41" s="143">
        <v>15.15</v>
      </c>
      <c r="E41" s="143">
        <v>14.85</v>
      </c>
      <c r="F41" s="143">
        <v>15.15</v>
      </c>
      <c r="G41" s="142" t="s">
        <v>13</v>
      </c>
      <c r="H41" s="142" t="s">
        <v>13</v>
      </c>
      <c r="I41" s="142" t="s">
        <v>13</v>
      </c>
      <c r="J41" s="142" t="s">
        <v>13</v>
      </c>
      <c r="K41" s="143">
        <v>17.54</v>
      </c>
      <c r="L41" s="143">
        <v>17.608333333333334</v>
      </c>
      <c r="M41" s="140" t="s">
        <v>182</v>
      </c>
      <c r="N41" s="140" t="s">
        <v>182</v>
      </c>
    </row>
    <row r="42" spans="1:14">
      <c r="A42" s="139">
        <v>1961</v>
      </c>
      <c r="B42" s="139"/>
      <c r="C42" s="143">
        <v>17.82</v>
      </c>
      <c r="D42" s="143">
        <v>18.18</v>
      </c>
      <c r="E42" s="143">
        <v>17.82</v>
      </c>
      <c r="F42" s="143">
        <v>18.18</v>
      </c>
      <c r="G42" s="142" t="s">
        <v>13</v>
      </c>
      <c r="H42" s="142" t="s">
        <v>13</v>
      </c>
      <c r="I42" s="142" t="s">
        <v>13</v>
      </c>
      <c r="J42" s="142" t="s">
        <v>13</v>
      </c>
      <c r="K42" s="143">
        <v>20.011666666666667</v>
      </c>
      <c r="L42" s="143">
        <v>20.190833333333334</v>
      </c>
      <c r="M42" s="140" t="s">
        <v>182</v>
      </c>
      <c r="N42" s="140" t="s">
        <v>182</v>
      </c>
    </row>
    <row r="43" spans="1:14">
      <c r="A43" s="139">
        <v>1962</v>
      </c>
      <c r="B43" s="139"/>
      <c r="C43" s="143">
        <v>17.82</v>
      </c>
      <c r="D43" s="143">
        <v>18.18</v>
      </c>
      <c r="E43" s="143">
        <v>17.82</v>
      </c>
      <c r="F43" s="143">
        <v>18.18</v>
      </c>
      <c r="G43" s="142" t="s">
        <v>13</v>
      </c>
      <c r="H43" s="142" t="s">
        <v>13</v>
      </c>
      <c r="I43" s="142" t="s">
        <v>13</v>
      </c>
      <c r="J43" s="142" t="s">
        <v>13</v>
      </c>
      <c r="K43" s="143">
        <v>22.624166666666671</v>
      </c>
      <c r="L43" s="143">
        <v>22.732500000000002</v>
      </c>
      <c r="M43" s="140" t="s">
        <v>182</v>
      </c>
      <c r="N43" s="140" t="s">
        <v>182</v>
      </c>
    </row>
    <row r="44" spans="1:14">
      <c r="A44" s="139">
        <v>1963</v>
      </c>
      <c r="B44" s="139"/>
      <c r="C44" s="143">
        <v>17.82</v>
      </c>
      <c r="D44" s="143">
        <v>18.18</v>
      </c>
      <c r="E44" s="143">
        <v>17.82</v>
      </c>
      <c r="F44" s="143">
        <v>18.18</v>
      </c>
      <c r="G44" s="142" t="s">
        <v>13</v>
      </c>
      <c r="H44" s="142" t="s">
        <v>13</v>
      </c>
      <c r="I44" s="142" t="s">
        <v>13</v>
      </c>
      <c r="J44" s="142" t="s">
        <v>13</v>
      </c>
      <c r="K44" s="143">
        <v>20.489166666666666</v>
      </c>
      <c r="L44" s="143">
        <v>20.603333333333335</v>
      </c>
      <c r="M44" s="140" t="s">
        <v>182</v>
      </c>
      <c r="N44" s="140" t="s">
        <v>182</v>
      </c>
    </row>
    <row r="45" spans="1:14">
      <c r="A45" s="139">
        <v>1964</v>
      </c>
      <c r="B45" s="139"/>
      <c r="C45" s="143">
        <v>17.82</v>
      </c>
      <c r="D45" s="143">
        <v>18.18</v>
      </c>
      <c r="E45" s="143">
        <v>17.82</v>
      </c>
      <c r="F45" s="143">
        <v>18.18</v>
      </c>
      <c r="G45" s="142" t="s">
        <v>13</v>
      </c>
      <c r="H45" s="142" t="s">
        <v>13</v>
      </c>
      <c r="I45" s="142" t="s">
        <v>13</v>
      </c>
      <c r="J45" s="142" t="s">
        <v>13</v>
      </c>
      <c r="K45" s="143">
        <v>18.5425</v>
      </c>
      <c r="L45" s="143">
        <v>18.58666666666667</v>
      </c>
      <c r="M45" s="140" t="s">
        <v>182</v>
      </c>
      <c r="N45" s="140" t="s">
        <v>182</v>
      </c>
    </row>
    <row r="46" spans="1:14">
      <c r="A46" s="139">
        <v>1965</v>
      </c>
      <c r="B46" s="139"/>
      <c r="C46" s="143">
        <v>17.82</v>
      </c>
      <c r="D46" s="143">
        <v>18.18</v>
      </c>
      <c r="E46" s="143">
        <v>17.82</v>
      </c>
      <c r="F46" s="143">
        <v>18.18</v>
      </c>
      <c r="G46" s="142" t="s">
        <v>13</v>
      </c>
      <c r="H46" s="142" t="s">
        <v>13</v>
      </c>
      <c r="I46" s="142" t="s">
        <v>13</v>
      </c>
      <c r="J46" s="142" t="s">
        <v>13</v>
      </c>
      <c r="K46" s="143">
        <v>18.660833333333333</v>
      </c>
      <c r="L46" s="143">
        <v>18.726666666666663</v>
      </c>
      <c r="M46" s="140" t="s">
        <v>182</v>
      </c>
      <c r="N46" s="140" t="s">
        <v>182</v>
      </c>
    </row>
    <row r="47" spans="1:14">
      <c r="A47" s="139">
        <v>1966</v>
      </c>
      <c r="B47" s="139"/>
      <c r="C47" s="143">
        <v>17.82</v>
      </c>
      <c r="D47" s="143">
        <v>18.18</v>
      </c>
      <c r="E47" s="143">
        <v>17.82</v>
      </c>
      <c r="F47" s="143">
        <v>18.18</v>
      </c>
      <c r="G47" s="142" t="s">
        <v>13</v>
      </c>
      <c r="H47" s="142" t="s">
        <v>13</v>
      </c>
      <c r="I47" s="142" t="s">
        <v>13</v>
      </c>
      <c r="J47" s="142" t="s">
        <v>13</v>
      </c>
      <c r="K47" s="143">
        <v>19.833333333333329</v>
      </c>
      <c r="L47" s="143">
        <v>19.933333333333334</v>
      </c>
      <c r="M47" s="140" t="s">
        <v>182</v>
      </c>
      <c r="N47" s="140" t="s">
        <v>182</v>
      </c>
    </row>
    <row r="48" spans="1:14">
      <c r="A48" s="139">
        <v>1967</v>
      </c>
      <c r="B48" s="139"/>
      <c r="C48" s="143">
        <v>17.82</v>
      </c>
      <c r="D48" s="143">
        <v>18.18</v>
      </c>
      <c r="E48" s="143">
        <v>17.82</v>
      </c>
      <c r="F48" s="143">
        <v>18.18</v>
      </c>
      <c r="G48" s="142" t="s">
        <v>13</v>
      </c>
      <c r="H48" s="142" t="s">
        <v>13</v>
      </c>
      <c r="I48" s="142" t="s">
        <v>13</v>
      </c>
      <c r="J48" s="142" t="s">
        <v>13</v>
      </c>
      <c r="K48" s="143">
        <v>20.170000000000002</v>
      </c>
      <c r="L48" s="143">
        <v>20.224166666666672</v>
      </c>
      <c r="M48" s="140" t="s">
        <v>182</v>
      </c>
      <c r="N48" s="140" t="s">
        <v>182</v>
      </c>
    </row>
    <row r="49" spans="1:14">
      <c r="A49" s="139">
        <v>1968</v>
      </c>
      <c r="B49" s="139"/>
      <c r="C49" s="143">
        <v>17.82</v>
      </c>
      <c r="D49" s="143">
        <v>18.18</v>
      </c>
      <c r="E49" s="143">
        <v>17.82</v>
      </c>
      <c r="F49" s="143">
        <v>18.18</v>
      </c>
      <c r="G49" s="142" t="s">
        <v>13</v>
      </c>
      <c r="H49" s="142" t="s">
        <v>13</v>
      </c>
      <c r="I49" s="142" t="s">
        <v>13</v>
      </c>
      <c r="J49" s="142" t="s">
        <v>13</v>
      </c>
      <c r="K49" s="143">
        <v>22.087499999999999</v>
      </c>
      <c r="L49" s="143">
        <v>24.68416666666667</v>
      </c>
      <c r="M49" s="140" t="s">
        <v>182</v>
      </c>
      <c r="N49" s="140" t="s">
        <v>182</v>
      </c>
    </row>
    <row r="50" spans="1:14">
      <c r="A50" s="139">
        <v>1969</v>
      </c>
      <c r="B50" s="139"/>
      <c r="C50" s="143">
        <v>17.82</v>
      </c>
      <c r="D50" s="143">
        <v>18.18</v>
      </c>
      <c r="E50" s="143">
        <v>17.82</v>
      </c>
      <c r="F50" s="143">
        <v>18.18</v>
      </c>
      <c r="G50" s="142" t="s">
        <v>13</v>
      </c>
      <c r="H50" s="142" t="s">
        <v>13</v>
      </c>
      <c r="I50" s="142" t="s">
        <v>13</v>
      </c>
      <c r="J50" s="142" t="s">
        <v>13</v>
      </c>
      <c r="K50" s="143">
        <v>21.914166666666663</v>
      </c>
      <c r="L50" s="143">
        <v>22.015000000000001</v>
      </c>
      <c r="M50" s="140" t="s">
        <v>182</v>
      </c>
      <c r="N50" s="140" t="s">
        <v>182</v>
      </c>
    </row>
    <row r="51" spans="1:14">
      <c r="A51" s="139">
        <v>1970</v>
      </c>
      <c r="B51" s="139"/>
      <c r="C51" s="143">
        <v>24.75</v>
      </c>
      <c r="D51" s="143">
        <v>25.25</v>
      </c>
      <c r="E51" s="143">
        <v>24.75</v>
      </c>
      <c r="F51" s="143">
        <v>25.25</v>
      </c>
      <c r="G51" s="142" t="s">
        <v>13</v>
      </c>
      <c r="H51" s="142" t="s">
        <v>13</v>
      </c>
      <c r="I51" s="142" t="s">
        <v>13</v>
      </c>
      <c r="J51" s="142" t="s">
        <v>13</v>
      </c>
      <c r="K51" s="143">
        <v>22.89</v>
      </c>
      <c r="L51" s="143">
        <v>23.174166666666668</v>
      </c>
      <c r="M51" s="140" t="s">
        <v>182</v>
      </c>
      <c r="N51" s="140" t="s">
        <v>182</v>
      </c>
    </row>
    <row r="52" spans="1:14">
      <c r="A52" s="139">
        <v>1971</v>
      </c>
      <c r="B52" s="139"/>
      <c r="C52" s="143">
        <v>24.75</v>
      </c>
      <c r="D52" s="143">
        <v>25.25</v>
      </c>
      <c r="E52" s="143">
        <v>24.75</v>
      </c>
      <c r="F52" s="143">
        <v>25.25</v>
      </c>
      <c r="G52" s="142" t="s">
        <v>13</v>
      </c>
      <c r="H52" s="142" t="s">
        <v>13</v>
      </c>
      <c r="I52" s="142" t="s">
        <v>13</v>
      </c>
      <c r="J52" s="142" t="s">
        <v>13</v>
      </c>
      <c r="K52" s="143">
        <v>25.019166666666667</v>
      </c>
      <c r="L52" s="143">
        <v>25.477499999999999</v>
      </c>
      <c r="M52" s="140" t="s">
        <v>182</v>
      </c>
      <c r="N52" s="140" t="s">
        <v>182</v>
      </c>
    </row>
    <row r="53" spans="1:14">
      <c r="A53" s="139">
        <v>1972</v>
      </c>
      <c r="B53" s="139"/>
      <c r="C53" s="143">
        <v>24.75</v>
      </c>
      <c r="D53" s="143">
        <v>25.25</v>
      </c>
      <c r="E53" s="143">
        <v>24.75</v>
      </c>
      <c r="F53" s="143">
        <v>25.25</v>
      </c>
      <c r="G53" s="142" t="s">
        <v>13</v>
      </c>
      <c r="H53" s="142" t="s">
        <v>13</v>
      </c>
      <c r="I53" s="142" t="s">
        <v>13</v>
      </c>
      <c r="J53" s="142" t="s">
        <v>13</v>
      </c>
      <c r="K53" s="143">
        <v>26.020833333333332</v>
      </c>
      <c r="L53" s="143">
        <v>26.168333333333333</v>
      </c>
      <c r="M53" s="140" t="s">
        <v>182</v>
      </c>
      <c r="N53" s="140" t="s">
        <v>182</v>
      </c>
    </row>
    <row r="54" spans="1:14">
      <c r="A54" s="139">
        <v>1973</v>
      </c>
      <c r="B54" s="139"/>
      <c r="C54" s="143">
        <v>24.8</v>
      </c>
      <c r="D54" s="143">
        <v>24.95</v>
      </c>
      <c r="E54" s="143">
        <v>24.8</v>
      </c>
      <c r="F54" s="143">
        <v>24.95</v>
      </c>
      <c r="G54" s="142" t="s">
        <v>13</v>
      </c>
      <c r="H54" s="142" t="s">
        <v>13</v>
      </c>
      <c r="I54" s="142" t="s">
        <v>13</v>
      </c>
      <c r="J54" s="142" t="s">
        <v>13</v>
      </c>
      <c r="K54" s="143">
        <v>24.699166666666667</v>
      </c>
      <c r="L54" s="143">
        <v>24.952500000000001</v>
      </c>
      <c r="M54" s="140" t="s">
        <v>182</v>
      </c>
      <c r="N54" s="140" t="s">
        <v>182</v>
      </c>
    </row>
    <row r="55" spans="1:14">
      <c r="A55" s="139">
        <v>1974</v>
      </c>
      <c r="B55" s="139"/>
      <c r="C55" s="143">
        <v>24.8</v>
      </c>
      <c r="D55" s="143">
        <v>24.95</v>
      </c>
      <c r="E55" s="143">
        <v>24.8</v>
      </c>
      <c r="F55" s="143">
        <v>24.95</v>
      </c>
      <c r="G55" s="142" t="s">
        <v>13</v>
      </c>
      <c r="H55" s="142" t="s">
        <v>13</v>
      </c>
      <c r="I55" s="142" t="s">
        <v>13</v>
      </c>
      <c r="J55" s="142" t="s">
        <v>13</v>
      </c>
      <c r="K55" s="143">
        <v>24.798333333333328</v>
      </c>
      <c r="L55" s="143">
        <v>25.059166666666666</v>
      </c>
      <c r="M55" s="140" t="s">
        <v>182</v>
      </c>
      <c r="N55" s="140" t="s">
        <v>182</v>
      </c>
    </row>
    <row r="56" spans="1:14">
      <c r="A56" s="139">
        <v>1975</v>
      </c>
      <c r="B56" s="139"/>
      <c r="C56" s="143">
        <v>24.8</v>
      </c>
      <c r="D56" s="143">
        <v>24.95</v>
      </c>
      <c r="E56" s="143">
        <v>24.8</v>
      </c>
      <c r="F56" s="143">
        <v>24.95</v>
      </c>
      <c r="G56" s="142" t="s">
        <v>13</v>
      </c>
      <c r="H56" s="142" t="s">
        <v>13</v>
      </c>
      <c r="I56" s="142" t="s">
        <v>13</v>
      </c>
      <c r="J56" s="142" t="s">
        <v>13</v>
      </c>
      <c r="K56" s="143">
        <v>25.162500000000001</v>
      </c>
      <c r="L56" s="143">
        <v>25.37</v>
      </c>
      <c r="M56" s="140" t="s">
        <v>182</v>
      </c>
      <c r="N56" s="140" t="s">
        <v>182</v>
      </c>
    </row>
    <row r="57" spans="1:14">
      <c r="A57" s="139">
        <v>1976</v>
      </c>
      <c r="B57" s="144" t="s">
        <v>183</v>
      </c>
      <c r="C57" s="143">
        <v>24.8</v>
      </c>
      <c r="D57" s="143">
        <v>24.95</v>
      </c>
      <c r="E57" s="143">
        <v>24.8</v>
      </c>
      <c r="F57" s="143">
        <v>24.95</v>
      </c>
      <c r="G57" s="143">
        <v>27.01</v>
      </c>
      <c r="H57" s="143">
        <v>27.181999999999999</v>
      </c>
      <c r="I57" s="143">
        <v>26.85</v>
      </c>
      <c r="J57" s="143">
        <v>27</v>
      </c>
      <c r="K57" s="143">
        <v>27.184999999999999</v>
      </c>
      <c r="L57" s="143">
        <v>27.46</v>
      </c>
      <c r="M57" s="140" t="s">
        <v>182</v>
      </c>
      <c r="N57" s="140" t="s">
        <v>182</v>
      </c>
    </row>
    <row r="58" spans="1:14">
      <c r="A58" s="139">
        <v>1977</v>
      </c>
      <c r="B58" s="139"/>
      <c r="C58" s="143">
        <v>24.8</v>
      </c>
      <c r="D58" s="143">
        <v>24.95</v>
      </c>
      <c r="E58" s="143">
        <v>24.8</v>
      </c>
      <c r="F58" s="143">
        <v>24.95</v>
      </c>
      <c r="G58" s="143">
        <v>26.828333333333333</v>
      </c>
      <c r="H58" s="143">
        <v>27.026666666666667</v>
      </c>
      <c r="I58" s="143">
        <v>26.5</v>
      </c>
      <c r="J58" s="143">
        <v>26.85</v>
      </c>
      <c r="K58" s="143">
        <v>26.23</v>
      </c>
      <c r="L58" s="143">
        <v>26.595833333333331</v>
      </c>
      <c r="M58" s="140" t="s">
        <v>182</v>
      </c>
      <c r="N58" s="140" t="s">
        <v>182</v>
      </c>
    </row>
    <row r="59" spans="1:14">
      <c r="A59" s="139">
        <v>1978</v>
      </c>
      <c r="B59" s="139"/>
      <c r="C59" s="143">
        <v>24.8</v>
      </c>
      <c r="D59" s="143">
        <v>24.95</v>
      </c>
      <c r="E59" s="143">
        <v>24.8</v>
      </c>
      <c r="F59" s="143">
        <v>24.95</v>
      </c>
      <c r="G59" s="143">
        <v>25.982500000000002</v>
      </c>
      <c r="H59" s="143">
        <v>26.501666666666669</v>
      </c>
      <c r="I59" s="143">
        <v>26.5</v>
      </c>
      <c r="J59" s="143">
        <v>26.85</v>
      </c>
      <c r="K59" s="143">
        <v>26.23</v>
      </c>
      <c r="L59" s="143">
        <v>26.595833333333331</v>
      </c>
      <c r="M59" s="140" t="s">
        <v>182</v>
      </c>
      <c r="N59" s="140" t="s">
        <v>182</v>
      </c>
    </row>
    <row r="60" spans="1:14">
      <c r="A60" s="139">
        <v>1979</v>
      </c>
      <c r="B60" s="139"/>
      <c r="C60" s="143">
        <v>24.8</v>
      </c>
      <c r="D60" s="143">
        <v>24.95</v>
      </c>
      <c r="E60" s="143">
        <v>24.8</v>
      </c>
      <c r="F60" s="143">
        <v>24.95</v>
      </c>
      <c r="G60" s="143">
        <v>26.524166666666662</v>
      </c>
      <c r="H60" s="143">
        <v>27.074999999999999</v>
      </c>
      <c r="I60" s="143">
        <v>26.65</v>
      </c>
      <c r="J60" s="143">
        <v>27.1</v>
      </c>
      <c r="K60" s="143">
        <v>27.357500000000002</v>
      </c>
      <c r="L60" s="143">
        <v>27.804166666666664</v>
      </c>
      <c r="M60" s="143">
        <v>26.98</v>
      </c>
      <c r="N60" s="143">
        <v>27.43</v>
      </c>
    </row>
    <row r="61" spans="1:14">
      <c r="A61" s="139">
        <v>1980</v>
      </c>
      <c r="B61" s="139"/>
      <c r="C61" s="143">
        <v>24.8</v>
      </c>
      <c r="D61" s="143">
        <v>24.95</v>
      </c>
      <c r="E61" s="143">
        <v>24.8</v>
      </c>
      <c r="F61" s="143">
        <v>24.95</v>
      </c>
      <c r="G61" s="143">
        <v>26.745833333333334</v>
      </c>
      <c r="H61" s="143">
        <v>27.15</v>
      </c>
      <c r="I61" s="143">
        <v>26.75</v>
      </c>
      <c r="J61" s="143">
        <v>27.15</v>
      </c>
      <c r="K61" s="143">
        <v>27.406666666666663</v>
      </c>
      <c r="L61" s="143">
        <v>27.965</v>
      </c>
      <c r="M61" s="143">
        <v>27.94</v>
      </c>
      <c r="N61" s="143">
        <v>28.46</v>
      </c>
    </row>
    <row r="62" spans="1:14">
      <c r="A62" s="139">
        <v>1981</v>
      </c>
      <c r="B62" s="144"/>
      <c r="C62" s="143">
        <v>24.8</v>
      </c>
      <c r="D62" s="143">
        <v>24.95</v>
      </c>
      <c r="E62" s="143">
        <v>24.8</v>
      </c>
      <c r="F62" s="143">
        <v>24.95</v>
      </c>
      <c r="G62" s="143">
        <v>27.577500000000001</v>
      </c>
      <c r="H62" s="143">
        <v>27.872499999999999</v>
      </c>
      <c r="I62" s="143">
        <v>30.72</v>
      </c>
      <c r="J62" s="143">
        <v>30.77</v>
      </c>
      <c r="K62" s="143">
        <v>30.555833333333329</v>
      </c>
      <c r="L62" s="143">
        <v>31.245000000000001</v>
      </c>
      <c r="M62" s="143">
        <v>32.869999999999997</v>
      </c>
      <c r="N62" s="143">
        <v>33.72</v>
      </c>
    </row>
    <row r="63" spans="1:14">
      <c r="A63" s="139">
        <v>1982</v>
      </c>
      <c r="B63" s="144" t="s">
        <v>184</v>
      </c>
      <c r="C63" s="143">
        <v>30.002500000000001</v>
      </c>
      <c r="D63" s="143">
        <v>30.247499999999999</v>
      </c>
      <c r="E63" s="143">
        <v>33</v>
      </c>
      <c r="F63" s="143">
        <v>33.299999999999997</v>
      </c>
      <c r="G63" s="143">
        <v>30</v>
      </c>
      <c r="H63" s="143">
        <v>34.106000000000009</v>
      </c>
      <c r="I63" s="143">
        <v>30</v>
      </c>
      <c r="J63" s="143">
        <v>35.299999999999997</v>
      </c>
      <c r="K63" s="143">
        <v>50.310833333333328</v>
      </c>
      <c r="L63" s="143">
        <v>51.028333333333336</v>
      </c>
      <c r="M63" s="143">
        <v>64.58</v>
      </c>
      <c r="N63" s="143">
        <v>65.16</v>
      </c>
    </row>
    <row r="64" spans="1:14">
      <c r="A64" s="139">
        <v>1983</v>
      </c>
      <c r="B64" s="139"/>
      <c r="C64" s="143">
        <v>44.197499999999998</v>
      </c>
      <c r="D64" s="143">
        <v>45.005000000000003</v>
      </c>
      <c r="E64" s="143">
        <v>54.1</v>
      </c>
      <c r="F64" s="143">
        <v>55.18</v>
      </c>
      <c r="G64" s="143">
        <v>82.361000000000018</v>
      </c>
      <c r="H64" s="143">
        <v>83.22</v>
      </c>
      <c r="I64" s="143">
        <v>87</v>
      </c>
      <c r="J64" s="143">
        <v>87.9</v>
      </c>
      <c r="K64" s="143">
        <v>83.196666666666673</v>
      </c>
      <c r="L64" s="143">
        <v>84.783333333333346</v>
      </c>
      <c r="M64" s="143">
        <v>86.88</v>
      </c>
      <c r="N64" s="143">
        <v>88.78</v>
      </c>
    </row>
    <row r="65" spans="1:14">
      <c r="A65" s="139">
        <v>1984</v>
      </c>
      <c r="B65" s="139"/>
      <c r="C65" s="143">
        <v>62.3</v>
      </c>
      <c r="D65" s="143">
        <v>63.554166666666674</v>
      </c>
      <c r="E65" s="143">
        <v>66.5</v>
      </c>
      <c r="F65" s="143">
        <v>67.849999999999994</v>
      </c>
      <c r="G65" s="143">
        <v>91.554166666666674</v>
      </c>
      <c r="H65" s="143">
        <v>92.696666666666673</v>
      </c>
      <c r="I65" s="143">
        <v>95</v>
      </c>
      <c r="J65" s="143">
        <v>96.5</v>
      </c>
      <c r="K65" s="143">
        <v>96.752499999999998</v>
      </c>
      <c r="L65" s="143">
        <v>98.685833333333321</v>
      </c>
      <c r="M65" s="143">
        <v>116.93</v>
      </c>
      <c r="N65" s="143">
        <v>119.28</v>
      </c>
    </row>
    <row r="66" spans="1:14">
      <c r="A66" s="139">
        <v>1985</v>
      </c>
      <c r="B66" s="144" t="s">
        <v>171</v>
      </c>
      <c r="C66" s="143">
        <v>70.379166666666663</v>
      </c>
      <c r="D66" s="143">
        <v>71.75</v>
      </c>
      <c r="E66" s="143">
        <v>95</v>
      </c>
      <c r="F66" s="143">
        <v>96.5</v>
      </c>
      <c r="G66" s="143">
        <v>95</v>
      </c>
      <c r="H66" s="143">
        <v>96.5</v>
      </c>
      <c r="I66" s="143">
        <v>95</v>
      </c>
      <c r="J66" s="143">
        <v>96.5</v>
      </c>
      <c r="K66" s="143">
        <v>116.29</v>
      </c>
      <c r="L66" s="143">
        <v>117.23583333333333</v>
      </c>
      <c r="M66" s="143">
        <v>123.815</v>
      </c>
      <c r="N66" s="143">
        <v>126.37</v>
      </c>
    </row>
    <row r="67" spans="1:14">
      <c r="A67" s="139">
        <v>1986</v>
      </c>
      <c r="B67" s="144" t="s">
        <v>185</v>
      </c>
      <c r="C67" s="141">
        <v>95</v>
      </c>
      <c r="D67" s="141">
        <v>96.5</v>
      </c>
      <c r="E67" s="141">
        <v>95</v>
      </c>
      <c r="F67" s="142" t="s">
        <v>13</v>
      </c>
      <c r="G67" s="141">
        <v>122.08333333333333</v>
      </c>
      <c r="H67" s="141">
        <v>123.44833333333334</v>
      </c>
      <c r="I67" s="143">
        <v>146</v>
      </c>
      <c r="J67" s="143">
        <v>147</v>
      </c>
      <c r="K67" s="141">
        <v>150.85416666666666</v>
      </c>
      <c r="L67" s="141">
        <v>151.39500000000001</v>
      </c>
      <c r="M67" s="143">
        <v>144.25</v>
      </c>
      <c r="N67" s="143">
        <v>147.25</v>
      </c>
    </row>
    <row r="68" spans="1:14">
      <c r="A68" s="139">
        <v>1987</v>
      </c>
      <c r="B68" s="139"/>
      <c r="C68" s="141">
        <v>95</v>
      </c>
      <c r="D68" s="142" t="s">
        <v>13</v>
      </c>
      <c r="E68" s="141">
        <v>95</v>
      </c>
      <c r="F68" s="142" t="s">
        <v>13</v>
      </c>
      <c r="G68" s="141">
        <v>169.97166666666666</v>
      </c>
      <c r="H68" s="141">
        <v>170.97166666666666</v>
      </c>
      <c r="I68" s="143">
        <v>221</v>
      </c>
      <c r="J68" s="143">
        <v>222</v>
      </c>
      <c r="K68" s="141">
        <v>193.23333333333332</v>
      </c>
      <c r="L68" s="141">
        <v>193.80166666666665</v>
      </c>
      <c r="M68" s="139">
        <v>245.59</v>
      </c>
      <c r="N68" s="143">
        <v>249.13</v>
      </c>
    </row>
    <row r="69" spans="1:14">
      <c r="A69" s="139">
        <v>1988</v>
      </c>
      <c r="B69" s="139"/>
      <c r="C69" s="141">
        <v>194.45083333333332</v>
      </c>
      <c r="D69" s="142" t="s">
        <v>13</v>
      </c>
      <c r="E69" s="141">
        <v>390</v>
      </c>
      <c r="F69" s="142" t="s">
        <v>13</v>
      </c>
      <c r="G69" s="141">
        <v>294.33583333333337</v>
      </c>
      <c r="H69" s="141">
        <v>308.88249999999999</v>
      </c>
      <c r="I69" s="143">
        <v>410.88</v>
      </c>
      <c r="J69" s="143">
        <v>454.13</v>
      </c>
      <c r="K69" s="141">
        <v>435.02583333333331</v>
      </c>
      <c r="L69" s="141">
        <v>436.19083333333327</v>
      </c>
      <c r="M69" s="143">
        <v>498.32</v>
      </c>
      <c r="N69" s="143">
        <v>512.83000000000004</v>
      </c>
    </row>
    <row r="70" spans="1:14">
      <c r="A70" s="139">
        <v>1989</v>
      </c>
      <c r="B70" s="139"/>
      <c r="C70" s="143">
        <v>390</v>
      </c>
      <c r="D70" s="142" t="s">
        <v>13</v>
      </c>
      <c r="E70" s="143">
        <v>390</v>
      </c>
      <c r="F70" s="142" t="s">
        <v>13</v>
      </c>
      <c r="G70" s="143">
        <v>510.91166666666669</v>
      </c>
      <c r="H70" s="143">
        <v>542.09333333333325</v>
      </c>
      <c r="I70" s="143">
        <v>642</v>
      </c>
      <c r="J70" s="143">
        <v>654.84</v>
      </c>
      <c r="K70" s="143">
        <v>567.2408333333334</v>
      </c>
      <c r="L70" s="143">
        <v>568.17666666666662</v>
      </c>
      <c r="M70" s="143">
        <v>653.53</v>
      </c>
      <c r="N70" s="143">
        <v>664.5</v>
      </c>
    </row>
    <row r="71" spans="1:14">
      <c r="A71" s="139">
        <v>1990</v>
      </c>
      <c r="B71" s="139"/>
      <c r="C71" s="143">
        <v>390</v>
      </c>
      <c r="D71" s="140" t="s">
        <v>13</v>
      </c>
      <c r="E71" s="143">
        <v>390</v>
      </c>
      <c r="F71" s="142" t="s">
        <v>13</v>
      </c>
      <c r="G71" s="143">
        <v>760.30166666666685</v>
      </c>
      <c r="H71" s="143">
        <v>775.50666666666666</v>
      </c>
      <c r="I71" s="143">
        <v>869.5</v>
      </c>
      <c r="J71" s="143">
        <v>886.89</v>
      </c>
      <c r="K71" s="143">
        <v>821.14083333333303</v>
      </c>
      <c r="L71" s="143">
        <v>821.9083333333333</v>
      </c>
      <c r="M71" s="143">
        <v>883.7</v>
      </c>
      <c r="N71" s="143">
        <v>898.1</v>
      </c>
    </row>
    <row r="72" spans="1:14">
      <c r="A72" s="139">
        <v>1991</v>
      </c>
      <c r="B72" s="139"/>
      <c r="C72" s="143">
        <v>390</v>
      </c>
      <c r="D72" s="140" t="s">
        <v>13</v>
      </c>
      <c r="E72" s="143">
        <v>390</v>
      </c>
      <c r="F72" s="142" t="s">
        <v>13</v>
      </c>
      <c r="G72" s="143">
        <v>1039.6233333333332</v>
      </c>
      <c r="H72" s="143">
        <v>1060.4166666666663</v>
      </c>
      <c r="I72" s="143">
        <v>1258</v>
      </c>
      <c r="J72" s="143">
        <v>1283.1600000000001</v>
      </c>
      <c r="K72" s="143">
        <v>1099.4608333333333</v>
      </c>
      <c r="L72" s="143">
        <v>1100.8475000000001</v>
      </c>
      <c r="M72" s="143">
        <v>1290.77</v>
      </c>
      <c r="N72" s="143">
        <v>1310.25</v>
      </c>
    </row>
    <row r="73" spans="1:14">
      <c r="A73" s="139">
        <v>1992</v>
      </c>
      <c r="B73" s="139"/>
      <c r="C73" s="143">
        <v>390</v>
      </c>
      <c r="D73" s="140" t="s">
        <v>13</v>
      </c>
      <c r="E73" s="143">
        <v>390</v>
      </c>
      <c r="F73" s="142" t="s">
        <v>13</v>
      </c>
      <c r="G73" s="143">
        <v>1529.625</v>
      </c>
      <c r="H73" s="143">
        <v>1576.865</v>
      </c>
      <c r="I73" s="143">
        <v>1700</v>
      </c>
      <c r="J73" s="143">
        <v>2000</v>
      </c>
      <c r="K73" s="143">
        <v>1573.76</v>
      </c>
      <c r="L73" s="143">
        <v>1598.0216666666665</v>
      </c>
      <c r="M73" s="143">
        <v>1843.5</v>
      </c>
      <c r="N73" s="143">
        <v>1846.2</v>
      </c>
    </row>
    <row r="74" spans="1:14">
      <c r="A74" s="139">
        <v>1993</v>
      </c>
      <c r="B74" s="144" t="s">
        <v>186</v>
      </c>
      <c r="C74" s="143">
        <v>394.40583333333331</v>
      </c>
      <c r="D74" s="140" t="s">
        <v>13</v>
      </c>
      <c r="E74" s="143">
        <v>2029</v>
      </c>
      <c r="F74" s="142" t="s">
        <v>13</v>
      </c>
      <c r="G74" s="143">
        <v>1705.9166666666667</v>
      </c>
      <c r="H74" s="143">
        <v>1989.4391666666663</v>
      </c>
      <c r="I74" s="143">
        <v>1779</v>
      </c>
      <c r="J74" s="143">
        <v>2029</v>
      </c>
      <c r="K74" s="143">
        <v>1918.5775000000003</v>
      </c>
      <c r="L74" s="143">
        <v>1919.3391666666666</v>
      </c>
      <c r="M74" s="143">
        <v>2044</v>
      </c>
      <c r="N74" s="143">
        <v>2046</v>
      </c>
    </row>
    <row r="75" spans="1:14">
      <c r="A75" s="139">
        <v>1994</v>
      </c>
      <c r="B75" s="139"/>
      <c r="C75" s="143">
        <v>2192.7225000000003</v>
      </c>
      <c r="D75" s="140" t="s">
        <v>13</v>
      </c>
      <c r="E75" s="143">
        <v>2297</v>
      </c>
      <c r="F75" s="142" t="s">
        <v>13</v>
      </c>
      <c r="G75" s="143">
        <v>1975.0225</v>
      </c>
      <c r="H75" s="143">
        <v>2192.7225000000003</v>
      </c>
      <c r="I75" s="143">
        <v>2251</v>
      </c>
      <c r="J75" s="143">
        <v>2297</v>
      </c>
      <c r="K75" s="143">
        <v>2196.2350000000001</v>
      </c>
      <c r="L75" s="143">
        <v>2197.2166666666667</v>
      </c>
      <c r="M75" s="143">
        <v>2268</v>
      </c>
      <c r="N75" s="143">
        <v>2270</v>
      </c>
    </row>
    <row r="76" spans="1:14">
      <c r="A76" s="139">
        <v>1995</v>
      </c>
      <c r="B76" s="139"/>
      <c r="C76" s="143">
        <v>2552.0948809523811</v>
      </c>
      <c r="D76" s="140" t="s">
        <v>13</v>
      </c>
      <c r="E76" s="143">
        <v>2922</v>
      </c>
      <c r="F76" s="142" t="s">
        <v>13</v>
      </c>
      <c r="G76" s="143">
        <v>2501.0607142857148</v>
      </c>
      <c r="H76" s="143">
        <v>2552.0832142857143</v>
      </c>
      <c r="I76" s="143">
        <v>2864</v>
      </c>
      <c r="J76" s="143">
        <v>2922</v>
      </c>
      <c r="K76" s="143">
        <v>2563.7725</v>
      </c>
      <c r="L76" s="143">
        <v>2565.2158333333327</v>
      </c>
      <c r="M76" s="143">
        <v>2922</v>
      </c>
      <c r="N76" s="143">
        <v>2925</v>
      </c>
    </row>
    <row r="77" spans="1:14">
      <c r="A77" s="139">
        <v>1996</v>
      </c>
      <c r="B77" s="139"/>
      <c r="C77" s="143">
        <v>3176.547822793149</v>
      </c>
      <c r="D77" s="140" t="s">
        <v>13</v>
      </c>
      <c r="E77" s="143">
        <v>3627</v>
      </c>
      <c r="F77" s="142" t="s">
        <v>13</v>
      </c>
      <c r="G77" s="143">
        <v>3112.9526000690134</v>
      </c>
      <c r="H77" s="143">
        <v>3176.547822793149</v>
      </c>
      <c r="I77" s="143">
        <v>3554</v>
      </c>
      <c r="J77" s="143">
        <v>3627</v>
      </c>
      <c r="K77" s="143">
        <v>3188.7592857142859</v>
      </c>
      <c r="L77" s="143">
        <v>3190.1924206349199</v>
      </c>
      <c r="M77" s="143">
        <v>3634</v>
      </c>
      <c r="N77" s="143">
        <v>3635</v>
      </c>
    </row>
    <row r="78" spans="1:14">
      <c r="A78" s="139">
        <v>1997</v>
      </c>
      <c r="B78" s="139"/>
      <c r="C78" s="143">
        <v>3983.0687905452037</v>
      </c>
      <c r="D78" s="140" t="s">
        <v>13</v>
      </c>
      <c r="E78" s="143">
        <v>4438</v>
      </c>
      <c r="F78" s="142" t="s">
        <v>13</v>
      </c>
      <c r="G78" s="143">
        <v>3903.4035369220146</v>
      </c>
      <c r="H78" s="143">
        <v>3983.0687905452037</v>
      </c>
      <c r="I78" s="143">
        <v>4349</v>
      </c>
      <c r="J78" s="143">
        <v>4438</v>
      </c>
      <c r="K78" s="143">
        <v>3997.6966666666663</v>
      </c>
      <c r="L78" s="143">
        <v>3998.7991666666662</v>
      </c>
      <c r="M78" s="143">
        <v>4425</v>
      </c>
      <c r="N78" s="143">
        <v>4428</v>
      </c>
    </row>
    <row r="79" spans="1:14">
      <c r="A79" s="139">
        <v>1998</v>
      </c>
      <c r="B79" s="139"/>
      <c r="C79" s="143">
        <v>5402.9445291423553</v>
      </c>
      <c r="D79" s="140" t="s">
        <v>13</v>
      </c>
      <c r="E79" s="143">
        <v>6521</v>
      </c>
      <c r="F79" s="142" t="s">
        <v>13</v>
      </c>
      <c r="G79" s="143">
        <v>5294.8471901509374</v>
      </c>
      <c r="H79" s="143">
        <v>5402.9445291423553</v>
      </c>
      <c r="I79" s="143">
        <v>6391</v>
      </c>
      <c r="J79" s="143">
        <v>6521</v>
      </c>
      <c r="K79" s="143">
        <v>5436.7242077030523</v>
      </c>
      <c r="L79" s="143">
        <v>5446.4394336384439</v>
      </c>
      <c r="M79" s="143">
        <v>6765</v>
      </c>
      <c r="N79" s="143">
        <v>6825</v>
      </c>
    </row>
    <row r="80" spans="1:14">
      <c r="A80" s="139">
        <v>1999</v>
      </c>
      <c r="B80" s="144" t="s">
        <v>187</v>
      </c>
      <c r="C80" s="143">
        <v>11547.82161549732</v>
      </c>
      <c r="D80" s="140" t="s">
        <v>13</v>
      </c>
      <c r="E80" s="143">
        <v>18287</v>
      </c>
      <c r="F80" s="142" t="s">
        <v>13</v>
      </c>
      <c r="G80" s="143">
        <v>11316.842863486898</v>
      </c>
      <c r="H80" s="143">
        <v>11547.82161549732</v>
      </c>
      <c r="I80" s="143">
        <v>17921</v>
      </c>
      <c r="J80" s="143">
        <v>18287</v>
      </c>
      <c r="K80" s="143">
        <v>11649.264470687265</v>
      </c>
      <c r="L80" s="143">
        <v>11786.802467956879</v>
      </c>
      <c r="M80" s="143">
        <v>19858</v>
      </c>
      <c r="N80" s="143">
        <v>20243</v>
      </c>
    </row>
    <row r="81" spans="1:14">
      <c r="A81" s="139">
        <v>2000</v>
      </c>
      <c r="B81" s="144" t="s">
        <v>188</v>
      </c>
      <c r="C81" s="145"/>
      <c r="D81" s="145"/>
      <c r="E81" s="145"/>
      <c r="F81" s="145"/>
      <c r="G81" s="145"/>
      <c r="H81" s="145"/>
      <c r="I81" s="145"/>
      <c r="J81" s="145"/>
      <c r="K81" s="145"/>
      <c r="L81" s="145"/>
      <c r="M81" s="145"/>
      <c r="N81" s="145"/>
    </row>
    <row r="82" spans="1:14">
      <c r="A82" s="139"/>
      <c r="B82" s="144" t="s">
        <v>189</v>
      </c>
      <c r="C82" s="140" t="s">
        <v>13</v>
      </c>
      <c r="D82" s="140" t="s">
        <v>13</v>
      </c>
      <c r="E82" s="140" t="s">
        <v>13</v>
      </c>
      <c r="F82" s="140" t="s">
        <v>13</v>
      </c>
      <c r="G82" s="143">
        <v>23035.238095238095</v>
      </c>
      <c r="H82" s="143">
        <v>23505.476190476191</v>
      </c>
      <c r="I82" s="143">
        <v>24500</v>
      </c>
      <c r="J82" s="143">
        <v>25000</v>
      </c>
      <c r="K82" s="143">
        <v>24473.047619047618</v>
      </c>
      <c r="L82" s="143">
        <v>24761</v>
      </c>
      <c r="M82" s="143">
        <v>25000</v>
      </c>
      <c r="N82" s="143">
        <v>25000</v>
      </c>
    </row>
    <row r="83" spans="1:14">
      <c r="A83" s="139"/>
      <c r="B83" s="144" t="s">
        <v>190</v>
      </c>
      <c r="C83" s="140" t="s">
        <v>13</v>
      </c>
      <c r="D83" s="140" t="s">
        <v>13</v>
      </c>
      <c r="E83" s="140" t="s">
        <v>13</v>
      </c>
      <c r="F83" s="140" t="s">
        <v>13</v>
      </c>
      <c r="G83" s="143">
        <v>24500</v>
      </c>
      <c r="H83" s="143">
        <v>25000</v>
      </c>
      <c r="I83" s="143">
        <v>24500</v>
      </c>
      <c r="J83" s="143">
        <v>25000</v>
      </c>
      <c r="K83" s="143">
        <v>24999.857142857141</v>
      </c>
      <c r="L83" s="143">
        <v>25000</v>
      </c>
      <c r="M83" s="143">
        <v>25000</v>
      </c>
      <c r="N83" s="143">
        <v>25000</v>
      </c>
    </row>
    <row r="84" spans="1:14">
      <c r="A84" s="139"/>
      <c r="B84" s="144" t="s">
        <v>191</v>
      </c>
      <c r="C84" s="140" t="s">
        <v>13</v>
      </c>
      <c r="D84" s="140" t="s">
        <v>13</v>
      </c>
      <c r="E84" s="140" t="s">
        <v>13</v>
      </c>
      <c r="F84" s="140" t="s">
        <v>13</v>
      </c>
      <c r="G84" s="143">
        <v>24500</v>
      </c>
      <c r="H84" s="143">
        <v>25000</v>
      </c>
      <c r="I84" s="143">
        <v>24500</v>
      </c>
      <c r="J84" s="143">
        <v>25000</v>
      </c>
      <c r="K84" s="143">
        <v>25000</v>
      </c>
      <c r="L84" s="143">
        <v>25000</v>
      </c>
      <c r="M84" s="143">
        <v>25000</v>
      </c>
      <c r="N84" s="143">
        <v>25000</v>
      </c>
    </row>
    <row r="85" spans="1:14">
      <c r="A85" s="146"/>
      <c r="B85" s="146"/>
      <c r="C85" s="147"/>
      <c r="D85" s="147"/>
      <c r="E85" s="147"/>
      <c r="F85" s="147"/>
      <c r="G85" s="147"/>
      <c r="H85" s="147"/>
      <c r="I85" s="147"/>
      <c r="J85" s="147"/>
      <c r="K85" s="147"/>
      <c r="L85" s="147"/>
      <c r="M85" s="147"/>
      <c r="N85" s="147"/>
    </row>
    <row r="86" spans="1:14">
      <c r="C86" s="138"/>
      <c r="D86" s="138"/>
      <c r="E86" s="138"/>
      <c r="F86" s="138"/>
      <c r="G86" s="138"/>
      <c r="H86" s="138"/>
      <c r="I86" s="138"/>
      <c r="J86" s="138"/>
      <c r="K86" s="138"/>
      <c r="L86" s="148"/>
      <c r="M86" s="138"/>
      <c r="N86" s="138"/>
    </row>
    <row r="87" spans="1:14">
      <c r="A87" s="152"/>
      <c r="C87" s="138"/>
      <c r="D87" s="138"/>
      <c r="E87" s="138"/>
      <c r="F87" s="138"/>
      <c r="G87" s="138"/>
      <c r="H87" s="138"/>
      <c r="I87" s="138"/>
      <c r="J87" s="138"/>
      <c r="K87" s="138"/>
      <c r="L87" s="138"/>
      <c r="M87" s="138"/>
      <c r="N87" s="138"/>
    </row>
    <row r="88" spans="1:14">
      <c r="A88" s="197" t="s">
        <v>234</v>
      </c>
      <c r="C88" s="138"/>
      <c r="D88" s="138"/>
      <c r="E88" s="138"/>
      <c r="F88" s="138"/>
      <c r="G88" s="138"/>
      <c r="H88" s="138"/>
      <c r="I88" s="138"/>
      <c r="J88" s="138"/>
      <c r="K88" s="138"/>
      <c r="L88" s="138"/>
      <c r="M88" s="138"/>
      <c r="N88" s="138"/>
    </row>
    <row r="89" spans="1:14">
      <c r="A89" s="7" t="s">
        <v>222</v>
      </c>
      <c r="B89" s="149"/>
      <c r="C89" s="138"/>
      <c r="D89" s="138"/>
      <c r="E89" s="138"/>
      <c r="F89" s="138"/>
      <c r="G89" s="138"/>
      <c r="H89" s="138"/>
      <c r="I89" s="138"/>
      <c r="J89" s="138"/>
      <c r="K89" s="138"/>
      <c r="L89" s="138"/>
      <c r="M89" s="138"/>
      <c r="N89" s="138"/>
    </row>
    <row r="90" spans="1:14">
      <c r="B90" s="150"/>
      <c r="C90" s="138"/>
      <c r="D90" s="138"/>
      <c r="E90" s="138"/>
      <c r="F90" s="138"/>
      <c r="G90" s="138"/>
      <c r="H90" s="138"/>
      <c r="I90" s="138"/>
      <c r="J90" s="138"/>
      <c r="K90" s="138"/>
      <c r="L90" s="138"/>
      <c r="M90" s="138"/>
      <c r="N90" s="138"/>
    </row>
    <row r="91" spans="1:14">
      <c r="B91" s="149"/>
      <c r="C91" s="138"/>
      <c r="D91" s="138"/>
      <c r="E91" s="138"/>
      <c r="F91" s="138"/>
      <c r="G91" s="138"/>
      <c r="H91" s="138"/>
      <c r="I91" s="138"/>
      <c r="J91" s="138"/>
      <c r="K91" s="138"/>
      <c r="L91" s="138"/>
      <c r="M91" s="138"/>
      <c r="N91" s="138"/>
    </row>
    <row r="92" spans="1:14">
      <c r="B92" s="149"/>
      <c r="C92" s="138"/>
      <c r="D92" s="138"/>
      <c r="E92" s="138"/>
      <c r="F92" s="138"/>
      <c r="G92" s="138"/>
      <c r="H92" s="138"/>
      <c r="I92" s="138"/>
      <c r="J92" s="138"/>
      <c r="K92" s="138"/>
      <c r="L92" s="138"/>
      <c r="M92" s="138"/>
      <c r="N92" s="138"/>
    </row>
    <row r="93" spans="1:14">
      <c r="B93" s="149"/>
      <c r="C93" s="138"/>
      <c r="D93" s="138"/>
      <c r="E93" s="138"/>
      <c r="F93" s="138"/>
      <c r="G93" s="138"/>
      <c r="H93" s="138"/>
      <c r="I93" s="138"/>
      <c r="J93" s="138"/>
      <c r="K93" s="138"/>
      <c r="L93" s="138"/>
      <c r="M93" s="138"/>
      <c r="N93" s="138"/>
    </row>
    <row r="94" spans="1:14">
      <c r="B94" s="149"/>
      <c r="C94" s="138"/>
      <c r="D94" s="138"/>
      <c r="E94" s="138"/>
      <c r="F94" s="138"/>
      <c r="G94" s="138"/>
      <c r="H94" s="138"/>
      <c r="I94" s="138"/>
      <c r="J94" s="138"/>
      <c r="K94" s="138"/>
      <c r="L94" s="138"/>
      <c r="M94" s="138"/>
      <c r="N94" s="138"/>
    </row>
    <row r="95" spans="1:14">
      <c r="A95" s="150"/>
      <c r="B95" s="149"/>
      <c r="C95" s="138"/>
      <c r="D95" s="138"/>
      <c r="E95" s="138"/>
      <c r="F95" s="138"/>
      <c r="G95" s="138"/>
      <c r="H95" s="138"/>
      <c r="I95" s="138"/>
      <c r="J95" s="138"/>
      <c r="K95" s="138"/>
      <c r="L95" s="138"/>
      <c r="M95" s="138"/>
      <c r="N95" s="138"/>
    </row>
    <row r="96" spans="1:14">
      <c r="A96" s="150"/>
      <c r="B96" s="149"/>
      <c r="C96" s="138"/>
      <c r="D96" s="138"/>
      <c r="E96" s="138"/>
      <c r="F96" s="138"/>
      <c r="G96" s="138"/>
      <c r="H96" s="138"/>
      <c r="I96" s="138"/>
      <c r="J96" s="138"/>
      <c r="K96" s="138"/>
      <c r="L96" s="138"/>
      <c r="M96" s="138"/>
      <c r="N96" s="138"/>
    </row>
    <row r="97" spans="1:14">
      <c r="A97" s="149"/>
      <c r="B97" s="150"/>
      <c r="C97" s="138"/>
      <c r="D97" s="138"/>
      <c r="E97" s="138"/>
      <c r="F97" s="138"/>
      <c r="G97" s="138"/>
      <c r="H97" s="138"/>
      <c r="I97" s="138"/>
      <c r="J97" s="138"/>
      <c r="K97" s="138"/>
      <c r="L97" s="138"/>
      <c r="M97" s="138"/>
      <c r="N97" s="138"/>
    </row>
    <row r="98" spans="1:14">
      <c r="A98" s="150"/>
      <c r="B98" s="150"/>
      <c r="C98" s="138"/>
      <c r="D98" s="138"/>
      <c r="E98" s="138"/>
      <c r="F98" s="138"/>
      <c r="G98" s="138"/>
      <c r="H98" s="138"/>
      <c r="I98" s="138"/>
      <c r="J98" s="138"/>
      <c r="K98" s="138"/>
      <c r="L98" s="138"/>
      <c r="M98" s="138"/>
      <c r="N98" s="138"/>
    </row>
    <row r="99" spans="1:14" ht="14.25">
      <c r="A99" s="151"/>
    </row>
  </sheetData>
  <mergeCells count="12">
    <mergeCell ref="K5:L5"/>
    <mergeCell ref="M5:N5"/>
    <mergeCell ref="A1:N1"/>
    <mergeCell ref="A2:N2"/>
    <mergeCell ref="A4:B6"/>
    <mergeCell ref="C4:F4"/>
    <mergeCell ref="G4:J4"/>
    <mergeCell ref="K4:N4"/>
    <mergeCell ref="C5:D5"/>
    <mergeCell ref="E5:F5"/>
    <mergeCell ref="G5:H5"/>
    <mergeCell ref="I5:J5"/>
  </mergeCells>
  <hyperlinks>
    <hyperlink ref="A89" location="'indice cap.2'!A1" display="regresar al índice"/>
    <hyperlink ref="A88" location="'indice cap.2'!A1" display="Notas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R687"/>
  <sheetViews>
    <sheetView showGridLines="0" workbookViewId="0">
      <pane xSplit="1" ySplit="4" topLeftCell="B5" activePane="bottomRight" state="frozen"/>
      <selection activeCell="T16" sqref="T16"/>
      <selection pane="topRight" activeCell="T16" sqref="T16"/>
      <selection pane="bottomLeft" activeCell="T16" sqref="T16"/>
      <selection pane="bottomRight" activeCell="A2" sqref="A2:L2"/>
    </sheetView>
  </sheetViews>
  <sheetFormatPr baseColWidth="10" defaultColWidth="16.42578125" defaultRowHeight="12.75"/>
  <cols>
    <col min="1" max="1" width="14.5703125" style="253" customWidth="1"/>
    <col min="2" max="2" width="9.5703125" style="253" bestFit="1" customWidth="1"/>
    <col min="3" max="3" width="12.42578125" style="253" bestFit="1" customWidth="1"/>
    <col min="4" max="4" width="10.140625" style="253" bestFit="1" customWidth="1"/>
    <col min="5" max="5" width="10" style="253" bestFit="1" customWidth="1"/>
    <col min="6" max="6" width="9" style="253" bestFit="1" customWidth="1"/>
    <col min="7" max="7" width="10" style="253" bestFit="1" customWidth="1"/>
    <col min="8" max="8" width="12.7109375" style="253" customWidth="1"/>
    <col min="9" max="9" width="6.140625" style="253" bestFit="1" customWidth="1"/>
    <col min="10" max="10" width="7.5703125" style="253" bestFit="1" customWidth="1"/>
    <col min="11" max="12" width="5.5703125" style="253" bestFit="1" customWidth="1"/>
    <col min="13" max="16384" width="16.42578125" style="253"/>
  </cols>
  <sheetData>
    <row r="1" spans="1:12" ht="15" customHeight="1">
      <c r="A1" s="377" t="s">
        <v>192</v>
      </c>
      <c r="B1" s="377"/>
      <c r="C1" s="377"/>
      <c r="D1" s="377"/>
      <c r="E1" s="377"/>
      <c r="F1" s="377"/>
      <c r="G1" s="377"/>
      <c r="H1" s="377"/>
      <c r="I1" s="377"/>
      <c r="J1" s="377"/>
      <c r="K1" s="377"/>
      <c r="L1" s="377"/>
    </row>
    <row r="2" spans="1:12">
      <c r="A2" s="377" t="s">
        <v>193</v>
      </c>
      <c r="B2" s="377"/>
      <c r="C2" s="377"/>
      <c r="D2" s="377"/>
      <c r="E2" s="377"/>
      <c r="F2" s="377"/>
      <c r="G2" s="377"/>
      <c r="H2" s="377"/>
      <c r="I2" s="377"/>
      <c r="J2" s="377"/>
      <c r="K2" s="377"/>
      <c r="L2" s="377"/>
    </row>
    <row r="3" spans="1:12">
      <c r="A3" s="88"/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</row>
    <row r="4" spans="1:12" s="169" customFormat="1" ht="25.5">
      <c r="A4" s="83" t="s">
        <v>194</v>
      </c>
      <c r="B4" s="84" t="s">
        <v>277</v>
      </c>
      <c r="C4" s="84" t="s">
        <v>278</v>
      </c>
      <c r="D4" s="84" t="s">
        <v>279</v>
      </c>
      <c r="E4" s="84" t="s">
        <v>282</v>
      </c>
      <c r="F4" s="84" t="s">
        <v>283</v>
      </c>
      <c r="G4" s="84" t="s">
        <v>280</v>
      </c>
      <c r="H4" s="84" t="s">
        <v>281</v>
      </c>
      <c r="I4" s="84" t="s">
        <v>284</v>
      </c>
      <c r="J4" s="84" t="s">
        <v>285</v>
      </c>
      <c r="K4" s="84" t="s">
        <v>195</v>
      </c>
      <c r="L4" s="85" t="s">
        <v>458</v>
      </c>
    </row>
    <row r="6" spans="1:12">
      <c r="A6" s="170">
        <v>1980</v>
      </c>
      <c r="B6" s="171">
        <v>49.02</v>
      </c>
      <c r="C6" s="171">
        <v>316.45999999999998</v>
      </c>
      <c r="D6" s="171">
        <v>1992.5</v>
      </c>
      <c r="E6" s="171">
        <v>62.46</v>
      </c>
      <c r="F6" s="171">
        <v>22.73</v>
      </c>
      <c r="G6" s="171">
        <v>4.2077</v>
      </c>
      <c r="H6" s="171">
        <v>0.42059999999999997</v>
      </c>
      <c r="I6" s="171">
        <v>1.7413000000000001</v>
      </c>
      <c r="J6" s="171">
        <v>204.08</v>
      </c>
      <c r="K6" s="171">
        <v>0.78410000000000002</v>
      </c>
      <c r="L6" s="171"/>
    </row>
    <row r="7" spans="1:12">
      <c r="A7" s="170">
        <v>1981</v>
      </c>
      <c r="B7" s="171">
        <v>54.11</v>
      </c>
      <c r="C7" s="171">
        <v>460.83</v>
      </c>
      <c r="D7" s="171">
        <v>7248</v>
      </c>
      <c r="E7" s="171">
        <v>118.06</v>
      </c>
      <c r="F7" s="171">
        <v>25.44</v>
      </c>
      <c r="G7" s="171">
        <v>4.2079000000000004</v>
      </c>
      <c r="H7" s="171">
        <v>0.52070000000000005</v>
      </c>
      <c r="I7" s="171">
        <v>1.8015000000000001</v>
      </c>
      <c r="J7" s="171">
        <v>212.77</v>
      </c>
      <c r="K7" s="171">
        <v>0.85909999999999997</v>
      </c>
      <c r="L7" s="171"/>
    </row>
    <row r="8" spans="1:12">
      <c r="A8" s="170">
        <v>1982</v>
      </c>
      <c r="B8" s="171">
        <v>67.25</v>
      </c>
      <c r="C8" s="171">
        <v>884.96</v>
      </c>
      <c r="D8" s="171">
        <v>48545</v>
      </c>
      <c r="E8" s="171">
        <v>231.48</v>
      </c>
      <c r="F8" s="171">
        <v>125.47</v>
      </c>
      <c r="G8" s="171">
        <v>4.2107000000000001</v>
      </c>
      <c r="H8" s="171">
        <v>0.60640000000000005</v>
      </c>
      <c r="I8" s="171">
        <v>2.0733999999999999</v>
      </c>
      <c r="J8" s="171">
        <v>243.9</v>
      </c>
      <c r="K8" s="171">
        <v>0.90649999999999997</v>
      </c>
      <c r="L8" s="171"/>
    </row>
    <row r="9" spans="1:12">
      <c r="A9" s="170">
        <v>1983</v>
      </c>
      <c r="B9" s="171">
        <v>87.5</v>
      </c>
      <c r="C9" s="171">
        <v>2245.5</v>
      </c>
      <c r="D9" s="171">
        <v>23.05</v>
      </c>
      <c r="E9" s="171">
        <v>940</v>
      </c>
      <c r="F9" s="171">
        <v>170</v>
      </c>
      <c r="G9" s="171">
        <v>12.8</v>
      </c>
      <c r="H9" s="171">
        <v>0.69040000000000001</v>
      </c>
      <c r="I9" s="171">
        <v>2.1829999999999998</v>
      </c>
      <c r="J9" s="171">
        <v>232.56</v>
      </c>
      <c r="K9" s="171">
        <v>0.95520000000000005</v>
      </c>
      <c r="L9" s="171"/>
    </row>
    <row r="10" spans="1:12">
      <c r="A10" s="170">
        <v>1984</v>
      </c>
      <c r="B10" s="171">
        <v>97.09</v>
      </c>
      <c r="C10" s="171">
        <v>5555.56</v>
      </c>
      <c r="D10" s="171">
        <v>163.93</v>
      </c>
      <c r="E10" s="171">
        <v>3030.3</v>
      </c>
      <c r="F10" s="171">
        <v>222.22</v>
      </c>
      <c r="G10" s="171">
        <v>12.5</v>
      </c>
      <c r="H10" s="171">
        <v>0.87039999999999995</v>
      </c>
      <c r="I10" s="171">
        <v>2.6219999999999999</v>
      </c>
      <c r="J10" s="171">
        <v>250</v>
      </c>
      <c r="K10" s="171">
        <v>1.0202</v>
      </c>
      <c r="L10" s="171"/>
    </row>
    <row r="11" spans="1:12">
      <c r="A11" s="170">
        <v>1985</v>
      </c>
      <c r="B11" s="171">
        <v>172.41</v>
      </c>
      <c r="C11" s="171">
        <v>13942</v>
      </c>
      <c r="D11" s="171">
        <v>0.80049999999999999</v>
      </c>
      <c r="E11" s="171">
        <v>10490</v>
      </c>
      <c r="F11" s="171">
        <v>500</v>
      </c>
      <c r="G11" s="171">
        <v>14.64</v>
      </c>
      <c r="H11" s="171">
        <v>0.69930000000000003</v>
      </c>
      <c r="I11" s="171">
        <v>2.0899000000000001</v>
      </c>
      <c r="J11" s="171">
        <v>204.08</v>
      </c>
      <c r="K11" s="171">
        <v>0.91039999999999999</v>
      </c>
      <c r="L11" s="171"/>
    </row>
    <row r="12" spans="1:12">
      <c r="A12" s="170">
        <v>1986</v>
      </c>
      <c r="B12" s="171">
        <v>219.78</v>
      </c>
      <c r="C12" s="172">
        <v>13.95</v>
      </c>
      <c r="D12" s="172">
        <v>1.2191000000000001</v>
      </c>
      <c r="E12" s="172">
        <v>14.71</v>
      </c>
      <c r="F12" s="172">
        <v>909.09</v>
      </c>
      <c r="G12" s="172">
        <v>20.28</v>
      </c>
      <c r="H12" s="172">
        <v>0.68</v>
      </c>
      <c r="I12" s="172">
        <v>1.63</v>
      </c>
      <c r="J12" s="172">
        <v>158.97999999999999</v>
      </c>
      <c r="K12" s="172">
        <v>0.8175</v>
      </c>
      <c r="L12" s="171"/>
    </row>
    <row r="13" spans="1:12">
      <c r="A13" s="170">
        <v>1987</v>
      </c>
      <c r="B13" s="171">
        <v>2961.1</v>
      </c>
      <c r="C13" s="172">
        <v>33</v>
      </c>
      <c r="D13" s="172">
        <v>4.5199999999999996</v>
      </c>
      <c r="E13" s="172">
        <v>67.569999999999993</v>
      </c>
      <c r="F13" s="172">
        <v>2222.2199999999998</v>
      </c>
      <c r="G13" s="172">
        <v>30.96</v>
      </c>
      <c r="H13" s="172">
        <v>0.54</v>
      </c>
      <c r="I13" s="172">
        <v>1.28</v>
      </c>
      <c r="J13" s="172">
        <v>123.15</v>
      </c>
      <c r="K13" s="172">
        <v>0.7</v>
      </c>
      <c r="L13" s="171"/>
    </row>
    <row r="14" spans="1:12">
      <c r="A14" s="170">
        <v>1988</v>
      </c>
      <c r="B14" s="171">
        <v>335.57</v>
      </c>
      <c r="C14" s="172">
        <v>1428.57</v>
      </c>
      <c r="D14" s="172">
        <v>16.309999999999999</v>
      </c>
      <c r="E14" s="172">
        <v>740.74</v>
      </c>
      <c r="F14" s="172">
        <v>2272.73</v>
      </c>
      <c r="G14" s="172">
        <v>39.29</v>
      </c>
      <c r="H14" s="172">
        <v>0.56000000000000005</v>
      </c>
      <c r="I14" s="172">
        <v>1.51</v>
      </c>
      <c r="J14" s="172">
        <v>125.63</v>
      </c>
      <c r="K14" s="172">
        <v>0.74</v>
      </c>
      <c r="L14" s="171"/>
    </row>
    <row r="15" spans="1:12">
      <c r="A15" s="170">
        <v>1989</v>
      </c>
      <c r="B15" s="171">
        <v>421.94</v>
      </c>
      <c r="C15" s="172">
        <v>14285.71</v>
      </c>
      <c r="D15" s="172">
        <v>1428.57</v>
      </c>
      <c r="E15" s="172">
        <v>22.8</v>
      </c>
      <c r="F15" s="172">
        <v>2702.7</v>
      </c>
      <c r="G15" s="172">
        <v>42.99</v>
      </c>
      <c r="H15" s="172">
        <v>0.61</v>
      </c>
      <c r="I15" s="172">
        <v>1.53</v>
      </c>
      <c r="J15" s="172">
        <v>141.84</v>
      </c>
      <c r="K15" s="172">
        <v>0.76</v>
      </c>
      <c r="L15" s="172">
        <v>0.83</v>
      </c>
    </row>
    <row r="16" spans="1:12">
      <c r="A16" s="170">
        <v>1990</v>
      </c>
      <c r="B16" s="171">
        <v>568.17999999999995</v>
      </c>
      <c r="C16" s="172">
        <v>1000000</v>
      </c>
      <c r="D16" s="172">
        <v>5000</v>
      </c>
      <c r="E16" s="172">
        <v>175.13</v>
      </c>
      <c r="F16" s="172">
        <v>2941.18</v>
      </c>
      <c r="G16" s="172">
        <v>50.2</v>
      </c>
      <c r="H16" s="172">
        <v>0.53</v>
      </c>
      <c r="I16" s="172">
        <v>1.31</v>
      </c>
      <c r="J16" s="172">
        <v>136.24</v>
      </c>
      <c r="K16" s="172">
        <v>0.71</v>
      </c>
      <c r="L16" s="172">
        <v>0.75</v>
      </c>
    </row>
    <row r="17" spans="1:18">
      <c r="A17" s="170">
        <v>1991</v>
      </c>
      <c r="B17" s="171">
        <v>599.99</v>
      </c>
      <c r="C17" s="172">
        <v>1.06</v>
      </c>
      <c r="D17" s="172">
        <v>9910.7999999999993</v>
      </c>
      <c r="E17" s="172">
        <v>1034.23</v>
      </c>
      <c r="F17" s="172">
        <v>3080.71</v>
      </c>
      <c r="G17" s="172">
        <v>61.56</v>
      </c>
      <c r="H17" s="172">
        <v>0.53</v>
      </c>
      <c r="I17" s="172">
        <v>1.34</v>
      </c>
      <c r="J17" s="172">
        <v>126.35</v>
      </c>
      <c r="K17" s="172">
        <v>0.7</v>
      </c>
      <c r="L17" s="172">
        <v>0.75</v>
      </c>
    </row>
    <row r="18" spans="1:18">
      <c r="A18" s="170">
        <v>1992</v>
      </c>
      <c r="B18" s="171">
        <v>695.02</v>
      </c>
      <c r="C18" s="172">
        <v>1.58</v>
      </c>
      <c r="D18" s="172">
        <v>0.99</v>
      </c>
      <c r="E18" s="172">
        <v>11976.05</v>
      </c>
      <c r="F18" s="172">
        <v>3119.15</v>
      </c>
      <c r="G18" s="172">
        <v>79.150000000000006</v>
      </c>
      <c r="H18" s="172">
        <v>0.67</v>
      </c>
      <c r="I18" s="172">
        <v>1.47</v>
      </c>
      <c r="J18" s="172">
        <v>124.9</v>
      </c>
      <c r="K18" s="172">
        <v>0.73</v>
      </c>
      <c r="L18" s="172">
        <v>0.82</v>
      </c>
    </row>
    <row r="19" spans="1:18">
      <c r="A19" s="170">
        <v>1993</v>
      </c>
      <c r="B19" s="171">
        <v>802.24</v>
      </c>
      <c r="C19" s="172">
        <v>2.16</v>
      </c>
      <c r="D19" s="172">
        <v>1</v>
      </c>
      <c r="E19" s="172">
        <v>311.2</v>
      </c>
      <c r="F19" s="172">
        <v>3.11</v>
      </c>
      <c r="G19" s="172">
        <v>105.96</v>
      </c>
      <c r="H19" s="172">
        <v>0.66</v>
      </c>
      <c r="I19" s="172">
        <v>1.44</v>
      </c>
      <c r="J19" s="172">
        <v>111.3</v>
      </c>
      <c r="K19" s="172">
        <v>0.72</v>
      </c>
      <c r="L19" s="172">
        <v>0.88</v>
      </c>
    </row>
    <row r="20" spans="1:18">
      <c r="A20" s="170">
        <v>1994</v>
      </c>
      <c r="B20" s="172">
        <v>825.96</v>
      </c>
      <c r="C20" s="172">
        <v>2.1469</v>
      </c>
      <c r="D20" s="172">
        <v>0.99939999999999996</v>
      </c>
      <c r="E20" s="172">
        <v>0.85099999999999998</v>
      </c>
      <c r="F20" s="172">
        <v>4.8</v>
      </c>
      <c r="G20" s="172">
        <v>169.56</v>
      </c>
      <c r="H20" s="172">
        <v>0.64700000000000002</v>
      </c>
      <c r="I20" s="172">
        <v>1.3323</v>
      </c>
      <c r="J20" s="172">
        <v>100.07</v>
      </c>
      <c r="K20" s="172">
        <v>0.69020000000000004</v>
      </c>
      <c r="L20" s="172">
        <v>0.82979999999999998</v>
      </c>
      <c r="M20" s="158"/>
      <c r="N20" s="158"/>
      <c r="O20" s="158"/>
      <c r="P20" s="159"/>
      <c r="Q20" s="159"/>
      <c r="R20" s="159"/>
    </row>
    <row r="21" spans="1:18">
      <c r="A21" s="170">
        <v>1995</v>
      </c>
      <c r="B21" s="172">
        <v>990.49</v>
      </c>
      <c r="C21" s="172">
        <v>2.2999999999999998</v>
      </c>
      <c r="D21" s="172">
        <v>1.0001</v>
      </c>
      <c r="E21" s="172">
        <v>0.97170000000000001</v>
      </c>
      <c r="F21" s="172">
        <v>7.69</v>
      </c>
      <c r="G21" s="172">
        <v>289.25</v>
      </c>
      <c r="H21" s="172">
        <v>0.64539999999999997</v>
      </c>
      <c r="I21" s="172">
        <v>1.1509</v>
      </c>
      <c r="J21" s="172">
        <v>103.15</v>
      </c>
      <c r="K21" s="172">
        <v>0.67230000000000001</v>
      </c>
      <c r="L21" s="172">
        <v>0.78110000000000002</v>
      </c>
      <c r="M21" s="158"/>
      <c r="N21" s="158"/>
      <c r="O21" s="158"/>
      <c r="P21" s="159"/>
      <c r="Q21" s="159"/>
      <c r="R21" s="159"/>
    </row>
    <row r="22" spans="1:18">
      <c r="A22" s="170">
        <v>1996</v>
      </c>
      <c r="B22" s="172">
        <v>1003.9152695512499</v>
      </c>
      <c r="C22" s="172">
        <v>2.5860000165504005</v>
      </c>
      <c r="D22" s="172">
        <v>0.99942003655278844</v>
      </c>
      <c r="E22" s="172">
        <v>1.039299985730411</v>
      </c>
      <c r="F22" s="172">
        <v>7.8519992367856739</v>
      </c>
      <c r="G22" s="172">
        <v>475.35294956505203</v>
      </c>
      <c r="H22" s="172">
        <v>0.59084194977843429</v>
      </c>
      <c r="I22" s="172">
        <v>1.3497999933859801</v>
      </c>
      <c r="J22" s="172">
        <v>115.68049048527966</v>
      </c>
      <c r="K22" s="172">
        <v>0.69662138627655867</v>
      </c>
      <c r="L22" s="172">
        <v>0.8061265618702137</v>
      </c>
      <c r="M22" s="158"/>
      <c r="N22" s="158"/>
      <c r="O22" s="158"/>
      <c r="P22" s="159"/>
      <c r="Q22" s="159"/>
      <c r="R22" s="159"/>
    </row>
    <row r="23" spans="1:18">
      <c r="A23" s="170">
        <v>1997</v>
      </c>
      <c r="B23" s="172">
        <v>1289.3243940175348</v>
      </c>
      <c r="C23" s="172">
        <v>2.7210003267921392</v>
      </c>
      <c r="D23" s="172">
        <v>0.99942003655278844</v>
      </c>
      <c r="E23" s="172">
        <v>1.1146999495263863</v>
      </c>
      <c r="F23" s="172">
        <v>8.1370010594375373</v>
      </c>
      <c r="G23" s="172">
        <v>502.73993263284899</v>
      </c>
      <c r="H23" s="172">
        <v>0.59844404548174746</v>
      </c>
      <c r="I23" s="172">
        <v>1.4332000505059699</v>
      </c>
      <c r="J23" s="172">
        <v>130.34920552159235</v>
      </c>
      <c r="K23" s="172">
        <v>0.7377786959023771</v>
      </c>
      <c r="L23" s="172">
        <v>0.89678055779750698</v>
      </c>
      <c r="M23" s="158"/>
      <c r="N23" s="158"/>
      <c r="O23" s="158"/>
      <c r="P23" s="159"/>
      <c r="Q23" s="159"/>
      <c r="R23" s="159"/>
    </row>
    <row r="24" spans="1:18">
      <c r="A24" s="170">
        <v>1998</v>
      </c>
      <c r="B24" s="172">
        <v>1492.982979994028</v>
      </c>
      <c r="C24" s="172">
        <v>3.125</v>
      </c>
      <c r="D24" s="172">
        <v>0.99915002307536982</v>
      </c>
      <c r="E24" s="172">
        <v>1.207400058365719</v>
      </c>
      <c r="F24" s="172">
        <v>9.8750022218754996</v>
      </c>
      <c r="G24" s="172">
        <v>562.49296883788952</v>
      </c>
      <c r="H24" s="172">
        <v>0.59772863120143449</v>
      </c>
      <c r="I24" s="172">
        <v>1.3749000447667454</v>
      </c>
      <c r="J24" s="172">
        <v>116.16965416293955</v>
      </c>
      <c r="K24" s="172">
        <v>0.71214926648625554</v>
      </c>
      <c r="L24" s="172">
        <v>0.85623769158318352</v>
      </c>
      <c r="M24" s="158"/>
      <c r="N24" s="158"/>
      <c r="O24" s="158"/>
      <c r="P24" s="159"/>
      <c r="Q24" s="159"/>
      <c r="R24" s="159"/>
    </row>
    <row r="25" spans="1:18">
      <c r="A25" s="170">
        <v>1999</v>
      </c>
      <c r="B25" s="172">
        <v>1875.1171948246765</v>
      </c>
      <c r="C25" s="172">
        <v>3.4940002774236221</v>
      </c>
      <c r="D25" s="172">
        <v>0.99947997057131177</v>
      </c>
      <c r="E25" s="172">
        <v>1.829999957910001</v>
      </c>
      <c r="F25" s="172">
        <v>9.4070014430340212</v>
      </c>
      <c r="G25" s="172">
        <v>645.24454768357202</v>
      </c>
      <c r="H25" s="172">
        <v>0.61885017637230033</v>
      </c>
      <c r="I25" s="172">
        <v>1.5849000863136586</v>
      </c>
      <c r="J25" s="172">
        <v>102.87007509515482</v>
      </c>
      <c r="K25" s="172">
        <v>0.72766434299186467</v>
      </c>
      <c r="L25" s="172">
        <v>0.98745926730522371</v>
      </c>
      <c r="M25" s="158"/>
      <c r="N25" s="158"/>
      <c r="O25" s="158"/>
      <c r="P25" s="159"/>
      <c r="Q25" s="159"/>
      <c r="R25" s="159"/>
    </row>
    <row r="26" spans="1:18">
      <c r="A26" s="170">
        <v>2000</v>
      </c>
      <c r="B26" s="172">
        <v>2232.1428571428573</v>
      </c>
      <c r="C26" s="172">
        <v>3.5240005582016889</v>
      </c>
      <c r="D26" s="172">
        <v>0.99836996136408085</v>
      </c>
      <c r="E26" s="172">
        <v>1.9490001239564081</v>
      </c>
      <c r="F26" s="172">
        <v>9.6110042153864494</v>
      </c>
      <c r="G26" s="172">
        <v>699.00740947854047</v>
      </c>
      <c r="H26" s="172">
        <v>0.66907533788304563</v>
      </c>
      <c r="I26" s="172">
        <v>1.6222000016870881</v>
      </c>
      <c r="J26" s="172">
        <v>114.44004486049759</v>
      </c>
      <c r="K26" s="172">
        <v>0.76751272152335925</v>
      </c>
      <c r="L26" s="172">
        <v>1.0666666666666667</v>
      </c>
      <c r="M26" s="158"/>
      <c r="N26" s="158"/>
      <c r="O26" s="158"/>
      <c r="P26" s="159"/>
      <c r="Q26" s="159"/>
      <c r="R26" s="159"/>
    </row>
    <row r="27" spans="1:18">
      <c r="A27" s="170">
        <v>2001</v>
      </c>
      <c r="B27" s="172">
        <v>2274.7952684258416</v>
      </c>
      <c r="C27" s="172">
        <v>3.44359969117798</v>
      </c>
      <c r="D27" s="172">
        <v>0.99900000099899999</v>
      </c>
      <c r="E27" s="172">
        <v>2.3090000898201035</v>
      </c>
      <c r="F27" s="172">
        <v>9.1440024944838818</v>
      </c>
      <c r="G27" s="172">
        <v>757.00227100681309</v>
      </c>
      <c r="H27" s="172">
        <v>0.68719076415612967</v>
      </c>
      <c r="I27" s="172">
        <v>1.6591000643067186</v>
      </c>
      <c r="J27" s="172">
        <v>130.99979040033537</v>
      </c>
      <c r="K27" s="172">
        <v>0.79641929883244933</v>
      </c>
      <c r="L27" s="172">
        <v>1.1225864391558149</v>
      </c>
      <c r="M27" s="158"/>
      <c r="N27" s="158"/>
      <c r="O27" s="158"/>
      <c r="P27" s="159"/>
      <c r="Q27" s="159"/>
      <c r="R27" s="159"/>
    </row>
    <row r="28" spans="1:18">
      <c r="A28" s="170">
        <v>2002</v>
      </c>
      <c r="B28" s="172">
        <v>2854.6959748786753</v>
      </c>
      <c r="C28" s="172">
        <v>3.5154994856824251</v>
      </c>
      <c r="D28" s="172">
        <v>3.3600005376000857</v>
      </c>
      <c r="E28" s="172">
        <v>3.5329996297416386</v>
      </c>
      <c r="F28" s="172">
        <v>10.488997042102833</v>
      </c>
      <c r="G28" s="172">
        <v>1387.9250520471894</v>
      </c>
      <c r="H28" s="172">
        <v>0.62289772019434408</v>
      </c>
      <c r="I28" s="172">
        <v>1.3873000449762674</v>
      </c>
      <c r="J28" s="172">
        <v>118.45955198597439</v>
      </c>
      <c r="K28" s="172">
        <v>0.73823620605648987</v>
      </c>
      <c r="L28" s="172">
        <v>0.95410743249689911</v>
      </c>
      <c r="M28" s="158"/>
      <c r="N28" s="158"/>
      <c r="O28" s="158"/>
      <c r="P28" s="159"/>
      <c r="Q28" s="159"/>
      <c r="R28" s="159"/>
    </row>
    <row r="29" spans="1:18">
      <c r="A29" s="170">
        <v>2003</v>
      </c>
      <c r="B29" s="172">
        <v>2778.5495971103082</v>
      </c>
      <c r="C29" s="172">
        <v>3.4612998980993308</v>
      </c>
      <c r="D29" s="172">
        <v>2.9300002431900203</v>
      </c>
      <c r="E29" s="172">
        <v>2.889999676320036</v>
      </c>
      <c r="F29" s="172">
        <v>11.233001660237646</v>
      </c>
      <c r="G29" s="172">
        <v>1595.9144589849982</v>
      </c>
      <c r="H29" s="172">
        <v>0.5601613264620211</v>
      </c>
      <c r="I29" s="172">
        <v>1.237500012375</v>
      </c>
      <c r="J29" s="172">
        <v>107.08013877585987</v>
      </c>
      <c r="K29" s="172">
        <v>0.67296109611903332</v>
      </c>
      <c r="L29" s="172">
        <v>0.80070462006565779</v>
      </c>
      <c r="M29" s="158"/>
      <c r="N29" s="158"/>
      <c r="O29" s="158"/>
      <c r="P29" s="159"/>
      <c r="Q29" s="159"/>
      <c r="R29" s="159"/>
    </row>
    <row r="30" spans="1:18">
      <c r="A30" s="170">
        <v>2004</v>
      </c>
      <c r="B30" s="172">
        <v>2374.7328425552128</v>
      </c>
      <c r="C30" s="172">
        <v>3.2790002983890272</v>
      </c>
      <c r="D30" s="172">
        <v>2.9700003237300354</v>
      </c>
      <c r="E30" s="172">
        <v>2.6515000861737525</v>
      </c>
      <c r="F30" s="172">
        <v>11.211503899921631</v>
      </c>
      <c r="G30" s="172">
        <v>1915.3418885271024</v>
      </c>
      <c r="H30" s="172">
        <v>0.52031843488214791</v>
      </c>
      <c r="I30" s="172">
        <v>1.1335999711612168</v>
      </c>
      <c r="J30" s="172">
        <v>103.01950159165131</v>
      </c>
      <c r="K30" s="172">
        <v>0.64606160843498028</v>
      </c>
      <c r="L30" s="172">
        <v>0.7337295472888693</v>
      </c>
      <c r="M30" s="158"/>
      <c r="N30" s="158"/>
      <c r="O30" s="158"/>
      <c r="P30" s="159"/>
      <c r="Q30" s="159"/>
      <c r="R30" s="159"/>
    </row>
    <row r="31" spans="1:18">
      <c r="A31" s="170">
        <v>2005</v>
      </c>
      <c r="B31" s="172">
        <v>2283.1050228310501</v>
      </c>
      <c r="C31" s="172">
        <v>3.4239997041664259</v>
      </c>
      <c r="D31" s="172">
        <v>3.03250021454939</v>
      </c>
      <c r="E31" s="172">
        <v>2.340999873820107</v>
      </c>
      <c r="F31" s="172">
        <v>10.7350042725317</v>
      </c>
      <c r="G31" s="172">
        <v>2144.542140253056</v>
      </c>
      <c r="H31" s="172">
        <v>0.5813277525869085</v>
      </c>
      <c r="I31" s="172">
        <v>1.3173000355012361</v>
      </c>
      <c r="J31" s="172">
        <v>117.79950524207798</v>
      </c>
      <c r="K31" s="172">
        <v>0.69700011152001784</v>
      </c>
      <c r="L31" s="172">
        <v>0.84502281561602166</v>
      </c>
      <c r="M31" s="158"/>
      <c r="N31" s="158"/>
      <c r="O31" s="158"/>
      <c r="P31" s="159"/>
      <c r="Q31" s="159"/>
      <c r="R31" s="159"/>
    </row>
    <row r="32" spans="1:18">
      <c r="A32" s="170">
        <v>2006</v>
      </c>
      <c r="B32" s="172">
        <v>2242.6553038797938</v>
      </c>
      <c r="C32" s="172">
        <v>3.195000463275067</v>
      </c>
      <c r="D32" s="172">
        <v>3.06999999079</v>
      </c>
      <c r="E32" s="172">
        <v>2.1359999726592003</v>
      </c>
      <c r="F32" s="172">
        <v>10.872496064156426</v>
      </c>
      <c r="G32" s="172">
        <v>2144.542140253056</v>
      </c>
      <c r="H32" s="172">
        <v>0.51015202530354042</v>
      </c>
      <c r="I32" s="172">
        <v>1.2215999392131871</v>
      </c>
      <c r="J32" s="172">
        <v>118.9499101928178</v>
      </c>
      <c r="K32" s="172">
        <v>0.66526517469863489</v>
      </c>
      <c r="L32" s="172">
        <v>0.7607455306200076</v>
      </c>
      <c r="M32" s="158"/>
      <c r="N32" s="158"/>
      <c r="O32" s="158"/>
      <c r="P32" s="159"/>
      <c r="Q32" s="159"/>
      <c r="R32" s="159"/>
    </row>
    <row r="33" spans="1:18">
      <c r="A33" s="173">
        <v>2007</v>
      </c>
      <c r="B33" s="174">
        <v>2016.1290322580644</v>
      </c>
      <c r="C33" s="174">
        <v>2.9910003789597481</v>
      </c>
      <c r="D33" s="174">
        <v>3.1500001732500098</v>
      </c>
      <c r="E33" s="174">
        <v>1.7690999102712526</v>
      </c>
      <c r="F33" s="174">
        <v>10.903793647885971</v>
      </c>
      <c r="G33" s="174">
        <v>2144.542140253056</v>
      </c>
      <c r="H33" s="174">
        <v>0.50127825956188288</v>
      </c>
      <c r="I33" s="174">
        <v>1.1271000268587936</v>
      </c>
      <c r="J33" s="174">
        <v>112.99052009536399</v>
      </c>
      <c r="K33" s="174">
        <v>0.63352085550656323</v>
      </c>
      <c r="L33" s="172">
        <v>0.67948630835088675</v>
      </c>
      <c r="M33" s="158"/>
      <c r="N33" s="158"/>
      <c r="O33" s="159"/>
      <c r="P33" s="159"/>
      <c r="Q33" s="159"/>
    </row>
    <row r="34" spans="1:18">
      <c r="A34" s="170">
        <v>2008</v>
      </c>
      <c r="B34" s="174">
        <v>2232.6412145568206</v>
      </c>
      <c r="C34" s="174">
        <v>3.1380001462308065</v>
      </c>
      <c r="D34" s="174">
        <v>3.4498996941663922</v>
      </c>
      <c r="E34" s="174">
        <v>2.3205000399126008</v>
      </c>
      <c r="F34" s="174">
        <v>13.747197290152469</v>
      </c>
      <c r="G34" s="174">
        <v>2.1446000899874198</v>
      </c>
      <c r="H34" s="174">
        <v>0.69401550430636616</v>
      </c>
      <c r="I34" s="174">
        <v>1.0553999485598065</v>
      </c>
      <c r="J34" s="174">
        <v>90.339949228948527</v>
      </c>
      <c r="K34" s="174">
        <v>0.64607413054573881</v>
      </c>
      <c r="L34" s="172">
        <v>0.70846617074034712</v>
      </c>
      <c r="M34" s="158"/>
      <c r="N34" s="158"/>
      <c r="O34" s="159"/>
      <c r="P34" s="159"/>
      <c r="Q34" s="159"/>
    </row>
    <row r="35" spans="1:18">
      <c r="A35" s="173">
        <v>2009</v>
      </c>
      <c r="B35" s="174">
        <v>2040.3999183840031</v>
      </c>
      <c r="C35" s="174">
        <v>2.8885997079625696</v>
      </c>
      <c r="D35" s="174">
        <v>3.8143000397068634</v>
      </c>
      <c r="E35" s="174">
        <v>1.7459999577468011</v>
      </c>
      <c r="F35" s="174">
        <v>13.028195620962888</v>
      </c>
      <c r="G35" s="174">
        <v>2.1446000899874198</v>
      </c>
      <c r="H35" s="174">
        <v>0.62507813476684582</v>
      </c>
      <c r="I35" s="174">
        <v>1.0409999929212002</v>
      </c>
      <c r="J35" s="174">
        <v>92.699884125144848</v>
      </c>
      <c r="K35" s="174">
        <v>0.64020896420591678</v>
      </c>
      <c r="L35" s="172">
        <v>0.69965297212582556</v>
      </c>
      <c r="M35" s="158"/>
      <c r="N35" s="158"/>
      <c r="O35" s="159"/>
      <c r="P35" s="159"/>
      <c r="Q35" s="159"/>
    </row>
    <row r="36" spans="1:18">
      <c r="A36" s="170">
        <v>2010</v>
      </c>
      <c r="B36" s="174">
        <v>1895.016107636915</v>
      </c>
      <c r="C36" s="174">
        <v>2.8059999012288035</v>
      </c>
      <c r="D36" s="174">
        <v>3.9747997694616135</v>
      </c>
      <c r="E36" s="174">
        <v>1.6637999393711302</v>
      </c>
      <c r="F36" s="174">
        <v>12.378305781287716</v>
      </c>
      <c r="G36" s="174">
        <v>3.45</v>
      </c>
      <c r="H36" s="174">
        <v>0.64880295854149095</v>
      </c>
      <c r="I36" s="174">
        <v>0.93919995191296257</v>
      </c>
      <c r="J36" s="174">
        <v>81.744760160873696</v>
      </c>
      <c r="K36" s="174">
        <v>0.64933799990909269</v>
      </c>
      <c r="L36" s="172">
        <v>0.75279097253065741</v>
      </c>
      <c r="M36" s="158"/>
      <c r="N36" s="158"/>
      <c r="O36" s="159"/>
      <c r="P36" s="159"/>
      <c r="Q36" s="159"/>
    </row>
    <row r="37" spans="1:18" s="77" customFormat="1">
      <c r="A37" s="173">
        <v>2011</v>
      </c>
      <c r="B37" s="174">
        <v>1939.4879751745541</v>
      </c>
      <c r="C37" s="174">
        <v>2.6802997432808908</v>
      </c>
      <c r="D37" s="174">
        <v>4.3009994232359778</v>
      </c>
      <c r="E37" s="174">
        <v>1.8648001260604887</v>
      </c>
      <c r="F37" s="174">
        <v>13.977295281544659</v>
      </c>
      <c r="G37" s="174">
        <v>4.2946499999999999</v>
      </c>
      <c r="H37" s="174">
        <v>0.64951091827853624</v>
      </c>
      <c r="I37" s="174">
        <v>0.94184502542887383</v>
      </c>
      <c r="J37" s="174">
        <v>77.714569927570025</v>
      </c>
      <c r="K37" s="174">
        <v>0.65342394145321481</v>
      </c>
      <c r="L37" s="174">
        <v>0.77263034273882003</v>
      </c>
      <c r="M37" s="161"/>
      <c r="N37" s="161"/>
      <c r="O37" s="162"/>
      <c r="P37" s="162"/>
      <c r="Q37" s="162"/>
    </row>
    <row r="38" spans="1:18" s="77" customFormat="1">
      <c r="A38" s="170">
        <v>2012</v>
      </c>
      <c r="B38" s="174">
        <v>1760.5633802816901</v>
      </c>
      <c r="C38" s="174">
        <v>2.5520001939520145</v>
      </c>
      <c r="D38" s="174">
        <v>4.9099997054000175</v>
      </c>
      <c r="E38" s="174">
        <v>2.0429501671337533</v>
      </c>
      <c r="F38" s="174">
        <v>12.989897756514758</v>
      </c>
      <c r="G38" s="174">
        <v>4.2946499999999999</v>
      </c>
      <c r="H38" s="174">
        <v>0.61869319623092112</v>
      </c>
      <c r="I38" s="174">
        <v>0.91319997691430455</v>
      </c>
      <c r="J38" s="174">
        <v>86.102237797160342</v>
      </c>
      <c r="K38" s="174">
        <v>0.65065195325716363</v>
      </c>
      <c r="L38" s="174">
        <v>0.75650404351411249</v>
      </c>
      <c r="M38" s="161"/>
      <c r="N38" s="161"/>
      <c r="O38" s="162"/>
      <c r="P38" s="162"/>
      <c r="Q38" s="162"/>
    </row>
    <row r="39" spans="1:18" s="77" customFormat="1">
      <c r="A39" s="173">
        <v>2013</v>
      </c>
      <c r="B39" s="174">
        <v>1925.2984212552944</v>
      </c>
      <c r="C39" s="174">
        <v>2.7949996338550482</v>
      </c>
      <c r="D39" s="174">
        <v>6.519300061868158</v>
      </c>
      <c r="E39" s="174">
        <v>2.3551999517655049</v>
      </c>
      <c r="F39" s="174">
        <v>13.054301979945983</v>
      </c>
      <c r="G39" s="174">
        <v>6.2921008840615045</v>
      </c>
      <c r="H39" s="174">
        <v>0.605370850182822</v>
      </c>
      <c r="I39" s="174">
        <v>0.88649998812090025</v>
      </c>
      <c r="J39" s="174">
        <v>105.03098414032139</v>
      </c>
      <c r="K39" s="174">
        <v>0.64935064935064934</v>
      </c>
      <c r="L39" s="174">
        <v>0.72378277831257287</v>
      </c>
      <c r="M39" s="161"/>
      <c r="N39" s="161"/>
      <c r="O39" s="162"/>
      <c r="P39" s="162"/>
      <c r="Q39" s="162"/>
    </row>
    <row r="40" spans="1:18" s="77" customFormat="1">
      <c r="A40" s="170">
        <v>2014</v>
      </c>
      <c r="B40" s="174">
        <v>2388.9154323936932</v>
      </c>
      <c r="C40" s="174">
        <v>2.987750224081267</v>
      </c>
      <c r="D40" s="174">
        <v>8.5484990545360038</v>
      </c>
      <c r="E40" s="174">
        <v>2.6621998502778803</v>
      </c>
      <c r="F40" s="174">
        <v>14.734006972132098</v>
      </c>
      <c r="G40" s="174">
        <v>6.2921008840615045</v>
      </c>
      <c r="H40" s="174">
        <v>0.64286357149285778</v>
      </c>
      <c r="I40" s="174">
        <v>0.98867003908608142</v>
      </c>
      <c r="J40" s="174">
        <v>119.34598400763815</v>
      </c>
      <c r="K40" s="174">
        <v>0.69042654551982219</v>
      </c>
      <c r="L40" s="174">
        <v>0.82210475258757465</v>
      </c>
      <c r="M40" s="161"/>
      <c r="N40" s="161"/>
      <c r="O40" s="162"/>
      <c r="P40" s="162"/>
      <c r="Q40" s="162"/>
    </row>
    <row r="41" spans="1:18" s="77" customFormat="1">
      <c r="A41" s="173">
        <v>2015</v>
      </c>
      <c r="B41" s="174">
        <v>3169.5721077654516</v>
      </c>
      <c r="C41" s="174">
        <v>3.4100003716900407</v>
      </c>
      <c r="D41" s="174">
        <v>12.974796457880567</v>
      </c>
      <c r="E41" s="174">
        <v>3.9939994152784859</v>
      </c>
      <c r="F41" s="174">
        <v>17.33709201488216</v>
      </c>
      <c r="G41" s="174">
        <v>6.2921008840615045</v>
      </c>
      <c r="H41" s="174">
        <v>0.67420881595447746</v>
      </c>
      <c r="I41" s="174">
        <v>0.98980001189739608</v>
      </c>
      <c r="J41" s="174">
        <v>120.59671253361633</v>
      </c>
      <c r="K41" s="174">
        <v>0.72105331468208755</v>
      </c>
      <c r="L41" s="174">
        <v>0.91612844120745729</v>
      </c>
      <c r="M41" s="161"/>
      <c r="N41" s="161"/>
      <c r="O41" s="162"/>
      <c r="P41" s="162"/>
      <c r="Q41" s="162"/>
    </row>
    <row r="42" spans="1:18" s="77" customFormat="1">
      <c r="A42" s="170">
        <v>2016</v>
      </c>
      <c r="B42" s="174">
        <v>2996.7036260113878</v>
      </c>
      <c r="C42" s="174">
        <v>3.3492994437818413</v>
      </c>
      <c r="D42" s="174">
        <v>15.69659117129533</v>
      </c>
      <c r="E42" s="174">
        <v>3.2523995390699372</v>
      </c>
      <c r="F42" s="174">
        <v>20.662992786549218</v>
      </c>
      <c r="G42" s="174">
        <v>9.9875000000000007</v>
      </c>
      <c r="H42" s="174">
        <v>0.8170668932665518</v>
      </c>
      <c r="I42" s="174">
        <v>1.023499968680901</v>
      </c>
      <c r="J42" s="174">
        <v>116.34129883426019</v>
      </c>
      <c r="K42" s="174">
        <v>0.74621853756091006</v>
      </c>
      <c r="L42" s="174">
        <v>0.9537434430138293</v>
      </c>
      <c r="M42" s="161"/>
      <c r="N42" s="161"/>
      <c r="O42" s="162"/>
      <c r="P42" s="162"/>
      <c r="Q42" s="162"/>
    </row>
    <row r="43" spans="1:18">
      <c r="A43" s="163"/>
      <c r="B43" s="164"/>
      <c r="C43" s="164"/>
      <c r="D43" s="164"/>
      <c r="E43" s="164"/>
      <c r="F43" s="164"/>
      <c r="G43" s="164"/>
      <c r="H43" s="164"/>
      <c r="I43" s="164"/>
      <c r="J43" s="164"/>
      <c r="K43" s="164"/>
      <c r="L43" s="164"/>
      <c r="M43" s="158"/>
      <c r="N43" s="158"/>
      <c r="O43" s="158"/>
      <c r="P43" s="159"/>
      <c r="Q43" s="159"/>
      <c r="R43" s="159"/>
    </row>
    <row r="44" spans="1:18">
      <c r="A44" s="160"/>
      <c r="B44" s="165"/>
      <c r="C44" s="165"/>
      <c r="D44" s="165"/>
      <c r="E44" s="165"/>
      <c r="F44" s="165"/>
      <c r="G44" s="165"/>
      <c r="H44" s="165"/>
      <c r="I44" s="165"/>
      <c r="J44" s="165"/>
      <c r="K44" s="165"/>
      <c r="L44" s="165"/>
      <c r="M44" s="158"/>
      <c r="N44" s="158"/>
      <c r="O44" s="158"/>
      <c r="P44" s="159"/>
      <c r="Q44" s="159"/>
      <c r="R44" s="159"/>
    </row>
    <row r="45" spans="1:18">
      <c r="A45" s="156"/>
      <c r="B45" s="166"/>
      <c r="C45" s="166"/>
      <c r="D45" s="166"/>
      <c r="E45" s="166"/>
      <c r="F45" s="166"/>
      <c r="G45" s="166"/>
      <c r="H45" s="167"/>
      <c r="I45" s="159"/>
      <c r="J45" s="159"/>
      <c r="K45" s="159"/>
      <c r="L45" s="159"/>
    </row>
    <row r="46" spans="1:18">
      <c r="A46" s="197" t="s">
        <v>234</v>
      </c>
      <c r="B46" s="166"/>
      <c r="C46" s="166"/>
      <c r="E46" s="166"/>
      <c r="F46" s="166"/>
      <c r="G46" s="166"/>
      <c r="H46" s="167"/>
      <c r="I46" s="159"/>
      <c r="J46" s="159"/>
      <c r="K46" s="159"/>
      <c r="L46" s="159"/>
    </row>
    <row r="47" spans="1:18">
      <c r="A47" s="79" t="s">
        <v>222</v>
      </c>
      <c r="B47" s="166"/>
      <c r="C47" s="166"/>
      <c r="D47" s="166"/>
      <c r="E47" s="166"/>
      <c r="F47" s="166"/>
      <c r="G47" s="166"/>
      <c r="H47" s="167"/>
      <c r="I47" s="159"/>
      <c r="J47" s="159"/>
      <c r="K47" s="159"/>
      <c r="L47" s="159"/>
    </row>
    <row r="48" spans="1:18">
      <c r="A48" s="168"/>
      <c r="B48" s="166"/>
      <c r="C48" s="166"/>
      <c r="D48" s="166"/>
      <c r="E48" s="166"/>
      <c r="F48" s="166"/>
      <c r="G48" s="166"/>
      <c r="H48" s="167"/>
      <c r="I48" s="159"/>
      <c r="J48" s="159"/>
      <c r="K48" s="159"/>
      <c r="L48" s="159"/>
    </row>
    <row r="49" spans="1:12">
      <c r="A49" s="168"/>
      <c r="B49" s="166"/>
      <c r="C49" s="166"/>
      <c r="D49" s="166"/>
      <c r="E49" s="166"/>
      <c r="F49" s="166"/>
      <c r="G49" s="166"/>
      <c r="H49" s="167"/>
      <c r="I49" s="159"/>
      <c r="J49" s="159"/>
      <c r="K49" s="159"/>
      <c r="L49" s="159"/>
    </row>
    <row r="50" spans="1:12">
      <c r="A50" s="157"/>
      <c r="B50" s="166"/>
      <c r="C50" s="166"/>
      <c r="D50" s="166"/>
      <c r="E50" s="166"/>
      <c r="F50" s="166"/>
      <c r="G50" s="166"/>
      <c r="H50" s="159"/>
      <c r="I50" s="159"/>
      <c r="J50" s="159"/>
      <c r="K50" s="159"/>
      <c r="L50" s="159"/>
    </row>
    <row r="51" spans="1:12">
      <c r="A51" s="157"/>
      <c r="B51" s="166"/>
      <c r="C51" s="166"/>
      <c r="D51" s="166"/>
      <c r="E51" s="166"/>
      <c r="F51" s="166"/>
      <c r="G51" s="166"/>
      <c r="I51" s="159"/>
      <c r="J51" s="159"/>
      <c r="K51" s="159"/>
      <c r="L51" s="159"/>
    </row>
    <row r="52" spans="1:12">
      <c r="A52" s="156"/>
      <c r="B52" s="166"/>
      <c r="C52" s="166"/>
      <c r="D52" s="166"/>
      <c r="E52" s="166"/>
      <c r="F52" s="166"/>
      <c r="G52" s="166"/>
      <c r="I52" s="159"/>
      <c r="J52" s="159"/>
      <c r="K52" s="159"/>
      <c r="L52" s="159"/>
    </row>
    <row r="53" spans="1:12">
      <c r="A53" s="168"/>
      <c r="B53" s="166"/>
      <c r="C53" s="166"/>
      <c r="E53" s="166"/>
      <c r="F53" s="166"/>
      <c r="G53" s="166"/>
      <c r="I53" s="159"/>
      <c r="J53" s="159"/>
      <c r="K53" s="159"/>
      <c r="L53" s="159"/>
    </row>
    <row r="54" spans="1:12">
      <c r="B54" s="166"/>
      <c r="C54" s="166"/>
      <c r="D54" s="166"/>
      <c r="E54" s="166"/>
      <c r="F54" s="166"/>
      <c r="G54" s="166"/>
      <c r="I54" s="159"/>
      <c r="J54" s="159"/>
      <c r="K54" s="159"/>
      <c r="L54" s="159"/>
    </row>
    <row r="55" spans="1:12">
      <c r="B55" s="166"/>
      <c r="C55" s="166"/>
      <c r="D55" s="166"/>
      <c r="E55" s="166"/>
      <c r="F55" s="166"/>
      <c r="G55" s="166"/>
      <c r="I55" s="159"/>
      <c r="J55" s="159"/>
      <c r="K55" s="159"/>
      <c r="L55" s="159"/>
    </row>
    <row r="56" spans="1:12">
      <c r="B56" s="166"/>
      <c r="C56" s="166"/>
      <c r="D56" s="166"/>
      <c r="E56" s="166"/>
      <c r="F56" s="166"/>
      <c r="G56" s="166"/>
      <c r="I56" s="159"/>
      <c r="J56" s="159"/>
      <c r="K56" s="159"/>
      <c r="L56" s="159"/>
    </row>
    <row r="57" spans="1:12">
      <c r="B57" s="166"/>
      <c r="C57" s="166"/>
      <c r="D57" s="166"/>
      <c r="E57" s="166"/>
      <c r="F57" s="166"/>
      <c r="G57" s="166"/>
      <c r="I57" s="159"/>
      <c r="J57" s="159"/>
      <c r="K57" s="159"/>
      <c r="L57" s="159"/>
    </row>
    <row r="58" spans="1:12">
      <c r="B58" s="166"/>
      <c r="C58" s="166"/>
      <c r="D58" s="166"/>
      <c r="E58" s="166"/>
      <c r="F58" s="166"/>
      <c r="G58" s="166"/>
      <c r="I58" s="159"/>
      <c r="J58" s="159"/>
      <c r="K58" s="159"/>
      <c r="L58" s="159"/>
    </row>
    <row r="59" spans="1:12">
      <c r="B59" s="166"/>
      <c r="C59" s="166"/>
      <c r="D59" s="166"/>
      <c r="E59" s="166"/>
      <c r="F59" s="166"/>
      <c r="G59" s="166"/>
      <c r="I59" s="159"/>
      <c r="J59" s="159"/>
      <c r="K59" s="159"/>
      <c r="L59" s="159"/>
    </row>
    <row r="60" spans="1:12">
      <c r="B60" s="166"/>
      <c r="C60" s="166"/>
      <c r="D60" s="166"/>
      <c r="E60" s="166"/>
      <c r="F60" s="166"/>
      <c r="G60" s="166"/>
      <c r="I60" s="159"/>
      <c r="J60" s="159"/>
      <c r="K60" s="159"/>
      <c r="L60" s="159"/>
    </row>
    <row r="61" spans="1:12">
      <c r="B61" s="166"/>
      <c r="C61" s="166"/>
      <c r="E61" s="166"/>
      <c r="F61" s="166"/>
      <c r="G61" s="166"/>
      <c r="I61" s="159"/>
      <c r="J61" s="159"/>
      <c r="K61" s="159"/>
      <c r="L61" s="159"/>
    </row>
    <row r="62" spans="1:12">
      <c r="B62" s="166"/>
      <c r="C62" s="166"/>
      <c r="D62" s="166"/>
      <c r="E62" s="166"/>
      <c r="F62" s="166"/>
      <c r="G62" s="166"/>
      <c r="I62" s="159"/>
      <c r="J62" s="159"/>
      <c r="K62" s="159"/>
      <c r="L62" s="159"/>
    </row>
    <row r="63" spans="1:12">
      <c r="B63" s="166"/>
      <c r="C63" s="166"/>
      <c r="E63" s="166"/>
      <c r="F63" s="166"/>
      <c r="G63" s="166"/>
      <c r="I63" s="159"/>
      <c r="J63" s="159"/>
      <c r="K63" s="159"/>
      <c r="L63" s="159"/>
    </row>
    <row r="64" spans="1:12">
      <c r="B64" s="166"/>
      <c r="C64" s="166"/>
      <c r="D64" s="166"/>
      <c r="E64" s="166"/>
      <c r="F64" s="166"/>
      <c r="G64" s="166"/>
      <c r="I64" s="159"/>
      <c r="J64" s="159"/>
      <c r="K64" s="159"/>
      <c r="L64" s="159"/>
    </row>
    <row r="65" spans="2:12">
      <c r="B65" s="166"/>
      <c r="C65" s="166"/>
      <c r="D65" s="166"/>
      <c r="E65" s="166"/>
      <c r="F65" s="166"/>
      <c r="G65" s="166"/>
      <c r="I65" s="159"/>
      <c r="J65" s="159"/>
      <c r="K65" s="159"/>
      <c r="L65" s="159"/>
    </row>
    <row r="66" spans="2:12">
      <c r="B66" s="166"/>
      <c r="C66" s="166"/>
      <c r="E66" s="166"/>
      <c r="F66" s="166"/>
      <c r="G66" s="166"/>
      <c r="I66" s="159"/>
      <c r="J66" s="159"/>
      <c r="K66" s="159"/>
      <c r="L66" s="159"/>
    </row>
    <row r="67" spans="2:12">
      <c r="B67" s="166"/>
      <c r="C67" s="166"/>
      <c r="D67" s="166"/>
      <c r="E67" s="166"/>
      <c r="F67" s="166"/>
      <c r="G67" s="166"/>
      <c r="I67" s="159"/>
      <c r="J67" s="159"/>
      <c r="K67" s="159"/>
      <c r="L67" s="159"/>
    </row>
    <row r="68" spans="2:12">
      <c r="B68" s="166"/>
      <c r="C68" s="166"/>
      <c r="D68" s="166"/>
      <c r="E68" s="166"/>
      <c r="F68" s="166"/>
      <c r="G68" s="166"/>
      <c r="I68" s="159"/>
      <c r="J68" s="159"/>
      <c r="K68" s="159"/>
      <c r="L68" s="159"/>
    </row>
    <row r="69" spans="2:12">
      <c r="B69" s="166"/>
      <c r="C69" s="166"/>
      <c r="D69" s="166"/>
      <c r="E69" s="166"/>
      <c r="F69" s="166"/>
      <c r="G69" s="166"/>
      <c r="I69" s="159"/>
      <c r="J69" s="159"/>
      <c r="K69" s="159"/>
      <c r="L69" s="159"/>
    </row>
    <row r="70" spans="2:12">
      <c r="B70" s="166"/>
      <c r="C70" s="166"/>
      <c r="E70" s="166"/>
      <c r="F70" s="166"/>
      <c r="G70" s="166"/>
      <c r="I70" s="159"/>
      <c r="J70" s="159"/>
      <c r="K70" s="159"/>
      <c r="L70" s="159"/>
    </row>
    <row r="71" spans="2:12">
      <c r="B71" s="166"/>
      <c r="C71" s="166"/>
      <c r="D71" s="166"/>
      <c r="E71" s="166"/>
      <c r="F71" s="166"/>
      <c r="G71" s="166"/>
      <c r="I71" s="159"/>
      <c r="J71" s="159"/>
      <c r="K71" s="159"/>
      <c r="L71" s="159"/>
    </row>
    <row r="72" spans="2:12">
      <c r="B72" s="166"/>
      <c r="C72" s="166"/>
      <c r="D72" s="166"/>
      <c r="E72" s="166"/>
      <c r="F72" s="166"/>
      <c r="G72" s="166"/>
      <c r="I72" s="159"/>
      <c r="J72" s="159"/>
      <c r="K72" s="159"/>
      <c r="L72" s="159"/>
    </row>
    <row r="73" spans="2:12">
      <c r="B73" s="166"/>
      <c r="C73" s="166"/>
      <c r="D73" s="166"/>
      <c r="E73" s="166"/>
      <c r="F73" s="166"/>
      <c r="G73" s="166"/>
      <c r="I73" s="159"/>
      <c r="J73" s="159"/>
      <c r="K73" s="159"/>
      <c r="L73" s="159"/>
    </row>
    <row r="74" spans="2:12">
      <c r="B74" s="166"/>
      <c r="C74" s="166"/>
      <c r="E74" s="166"/>
      <c r="F74" s="166"/>
      <c r="G74" s="166"/>
      <c r="I74" s="159"/>
      <c r="J74" s="159"/>
      <c r="K74" s="159"/>
      <c r="L74" s="159"/>
    </row>
    <row r="75" spans="2:12">
      <c r="B75" s="166"/>
      <c r="C75" s="166"/>
      <c r="D75" s="166"/>
      <c r="E75" s="166"/>
      <c r="F75" s="166"/>
      <c r="G75" s="166"/>
      <c r="I75" s="159"/>
      <c r="J75" s="159"/>
      <c r="K75" s="159"/>
      <c r="L75" s="159"/>
    </row>
    <row r="76" spans="2:12">
      <c r="B76" s="166"/>
      <c r="C76" s="166"/>
      <c r="D76" s="166"/>
      <c r="E76" s="166"/>
      <c r="F76" s="166"/>
      <c r="G76" s="166"/>
      <c r="I76" s="159"/>
      <c r="J76" s="159"/>
      <c r="K76" s="159"/>
      <c r="L76" s="159"/>
    </row>
    <row r="77" spans="2:12">
      <c r="B77" s="166"/>
      <c r="C77" s="166"/>
      <c r="D77" s="166"/>
      <c r="E77" s="166"/>
      <c r="F77" s="166"/>
      <c r="G77" s="166"/>
      <c r="I77" s="159"/>
      <c r="J77" s="159"/>
      <c r="K77" s="159"/>
      <c r="L77" s="159"/>
    </row>
    <row r="78" spans="2:12">
      <c r="B78" s="166"/>
      <c r="C78" s="166"/>
      <c r="D78" s="166"/>
      <c r="E78" s="166"/>
      <c r="F78" s="166"/>
      <c r="G78" s="166"/>
      <c r="I78" s="159"/>
      <c r="J78" s="159"/>
      <c r="K78" s="159"/>
      <c r="L78" s="159"/>
    </row>
    <row r="79" spans="2:12">
      <c r="B79" s="166"/>
      <c r="C79" s="166"/>
      <c r="D79" s="166"/>
      <c r="E79" s="166"/>
      <c r="F79" s="166"/>
      <c r="G79" s="166"/>
      <c r="I79" s="159"/>
      <c r="J79" s="159"/>
      <c r="K79" s="159"/>
      <c r="L79" s="159"/>
    </row>
    <row r="80" spans="2:12">
      <c r="B80" s="166"/>
      <c r="C80" s="166"/>
      <c r="E80" s="166"/>
      <c r="F80" s="166"/>
      <c r="G80" s="166"/>
      <c r="I80" s="159"/>
      <c r="J80" s="159"/>
      <c r="K80" s="159"/>
      <c r="L80" s="159"/>
    </row>
    <row r="81" spans="2:12">
      <c r="B81" s="166"/>
      <c r="C81" s="166"/>
      <c r="D81" s="166"/>
      <c r="E81" s="166"/>
      <c r="F81" s="166"/>
      <c r="G81" s="166"/>
      <c r="I81" s="159"/>
      <c r="J81" s="159"/>
      <c r="K81" s="159"/>
      <c r="L81" s="159"/>
    </row>
    <row r="82" spans="2:12">
      <c r="B82" s="166"/>
      <c r="C82" s="166"/>
      <c r="D82" s="166"/>
      <c r="E82" s="166"/>
      <c r="F82" s="166"/>
      <c r="G82" s="166"/>
      <c r="I82" s="159"/>
      <c r="J82" s="159"/>
      <c r="K82" s="159"/>
      <c r="L82" s="159"/>
    </row>
    <row r="83" spans="2:12">
      <c r="B83" s="166"/>
      <c r="C83" s="166"/>
      <c r="D83" s="166"/>
      <c r="E83" s="166"/>
      <c r="F83" s="166"/>
      <c r="G83" s="166"/>
      <c r="I83" s="159"/>
      <c r="J83" s="159"/>
      <c r="K83" s="159"/>
      <c r="L83" s="159"/>
    </row>
    <row r="84" spans="2:12">
      <c r="B84" s="166"/>
      <c r="C84" s="166"/>
      <c r="D84" s="166"/>
      <c r="E84" s="166"/>
      <c r="F84" s="166"/>
      <c r="G84" s="166"/>
      <c r="I84" s="159"/>
      <c r="J84" s="159"/>
      <c r="K84" s="159"/>
      <c r="L84" s="159"/>
    </row>
    <row r="85" spans="2:12">
      <c r="B85" s="166"/>
      <c r="C85" s="166"/>
      <c r="E85" s="166"/>
      <c r="F85" s="166"/>
      <c r="G85" s="166"/>
      <c r="I85" s="159"/>
      <c r="J85" s="159"/>
      <c r="K85" s="159"/>
      <c r="L85" s="159"/>
    </row>
    <row r="86" spans="2:12">
      <c r="B86" s="378"/>
      <c r="C86" s="378"/>
      <c r="D86" s="378"/>
      <c r="E86" s="378"/>
      <c r="F86" s="378"/>
      <c r="G86" s="378"/>
      <c r="I86" s="159"/>
      <c r="J86" s="159"/>
      <c r="K86" s="159"/>
      <c r="L86" s="159"/>
    </row>
    <row r="87" spans="2:12">
      <c r="B87" s="254"/>
      <c r="C87" s="254"/>
      <c r="D87" s="254"/>
      <c r="E87" s="254"/>
      <c r="F87" s="254"/>
      <c r="G87" s="254"/>
      <c r="I87" s="159"/>
      <c r="J87" s="159"/>
      <c r="K87" s="159"/>
      <c r="L87" s="159"/>
    </row>
    <row r="88" spans="2:12">
      <c r="B88" s="254"/>
      <c r="C88" s="254"/>
      <c r="D88" s="254"/>
      <c r="E88" s="254"/>
      <c r="F88" s="254"/>
      <c r="G88" s="254"/>
      <c r="I88" s="379"/>
      <c r="J88" s="379"/>
      <c r="K88" s="379"/>
      <c r="L88" s="379"/>
    </row>
    <row r="89" spans="2:12">
      <c r="B89" s="254"/>
      <c r="C89" s="254"/>
      <c r="D89" s="254"/>
      <c r="E89" s="254"/>
      <c r="F89" s="254"/>
      <c r="G89" s="254"/>
    </row>
    <row r="90" spans="2:12">
      <c r="B90" s="254"/>
      <c r="C90" s="254"/>
      <c r="D90" s="254"/>
      <c r="E90" s="254"/>
      <c r="F90" s="254"/>
      <c r="G90" s="254"/>
    </row>
    <row r="91" spans="2:12">
      <c r="B91" s="254"/>
      <c r="C91" s="254"/>
      <c r="D91" s="254"/>
      <c r="E91" s="254"/>
      <c r="F91" s="254"/>
      <c r="G91" s="254"/>
    </row>
    <row r="92" spans="2:12">
      <c r="B92" s="254"/>
      <c r="C92" s="254"/>
      <c r="D92" s="254"/>
      <c r="E92" s="254"/>
      <c r="F92" s="254"/>
      <c r="G92" s="254"/>
    </row>
    <row r="93" spans="2:12">
      <c r="B93" s="254"/>
      <c r="C93" s="254"/>
      <c r="D93" s="254"/>
      <c r="E93" s="254"/>
      <c r="F93" s="254"/>
      <c r="G93" s="254"/>
    </row>
    <row r="94" spans="2:12">
      <c r="B94" s="254"/>
      <c r="C94" s="254"/>
      <c r="D94" s="254"/>
      <c r="E94" s="254"/>
      <c r="F94" s="254"/>
      <c r="G94" s="254"/>
    </row>
    <row r="95" spans="2:12">
      <c r="B95" s="254"/>
      <c r="C95" s="254"/>
      <c r="D95" s="254"/>
      <c r="E95" s="254"/>
      <c r="F95" s="254"/>
      <c r="G95" s="254"/>
    </row>
    <row r="96" spans="2:12">
      <c r="B96" s="254"/>
      <c r="C96" s="254"/>
      <c r="D96" s="254"/>
      <c r="E96" s="254"/>
      <c r="F96" s="254"/>
      <c r="G96" s="254"/>
    </row>
    <row r="97" spans="2:7">
      <c r="B97" s="380"/>
      <c r="C97" s="380"/>
      <c r="D97" s="380"/>
      <c r="E97" s="380"/>
      <c r="F97" s="380"/>
      <c r="G97" s="380"/>
    </row>
    <row r="98" spans="2:7">
      <c r="B98" s="89"/>
      <c r="C98" s="89"/>
      <c r="D98" s="89"/>
      <c r="E98" s="89"/>
      <c r="F98" s="89"/>
      <c r="G98" s="89"/>
    </row>
    <row r="99" spans="2:7">
      <c r="B99" s="89"/>
      <c r="C99" s="89"/>
      <c r="D99" s="89"/>
      <c r="E99" s="89"/>
      <c r="F99" s="89"/>
      <c r="G99" s="89"/>
    </row>
    <row r="100" spans="2:7">
      <c r="B100" s="89"/>
      <c r="C100" s="89"/>
      <c r="D100" s="89"/>
      <c r="E100" s="89"/>
      <c r="F100" s="89"/>
      <c r="G100" s="89"/>
    </row>
    <row r="101" spans="2:7">
      <c r="B101" s="89"/>
      <c r="C101" s="89"/>
      <c r="D101" s="89"/>
      <c r="E101" s="89"/>
      <c r="F101" s="89"/>
      <c r="G101" s="89"/>
    </row>
    <row r="102" spans="2:7">
      <c r="B102" s="89"/>
      <c r="C102" s="89"/>
      <c r="D102" s="89"/>
      <c r="E102" s="89"/>
      <c r="F102" s="89"/>
      <c r="G102" s="89"/>
    </row>
    <row r="103" spans="2:7">
      <c r="B103" s="89"/>
      <c r="C103" s="89"/>
      <c r="D103" s="89"/>
      <c r="E103" s="89"/>
      <c r="F103" s="89"/>
      <c r="G103" s="89"/>
    </row>
    <row r="104" spans="2:7">
      <c r="B104" s="89"/>
      <c r="C104" s="89"/>
      <c r="D104" s="89"/>
      <c r="E104" s="89"/>
      <c r="F104" s="89"/>
      <c r="G104" s="89"/>
    </row>
    <row r="105" spans="2:7">
      <c r="B105" s="89"/>
      <c r="C105" s="89"/>
      <c r="D105" s="89"/>
      <c r="E105" s="89"/>
      <c r="F105" s="89"/>
      <c r="G105" s="89"/>
    </row>
    <row r="106" spans="2:7">
      <c r="B106" s="89"/>
      <c r="C106" s="89"/>
      <c r="D106" s="89"/>
      <c r="E106" s="89"/>
      <c r="F106" s="89"/>
      <c r="G106" s="89"/>
    </row>
    <row r="107" spans="2:7">
      <c r="B107" s="89"/>
      <c r="C107" s="89"/>
      <c r="D107" s="89"/>
      <c r="E107" s="89"/>
      <c r="F107" s="89"/>
      <c r="G107" s="89"/>
    </row>
    <row r="108" spans="2:7">
      <c r="B108" s="89"/>
      <c r="C108" s="89"/>
      <c r="D108" s="89"/>
      <c r="E108" s="89"/>
      <c r="F108" s="89"/>
      <c r="G108" s="89"/>
    </row>
    <row r="109" spans="2:7">
      <c r="B109" s="89"/>
      <c r="C109" s="89"/>
      <c r="D109" s="89"/>
      <c r="E109" s="89"/>
      <c r="F109" s="89"/>
      <c r="G109" s="89"/>
    </row>
    <row r="110" spans="2:7">
      <c r="B110" s="89"/>
      <c r="C110" s="89"/>
      <c r="D110" s="89"/>
      <c r="E110" s="89"/>
      <c r="F110" s="89"/>
      <c r="G110" s="89"/>
    </row>
    <row r="111" spans="2:7">
      <c r="B111" s="89"/>
      <c r="C111" s="89"/>
      <c r="D111" s="89"/>
      <c r="E111" s="89"/>
      <c r="F111" s="89"/>
      <c r="G111" s="89"/>
    </row>
    <row r="112" spans="2:7">
      <c r="B112" s="89"/>
      <c r="C112" s="89"/>
      <c r="D112" s="89"/>
      <c r="E112" s="89"/>
      <c r="F112" s="89"/>
      <c r="G112" s="89"/>
    </row>
    <row r="113" spans="2:7">
      <c r="B113" s="89"/>
      <c r="C113" s="89"/>
      <c r="D113" s="89"/>
      <c r="E113" s="89"/>
      <c r="F113" s="89"/>
      <c r="G113" s="89"/>
    </row>
    <row r="114" spans="2:7">
      <c r="B114" s="89"/>
      <c r="C114" s="89"/>
      <c r="D114" s="89"/>
      <c r="E114" s="89"/>
      <c r="F114" s="89"/>
      <c r="G114" s="89"/>
    </row>
    <row r="115" spans="2:7">
      <c r="B115" s="89"/>
      <c r="C115" s="89"/>
      <c r="D115" s="89"/>
      <c r="E115" s="89"/>
      <c r="F115" s="89"/>
      <c r="G115" s="89"/>
    </row>
    <row r="116" spans="2:7">
      <c r="B116" s="89"/>
      <c r="C116" s="89"/>
      <c r="D116" s="89"/>
      <c r="E116" s="89"/>
      <c r="F116" s="89"/>
      <c r="G116" s="89"/>
    </row>
    <row r="117" spans="2:7">
      <c r="B117" s="89"/>
      <c r="C117" s="89"/>
      <c r="D117" s="89"/>
      <c r="E117" s="89"/>
      <c r="F117" s="89"/>
      <c r="G117" s="89"/>
    </row>
    <row r="118" spans="2:7">
      <c r="B118" s="89"/>
      <c r="C118" s="89"/>
      <c r="D118" s="89"/>
      <c r="E118" s="89"/>
      <c r="F118" s="89"/>
      <c r="G118" s="89"/>
    </row>
    <row r="119" spans="2:7">
      <c r="B119" s="89"/>
      <c r="C119" s="89"/>
      <c r="D119" s="89"/>
      <c r="E119" s="89"/>
      <c r="F119" s="89"/>
      <c r="G119" s="89"/>
    </row>
    <row r="120" spans="2:7">
      <c r="B120" s="89"/>
      <c r="C120" s="89"/>
      <c r="D120" s="89"/>
      <c r="E120" s="89"/>
      <c r="F120" s="89"/>
      <c r="G120" s="89"/>
    </row>
    <row r="121" spans="2:7">
      <c r="B121" s="89"/>
      <c r="C121" s="89"/>
      <c r="D121" s="89"/>
      <c r="E121" s="89"/>
      <c r="F121" s="89"/>
      <c r="G121" s="89"/>
    </row>
    <row r="122" spans="2:7">
      <c r="B122" s="89"/>
      <c r="C122" s="89"/>
      <c r="D122" s="89"/>
      <c r="E122" s="89"/>
      <c r="F122" s="89"/>
      <c r="G122" s="89"/>
    </row>
    <row r="123" spans="2:7">
      <c r="B123" s="89"/>
      <c r="C123" s="89"/>
      <c r="D123" s="89"/>
      <c r="E123" s="89"/>
      <c r="F123" s="89"/>
      <c r="G123" s="89"/>
    </row>
    <row r="124" spans="2:7">
      <c r="B124" s="89"/>
      <c r="C124" s="89"/>
      <c r="D124" s="89"/>
      <c r="E124" s="89"/>
      <c r="F124" s="89"/>
      <c r="G124" s="89"/>
    </row>
    <row r="125" spans="2:7">
      <c r="B125" s="89"/>
      <c r="C125" s="89"/>
      <c r="D125" s="89"/>
      <c r="E125" s="89"/>
      <c r="F125" s="89"/>
      <c r="G125" s="89"/>
    </row>
    <row r="126" spans="2:7">
      <c r="B126" s="89"/>
      <c r="C126" s="89"/>
      <c r="D126" s="89"/>
      <c r="E126" s="89"/>
      <c r="F126" s="89"/>
      <c r="G126" s="89"/>
    </row>
    <row r="127" spans="2:7">
      <c r="B127" s="89"/>
      <c r="C127" s="89"/>
      <c r="D127" s="89"/>
      <c r="E127" s="89"/>
      <c r="F127" s="89"/>
      <c r="G127" s="89"/>
    </row>
    <row r="128" spans="2:7">
      <c r="B128" s="89"/>
      <c r="C128" s="89"/>
      <c r="D128" s="89"/>
      <c r="E128" s="89"/>
      <c r="F128" s="89"/>
      <c r="G128" s="89"/>
    </row>
    <row r="129" spans="2:7">
      <c r="B129" s="89"/>
      <c r="C129" s="89"/>
      <c r="D129" s="89"/>
      <c r="E129" s="89"/>
      <c r="F129" s="89"/>
      <c r="G129" s="89"/>
    </row>
    <row r="130" spans="2:7">
      <c r="B130" s="89"/>
      <c r="C130" s="89"/>
      <c r="D130" s="89"/>
      <c r="E130" s="89"/>
      <c r="F130" s="89"/>
      <c r="G130" s="89"/>
    </row>
    <row r="131" spans="2:7">
      <c r="B131" s="89"/>
      <c r="C131" s="89"/>
      <c r="D131" s="89"/>
      <c r="E131" s="89"/>
      <c r="F131" s="89"/>
      <c r="G131" s="89"/>
    </row>
    <row r="132" spans="2:7">
      <c r="B132" s="89"/>
      <c r="C132" s="89"/>
      <c r="D132" s="89"/>
      <c r="E132" s="89"/>
      <c r="F132" s="89"/>
      <c r="G132" s="89"/>
    </row>
    <row r="133" spans="2:7">
      <c r="B133" s="89"/>
      <c r="C133" s="89"/>
      <c r="D133" s="89"/>
      <c r="E133" s="89"/>
      <c r="F133" s="89"/>
      <c r="G133" s="89"/>
    </row>
    <row r="134" spans="2:7">
      <c r="B134" s="89"/>
      <c r="C134" s="89"/>
      <c r="D134" s="89"/>
      <c r="E134" s="89"/>
      <c r="F134" s="89"/>
      <c r="G134" s="89"/>
    </row>
    <row r="135" spans="2:7">
      <c r="B135" s="89"/>
      <c r="C135" s="89"/>
      <c r="D135" s="89"/>
      <c r="E135" s="89"/>
      <c r="F135" s="89"/>
      <c r="G135" s="89"/>
    </row>
    <row r="136" spans="2:7">
      <c r="B136" s="89"/>
      <c r="C136" s="89"/>
      <c r="D136" s="89"/>
      <c r="E136" s="89"/>
      <c r="F136" s="89"/>
      <c r="G136" s="89"/>
    </row>
    <row r="137" spans="2:7">
      <c r="B137" s="89"/>
      <c r="C137" s="89"/>
      <c r="D137" s="89"/>
      <c r="E137" s="89"/>
      <c r="F137" s="89"/>
      <c r="G137" s="89"/>
    </row>
    <row r="138" spans="2:7">
      <c r="B138" s="89"/>
      <c r="C138" s="89"/>
      <c r="D138" s="89"/>
      <c r="E138" s="89"/>
      <c r="F138" s="89"/>
      <c r="G138" s="89"/>
    </row>
    <row r="139" spans="2:7">
      <c r="B139" s="89"/>
      <c r="C139" s="89"/>
      <c r="D139" s="89"/>
      <c r="E139" s="89"/>
      <c r="F139" s="89"/>
      <c r="G139" s="89"/>
    </row>
    <row r="140" spans="2:7">
      <c r="B140" s="89"/>
      <c r="C140" s="89"/>
      <c r="D140" s="89"/>
      <c r="E140" s="89"/>
      <c r="F140" s="89"/>
      <c r="G140" s="89"/>
    </row>
    <row r="141" spans="2:7">
      <c r="B141" s="89"/>
      <c r="C141" s="89"/>
      <c r="D141" s="89"/>
      <c r="E141" s="89"/>
      <c r="F141" s="89"/>
      <c r="G141" s="89"/>
    </row>
    <row r="142" spans="2:7">
      <c r="B142" s="89"/>
      <c r="C142" s="89"/>
      <c r="D142" s="89"/>
      <c r="E142" s="89"/>
      <c r="F142" s="89"/>
      <c r="G142" s="89"/>
    </row>
    <row r="143" spans="2:7">
      <c r="B143" s="89"/>
      <c r="C143" s="89"/>
      <c r="D143" s="89"/>
      <c r="E143" s="89"/>
      <c r="F143" s="89"/>
      <c r="G143" s="89"/>
    </row>
    <row r="144" spans="2:7">
      <c r="B144" s="89"/>
      <c r="C144" s="89"/>
      <c r="D144" s="89"/>
      <c r="E144" s="89"/>
      <c r="F144" s="89"/>
      <c r="G144" s="89"/>
    </row>
    <row r="145" spans="2:7">
      <c r="B145" s="89"/>
      <c r="C145" s="89"/>
      <c r="D145" s="89"/>
      <c r="E145" s="89"/>
      <c r="F145" s="89"/>
      <c r="G145" s="89"/>
    </row>
    <row r="146" spans="2:7">
      <c r="B146" s="89"/>
      <c r="C146" s="89"/>
      <c r="D146" s="89"/>
      <c r="E146" s="89"/>
      <c r="F146" s="89"/>
      <c r="G146" s="89"/>
    </row>
    <row r="147" spans="2:7">
      <c r="B147" s="89"/>
      <c r="C147" s="89"/>
      <c r="D147" s="89"/>
      <c r="E147" s="89"/>
      <c r="F147" s="89"/>
      <c r="G147" s="89"/>
    </row>
    <row r="148" spans="2:7">
      <c r="B148" s="89"/>
      <c r="C148" s="89"/>
      <c r="D148" s="89"/>
      <c r="E148" s="89"/>
      <c r="F148" s="89"/>
      <c r="G148" s="89"/>
    </row>
    <row r="149" spans="2:7">
      <c r="B149" s="89"/>
      <c r="C149" s="89"/>
      <c r="D149" s="89"/>
      <c r="E149" s="89"/>
      <c r="F149" s="89"/>
      <c r="G149" s="89"/>
    </row>
    <row r="150" spans="2:7">
      <c r="B150" s="89"/>
      <c r="C150" s="89"/>
      <c r="D150" s="89"/>
      <c r="E150" s="89"/>
      <c r="F150" s="89"/>
      <c r="G150" s="89"/>
    </row>
    <row r="151" spans="2:7">
      <c r="B151" s="89"/>
      <c r="C151" s="89"/>
      <c r="D151" s="89"/>
      <c r="E151" s="89"/>
      <c r="F151" s="89"/>
      <c r="G151" s="89"/>
    </row>
    <row r="152" spans="2:7">
      <c r="B152" s="89"/>
      <c r="C152" s="89"/>
      <c r="D152" s="89"/>
      <c r="E152" s="89"/>
      <c r="F152" s="89"/>
      <c r="G152" s="89"/>
    </row>
    <row r="153" spans="2:7">
      <c r="B153" s="89"/>
      <c r="C153" s="89"/>
      <c r="D153" s="89"/>
      <c r="E153" s="89"/>
      <c r="F153" s="89"/>
      <c r="G153" s="89"/>
    </row>
    <row r="154" spans="2:7">
      <c r="B154" s="89"/>
      <c r="C154" s="89"/>
      <c r="D154" s="89"/>
      <c r="E154" s="89"/>
      <c r="F154" s="89"/>
      <c r="G154" s="89"/>
    </row>
    <row r="155" spans="2:7">
      <c r="B155" s="89"/>
      <c r="C155" s="89"/>
      <c r="D155" s="89"/>
      <c r="E155" s="89"/>
      <c r="F155" s="89"/>
      <c r="G155" s="89"/>
    </row>
    <row r="156" spans="2:7">
      <c r="B156" s="89"/>
      <c r="C156" s="89"/>
      <c r="D156" s="89"/>
      <c r="E156" s="89"/>
      <c r="F156" s="89"/>
      <c r="G156" s="89"/>
    </row>
    <row r="157" spans="2:7">
      <c r="B157" s="89"/>
      <c r="C157" s="89"/>
      <c r="D157" s="89"/>
      <c r="E157" s="89"/>
      <c r="F157" s="89"/>
      <c r="G157" s="89"/>
    </row>
    <row r="158" spans="2:7">
      <c r="B158" s="89"/>
      <c r="C158" s="89"/>
      <c r="D158" s="89"/>
      <c r="E158" s="89"/>
      <c r="F158" s="89"/>
      <c r="G158" s="89"/>
    </row>
    <row r="159" spans="2:7">
      <c r="B159" s="89"/>
      <c r="C159" s="89"/>
      <c r="D159" s="89"/>
      <c r="E159" s="89"/>
      <c r="F159" s="89"/>
      <c r="G159" s="89"/>
    </row>
    <row r="160" spans="2:7">
      <c r="B160" s="89"/>
      <c r="C160" s="89"/>
      <c r="D160" s="89"/>
      <c r="E160" s="89"/>
      <c r="F160" s="89"/>
      <c r="G160" s="89"/>
    </row>
    <row r="161" spans="2:7">
      <c r="B161" s="89"/>
      <c r="C161" s="89"/>
      <c r="D161" s="89"/>
      <c r="E161" s="89"/>
      <c r="F161" s="89"/>
      <c r="G161" s="89"/>
    </row>
    <row r="162" spans="2:7">
      <c r="B162" s="89"/>
      <c r="C162" s="89"/>
      <c r="D162" s="89"/>
      <c r="E162" s="89"/>
      <c r="F162" s="89"/>
      <c r="G162" s="89"/>
    </row>
    <row r="163" spans="2:7">
      <c r="B163" s="89"/>
      <c r="C163" s="89"/>
      <c r="D163" s="89"/>
      <c r="E163" s="89"/>
      <c r="F163" s="89"/>
      <c r="G163" s="89"/>
    </row>
    <row r="164" spans="2:7">
      <c r="B164" s="89"/>
      <c r="C164" s="89"/>
      <c r="D164" s="89"/>
      <c r="E164" s="89"/>
      <c r="F164" s="89"/>
      <c r="G164" s="89"/>
    </row>
    <row r="165" spans="2:7">
      <c r="B165" s="89"/>
      <c r="C165" s="89"/>
      <c r="D165" s="89"/>
      <c r="E165" s="89"/>
      <c r="F165" s="89"/>
      <c r="G165" s="89"/>
    </row>
    <row r="166" spans="2:7">
      <c r="B166" s="89"/>
      <c r="C166" s="89"/>
      <c r="D166" s="89"/>
      <c r="E166" s="89"/>
      <c r="F166" s="89"/>
      <c r="G166" s="89"/>
    </row>
    <row r="167" spans="2:7">
      <c r="B167" s="89"/>
      <c r="C167" s="89"/>
      <c r="D167" s="89"/>
      <c r="E167" s="89"/>
      <c r="F167" s="89"/>
      <c r="G167" s="89"/>
    </row>
    <row r="168" spans="2:7">
      <c r="B168" s="89"/>
      <c r="C168" s="89"/>
      <c r="D168" s="89"/>
      <c r="E168" s="89"/>
      <c r="F168" s="89"/>
      <c r="G168" s="89"/>
    </row>
    <row r="169" spans="2:7">
      <c r="B169" s="89"/>
      <c r="C169" s="89"/>
      <c r="D169" s="89"/>
      <c r="E169" s="89"/>
      <c r="F169" s="89"/>
      <c r="G169" s="89"/>
    </row>
    <row r="170" spans="2:7">
      <c r="B170" s="89"/>
      <c r="C170" s="89"/>
      <c r="D170" s="89"/>
      <c r="E170" s="89"/>
      <c r="F170" s="89"/>
      <c r="G170" s="89"/>
    </row>
    <row r="171" spans="2:7">
      <c r="B171" s="89"/>
      <c r="C171" s="89"/>
      <c r="D171" s="89"/>
      <c r="E171" s="89"/>
      <c r="F171" s="89"/>
      <c r="G171" s="89"/>
    </row>
    <row r="172" spans="2:7">
      <c r="B172" s="89"/>
      <c r="C172" s="89"/>
      <c r="D172" s="89"/>
      <c r="E172" s="89"/>
      <c r="F172" s="89"/>
      <c r="G172" s="89"/>
    </row>
    <row r="173" spans="2:7">
      <c r="B173" s="89"/>
      <c r="C173" s="89"/>
      <c r="D173" s="89"/>
      <c r="E173" s="89"/>
      <c r="F173" s="89"/>
      <c r="G173" s="89"/>
    </row>
    <row r="174" spans="2:7">
      <c r="B174" s="89"/>
      <c r="C174" s="89"/>
      <c r="D174" s="89"/>
      <c r="E174" s="89"/>
      <c r="F174" s="89"/>
      <c r="G174" s="89"/>
    </row>
    <row r="175" spans="2:7">
      <c r="B175" s="89"/>
      <c r="C175" s="89"/>
      <c r="D175" s="89"/>
      <c r="E175" s="89"/>
      <c r="F175" s="89"/>
      <c r="G175" s="89"/>
    </row>
    <row r="176" spans="2:7">
      <c r="B176" s="89"/>
      <c r="C176" s="89"/>
      <c r="D176" s="89"/>
      <c r="E176" s="89"/>
      <c r="F176" s="89"/>
      <c r="G176" s="89"/>
    </row>
    <row r="177" spans="2:7">
      <c r="B177" s="89"/>
      <c r="C177" s="89"/>
      <c r="D177" s="89"/>
      <c r="E177" s="89"/>
      <c r="F177" s="89"/>
      <c r="G177" s="89"/>
    </row>
    <row r="178" spans="2:7">
      <c r="B178" s="89"/>
      <c r="C178" s="89"/>
      <c r="D178" s="89"/>
      <c r="E178" s="89"/>
      <c r="F178" s="89"/>
      <c r="G178" s="89"/>
    </row>
    <row r="179" spans="2:7">
      <c r="B179" s="89"/>
      <c r="C179" s="89"/>
      <c r="D179" s="89"/>
      <c r="E179" s="89"/>
      <c r="F179" s="89"/>
      <c r="G179" s="89"/>
    </row>
    <row r="180" spans="2:7">
      <c r="B180" s="89"/>
      <c r="C180" s="89"/>
      <c r="D180" s="89"/>
      <c r="E180" s="89"/>
      <c r="F180" s="89"/>
      <c r="G180" s="89"/>
    </row>
    <row r="181" spans="2:7">
      <c r="B181" s="89"/>
      <c r="C181" s="89"/>
      <c r="D181" s="89"/>
      <c r="E181" s="89"/>
      <c r="F181" s="89"/>
      <c r="G181" s="89"/>
    </row>
    <row r="182" spans="2:7">
      <c r="B182" s="89"/>
      <c r="C182" s="89"/>
      <c r="D182" s="89"/>
      <c r="E182" s="89"/>
      <c r="F182" s="89"/>
      <c r="G182" s="89"/>
    </row>
    <row r="183" spans="2:7">
      <c r="B183" s="89"/>
      <c r="C183" s="89"/>
      <c r="D183" s="89"/>
      <c r="E183" s="89"/>
      <c r="F183" s="89"/>
      <c r="G183" s="89"/>
    </row>
    <row r="184" spans="2:7">
      <c r="B184" s="89"/>
      <c r="C184" s="89"/>
      <c r="D184" s="89"/>
      <c r="E184" s="89"/>
      <c r="F184" s="89"/>
      <c r="G184" s="89"/>
    </row>
    <row r="185" spans="2:7">
      <c r="B185" s="89"/>
      <c r="C185" s="89"/>
      <c r="D185" s="89"/>
      <c r="E185" s="89"/>
      <c r="F185" s="89"/>
      <c r="G185" s="89"/>
    </row>
    <row r="186" spans="2:7">
      <c r="B186" s="89"/>
      <c r="C186" s="89"/>
      <c r="D186" s="89"/>
      <c r="E186" s="89"/>
      <c r="F186" s="89"/>
      <c r="G186" s="89"/>
    </row>
    <row r="187" spans="2:7">
      <c r="B187" s="89"/>
      <c r="C187" s="89"/>
      <c r="D187" s="89"/>
      <c r="E187" s="89"/>
      <c r="F187" s="89"/>
      <c r="G187" s="89"/>
    </row>
    <row r="188" spans="2:7">
      <c r="B188" s="89"/>
      <c r="C188" s="89"/>
      <c r="D188" s="89"/>
      <c r="E188" s="89"/>
      <c r="F188" s="89"/>
      <c r="G188" s="89"/>
    </row>
    <row r="189" spans="2:7">
      <c r="B189" s="89"/>
      <c r="C189" s="89"/>
      <c r="D189" s="89"/>
      <c r="E189" s="89"/>
      <c r="F189" s="89"/>
      <c r="G189" s="89"/>
    </row>
    <row r="190" spans="2:7">
      <c r="B190" s="89"/>
      <c r="C190" s="89"/>
      <c r="D190" s="89"/>
      <c r="E190" s="89"/>
      <c r="F190" s="89"/>
      <c r="G190" s="89"/>
    </row>
    <row r="191" spans="2:7">
      <c r="B191" s="89"/>
      <c r="C191" s="89"/>
      <c r="D191" s="89"/>
      <c r="E191" s="89"/>
      <c r="F191" s="89"/>
      <c r="G191" s="89"/>
    </row>
    <row r="192" spans="2:7">
      <c r="B192" s="89"/>
      <c r="C192" s="89"/>
      <c r="D192" s="89"/>
      <c r="E192" s="89"/>
      <c r="F192" s="89"/>
      <c r="G192" s="89"/>
    </row>
    <row r="193" spans="2:7">
      <c r="B193" s="89"/>
      <c r="C193" s="89"/>
      <c r="D193" s="89"/>
      <c r="E193" s="89"/>
      <c r="F193" s="89"/>
      <c r="G193" s="89"/>
    </row>
    <row r="194" spans="2:7">
      <c r="B194" s="89"/>
      <c r="C194" s="89"/>
      <c r="D194" s="89"/>
      <c r="E194" s="89"/>
      <c r="F194" s="89"/>
      <c r="G194" s="89"/>
    </row>
    <row r="195" spans="2:7">
      <c r="B195" s="89"/>
      <c r="C195" s="89"/>
      <c r="D195" s="89"/>
      <c r="E195" s="89"/>
      <c r="F195" s="89"/>
      <c r="G195" s="89"/>
    </row>
    <row r="196" spans="2:7">
      <c r="B196" s="89"/>
      <c r="C196" s="89"/>
      <c r="D196" s="89"/>
      <c r="E196" s="89"/>
      <c r="F196" s="89"/>
      <c r="G196" s="89"/>
    </row>
    <row r="197" spans="2:7">
      <c r="B197" s="89"/>
      <c r="C197" s="89"/>
      <c r="D197" s="89"/>
      <c r="E197" s="89"/>
      <c r="F197" s="89"/>
      <c r="G197" s="89"/>
    </row>
    <row r="198" spans="2:7">
      <c r="B198" s="89"/>
      <c r="C198" s="89"/>
      <c r="D198" s="89"/>
      <c r="E198" s="89"/>
      <c r="F198" s="89"/>
      <c r="G198" s="89"/>
    </row>
    <row r="199" spans="2:7">
      <c r="B199" s="89"/>
      <c r="C199" s="89"/>
      <c r="D199" s="89"/>
      <c r="E199" s="89"/>
      <c r="F199" s="89"/>
      <c r="G199" s="89"/>
    </row>
    <row r="200" spans="2:7">
      <c r="B200" s="89"/>
      <c r="C200" s="89"/>
      <c r="D200" s="89"/>
      <c r="E200" s="89"/>
      <c r="F200" s="89"/>
      <c r="G200" s="89"/>
    </row>
    <row r="201" spans="2:7">
      <c r="B201" s="89"/>
      <c r="C201" s="89"/>
      <c r="D201" s="89"/>
      <c r="E201" s="89"/>
      <c r="F201" s="89"/>
      <c r="G201" s="89"/>
    </row>
    <row r="202" spans="2:7">
      <c r="B202" s="89"/>
      <c r="C202" s="89"/>
      <c r="D202" s="89"/>
      <c r="E202" s="89"/>
      <c r="F202" s="89"/>
      <c r="G202" s="89"/>
    </row>
    <row r="203" spans="2:7">
      <c r="B203" s="89"/>
      <c r="C203" s="89"/>
      <c r="D203" s="89"/>
      <c r="E203" s="89"/>
      <c r="F203" s="89"/>
      <c r="G203" s="89"/>
    </row>
    <row r="204" spans="2:7">
      <c r="B204" s="89"/>
      <c r="C204" s="89"/>
      <c r="D204" s="89"/>
      <c r="E204" s="89"/>
      <c r="F204" s="89"/>
      <c r="G204" s="89"/>
    </row>
    <row r="205" spans="2:7">
      <c r="B205" s="89"/>
      <c r="C205" s="89"/>
      <c r="D205" s="89"/>
      <c r="E205" s="89"/>
      <c r="F205" s="89"/>
      <c r="G205" s="89"/>
    </row>
    <row r="206" spans="2:7">
      <c r="B206" s="89"/>
      <c r="C206" s="89"/>
      <c r="D206" s="89"/>
      <c r="E206" s="89"/>
      <c r="F206" s="89"/>
      <c r="G206" s="89"/>
    </row>
    <row r="207" spans="2:7">
      <c r="B207" s="89"/>
      <c r="C207" s="89"/>
      <c r="D207" s="89"/>
      <c r="E207" s="89"/>
      <c r="F207" s="89"/>
      <c r="G207" s="89"/>
    </row>
    <row r="208" spans="2:7">
      <c r="B208" s="89"/>
      <c r="C208" s="89"/>
      <c r="D208" s="89"/>
      <c r="E208" s="89"/>
      <c r="F208" s="89"/>
      <c r="G208" s="89"/>
    </row>
    <row r="209" spans="2:7">
      <c r="B209" s="89"/>
      <c r="C209" s="89"/>
      <c r="D209" s="89"/>
      <c r="E209" s="89"/>
      <c r="F209" s="89"/>
      <c r="G209" s="89"/>
    </row>
    <row r="210" spans="2:7">
      <c r="B210" s="89"/>
      <c r="C210" s="89"/>
      <c r="D210" s="89"/>
      <c r="E210" s="89"/>
      <c r="F210" s="89"/>
      <c r="G210" s="89"/>
    </row>
    <row r="211" spans="2:7">
      <c r="B211" s="89"/>
      <c r="C211" s="89"/>
      <c r="D211" s="89"/>
      <c r="E211" s="89"/>
      <c r="F211" s="89"/>
      <c r="G211" s="89"/>
    </row>
    <row r="212" spans="2:7">
      <c r="B212" s="89"/>
      <c r="C212" s="89"/>
      <c r="D212" s="89"/>
      <c r="E212" s="89"/>
      <c r="F212" s="89"/>
      <c r="G212" s="89"/>
    </row>
    <row r="213" spans="2:7">
      <c r="B213" s="89"/>
      <c r="C213" s="89"/>
      <c r="D213" s="89"/>
      <c r="E213" s="89"/>
      <c r="F213" s="89"/>
      <c r="G213" s="89"/>
    </row>
    <row r="214" spans="2:7">
      <c r="B214" s="89"/>
      <c r="C214" s="89"/>
      <c r="D214" s="89"/>
      <c r="E214" s="89"/>
      <c r="F214" s="89"/>
      <c r="G214" s="89"/>
    </row>
    <row r="215" spans="2:7">
      <c r="B215" s="89"/>
      <c r="C215" s="89"/>
      <c r="D215" s="89"/>
      <c r="E215" s="89"/>
      <c r="F215" s="89"/>
      <c r="G215" s="89"/>
    </row>
    <row r="216" spans="2:7">
      <c r="B216" s="89"/>
      <c r="C216" s="89"/>
      <c r="D216" s="89"/>
      <c r="E216" s="89"/>
      <c r="F216" s="89"/>
      <c r="G216" s="89"/>
    </row>
    <row r="217" spans="2:7">
      <c r="B217" s="89"/>
      <c r="C217" s="89"/>
      <c r="D217" s="89"/>
      <c r="E217" s="89"/>
      <c r="F217" s="89"/>
      <c r="G217" s="89"/>
    </row>
    <row r="218" spans="2:7">
      <c r="B218" s="89"/>
      <c r="C218" s="89"/>
      <c r="D218" s="89"/>
      <c r="E218" s="89"/>
      <c r="F218" s="89"/>
      <c r="G218" s="89"/>
    </row>
    <row r="219" spans="2:7">
      <c r="B219" s="89"/>
      <c r="C219" s="89"/>
      <c r="D219" s="89"/>
      <c r="E219" s="89"/>
      <c r="F219" s="89"/>
      <c r="G219" s="89"/>
    </row>
    <row r="220" spans="2:7">
      <c r="B220" s="89"/>
      <c r="C220" s="89"/>
      <c r="D220" s="89"/>
      <c r="E220" s="89"/>
      <c r="F220" s="89"/>
      <c r="G220" s="89"/>
    </row>
    <row r="221" spans="2:7">
      <c r="B221" s="89"/>
      <c r="C221" s="89"/>
      <c r="D221" s="89"/>
      <c r="E221" s="89"/>
      <c r="F221" s="89"/>
      <c r="G221" s="89"/>
    </row>
    <row r="222" spans="2:7">
      <c r="B222" s="89"/>
      <c r="C222" s="89"/>
      <c r="D222" s="89"/>
      <c r="E222" s="89"/>
      <c r="F222" s="89"/>
      <c r="G222" s="89"/>
    </row>
    <row r="223" spans="2:7">
      <c r="B223" s="89"/>
      <c r="C223" s="89"/>
      <c r="D223" s="89"/>
      <c r="E223" s="89"/>
      <c r="F223" s="89"/>
      <c r="G223" s="89"/>
    </row>
    <row r="224" spans="2:7">
      <c r="B224" s="89"/>
      <c r="C224" s="89"/>
      <c r="D224" s="89"/>
      <c r="E224" s="89"/>
      <c r="F224" s="89"/>
      <c r="G224" s="89"/>
    </row>
    <row r="225" spans="2:7">
      <c r="B225" s="89"/>
      <c r="C225" s="89"/>
      <c r="D225" s="89"/>
      <c r="E225" s="89"/>
      <c r="F225" s="89"/>
      <c r="G225" s="89"/>
    </row>
    <row r="226" spans="2:7">
      <c r="B226" s="89"/>
      <c r="C226" s="89"/>
      <c r="D226" s="89"/>
      <c r="E226" s="89"/>
      <c r="F226" s="89"/>
      <c r="G226" s="89"/>
    </row>
    <row r="227" spans="2:7">
      <c r="B227" s="89"/>
      <c r="C227" s="89"/>
      <c r="D227" s="89"/>
      <c r="E227" s="89"/>
      <c r="F227" s="89"/>
      <c r="G227" s="89"/>
    </row>
    <row r="228" spans="2:7">
      <c r="B228" s="89"/>
      <c r="C228" s="89"/>
      <c r="D228" s="89"/>
      <c r="E228" s="89"/>
      <c r="F228" s="89"/>
      <c r="G228" s="89"/>
    </row>
    <row r="229" spans="2:7">
      <c r="B229" s="89"/>
      <c r="C229" s="89"/>
      <c r="D229" s="89"/>
      <c r="E229" s="89"/>
      <c r="F229" s="89"/>
      <c r="G229" s="89"/>
    </row>
    <row r="230" spans="2:7">
      <c r="B230" s="89"/>
      <c r="C230" s="89"/>
      <c r="D230" s="89"/>
      <c r="E230" s="89"/>
      <c r="F230" s="89"/>
      <c r="G230" s="89"/>
    </row>
    <row r="231" spans="2:7">
      <c r="B231" s="89"/>
      <c r="C231" s="89"/>
      <c r="D231" s="89"/>
      <c r="E231" s="89"/>
      <c r="F231" s="89"/>
      <c r="G231" s="89"/>
    </row>
    <row r="232" spans="2:7">
      <c r="B232" s="89"/>
      <c r="C232" s="89"/>
      <c r="D232" s="89"/>
      <c r="E232" s="89"/>
      <c r="F232" s="89"/>
      <c r="G232" s="89"/>
    </row>
    <row r="233" spans="2:7">
      <c r="B233" s="89"/>
      <c r="C233" s="89"/>
      <c r="D233" s="89"/>
      <c r="E233" s="89"/>
      <c r="F233" s="89"/>
      <c r="G233" s="89"/>
    </row>
    <row r="234" spans="2:7">
      <c r="B234" s="89"/>
      <c r="C234" s="89"/>
      <c r="D234" s="89"/>
      <c r="E234" s="89"/>
      <c r="F234" s="89"/>
      <c r="G234" s="89"/>
    </row>
    <row r="235" spans="2:7">
      <c r="B235" s="89"/>
      <c r="C235" s="89"/>
      <c r="D235" s="89"/>
      <c r="E235" s="89"/>
      <c r="F235" s="89"/>
      <c r="G235" s="89"/>
    </row>
    <row r="236" spans="2:7">
      <c r="B236" s="89"/>
      <c r="C236" s="89"/>
      <c r="D236" s="89"/>
      <c r="E236" s="89"/>
      <c r="F236" s="89"/>
      <c r="G236" s="89"/>
    </row>
    <row r="237" spans="2:7">
      <c r="B237" s="89"/>
      <c r="C237" s="89"/>
      <c r="D237" s="89"/>
      <c r="E237" s="89"/>
      <c r="F237" s="89"/>
      <c r="G237" s="89"/>
    </row>
    <row r="238" spans="2:7">
      <c r="B238" s="89"/>
      <c r="C238" s="89"/>
      <c r="D238" s="89"/>
      <c r="E238" s="89"/>
      <c r="F238" s="89"/>
      <c r="G238" s="89"/>
    </row>
    <row r="239" spans="2:7">
      <c r="B239" s="89"/>
      <c r="C239" s="89"/>
      <c r="D239" s="89"/>
      <c r="E239" s="89"/>
      <c r="F239" s="89"/>
      <c r="G239" s="89"/>
    </row>
    <row r="240" spans="2:7">
      <c r="B240" s="89"/>
      <c r="C240" s="89"/>
      <c r="D240" s="89"/>
      <c r="E240" s="89"/>
      <c r="F240" s="89"/>
      <c r="G240" s="89"/>
    </row>
    <row r="241" spans="2:7">
      <c r="B241" s="89"/>
      <c r="C241" s="89"/>
      <c r="D241" s="89"/>
      <c r="E241" s="89"/>
      <c r="F241" s="89"/>
      <c r="G241" s="89"/>
    </row>
    <row r="242" spans="2:7">
      <c r="B242" s="89"/>
      <c r="C242" s="89"/>
      <c r="D242" s="89"/>
      <c r="E242" s="89"/>
      <c r="F242" s="89"/>
      <c r="G242" s="89"/>
    </row>
    <row r="243" spans="2:7">
      <c r="B243" s="89"/>
      <c r="C243" s="89"/>
      <c r="D243" s="89"/>
      <c r="E243" s="89"/>
      <c r="F243" s="89"/>
      <c r="G243" s="89"/>
    </row>
    <row r="244" spans="2:7">
      <c r="B244" s="89"/>
      <c r="C244" s="89"/>
      <c r="D244" s="89"/>
      <c r="E244" s="89"/>
      <c r="F244" s="89"/>
      <c r="G244" s="89"/>
    </row>
    <row r="245" spans="2:7">
      <c r="B245" s="89"/>
      <c r="C245" s="89"/>
      <c r="D245" s="89"/>
      <c r="E245" s="89"/>
      <c r="F245" s="89"/>
      <c r="G245" s="89"/>
    </row>
    <row r="246" spans="2:7">
      <c r="B246" s="89"/>
      <c r="C246" s="89"/>
      <c r="D246" s="89"/>
      <c r="E246" s="89"/>
      <c r="F246" s="89"/>
      <c r="G246" s="89"/>
    </row>
    <row r="247" spans="2:7">
      <c r="B247" s="89"/>
      <c r="C247" s="89"/>
      <c r="D247" s="89"/>
      <c r="E247" s="89"/>
      <c r="F247" s="89"/>
      <c r="G247" s="89"/>
    </row>
    <row r="248" spans="2:7">
      <c r="B248" s="89"/>
      <c r="C248" s="89"/>
      <c r="D248" s="89"/>
      <c r="E248" s="89"/>
      <c r="F248" s="89"/>
      <c r="G248" s="89"/>
    </row>
    <row r="249" spans="2:7">
      <c r="B249" s="89"/>
      <c r="C249" s="89"/>
      <c r="D249" s="89"/>
      <c r="E249" s="89"/>
      <c r="F249" s="89"/>
      <c r="G249" s="89"/>
    </row>
    <row r="250" spans="2:7">
      <c r="B250" s="89"/>
      <c r="C250" s="89"/>
      <c r="D250" s="89"/>
      <c r="E250" s="89"/>
      <c r="F250" s="89"/>
      <c r="G250" s="89"/>
    </row>
    <row r="251" spans="2:7">
      <c r="B251" s="89"/>
      <c r="C251" s="89"/>
      <c r="D251" s="89"/>
      <c r="E251" s="89"/>
      <c r="F251" s="89"/>
      <c r="G251" s="89"/>
    </row>
    <row r="252" spans="2:7">
      <c r="B252" s="89"/>
      <c r="C252" s="89"/>
      <c r="D252" s="89"/>
      <c r="E252" s="89"/>
      <c r="F252" s="89"/>
      <c r="G252" s="89"/>
    </row>
    <row r="253" spans="2:7">
      <c r="B253" s="89"/>
      <c r="C253" s="89"/>
      <c r="D253" s="89"/>
      <c r="E253" s="89"/>
      <c r="F253" s="89"/>
      <c r="G253" s="89"/>
    </row>
    <row r="254" spans="2:7">
      <c r="B254" s="89"/>
      <c r="C254" s="89"/>
      <c r="D254" s="89"/>
      <c r="E254" s="89"/>
      <c r="F254" s="89"/>
      <c r="G254" s="89"/>
    </row>
    <row r="255" spans="2:7">
      <c r="B255" s="89"/>
      <c r="C255" s="89"/>
      <c r="D255" s="89"/>
      <c r="E255" s="89"/>
      <c r="F255" s="89"/>
      <c r="G255" s="89"/>
    </row>
    <row r="256" spans="2:7">
      <c r="B256" s="89"/>
      <c r="C256" s="89"/>
      <c r="D256" s="89"/>
      <c r="E256" s="89"/>
      <c r="F256" s="89"/>
      <c r="G256" s="89"/>
    </row>
    <row r="257" spans="2:7">
      <c r="B257" s="89"/>
      <c r="C257" s="89"/>
      <c r="D257" s="89"/>
      <c r="E257" s="89"/>
      <c r="F257" s="89"/>
      <c r="G257" s="89"/>
    </row>
    <row r="258" spans="2:7">
      <c r="B258" s="89"/>
      <c r="C258" s="89"/>
      <c r="D258" s="89"/>
      <c r="E258" s="89"/>
      <c r="F258" s="89"/>
      <c r="G258" s="89"/>
    </row>
    <row r="259" spans="2:7">
      <c r="B259" s="89"/>
      <c r="C259" s="89"/>
      <c r="D259" s="89"/>
      <c r="E259" s="89"/>
      <c r="F259" s="89"/>
      <c r="G259" s="89"/>
    </row>
    <row r="260" spans="2:7">
      <c r="B260" s="89"/>
      <c r="C260" s="89"/>
      <c r="D260" s="89"/>
      <c r="E260" s="89"/>
      <c r="F260" s="89"/>
      <c r="G260" s="89"/>
    </row>
    <row r="261" spans="2:7">
      <c r="B261" s="89"/>
      <c r="C261" s="89"/>
      <c r="D261" s="89"/>
      <c r="E261" s="89"/>
      <c r="F261" s="89"/>
      <c r="G261" s="89"/>
    </row>
    <row r="262" spans="2:7">
      <c r="B262" s="89"/>
      <c r="C262" s="89"/>
      <c r="D262" s="89"/>
      <c r="E262" s="89"/>
      <c r="F262" s="89"/>
      <c r="G262" s="89"/>
    </row>
    <row r="263" spans="2:7">
      <c r="B263" s="89"/>
      <c r="C263" s="89"/>
      <c r="D263" s="89"/>
      <c r="E263" s="89"/>
      <c r="F263" s="89"/>
      <c r="G263" s="89"/>
    </row>
    <row r="264" spans="2:7">
      <c r="B264" s="89"/>
      <c r="C264" s="89"/>
      <c r="D264" s="89"/>
      <c r="E264" s="89"/>
      <c r="F264" s="89"/>
      <c r="G264" s="89"/>
    </row>
    <row r="265" spans="2:7">
      <c r="B265" s="89"/>
      <c r="C265" s="89"/>
      <c r="D265" s="89"/>
      <c r="E265" s="89"/>
      <c r="F265" s="89"/>
      <c r="G265" s="89"/>
    </row>
    <row r="266" spans="2:7">
      <c r="B266" s="89"/>
      <c r="C266" s="89"/>
      <c r="D266" s="89"/>
      <c r="E266" s="89"/>
      <c r="F266" s="89"/>
      <c r="G266" s="89"/>
    </row>
    <row r="267" spans="2:7">
      <c r="B267" s="89"/>
      <c r="C267" s="89"/>
      <c r="D267" s="89"/>
      <c r="E267" s="89"/>
      <c r="F267" s="89"/>
      <c r="G267" s="89"/>
    </row>
    <row r="268" spans="2:7">
      <c r="B268" s="89"/>
      <c r="C268" s="89"/>
      <c r="D268" s="89"/>
      <c r="E268" s="89"/>
      <c r="F268" s="89"/>
      <c r="G268" s="89"/>
    </row>
    <row r="269" spans="2:7">
      <c r="B269" s="89"/>
      <c r="C269" s="89"/>
      <c r="D269" s="89"/>
      <c r="E269" s="89"/>
      <c r="F269" s="89"/>
      <c r="G269" s="89"/>
    </row>
    <row r="270" spans="2:7">
      <c r="B270" s="89"/>
      <c r="C270" s="89"/>
      <c r="D270" s="89"/>
      <c r="E270" s="89"/>
      <c r="F270" s="89"/>
      <c r="G270" s="89"/>
    </row>
    <row r="271" spans="2:7">
      <c r="B271" s="89"/>
      <c r="C271" s="89"/>
      <c r="D271" s="89"/>
      <c r="E271" s="89"/>
      <c r="F271" s="89"/>
      <c r="G271" s="89"/>
    </row>
    <row r="272" spans="2:7">
      <c r="B272" s="89"/>
      <c r="C272" s="89"/>
      <c r="D272" s="89"/>
      <c r="E272" s="89"/>
      <c r="F272" s="89"/>
      <c r="G272" s="89"/>
    </row>
    <row r="273" spans="2:7">
      <c r="B273" s="89"/>
      <c r="C273" s="89"/>
      <c r="D273" s="89"/>
      <c r="E273" s="89"/>
      <c r="F273" s="89"/>
      <c r="G273" s="89"/>
    </row>
    <row r="274" spans="2:7">
      <c r="B274" s="89"/>
      <c r="C274" s="89"/>
      <c r="D274" s="89"/>
      <c r="E274" s="89"/>
      <c r="F274" s="89"/>
      <c r="G274" s="89"/>
    </row>
    <row r="275" spans="2:7">
      <c r="B275" s="89"/>
      <c r="C275" s="89"/>
      <c r="D275" s="89"/>
      <c r="E275" s="89"/>
      <c r="F275" s="89"/>
      <c r="G275" s="89"/>
    </row>
    <row r="276" spans="2:7">
      <c r="B276" s="89"/>
      <c r="C276" s="89"/>
      <c r="D276" s="89"/>
      <c r="E276" s="89"/>
      <c r="F276" s="89"/>
      <c r="G276" s="89"/>
    </row>
    <row r="277" spans="2:7">
      <c r="B277" s="89"/>
      <c r="C277" s="89"/>
      <c r="D277" s="89"/>
      <c r="E277" s="89"/>
      <c r="F277" s="89"/>
      <c r="G277" s="89"/>
    </row>
    <row r="278" spans="2:7">
      <c r="B278" s="89"/>
      <c r="C278" s="89"/>
      <c r="D278" s="89"/>
      <c r="E278" s="89"/>
      <c r="F278" s="89"/>
      <c r="G278" s="89"/>
    </row>
    <row r="279" spans="2:7">
      <c r="B279" s="89"/>
      <c r="C279" s="89"/>
      <c r="D279" s="89"/>
      <c r="E279" s="89"/>
      <c r="F279" s="89"/>
      <c r="G279" s="89"/>
    </row>
    <row r="280" spans="2:7">
      <c r="B280" s="89"/>
      <c r="C280" s="89"/>
      <c r="D280" s="89"/>
      <c r="E280" s="89"/>
      <c r="F280" s="89"/>
      <c r="G280" s="89"/>
    </row>
    <row r="281" spans="2:7">
      <c r="B281" s="89"/>
      <c r="C281" s="89"/>
      <c r="D281" s="89"/>
      <c r="E281" s="89"/>
      <c r="F281" s="89"/>
      <c r="G281" s="89"/>
    </row>
    <row r="282" spans="2:7">
      <c r="B282" s="89"/>
      <c r="C282" s="89"/>
      <c r="D282" s="89"/>
      <c r="E282" s="89"/>
      <c r="F282" s="89"/>
      <c r="G282" s="89"/>
    </row>
    <row r="283" spans="2:7">
      <c r="B283" s="89"/>
      <c r="C283" s="89"/>
      <c r="D283" s="89"/>
      <c r="E283" s="89"/>
      <c r="F283" s="89"/>
      <c r="G283" s="89"/>
    </row>
    <row r="284" spans="2:7">
      <c r="B284" s="89"/>
      <c r="C284" s="89"/>
      <c r="D284" s="89"/>
      <c r="E284" s="89"/>
      <c r="F284" s="89"/>
      <c r="G284" s="89"/>
    </row>
    <row r="285" spans="2:7">
      <c r="B285" s="89"/>
      <c r="C285" s="89"/>
      <c r="D285" s="89"/>
      <c r="E285" s="89"/>
      <c r="F285" s="89"/>
      <c r="G285" s="89"/>
    </row>
    <row r="286" spans="2:7">
      <c r="B286" s="89"/>
      <c r="C286" s="89"/>
      <c r="D286" s="89"/>
      <c r="E286" s="89"/>
      <c r="F286" s="89"/>
      <c r="G286" s="89"/>
    </row>
    <row r="287" spans="2:7">
      <c r="B287" s="89"/>
      <c r="C287" s="89"/>
      <c r="D287" s="89"/>
      <c r="E287" s="89"/>
      <c r="F287" s="89"/>
      <c r="G287" s="89"/>
    </row>
    <row r="288" spans="2:7">
      <c r="B288" s="89"/>
      <c r="C288" s="89"/>
      <c r="D288" s="89"/>
      <c r="E288" s="89"/>
      <c r="F288" s="89"/>
      <c r="G288" s="89"/>
    </row>
    <row r="289" spans="2:7">
      <c r="B289" s="89"/>
      <c r="C289" s="89"/>
      <c r="D289" s="89"/>
      <c r="E289" s="89"/>
      <c r="F289" s="89"/>
      <c r="G289" s="89"/>
    </row>
    <row r="290" spans="2:7">
      <c r="B290" s="89"/>
      <c r="C290" s="89"/>
      <c r="D290" s="89"/>
      <c r="E290" s="89"/>
      <c r="F290" s="89"/>
      <c r="G290" s="89"/>
    </row>
    <row r="291" spans="2:7">
      <c r="B291" s="89"/>
      <c r="C291" s="89"/>
      <c r="D291" s="89"/>
      <c r="E291" s="89"/>
      <c r="F291" s="89"/>
      <c r="G291" s="89"/>
    </row>
    <row r="292" spans="2:7">
      <c r="B292" s="89"/>
      <c r="C292" s="89"/>
      <c r="D292" s="89"/>
      <c r="E292" s="89"/>
      <c r="F292" s="89"/>
      <c r="G292" s="89"/>
    </row>
    <row r="293" spans="2:7">
      <c r="B293" s="89"/>
      <c r="C293" s="89"/>
      <c r="D293" s="89"/>
      <c r="E293" s="89"/>
      <c r="F293" s="89"/>
      <c r="G293" s="89"/>
    </row>
    <row r="294" spans="2:7">
      <c r="B294" s="89"/>
      <c r="C294" s="89"/>
      <c r="D294" s="89"/>
      <c r="E294" s="89"/>
      <c r="F294" s="89"/>
      <c r="G294" s="89"/>
    </row>
    <row r="295" spans="2:7">
      <c r="B295" s="89"/>
      <c r="C295" s="89"/>
      <c r="D295" s="89"/>
      <c r="E295" s="89"/>
      <c r="F295" s="89"/>
      <c r="G295" s="89"/>
    </row>
    <row r="296" spans="2:7">
      <c r="B296" s="89"/>
      <c r="C296" s="89"/>
      <c r="D296" s="89"/>
      <c r="E296" s="89"/>
      <c r="F296" s="89"/>
      <c r="G296" s="89"/>
    </row>
    <row r="297" spans="2:7">
      <c r="B297" s="89"/>
      <c r="C297" s="89"/>
      <c r="D297" s="89"/>
      <c r="E297" s="89"/>
      <c r="F297" s="89"/>
      <c r="G297" s="89"/>
    </row>
    <row r="298" spans="2:7">
      <c r="B298" s="89"/>
      <c r="C298" s="89"/>
      <c r="D298" s="89"/>
      <c r="E298" s="89"/>
      <c r="F298" s="89"/>
      <c r="G298" s="89"/>
    </row>
    <row r="299" spans="2:7">
      <c r="B299" s="89"/>
      <c r="C299" s="89"/>
      <c r="D299" s="89"/>
      <c r="E299" s="89"/>
      <c r="F299" s="89"/>
      <c r="G299" s="89"/>
    </row>
    <row r="300" spans="2:7">
      <c r="B300" s="89"/>
      <c r="C300" s="89"/>
      <c r="D300" s="89"/>
      <c r="E300" s="89"/>
      <c r="F300" s="89"/>
      <c r="G300" s="89"/>
    </row>
    <row r="301" spans="2:7">
      <c r="B301" s="89"/>
      <c r="C301" s="89"/>
      <c r="D301" s="89"/>
      <c r="E301" s="89"/>
      <c r="F301" s="89"/>
      <c r="G301" s="89"/>
    </row>
    <row r="302" spans="2:7">
      <c r="B302" s="89"/>
      <c r="C302" s="89"/>
      <c r="D302" s="89"/>
      <c r="E302" s="89"/>
      <c r="F302" s="89"/>
      <c r="G302" s="89"/>
    </row>
    <row r="303" spans="2:7">
      <c r="B303" s="89"/>
      <c r="C303" s="89"/>
      <c r="D303" s="89"/>
      <c r="E303" s="89"/>
      <c r="F303" s="89"/>
      <c r="G303" s="89"/>
    </row>
    <row r="304" spans="2:7">
      <c r="B304" s="89"/>
      <c r="C304" s="89"/>
      <c r="D304" s="89"/>
      <c r="E304" s="89"/>
      <c r="F304" s="89"/>
      <c r="G304" s="89"/>
    </row>
    <row r="305" spans="2:7">
      <c r="B305" s="89"/>
      <c r="C305" s="89"/>
      <c r="D305" s="89"/>
      <c r="E305" s="89"/>
      <c r="F305" s="89"/>
      <c r="G305" s="89"/>
    </row>
    <row r="306" spans="2:7">
      <c r="B306" s="89"/>
      <c r="C306" s="89"/>
      <c r="D306" s="89"/>
      <c r="E306" s="89"/>
      <c r="F306" s="89"/>
      <c r="G306" s="89"/>
    </row>
    <row r="307" spans="2:7">
      <c r="B307" s="89"/>
      <c r="C307" s="89"/>
      <c r="D307" s="89"/>
      <c r="E307" s="89"/>
      <c r="F307" s="89"/>
      <c r="G307" s="89"/>
    </row>
    <row r="308" spans="2:7">
      <c r="B308" s="89"/>
      <c r="C308" s="89"/>
      <c r="D308" s="89"/>
      <c r="E308" s="89"/>
      <c r="F308" s="89"/>
      <c r="G308" s="89"/>
    </row>
    <row r="309" spans="2:7">
      <c r="B309" s="89"/>
      <c r="C309" s="89"/>
      <c r="D309" s="89"/>
      <c r="E309" s="89"/>
      <c r="F309" s="89"/>
      <c r="G309" s="89"/>
    </row>
    <row r="310" spans="2:7">
      <c r="B310" s="89"/>
      <c r="C310" s="89"/>
      <c r="D310" s="89"/>
      <c r="E310" s="89"/>
      <c r="F310" s="89"/>
      <c r="G310" s="89"/>
    </row>
    <row r="311" spans="2:7">
      <c r="B311" s="89"/>
      <c r="C311" s="89"/>
      <c r="D311" s="89"/>
      <c r="E311" s="89"/>
      <c r="F311" s="89"/>
      <c r="G311" s="89"/>
    </row>
    <row r="312" spans="2:7">
      <c r="B312" s="89"/>
      <c r="C312" s="89"/>
      <c r="D312" s="89"/>
      <c r="E312" s="89"/>
      <c r="F312" s="89"/>
      <c r="G312" s="89"/>
    </row>
    <row r="313" spans="2:7">
      <c r="B313" s="89"/>
      <c r="C313" s="89"/>
      <c r="D313" s="89"/>
      <c r="E313" s="89"/>
      <c r="F313" s="89"/>
      <c r="G313" s="89"/>
    </row>
    <row r="314" spans="2:7">
      <c r="B314" s="89"/>
      <c r="C314" s="89"/>
      <c r="D314" s="89"/>
      <c r="E314" s="89"/>
      <c r="F314" s="89"/>
      <c r="G314" s="89"/>
    </row>
    <row r="315" spans="2:7">
      <c r="B315" s="89"/>
      <c r="C315" s="89"/>
      <c r="D315" s="89"/>
      <c r="E315" s="89"/>
      <c r="F315" s="89"/>
      <c r="G315" s="89"/>
    </row>
    <row r="316" spans="2:7">
      <c r="B316" s="89"/>
      <c r="C316" s="89"/>
      <c r="D316" s="89"/>
      <c r="E316" s="89"/>
      <c r="F316" s="89"/>
      <c r="G316" s="89"/>
    </row>
    <row r="317" spans="2:7">
      <c r="B317" s="89"/>
      <c r="C317" s="89"/>
      <c r="D317" s="89"/>
      <c r="E317" s="89"/>
      <c r="F317" s="89"/>
      <c r="G317" s="89"/>
    </row>
    <row r="318" spans="2:7">
      <c r="B318" s="89"/>
      <c r="C318" s="89"/>
      <c r="D318" s="89"/>
      <c r="E318" s="89"/>
      <c r="F318" s="89"/>
      <c r="G318" s="89"/>
    </row>
    <row r="319" spans="2:7">
      <c r="B319" s="89"/>
      <c r="C319" s="89"/>
      <c r="D319" s="89"/>
      <c r="E319" s="89"/>
      <c r="F319" s="89"/>
      <c r="G319" s="89"/>
    </row>
    <row r="320" spans="2:7">
      <c r="B320" s="89"/>
      <c r="C320" s="89"/>
      <c r="D320" s="89"/>
      <c r="E320" s="89"/>
      <c r="F320" s="89"/>
      <c r="G320" s="89"/>
    </row>
    <row r="321" spans="2:7">
      <c r="B321" s="89"/>
      <c r="C321" s="89"/>
      <c r="D321" s="89"/>
      <c r="E321" s="89"/>
      <c r="F321" s="89"/>
      <c r="G321" s="89"/>
    </row>
    <row r="322" spans="2:7">
      <c r="B322" s="89"/>
      <c r="C322" s="89"/>
      <c r="D322" s="89"/>
      <c r="E322" s="89"/>
      <c r="F322" s="89"/>
      <c r="G322" s="89"/>
    </row>
    <row r="323" spans="2:7">
      <c r="B323" s="89"/>
      <c r="C323" s="89"/>
      <c r="D323" s="89"/>
      <c r="E323" s="89"/>
      <c r="F323" s="89"/>
      <c r="G323" s="89"/>
    </row>
    <row r="324" spans="2:7">
      <c r="B324" s="89"/>
      <c r="C324" s="89"/>
      <c r="D324" s="89"/>
      <c r="E324" s="89"/>
      <c r="F324" s="89"/>
      <c r="G324" s="89"/>
    </row>
    <row r="325" spans="2:7">
      <c r="B325" s="89"/>
      <c r="C325" s="89"/>
      <c r="D325" s="89"/>
      <c r="E325" s="89"/>
      <c r="F325" s="89"/>
      <c r="G325" s="89"/>
    </row>
    <row r="326" spans="2:7">
      <c r="B326" s="89"/>
      <c r="C326" s="89"/>
      <c r="D326" s="89"/>
      <c r="E326" s="89"/>
      <c r="F326" s="89"/>
      <c r="G326" s="89"/>
    </row>
    <row r="327" spans="2:7">
      <c r="B327" s="89"/>
      <c r="C327" s="89"/>
      <c r="D327" s="89"/>
      <c r="E327" s="89"/>
      <c r="F327" s="89"/>
      <c r="G327" s="89"/>
    </row>
    <row r="328" spans="2:7">
      <c r="B328" s="89"/>
      <c r="C328" s="89"/>
      <c r="D328" s="89"/>
      <c r="E328" s="89"/>
      <c r="F328" s="89"/>
      <c r="G328" s="89"/>
    </row>
    <row r="329" spans="2:7">
      <c r="B329" s="89"/>
      <c r="C329" s="89"/>
      <c r="D329" s="89"/>
      <c r="E329" s="89"/>
      <c r="F329" s="89"/>
      <c r="G329" s="89"/>
    </row>
    <row r="330" spans="2:7">
      <c r="B330" s="89"/>
      <c r="C330" s="89"/>
      <c r="D330" s="89"/>
      <c r="E330" s="89"/>
      <c r="F330" s="89"/>
      <c r="G330" s="89"/>
    </row>
    <row r="331" spans="2:7">
      <c r="B331" s="89"/>
      <c r="C331" s="89"/>
      <c r="D331" s="89"/>
      <c r="E331" s="89"/>
      <c r="F331" s="89"/>
      <c r="G331" s="89"/>
    </row>
    <row r="332" spans="2:7">
      <c r="B332" s="89"/>
      <c r="C332" s="89"/>
      <c r="D332" s="89"/>
      <c r="E332" s="89"/>
      <c r="F332" s="89"/>
      <c r="G332" s="89"/>
    </row>
    <row r="333" spans="2:7">
      <c r="B333" s="89"/>
      <c r="C333" s="89"/>
      <c r="D333" s="89"/>
      <c r="E333" s="89"/>
      <c r="F333" s="89"/>
      <c r="G333" s="89"/>
    </row>
    <row r="334" spans="2:7">
      <c r="B334" s="89"/>
      <c r="C334" s="89"/>
      <c r="D334" s="89"/>
      <c r="E334" s="89"/>
      <c r="F334" s="89"/>
      <c r="G334" s="89"/>
    </row>
    <row r="335" spans="2:7">
      <c r="B335" s="89"/>
      <c r="C335" s="89"/>
      <c r="D335" s="89"/>
      <c r="E335" s="89"/>
      <c r="F335" s="89"/>
      <c r="G335" s="89"/>
    </row>
    <row r="336" spans="2:7">
      <c r="B336" s="89"/>
      <c r="C336" s="89"/>
      <c r="D336" s="89"/>
      <c r="E336" s="89"/>
      <c r="F336" s="89"/>
      <c r="G336" s="89"/>
    </row>
    <row r="337" spans="2:7">
      <c r="B337" s="89"/>
      <c r="C337" s="89"/>
      <c r="D337" s="89"/>
      <c r="E337" s="89"/>
      <c r="F337" s="89"/>
      <c r="G337" s="89"/>
    </row>
    <row r="338" spans="2:7">
      <c r="B338" s="89"/>
      <c r="C338" s="89"/>
      <c r="D338" s="89"/>
      <c r="E338" s="89"/>
      <c r="F338" s="89"/>
      <c r="G338" s="89"/>
    </row>
    <row r="339" spans="2:7">
      <c r="B339" s="89"/>
      <c r="C339" s="89"/>
      <c r="D339" s="89"/>
      <c r="E339" s="89"/>
      <c r="F339" s="89"/>
      <c r="G339" s="89"/>
    </row>
    <row r="340" spans="2:7">
      <c r="B340" s="89"/>
      <c r="C340" s="89"/>
      <c r="D340" s="89"/>
      <c r="E340" s="89"/>
      <c r="F340" s="89"/>
      <c r="G340" s="89"/>
    </row>
    <row r="341" spans="2:7">
      <c r="B341" s="89"/>
      <c r="C341" s="89"/>
      <c r="D341" s="89"/>
      <c r="E341" s="89"/>
      <c r="F341" s="89"/>
      <c r="G341" s="89"/>
    </row>
    <row r="342" spans="2:7">
      <c r="B342" s="89"/>
      <c r="C342" s="89"/>
      <c r="D342" s="89"/>
      <c r="E342" s="89"/>
      <c r="F342" s="89"/>
      <c r="G342" s="89"/>
    </row>
    <row r="343" spans="2:7">
      <c r="B343" s="89"/>
      <c r="C343" s="89"/>
      <c r="D343" s="89"/>
      <c r="E343" s="89"/>
      <c r="F343" s="89"/>
      <c r="G343" s="89"/>
    </row>
    <row r="344" spans="2:7">
      <c r="B344" s="89"/>
      <c r="C344" s="89"/>
      <c r="D344" s="89"/>
      <c r="E344" s="89"/>
      <c r="F344" s="89"/>
      <c r="G344" s="89"/>
    </row>
    <row r="345" spans="2:7">
      <c r="B345" s="89"/>
      <c r="C345" s="89"/>
      <c r="D345" s="89"/>
      <c r="E345" s="89"/>
      <c r="F345" s="89"/>
      <c r="G345" s="89"/>
    </row>
    <row r="346" spans="2:7">
      <c r="B346" s="89"/>
      <c r="C346" s="89"/>
      <c r="D346" s="89"/>
      <c r="E346" s="89"/>
      <c r="F346" s="89"/>
      <c r="G346" s="89"/>
    </row>
    <row r="347" spans="2:7">
      <c r="B347" s="89"/>
      <c r="C347" s="89"/>
      <c r="D347" s="89"/>
      <c r="E347" s="89"/>
      <c r="F347" s="89"/>
      <c r="G347" s="89"/>
    </row>
    <row r="348" spans="2:7">
      <c r="B348" s="89"/>
      <c r="C348" s="89"/>
      <c r="D348" s="89"/>
      <c r="E348" s="89"/>
      <c r="F348" s="89"/>
      <c r="G348" s="89"/>
    </row>
    <row r="349" spans="2:7">
      <c r="B349" s="89"/>
      <c r="C349" s="89"/>
      <c r="D349" s="89"/>
      <c r="E349" s="89"/>
      <c r="F349" s="89"/>
      <c r="G349" s="89"/>
    </row>
    <row r="350" spans="2:7">
      <c r="B350" s="89"/>
      <c r="C350" s="89"/>
      <c r="D350" s="89"/>
      <c r="E350" s="89"/>
      <c r="F350" s="89"/>
      <c r="G350" s="89"/>
    </row>
    <row r="351" spans="2:7">
      <c r="B351" s="89"/>
      <c r="C351" s="89"/>
      <c r="D351" s="89"/>
      <c r="E351" s="89"/>
      <c r="F351" s="89"/>
      <c r="G351" s="89"/>
    </row>
    <row r="352" spans="2:7">
      <c r="B352" s="89"/>
      <c r="C352" s="89"/>
      <c r="D352" s="89"/>
      <c r="E352" s="89"/>
      <c r="F352" s="89"/>
      <c r="G352" s="89"/>
    </row>
    <row r="353" spans="2:7">
      <c r="B353" s="89"/>
      <c r="C353" s="89"/>
      <c r="D353" s="89"/>
      <c r="E353" s="89"/>
      <c r="F353" s="89"/>
      <c r="G353" s="89"/>
    </row>
    <row r="354" spans="2:7">
      <c r="B354" s="89"/>
      <c r="C354" s="89"/>
      <c r="D354" s="89"/>
      <c r="E354" s="89"/>
      <c r="F354" s="89"/>
      <c r="G354" s="89"/>
    </row>
    <row r="355" spans="2:7">
      <c r="B355" s="89"/>
      <c r="C355" s="89"/>
      <c r="D355" s="89"/>
      <c r="E355" s="89"/>
      <c r="F355" s="89"/>
      <c r="G355" s="89"/>
    </row>
    <row r="356" spans="2:7">
      <c r="B356" s="89"/>
      <c r="C356" s="89"/>
      <c r="D356" s="89"/>
      <c r="E356" s="89"/>
      <c r="F356" s="89"/>
      <c r="G356" s="89"/>
    </row>
    <row r="357" spans="2:7">
      <c r="B357" s="89"/>
      <c r="C357" s="89"/>
      <c r="D357" s="89"/>
      <c r="E357" s="89"/>
      <c r="F357" s="89"/>
      <c r="G357" s="89"/>
    </row>
    <row r="358" spans="2:7">
      <c r="B358" s="89"/>
      <c r="C358" s="89"/>
      <c r="D358" s="89"/>
      <c r="E358" s="89"/>
      <c r="F358" s="89"/>
      <c r="G358" s="89"/>
    </row>
    <row r="359" spans="2:7">
      <c r="B359" s="89"/>
      <c r="C359" s="89"/>
      <c r="D359" s="89"/>
      <c r="E359" s="89"/>
      <c r="F359" s="89"/>
      <c r="G359" s="89"/>
    </row>
    <row r="360" spans="2:7">
      <c r="B360" s="89"/>
      <c r="C360" s="89"/>
      <c r="D360" s="89"/>
      <c r="E360" s="89"/>
      <c r="F360" s="89"/>
      <c r="G360" s="89"/>
    </row>
    <row r="361" spans="2:7">
      <c r="B361" s="89"/>
      <c r="C361" s="89"/>
      <c r="D361" s="89"/>
      <c r="E361" s="89"/>
      <c r="F361" s="89"/>
      <c r="G361" s="89"/>
    </row>
    <row r="362" spans="2:7">
      <c r="B362" s="89"/>
      <c r="C362" s="89"/>
      <c r="D362" s="89"/>
      <c r="E362" s="89"/>
      <c r="F362" s="89"/>
      <c r="G362" s="89"/>
    </row>
    <row r="363" spans="2:7">
      <c r="B363" s="89"/>
      <c r="C363" s="89"/>
      <c r="D363" s="89"/>
      <c r="E363" s="89"/>
      <c r="F363" s="89"/>
      <c r="G363" s="89"/>
    </row>
    <row r="364" spans="2:7">
      <c r="B364" s="89"/>
      <c r="C364" s="89"/>
      <c r="D364" s="89"/>
      <c r="E364" s="89"/>
      <c r="F364" s="89"/>
      <c r="G364" s="89"/>
    </row>
    <row r="365" spans="2:7">
      <c r="B365" s="89"/>
      <c r="C365" s="89"/>
      <c r="D365" s="89"/>
      <c r="E365" s="89"/>
      <c r="F365" s="89"/>
      <c r="G365" s="89"/>
    </row>
    <row r="366" spans="2:7">
      <c r="B366" s="89"/>
      <c r="C366" s="89"/>
      <c r="D366" s="89"/>
      <c r="E366" s="89"/>
      <c r="F366" s="89"/>
      <c r="G366" s="89"/>
    </row>
    <row r="367" spans="2:7">
      <c r="B367" s="89"/>
      <c r="C367" s="89"/>
      <c r="D367" s="89"/>
      <c r="E367" s="89"/>
      <c r="F367" s="89"/>
      <c r="G367" s="89"/>
    </row>
    <row r="368" spans="2:7">
      <c r="B368" s="89"/>
      <c r="C368" s="89"/>
      <c r="D368" s="89"/>
      <c r="E368" s="89"/>
      <c r="F368" s="89"/>
      <c r="G368" s="89"/>
    </row>
    <row r="369" spans="2:7">
      <c r="B369" s="89"/>
      <c r="C369" s="89"/>
      <c r="D369" s="89"/>
      <c r="E369" s="89"/>
      <c r="F369" s="89"/>
      <c r="G369" s="89"/>
    </row>
    <row r="370" spans="2:7">
      <c r="B370" s="89"/>
      <c r="C370" s="89"/>
      <c r="D370" s="89"/>
      <c r="E370" s="89"/>
      <c r="F370" s="89"/>
      <c r="G370" s="89"/>
    </row>
    <row r="371" spans="2:7">
      <c r="B371" s="89"/>
      <c r="C371" s="89"/>
      <c r="D371" s="89"/>
      <c r="E371" s="89"/>
      <c r="F371" s="89"/>
      <c r="G371" s="89"/>
    </row>
    <row r="372" spans="2:7">
      <c r="B372" s="89"/>
      <c r="C372" s="89"/>
      <c r="D372" s="89"/>
      <c r="E372" s="89"/>
      <c r="F372" s="89"/>
      <c r="G372" s="89"/>
    </row>
    <row r="373" spans="2:7">
      <c r="B373" s="89"/>
      <c r="C373" s="89"/>
      <c r="D373" s="89"/>
      <c r="E373" s="89"/>
      <c r="F373" s="89"/>
      <c r="G373" s="89"/>
    </row>
    <row r="374" spans="2:7">
      <c r="B374" s="89"/>
      <c r="C374" s="89"/>
      <c r="D374" s="89"/>
      <c r="E374" s="89"/>
      <c r="F374" s="89"/>
      <c r="G374" s="89"/>
    </row>
    <row r="375" spans="2:7">
      <c r="B375" s="89"/>
      <c r="C375" s="89"/>
      <c r="D375" s="89"/>
      <c r="E375" s="89"/>
      <c r="F375" s="89"/>
      <c r="G375" s="89"/>
    </row>
    <row r="376" spans="2:7">
      <c r="B376" s="89"/>
      <c r="C376" s="89"/>
      <c r="D376" s="89"/>
      <c r="E376" s="89"/>
      <c r="F376" s="89"/>
      <c r="G376" s="89"/>
    </row>
    <row r="377" spans="2:7">
      <c r="B377" s="89"/>
      <c r="C377" s="89"/>
      <c r="D377" s="89"/>
      <c r="E377" s="89"/>
      <c r="F377" s="89"/>
      <c r="G377" s="89"/>
    </row>
    <row r="378" spans="2:7">
      <c r="B378" s="89"/>
      <c r="C378" s="89"/>
      <c r="D378" s="89"/>
      <c r="E378" s="89"/>
      <c r="F378" s="89"/>
      <c r="G378" s="89"/>
    </row>
    <row r="379" spans="2:7">
      <c r="B379" s="89"/>
      <c r="C379" s="89"/>
      <c r="D379" s="89"/>
      <c r="E379" s="89"/>
      <c r="F379" s="89"/>
      <c r="G379" s="89"/>
    </row>
    <row r="380" spans="2:7">
      <c r="B380" s="89"/>
      <c r="C380" s="89"/>
      <c r="D380" s="89"/>
      <c r="E380" s="89"/>
      <c r="F380" s="89"/>
      <c r="G380" s="89"/>
    </row>
    <row r="381" spans="2:7">
      <c r="B381" s="89"/>
      <c r="C381" s="89"/>
      <c r="D381" s="89"/>
      <c r="E381" s="89"/>
      <c r="F381" s="89"/>
      <c r="G381" s="89"/>
    </row>
    <row r="382" spans="2:7">
      <c r="B382" s="89"/>
      <c r="C382" s="89"/>
      <c r="D382" s="89"/>
      <c r="E382" s="89"/>
      <c r="F382" s="89"/>
      <c r="G382" s="89"/>
    </row>
    <row r="383" spans="2:7">
      <c r="B383" s="89"/>
      <c r="C383" s="89"/>
      <c r="D383" s="89"/>
      <c r="E383" s="89"/>
      <c r="F383" s="89"/>
      <c r="G383" s="89"/>
    </row>
    <row r="384" spans="2:7">
      <c r="B384" s="89"/>
      <c r="C384" s="89"/>
      <c r="D384" s="89"/>
      <c r="E384" s="89"/>
      <c r="F384" s="89"/>
      <c r="G384" s="89"/>
    </row>
    <row r="385" spans="2:7">
      <c r="B385" s="89"/>
      <c r="C385" s="89"/>
      <c r="D385" s="89"/>
      <c r="E385" s="89"/>
      <c r="F385" s="89"/>
      <c r="G385" s="89"/>
    </row>
    <row r="386" spans="2:7">
      <c r="B386" s="89"/>
      <c r="C386" s="89"/>
      <c r="D386" s="89"/>
      <c r="E386" s="89"/>
      <c r="F386" s="89"/>
      <c r="G386" s="89"/>
    </row>
    <row r="387" spans="2:7">
      <c r="B387" s="89"/>
      <c r="C387" s="89"/>
      <c r="D387" s="89"/>
      <c r="E387" s="89"/>
      <c r="F387" s="89"/>
      <c r="G387" s="89"/>
    </row>
    <row r="388" spans="2:7">
      <c r="B388" s="89"/>
      <c r="C388" s="89"/>
      <c r="D388" s="89"/>
      <c r="E388" s="89"/>
      <c r="F388" s="89"/>
      <c r="G388" s="89"/>
    </row>
    <row r="389" spans="2:7">
      <c r="B389" s="89"/>
      <c r="C389" s="89"/>
      <c r="D389" s="89"/>
      <c r="E389" s="89"/>
      <c r="F389" s="89"/>
      <c r="G389" s="89"/>
    </row>
    <row r="390" spans="2:7">
      <c r="B390" s="89"/>
      <c r="C390" s="89"/>
      <c r="D390" s="89"/>
      <c r="E390" s="89"/>
      <c r="F390" s="89"/>
      <c r="G390" s="89"/>
    </row>
    <row r="391" spans="2:7">
      <c r="B391" s="89"/>
      <c r="C391" s="89"/>
      <c r="D391" s="89"/>
      <c r="E391" s="89"/>
      <c r="F391" s="89"/>
      <c r="G391" s="89"/>
    </row>
    <row r="392" spans="2:7">
      <c r="B392" s="89"/>
      <c r="C392" s="89"/>
      <c r="D392" s="89"/>
      <c r="E392" s="89"/>
      <c r="F392" s="89"/>
      <c r="G392" s="89"/>
    </row>
    <row r="393" spans="2:7">
      <c r="B393" s="89"/>
      <c r="C393" s="89"/>
      <c r="D393" s="89"/>
      <c r="E393" s="89"/>
      <c r="F393" s="89"/>
      <c r="G393" s="89"/>
    </row>
    <row r="394" spans="2:7">
      <c r="B394" s="89"/>
      <c r="C394" s="89"/>
      <c r="D394" s="89"/>
      <c r="E394" s="89"/>
      <c r="F394" s="89"/>
      <c r="G394" s="89"/>
    </row>
    <row r="395" spans="2:7">
      <c r="B395" s="89"/>
      <c r="C395" s="89"/>
      <c r="D395" s="89"/>
      <c r="E395" s="89"/>
      <c r="F395" s="89"/>
      <c r="G395" s="89"/>
    </row>
    <row r="396" spans="2:7">
      <c r="B396" s="89"/>
      <c r="C396" s="89"/>
      <c r="D396" s="89"/>
      <c r="E396" s="89"/>
      <c r="F396" s="89"/>
      <c r="G396" s="89"/>
    </row>
    <row r="397" spans="2:7">
      <c r="B397" s="89"/>
      <c r="C397" s="89"/>
      <c r="D397" s="89"/>
      <c r="E397" s="89"/>
      <c r="F397" s="89"/>
      <c r="G397" s="89"/>
    </row>
    <row r="398" spans="2:7">
      <c r="B398" s="89"/>
      <c r="C398" s="89"/>
      <c r="D398" s="89"/>
      <c r="E398" s="89"/>
      <c r="F398" s="89"/>
      <c r="G398" s="89"/>
    </row>
    <row r="399" spans="2:7">
      <c r="B399" s="89"/>
      <c r="C399" s="89"/>
      <c r="D399" s="89"/>
      <c r="E399" s="89"/>
      <c r="F399" s="89"/>
      <c r="G399" s="89"/>
    </row>
    <row r="400" spans="2:7">
      <c r="B400" s="89"/>
      <c r="C400" s="89"/>
      <c r="D400" s="89"/>
      <c r="E400" s="89"/>
      <c r="F400" s="89"/>
      <c r="G400" s="89"/>
    </row>
    <row r="401" spans="2:7">
      <c r="B401" s="89"/>
      <c r="C401" s="89"/>
      <c r="D401" s="89"/>
      <c r="E401" s="89"/>
      <c r="F401" s="89"/>
      <c r="G401" s="89"/>
    </row>
    <row r="402" spans="2:7">
      <c r="B402" s="89"/>
      <c r="C402" s="89"/>
      <c r="D402" s="89"/>
      <c r="E402" s="89"/>
      <c r="F402" s="89"/>
      <c r="G402" s="89"/>
    </row>
    <row r="403" spans="2:7">
      <c r="B403" s="89"/>
      <c r="C403" s="89"/>
      <c r="D403" s="89"/>
      <c r="E403" s="89"/>
      <c r="F403" s="89"/>
      <c r="G403" s="89"/>
    </row>
    <row r="404" spans="2:7">
      <c r="B404" s="89"/>
      <c r="C404" s="89"/>
      <c r="D404" s="89"/>
      <c r="E404" s="89"/>
      <c r="F404" s="89"/>
      <c r="G404" s="89"/>
    </row>
    <row r="405" spans="2:7">
      <c r="B405" s="89"/>
      <c r="C405" s="89"/>
      <c r="D405" s="89"/>
      <c r="E405" s="89"/>
      <c r="F405" s="89"/>
      <c r="G405" s="89"/>
    </row>
    <row r="406" spans="2:7">
      <c r="B406" s="89"/>
      <c r="C406" s="89"/>
      <c r="D406" s="89"/>
      <c r="E406" s="89"/>
      <c r="F406" s="89"/>
      <c r="G406" s="89"/>
    </row>
    <row r="407" spans="2:7">
      <c r="B407" s="89"/>
      <c r="C407" s="89"/>
      <c r="D407" s="89"/>
      <c r="E407" s="89"/>
      <c r="F407" s="89"/>
      <c r="G407" s="89"/>
    </row>
    <row r="408" spans="2:7">
      <c r="B408" s="89"/>
      <c r="C408" s="89"/>
      <c r="D408" s="89"/>
      <c r="E408" s="89"/>
      <c r="F408" s="89"/>
      <c r="G408" s="89"/>
    </row>
    <row r="409" spans="2:7">
      <c r="B409" s="89"/>
      <c r="C409" s="89"/>
      <c r="D409" s="89"/>
      <c r="E409" s="89"/>
      <c r="F409" s="89"/>
      <c r="G409" s="89"/>
    </row>
    <row r="410" spans="2:7">
      <c r="B410" s="89"/>
      <c r="C410" s="89"/>
      <c r="D410" s="89"/>
      <c r="E410" s="89"/>
      <c r="F410" s="89"/>
      <c r="G410" s="89"/>
    </row>
    <row r="411" spans="2:7">
      <c r="B411" s="89"/>
      <c r="C411" s="89"/>
      <c r="D411" s="89"/>
      <c r="E411" s="89"/>
      <c r="F411" s="89"/>
      <c r="G411" s="89"/>
    </row>
    <row r="412" spans="2:7">
      <c r="B412" s="89"/>
      <c r="C412" s="89"/>
      <c r="D412" s="89"/>
      <c r="E412" s="89"/>
      <c r="F412" s="89"/>
      <c r="G412" s="89"/>
    </row>
    <row r="413" spans="2:7">
      <c r="B413" s="89"/>
      <c r="C413" s="89"/>
      <c r="D413" s="89"/>
      <c r="E413" s="89"/>
      <c r="F413" s="89"/>
      <c r="G413" s="89"/>
    </row>
    <row r="414" spans="2:7">
      <c r="B414" s="89"/>
      <c r="C414" s="89"/>
      <c r="D414" s="89"/>
      <c r="E414" s="89"/>
      <c r="F414" s="89"/>
      <c r="G414" s="89"/>
    </row>
    <row r="415" spans="2:7">
      <c r="B415" s="89"/>
      <c r="C415" s="89"/>
      <c r="D415" s="89"/>
      <c r="E415" s="89"/>
      <c r="F415" s="89"/>
      <c r="G415" s="89"/>
    </row>
    <row r="416" spans="2:7">
      <c r="B416" s="89"/>
      <c r="C416" s="89"/>
      <c r="D416" s="89"/>
      <c r="E416" s="89"/>
      <c r="F416" s="89"/>
      <c r="G416" s="89"/>
    </row>
    <row r="417" spans="2:7">
      <c r="B417" s="89"/>
      <c r="C417" s="89"/>
      <c r="D417" s="89"/>
      <c r="E417" s="89"/>
      <c r="F417" s="89"/>
      <c r="G417" s="89"/>
    </row>
    <row r="418" spans="2:7">
      <c r="B418" s="89"/>
      <c r="C418" s="89"/>
      <c r="D418" s="89"/>
      <c r="E418" s="89"/>
      <c r="F418" s="89"/>
      <c r="G418" s="89"/>
    </row>
    <row r="419" spans="2:7">
      <c r="B419" s="89"/>
      <c r="C419" s="89"/>
      <c r="D419" s="89"/>
      <c r="E419" s="89"/>
      <c r="F419" s="89"/>
      <c r="G419" s="89"/>
    </row>
    <row r="420" spans="2:7">
      <c r="B420" s="89"/>
      <c r="C420" s="89"/>
      <c r="D420" s="89"/>
      <c r="E420" s="89"/>
      <c r="F420" s="89"/>
      <c r="G420" s="89"/>
    </row>
    <row r="421" spans="2:7">
      <c r="B421" s="89"/>
      <c r="C421" s="89"/>
      <c r="D421" s="89"/>
      <c r="E421" s="89"/>
      <c r="F421" s="89"/>
      <c r="G421" s="89"/>
    </row>
    <row r="422" spans="2:7">
      <c r="B422" s="89"/>
      <c r="C422" s="89"/>
      <c r="D422" s="89"/>
      <c r="E422" s="89"/>
      <c r="F422" s="89"/>
      <c r="G422" s="89"/>
    </row>
    <row r="423" spans="2:7">
      <c r="B423" s="89"/>
      <c r="C423" s="89"/>
      <c r="D423" s="89"/>
      <c r="E423" s="89"/>
      <c r="F423" s="89"/>
      <c r="G423" s="89"/>
    </row>
    <row r="424" spans="2:7">
      <c r="B424" s="89"/>
      <c r="C424" s="89"/>
      <c r="D424" s="89"/>
      <c r="E424" s="89"/>
      <c r="F424" s="89"/>
      <c r="G424" s="89"/>
    </row>
    <row r="425" spans="2:7">
      <c r="B425" s="89"/>
      <c r="C425" s="89"/>
      <c r="D425" s="89"/>
      <c r="E425" s="89"/>
      <c r="F425" s="89"/>
      <c r="G425" s="89"/>
    </row>
    <row r="426" spans="2:7">
      <c r="B426" s="89"/>
      <c r="C426" s="89"/>
      <c r="D426" s="89"/>
      <c r="E426" s="89"/>
      <c r="F426" s="89"/>
      <c r="G426" s="89"/>
    </row>
    <row r="427" spans="2:7">
      <c r="B427" s="89"/>
      <c r="C427" s="89"/>
      <c r="D427" s="89"/>
      <c r="E427" s="89"/>
      <c r="F427" s="89"/>
      <c r="G427" s="89"/>
    </row>
    <row r="428" spans="2:7">
      <c r="B428" s="89"/>
      <c r="C428" s="89"/>
      <c r="D428" s="89"/>
      <c r="E428" s="89"/>
      <c r="F428" s="89"/>
      <c r="G428" s="89"/>
    </row>
    <row r="429" spans="2:7">
      <c r="B429" s="89"/>
      <c r="C429" s="89"/>
      <c r="D429" s="89"/>
      <c r="E429" s="89"/>
      <c r="F429" s="89"/>
      <c r="G429" s="89"/>
    </row>
    <row r="430" spans="2:7">
      <c r="B430" s="89"/>
      <c r="C430" s="89"/>
      <c r="D430" s="89"/>
      <c r="E430" s="89"/>
      <c r="F430" s="89"/>
      <c r="G430" s="89"/>
    </row>
    <row r="431" spans="2:7">
      <c r="B431" s="89"/>
      <c r="C431" s="89"/>
      <c r="D431" s="89"/>
      <c r="E431" s="89"/>
      <c r="F431" s="89"/>
      <c r="G431" s="89"/>
    </row>
    <row r="432" spans="2:7">
      <c r="B432" s="89"/>
      <c r="C432" s="89"/>
      <c r="D432" s="89"/>
      <c r="E432" s="89"/>
      <c r="F432" s="89"/>
      <c r="G432" s="89"/>
    </row>
    <row r="433" spans="2:7">
      <c r="B433" s="89"/>
      <c r="C433" s="89"/>
      <c r="D433" s="89"/>
      <c r="E433" s="89"/>
      <c r="F433" s="89"/>
      <c r="G433" s="89"/>
    </row>
    <row r="434" spans="2:7">
      <c r="B434" s="89"/>
      <c r="C434" s="89"/>
      <c r="D434" s="89"/>
      <c r="E434" s="89"/>
      <c r="F434" s="89"/>
      <c r="G434" s="89"/>
    </row>
    <row r="435" spans="2:7">
      <c r="B435" s="89"/>
      <c r="C435" s="89"/>
      <c r="D435" s="89"/>
      <c r="E435" s="89"/>
      <c r="F435" s="89"/>
      <c r="G435" s="89"/>
    </row>
    <row r="436" spans="2:7">
      <c r="B436" s="89"/>
      <c r="C436" s="89"/>
      <c r="D436" s="89"/>
      <c r="E436" s="89"/>
      <c r="F436" s="89"/>
      <c r="G436" s="89"/>
    </row>
    <row r="437" spans="2:7">
      <c r="B437" s="89"/>
      <c r="C437" s="89"/>
      <c r="D437" s="89"/>
      <c r="E437" s="89"/>
      <c r="F437" s="89"/>
      <c r="G437" s="89"/>
    </row>
    <row r="438" spans="2:7">
      <c r="B438" s="89"/>
      <c r="C438" s="89"/>
      <c r="D438" s="89"/>
      <c r="E438" s="89"/>
      <c r="F438" s="89"/>
      <c r="G438" s="89"/>
    </row>
    <row r="439" spans="2:7">
      <c r="B439" s="89"/>
      <c r="C439" s="89"/>
      <c r="D439" s="89"/>
      <c r="E439" s="89"/>
      <c r="F439" s="89"/>
      <c r="G439" s="89"/>
    </row>
    <row r="440" spans="2:7">
      <c r="B440" s="89"/>
      <c r="C440" s="89"/>
      <c r="D440" s="89"/>
      <c r="E440" s="89"/>
      <c r="F440" s="89"/>
      <c r="G440" s="89"/>
    </row>
    <row r="441" spans="2:7">
      <c r="B441" s="89"/>
      <c r="C441" s="89"/>
      <c r="D441" s="89"/>
      <c r="E441" s="89"/>
      <c r="F441" s="89"/>
      <c r="G441" s="89"/>
    </row>
    <row r="442" spans="2:7">
      <c r="B442" s="89"/>
      <c r="C442" s="89"/>
      <c r="D442" s="89"/>
      <c r="E442" s="89"/>
      <c r="F442" s="89"/>
      <c r="G442" s="89"/>
    </row>
    <row r="443" spans="2:7">
      <c r="B443" s="89"/>
      <c r="C443" s="89"/>
      <c r="D443" s="89"/>
      <c r="E443" s="89"/>
      <c r="F443" s="89"/>
      <c r="G443" s="89"/>
    </row>
    <row r="444" spans="2:7">
      <c r="B444" s="89"/>
      <c r="C444" s="89"/>
      <c r="D444" s="89"/>
      <c r="E444" s="89"/>
      <c r="F444" s="89"/>
      <c r="G444" s="89"/>
    </row>
    <row r="445" spans="2:7">
      <c r="B445" s="89"/>
      <c r="C445" s="89"/>
      <c r="D445" s="89"/>
      <c r="E445" s="89"/>
      <c r="F445" s="89"/>
      <c r="G445" s="89"/>
    </row>
    <row r="446" spans="2:7">
      <c r="B446" s="89"/>
      <c r="C446" s="89"/>
      <c r="D446" s="89"/>
      <c r="E446" s="89"/>
      <c r="F446" s="89"/>
      <c r="G446" s="89"/>
    </row>
    <row r="447" spans="2:7">
      <c r="B447" s="89"/>
      <c r="C447" s="89"/>
      <c r="D447" s="89"/>
      <c r="E447" s="89"/>
      <c r="F447" s="89"/>
      <c r="G447" s="89"/>
    </row>
    <row r="448" spans="2:7">
      <c r="B448" s="89"/>
      <c r="C448" s="89"/>
      <c r="D448" s="89"/>
      <c r="E448" s="89"/>
      <c r="F448" s="89"/>
      <c r="G448" s="89"/>
    </row>
    <row r="449" spans="2:7">
      <c r="B449" s="89"/>
      <c r="C449" s="89"/>
      <c r="D449" s="89"/>
      <c r="E449" s="89"/>
      <c r="F449" s="89"/>
      <c r="G449" s="89"/>
    </row>
    <row r="450" spans="2:7">
      <c r="B450" s="89"/>
      <c r="C450" s="89"/>
      <c r="D450" s="89"/>
      <c r="E450" s="89"/>
      <c r="F450" s="89"/>
      <c r="G450" s="89"/>
    </row>
    <row r="451" spans="2:7">
      <c r="B451" s="89"/>
      <c r="C451" s="89"/>
      <c r="D451" s="89"/>
      <c r="E451" s="89"/>
      <c r="F451" s="89"/>
      <c r="G451" s="89"/>
    </row>
    <row r="452" spans="2:7">
      <c r="B452" s="89"/>
      <c r="C452" s="89"/>
      <c r="D452" s="89"/>
      <c r="E452" s="89"/>
      <c r="F452" s="89"/>
      <c r="G452" s="89"/>
    </row>
    <row r="453" spans="2:7">
      <c r="B453" s="89"/>
      <c r="C453" s="89"/>
      <c r="D453" s="89"/>
      <c r="E453" s="89"/>
      <c r="F453" s="89"/>
      <c r="G453" s="89"/>
    </row>
    <row r="454" spans="2:7">
      <c r="B454" s="89"/>
      <c r="C454" s="89"/>
      <c r="D454" s="89"/>
      <c r="E454" s="89"/>
      <c r="F454" s="89"/>
      <c r="G454" s="89"/>
    </row>
    <row r="455" spans="2:7">
      <c r="B455" s="89"/>
      <c r="C455" s="89"/>
      <c r="D455" s="89"/>
      <c r="E455" s="89"/>
      <c r="F455" s="89"/>
      <c r="G455" s="89"/>
    </row>
    <row r="456" spans="2:7">
      <c r="B456" s="89"/>
      <c r="C456" s="89"/>
      <c r="D456" s="89"/>
      <c r="E456" s="89"/>
      <c r="F456" s="89"/>
      <c r="G456" s="89"/>
    </row>
    <row r="457" spans="2:7">
      <c r="B457" s="89"/>
      <c r="C457" s="89"/>
      <c r="D457" s="89"/>
      <c r="E457" s="89"/>
      <c r="F457" s="89"/>
      <c r="G457" s="89"/>
    </row>
    <row r="458" spans="2:7">
      <c r="B458" s="89"/>
      <c r="C458" s="89"/>
      <c r="D458" s="89"/>
      <c r="E458" s="89"/>
      <c r="F458" s="89"/>
      <c r="G458" s="89"/>
    </row>
    <row r="459" spans="2:7">
      <c r="B459" s="89"/>
      <c r="C459" s="89"/>
      <c r="D459" s="89"/>
      <c r="E459" s="89"/>
      <c r="F459" s="89"/>
      <c r="G459" s="89"/>
    </row>
    <row r="460" spans="2:7">
      <c r="B460" s="89"/>
      <c r="C460" s="89"/>
      <c r="D460" s="89"/>
      <c r="E460" s="89"/>
      <c r="F460" s="89"/>
      <c r="G460" s="89"/>
    </row>
    <row r="461" spans="2:7">
      <c r="B461" s="89"/>
      <c r="C461" s="89"/>
      <c r="D461" s="89"/>
      <c r="E461" s="89"/>
      <c r="F461" s="89"/>
      <c r="G461" s="89"/>
    </row>
    <row r="462" spans="2:7">
      <c r="B462" s="89"/>
      <c r="C462" s="89"/>
      <c r="D462" s="89"/>
      <c r="E462" s="89"/>
      <c r="F462" s="89"/>
      <c r="G462" s="89"/>
    </row>
    <row r="463" spans="2:7">
      <c r="B463" s="89"/>
      <c r="C463" s="89"/>
      <c r="D463" s="89"/>
      <c r="E463" s="89"/>
      <c r="F463" s="89"/>
      <c r="G463" s="89"/>
    </row>
    <row r="464" spans="2:7">
      <c r="B464" s="89"/>
      <c r="C464" s="89"/>
      <c r="D464" s="89"/>
      <c r="E464" s="89"/>
      <c r="F464" s="89"/>
      <c r="G464" s="89"/>
    </row>
    <row r="465" spans="2:7">
      <c r="B465" s="89"/>
      <c r="C465" s="89"/>
      <c r="D465" s="89"/>
      <c r="E465" s="89"/>
      <c r="F465" s="89"/>
      <c r="G465" s="89"/>
    </row>
    <row r="466" spans="2:7">
      <c r="B466" s="89"/>
      <c r="C466" s="89"/>
      <c r="D466" s="89"/>
      <c r="E466" s="89"/>
      <c r="F466" s="89"/>
      <c r="G466" s="89"/>
    </row>
    <row r="467" spans="2:7">
      <c r="B467" s="89"/>
      <c r="C467" s="89"/>
      <c r="D467" s="89"/>
      <c r="E467" s="89"/>
      <c r="F467" s="89"/>
      <c r="G467" s="89"/>
    </row>
    <row r="468" spans="2:7">
      <c r="B468" s="89"/>
      <c r="C468" s="89"/>
      <c r="D468" s="89"/>
      <c r="E468" s="89"/>
      <c r="F468" s="89"/>
      <c r="G468" s="89"/>
    </row>
    <row r="469" spans="2:7">
      <c r="B469" s="89"/>
      <c r="C469" s="89"/>
      <c r="D469" s="89"/>
      <c r="E469" s="89"/>
      <c r="F469" s="89"/>
      <c r="G469" s="89"/>
    </row>
    <row r="470" spans="2:7">
      <c r="B470" s="89"/>
      <c r="C470" s="89"/>
      <c r="D470" s="89"/>
      <c r="E470" s="89"/>
      <c r="F470" s="89"/>
      <c r="G470" s="89"/>
    </row>
    <row r="471" spans="2:7">
      <c r="B471" s="89"/>
      <c r="C471" s="89"/>
      <c r="D471" s="89"/>
      <c r="E471" s="89"/>
      <c r="F471" s="89"/>
      <c r="G471" s="89"/>
    </row>
    <row r="472" spans="2:7">
      <c r="B472" s="89"/>
      <c r="C472" s="89"/>
      <c r="D472" s="89"/>
      <c r="E472" s="89"/>
      <c r="F472" s="89"/>
      <c r="G472" s="89"/>
    </row>
    <row r="473" spans="2:7">
      <c r="B473" s="89"/>
      <c r="C473" s="89"/>
      <c r="D473" s="89"/>
      <c r="E473" s="89"/>
      <c r="F473" s="89"/>
      <c r="G473" s="89"/>
    </row>
    <row r="474" spans="2:7">
      <c r="B474" s="89"/>
      <c r="C474" s="89"/>
      <c r="D474" s="89"/>
      <c r="E474" s="89"/>
      <c r="F474" s="89"/>
      <c r="G474" s="89"/>
    </row>
    <row r="475" spans="2:7">
      <c r="B475" s="89"/>
      <c r="C475" s="89"/>
      <c r="D475" s="89"/>
      <c r="E475" s="89"/>
      <c r="F475" s="89"/>
      <c r="G475" s="89"/>
    </row>
    <row r="476" spans="2:7">
      <c r="B476" s="89"/>
      <c r="C476" s="89"/>
      <c r="D476" s="89"/>
      <c r="E476" s="89"/>
      <c r="F476" s="89"/>
      <c r="G476" s="89"/>
    </row>
    <row r="477" spans="2:7">
      <c r="B477" s="89"/>
      <c r="C477" s="89"/>
      <c r="D477" s="89"/>
      <c r="E477" s="89"/>
      <c r="F477" s="89"/>
      <c r="G477" s="89"/>
    </row>
    <row r="478" spans="2:7">
      <c r="B478" s="89"/>
      <c r="C478" s="89"/>
      <c r="D478" s="89"/>
      <c r="E478" s="89"/>
      <c r="F478" s="89"/>
      <c r="G478" s="89"/>
    </row>
    <row r="479" spans="2:7">
      <c r="B479" s="89"/>
      <c r="C479" s="89"/>
      <c r="D479" s="89"/>
      <c r="E479" s="89"/>
      <c r="F479" s="89"/>
      <c r="G479" s="89"/>
    </row>
    <row r="480" spans="2:7">
      <c r="B480" s="89"/>
      <c r="C480" s="89"/>
      <c r="D480" s="89"/>
      <c r="E480" s="89"/>
      <c r="F480" s="89"/>
      <c r="G480" s="89"/>
    </row>
    <row r="481" spans="2:7">
      <c r="B481" s="89"/>
      <c r="C481" s="89"/>
      <c r="D481" s="89"/>
      <c r="E481" s="89"/>
      <c r="F481" s="89"/>
      <c r="G481" s="89"/>
    </row>
    <row r="482" spans="2:7">
      <c r="B482" s="89"/>
      <c r="C482" s="89"/>
      <c r="D482" s="89"/>
      <c r="E482" s="89"/>
      <c r="F482" s="89"/>
      <c r="G482" s="89"/>
    </row>
    <row r="483" spans="2:7">
      <c r="B483" s="89"/>
      <c r="C483" s="89"/>
      <c r="D483" s="89"/>
      <c r="E483" s="89"/>
      <c r="F483" s="89"/>
      <c r="G483" s="89"/>
    </row>
    <row r="484" spans="2:7">
      <c r="B484" s="89"/>
      <c r="C484" s="89"/>
      <c r="D484" s="89"/>
      <c r="E484" s="89"/>
      <c r="F484" s="89"/>
      <c r="G484" s="89"/>
    </row>
    <row r="485" spans="2:7">
      <c r="B485" s="89"/>
      <c r="C485" s="89"/>
      <c r="D485" s="89"/>
      <c r="E485" s="89"/>
      <c r="F485" s="89"/>
      <c r="G485" s="89"/>
    </row>
    <row r="486" spans="2:7">
      <c r="B486" s="89"/>
      <c r="C486" s="89"/>
      <c r="D486" s="89"/>
      <c r="E486" s="89"/>
      <c r="F486" s="89"/>
      <c r="G486" s="89"/>
    </row>
    <row r="487" spans="2:7">
      <c r="B487" s="89"/>
      <c r="C487" s="89"/>
      <c r="D487" s="89"/>
      <c r="E487" s="89"/>
      <c r="F487" s="89"/>
      <c r="G487" s="89"/>
    </row>
    <row r="488" spans="2:7">
      <c r="B488" s="89"/>
      <c r="C488" s="89"/>
      <c r="D488" s="89"/>
      <c r="E488" s="89"/>
      <c r="F488" s="89"/>
      <c r="G488" s="89"/>
    </row>
    <row r="489" spans="2:7">
      <c r="B489" s="89"/>
      <c r="C489" s="89"/>
      <c r="D489" s="89"/>
      <c r="E489" s="89"/>
      <c r="F489" s="89"/>
      <c r="G489" s="89"/>
    </row>
    <row r="490" spans="2:7">
      <c r="B490" s="89"/>
      <c r="C490" s="89"/>
      <c r="D490" s="89"/>
      <c r="E490" s="89"/>
      <c r="F490" s="89"/>
      <c r="G490" s="89"/>
    </row>
    <row r="491" spans="2:7">
      <c r="B491" s="89"/>
      <c r="C491" s="89"/>
      <c r="D491" s="89"/>
      <c r="E491" s="89"/>
      <c r="F491" s="89"/>
      <c r="G491" s="89"/>
    </row>
    <row r="492" spans="2:7">
      <c r="B492" s="89"/>
      <c r="C492" s="89"/>
      <c r="D492" s="89"/>
      <c r="E492" s="89"/>
      <c r="F492" s="89"/>
      <c r="G492" s="89"/>
    </row>
    <row r="493" spans="2:7">
      <c r="B493" s="89"/>
      <c r="C493" s="89"/>
      <c r="D493" s="89"/>
      <c r="E493" s="89"/>
      <c r="F493" s="89"/>
      <c r="G493" s="89"/>
    </row>
    <row r="494" spans="2:7">
      <c r="B494" s="89"/>
      <c r="C494" s="89"/>
      <c r="D494" s="89"/>
      <c r="E494" s="89"/>
      <c r="F494" s="89"/>
      <c r="G494" s="89"/>
    </row>
    <row r="495" spans="2:7">
      <c r="B495" s="89"/>
      <c r="C495" s="89"/>
      <c r="D495" s="89"/>
      <c r="E495" s="89"/>
      <c r="F495" s="89"/>
      <c r="G495" s="89"/>
    </row>
    <row r="496" spans="2:7">
      <c r="B496" s="89"/>
      <c r="C496" s="89"/>
      <c r="D496" s="89"/>
      <c r="E496" s="89"/>
      <c r="F496" s="89"/>
      <c r="G496" s="89"/>
    </row>
    <row r="497" spans="2:7">
      <c r="B497" s="89"/>
      <c r="C497" s="89"/>
      <c r="D497" s="89"/>
      <c r="E497" s="89"/>
      <c r="F497" s="89"/>
      <c r="G497" s="89"/>
    </row>
    <row r="498" spans="2:7">
      <c r="B498" s="89"/>
      <c r="C498" s="89"/>
      <c r="D498" s="89"/>
      <c r="E498" s="89"/>
      <c r="F498" s="89"/>
      <c r="G498" s="89"/>
    </row>
    <row r="499" spans="2:7">
      <c r="B499" s="89"/>
      <c r="C499" s="89"/>
      <c r="D499" s="89"/>
      <c r="E499" s="89"/>
      <c r="F499" s="89"/>
      <c r="G499" s="89"/>
    </row>
    <row r="500" spans="2:7">
      <c r="B500" s="89"/>
      <c r="C500" s="89"/>
      <c r="D500" s="89"/>
      <c r="E500" s="89"/>
      <c r="F500" s="89"/>
      <c r="G500" s="89"/>
    </row>
    <row r="501" spans="2:7">
      <c r="B501" s="89"/>
      <c r="C501" s="89"/>
      <c r="D501" s="89"/>
      <c r="E501" s="89"/>
      <c r="F501" s="89"/>
      <c r="G501" s="89"/>
    </row>
    <row r="502" spans="2:7">
      <c r="B502" s="89"/>
      <c r="C502" s="89"/>
      <c r="D502" s="89"/>
      <c r="E502" s="89"/>
      <c r="F502" s="89"/>
      <c r="G502" s="89"/>
    </row>
    <row r="503" spans="2:7">
      <c r="B503" s="89"/>
      <c r="C503" s="89"/>
      <c r="D503" s="89"/>
      <c r="E503" s="89"/>
      <c r="F503" s="89"/>
      <c r="G503" s="89"/>
    </row>
    <row r="504" spans="2:7">
      <c r="B504" s="89"/>
      <c r="C504" s="89"/>
      <c r="D504" s="89"/>
      <c r="E504" s="89"/>
      <c r="F504" s="89"/>
      <c r="G504" s="89"/>
    </row>
    <row r="505" spans="2:7">
      <c r="B505" s="89"/>
      <c r="C505" s="89"/>
      <c r="D505" s="89"/>
      <c r="E505" s="89"/>
      <c r="F505" s="89"/>
      <c r="G505" s="89"/>
    </row>
    <row r="506" spans="2:7">
      <c r="B506" s="89"/>
      <c r="C506" s="89"/>
      <c r="D506" s="89"/>
      <c r="E506" s="89"/>
      <c r="F506" s="89"/>
      <c r="G506" s="89"/>
    </row>
    <row r="507" spans="2:7">
      <c r="B507" s="89"/>
      <c r="C507" s="89"/>
      <c r="D507" s="89"/>
      <c r="E507" s="89"/>
      <c r="F507" s="89"/>
      <c r="G507" s="89"/>
    </row>
    <row r="508" spans="2:7">
      <c r="B508" s="89"/>
      <c r="C508" s="89"/>
      <c r="D508" s="89"/>
      <c r="E508" s="89"/>
      <c r="F508" s="89"/>
      <c r="G508" s="89"/>
    </row>
    <row r="509" spans="2:7">
      <c r="B509" s="89"/>
      <c r="C509" s="89"/>
      <c r="D509" s="89"/>
      <c r="E509" s="89"/>
      <c r="F509" s="89"/>
      <c r="G509" s="89"/>
    </row>
    <row r="510" spans="2:7">
      <c r="B510" s="89"/>
      <c r="C510" s="89"/>
      <c r="D510" s="89"/>
      <c r="E510" s="89"/>
      <c r="F510" s="89"/>
      <c r="G510" s="89"/>
    </row>
    <row r="511" spans="2:7">
      <c r="B511" s="89"/>
      <c r="C511" s="89"/>
      <c r="D511" s="89"/>
      <c r="E511" s="89"/>
      <c r="F511" s="89"/>
      <c r="G511" s="89"/>
    </row>
    <row r="512" spans="2:7">
      <c r="B512" s="89"/>
      <c r="C512" s="89"/>
      <c r="D512" s="89"/>
      <c r="E512" s="89"/>
      <c r="F512" s="89"/>
      <c r="G512" s="89"/>
    </row>
    <row r="513" spans="2:7">
      <c r="B513" s="89"/>
      <c r="C513" s="89"/>
      <c r="D513" s="89"/>
      <c r="E513" s="89"/>
      <c r="F513" s="89"/>
      <c r="G513" s="89"/>
    </row>
    <row r="514" spans="2:7">
      <c r="B514" s="89"/>
      <c r="C514" s="89"/>
      <c r="D514" s="89"/>
      <c r="E514" s="89"/>
      <c r="F514" s="89"/>
      <c r="G514" s="89"/>
    </row>
    <row r="515" spans="2:7">
      <c r="B515" s="89"/>
      <c r="C515" s="89"/>
      <c r="D515" s="89"/>
      <c r="E515" s="89"/>
      <c r="F515" s="89"/>
      <c r="G515" s="89"/>
    </row>
    <row r="516" spans="2:7">
      <c r="B516" s="89"/>
      <c r="C516" s="89"/>
      <c r="D516" s="89"/>
      <c r="E516" s="89"/>
      <c r="F516" s="89"/>
      <c r="G516" s="89"/>
    </row>
    <row r="517" spans="2:7">
      <c r="B517" s="89"/>
      <c r="C517" s="89"/>
      <c r="D517" s="89"/>
      <c r="E517" s="89"/>
      <c r="F517" s="89"/>
      <c r="G517" s="89"/>
    </row>
    <row r="518" spans="2:7">
      <c r="B518" s="89"/>
      <c r="C518" s="89"/>
      <c r="D518" s="89"/>
      <c r="E518" s="89"/>
      <c r="F518" s="89"/>
      <c r="G518" s="89"/>
    </row>
    <row r="519" spans="2:7">
      <c r="B519" s="89"/>
      <c r="C519" s="89"/>
      <c r="D519" s="89"/>
      <c r="E519" s="89"/>
      <c r="F519" s="89"/>
      <c r="G519" s="89"/>
    </row>
    <row r="520" spans="2:7">
      <c r="B520" s="89"/>
      <c r="C520" s="89"/>
      <c r="D520" s="89"/>
      <c r="E520" s="89"/>
      <c r="F520" s="89"/>
      <c r="G520" s="89"/>
    </row>
    <row r="521" spans="2:7">
      <c r="B521" s="89"/>
      <c r="C521" s="89"/>
      <c r="D521" s="89"/>
      <c r="E521" s="89"/>
      <c r="F521" s="89"/>
      <c r="G521" s="89"/>
    </row>
    <row r="522" spans="2:7">
      <c r="B522" s="89"/>
      <c r="C522" s="89"/>
      <c r="D522" s="89"/>
      <c r="E522" s="89"/>
      <c r="F522" s="89"/>
      <c r="G522" s="89"/>
    </row>
    <row r="523" spans="2:7">
      <c r="B523" s="89"/>
      <c r="C523" s="89"/>
      <c r="D523" s="89"/>
      <c r="E523" s="89"/>
      <c r="F523" s="89"/>
      <c r="G523" s="89"/>
    </row>
    <row r="524" spans="2:7">
      <c r="B524" s="89"/>
      <c r="C524" s="89"/>
      <c r="D524" s="89"/>
      <c r="E524" s="89"/>
      <c r="F524" s="89"/>
      <c r="G524" s="89"/>
    </row>
    <row r="525" spans="2:7">
      <c r="B525" s="89"/>
      <c r="C525" s="89"/>
      <c r="D525" s="89"/>
      <c r="E525" s="89"/>
      <c r="F525" s="89"/>
      <c r="G525" s="89"/>
    </row>
    <row r="526" spans="2:7">
      <c r="B526" s="89"/>
      <c r="C526" s="89"/>
      <c r="D526" s="89"/>
      <c r="E526" s="89"/>
      <c r="F526" s="89"/>
      <c r="G526" s="89"/>
    </row>
    <row r="527" spans="2:7">
      <c r="B527" s="89"/>
      <c r="C527" s="89"/>
      <c r="D527" s="89"/>
      <c r="E527" s="89"/>
      <c r="F527" s="89"/>
      <c r="G527" s="89"/>
    </row>
    <row r="528" spans="2:7">
      <c r="B528" s="89"/>
      <c r="C528" s="89"/>
      <c r="D528" s="89"/>
      <c r="E528" s="89"/>
      <c r="F528" s="89"/>
      <c r="G528" s="89"/>
    </row>
    <row r="529" spans="2:7">
      <c r="B529" s="89"/>
      <c r="C529" s="89"/>
      <c r="D529" s="89"/>
      <c r="E529" s="89"/>
      <c r="F529" s="89"/>
      <c r="G529" s="89"/>
    </row>
    <row r="530" spans="2:7">
      <c r="B530" s="89"/>
      <c r="C530" s="89"/>
      <c r="D530" s="89"/>
      <c r="E530" s="89"/>
      <c r="F530" s="89"/>
      <c r="G530" s="89"/>
    </row>
    <row r="531" spans="2:7">
      <c r="B531" s="89"/>
      <c r="C531" s="89"/>
      <c r="D531" s="89"/>
      <c r="E531" s="89"/>
      <c r="F531" s="89"/>
      <c r="G531" s="89"/>
    </row>
    <row r="532" spans="2:7">
      <c r="B532" s="89"/>
      <c r="C532" s="89"/>
      <c r="D532" s="89"/>
      <c r="E532" s="89"/>
      <c r="F532" s="89"/>
      <c r="G532" s="89"/>
    </row>
    <row r="533" spans="2:7">
      <c r="B533" s="89"/>
      <c r="C533" s="89"/>
      <c r="D533" s="89"/>
      <c r="E533" s="89"/>
      <c r="F533" s="89"/>
      <c r="G533" s="89"/>
    </row>
    <row r="534" spans="2:7">
      <c r="B534" s="89"/>
      <c r="C534" s="89"/>
      <c r="D534" s="89"/>
      <c r="E534" s="89"/>
      <c r="F534" s="89"/>
      <c r="G534" s="89"/>
    </row>
    <row r="535" spans="2:7">
      <c r="B535" s="89"/>
      <c r="C535" s="89"/>
      <c r="D535" s="89"/>
      <c r="E535" s="89"/>
      <c r="F535" s="89"/>
      <c r="G535" s="89"/>
    </row>
    <row r="536" spans="2:7">
      <c r="B536" s="89"/>
      <c r="C536" s="89"/>
      <c r="D536" s="89"/>
      <c r="E536" s="89"/>
      <c r="F536" s="89"/>
      <c r="G536" s="89"/>
    </row>
    <row r="537" spans="2:7">
      <c r="B537" s="89"/>
      <c r="C537" s="89"/>
      <c r="D537" s="89"/>
      <c r="E537" s="89"/>
      <c r="F537" s="89"/>
      <c r="G537" s="89"/>
    </row>
    <row r="538" spans="2:7">
      <c r="B538" s="89"/>
      <c r="C538" s="89"/>
      <c r="D538" s="89"/>
      <c r="E538" s="89"/>
      <c r="F538" s="89"/>
      <c r="G538" s="89"/>
    </row>
    <row r="539" spans="2:7">
      <c r="B539" s="89"/>
      <c r="C539" s="89"/>
      <c r="D539" s="89"/>
      <c r="E539" s="89"/>
      <c r="F539" s="89"/>
      <c r="G539" s="89"/>
    </row>
    <row r="540" spans="2:7">
      <c r="B540" s="89"/>
      <c r="C540" s="89"/>
      <c r="D540" s="89"/>
      <c r="E540" s="89"/>
      <c r="F540" s="89"/>
      <c r="G540" s="89"/>
    </row>
    <row r="541" spans="2:7">
      <c r="B541" s="89"/>
      <c r="C541" s="89"/>
      <c r="D541" s="89"/>
      <c r="E541" s="89"/>
      <c r="F541" s="89"/>
      <c r="G541" s="89"/>
    </row>
    <row r="542" spans="2:7">
      <c r="B542" s="89"/>
      <c r="C542" s="89"/>
      <c r="D542" s="89"/>
      <c r="E542" s="89"/>
      <c r="F542" s="89"/>
      <c r="G542" s="89"/>
    </row>
    <row r="543" spans="2:7">
      <c r="B543" s="89"/>
      <c r="C543" s="89"/>
      <c r="D543" s="89"/>
      <c r="E543" s="89"/>
      <c r="F543" s="89"/>
      <c r="G543" s="89"/>
    </row>
    <row r="544" spans="2:7">
      <c r="B544" s="89"/>
      <c r="C544" s="89"/>
      <c r="D544" s="89"/>
      <c r="E544" s="89"/>
      <c r="F544" s="89"/>
      <c r="G544" s="89"/>
    </row>
    <row r="545" spans="2:7">
      <c r="B545" s="89"/>
      <c r="C545" s="89"/>
      <c r="D545" s="89"/>
      <c r="E545" s="89"/>
      <c r="F545" s="89"/>
      <c r="G545" s="89"/>
    </row>
    <row r="546" spans="2:7">
      <c r="B546" s="89"/>
      <c r="C546" s="89"/>
      <c r="D546" s="89"/>
      <c r="E546" s="89"/>
      <c r="F546" s="89"/>
      <c r="G546" s="89"/>
    </row>
    <row r="547" spans="2:7">
      <c r="B547" s="89"/>
      <c r="C547" s="89"/>
      <c r="D547" s="89"/>
      <c r="E547" s="89"/>
      <c r="F547" s="89"/>
      <c r="G547" s="89"/>
    </row>
    <row r="548" spans="2:7">
      <c r="B548" s="89"/>
      <c r="C548" s="89"/>
      <c r="D548" s="89"/>
      <c r="E548" s="89"/>
      <c r="F548" s="89"/>
      <c r="G548" s="89"/>
    </row>
    <row r="549" spans="2:7">
      <c r="B549" s="89"/>
      <c r="C549" s="89"/>
      <c r="D549" s="89"/>
      <c r="E549" s="89"/>
      <c r="F549" s="89"/>
      <c r="G549" s="89"/>
    </row>
    <row r="550" spans="2:7">
      <c r="B550" s="89"/>
      <c r="C550" s="89"/>
      <c r="D550" s="89"/>
      <c r="E550" s="89"/>
      <c r="F550" s="89"/>
      <c r="G550" s="89"/>
    </row>
    <row r="551" spans="2:7">
      <c r="B551" s="89"/>
      <c r="C551" s="89"/>
      <c r="D551" s="89"/>
      <c r="E551" s="89"/>
      <c r="F551" s="89"/>
      <c r="G551" s="89"/>
    </row>
    <row r="552" spans="2:7">
      <c r="B552" s="89"/>
      <c r="C552" s="89"/>
      <c r="D552" s="89"/>
      <c r="E552" s="89"/>
      <c r="F552" s="89"/>
      <c r="G552" s="89"/>
    </row>
    <row r="553" spans="2:7">
      <c r="B553" s="89"/>
      <c r="C553" s="89"/>
      <c r="D553" s="89"/>
      <c r="E553" s="89"/>
      <c r="F553" s="89"/>
      <c r="G553" s="89"/>
    </row>
    <row r="554" spans="2:7">
      <c r="B554" s="89"/>
      <c r="C554" s="89"/>
      <c r="D554" s="89"/>
      <c r="E554" s="89"/>
      <c r="F554" s="89"/>
      <c r="G554" s="89"/>
    </row>
    <row r="555" spans="2:7">
      <c r="B555" s="89"/>
      <c r="C555" s="89"/>
      <c r="D555" s="89"/>
      <c r="E555" s="89"/>
      <c r="F555" s="89"/>
      <c r="G555" s="89"/>
    </row>
    <row r="556" spans="2:7">
      <c r="B556" s="89"/>
      <c r="C556" s="89"/>
      <c r="D556" s="89"/>
      <c r="E556" s="89"/>
      <c r="F556" s="89"/>
      <c r="G556" s="89"/>
    </row>
    <row r="557" spans="2:7">
      <c r="B557" s="89"/>
      <c r="C557" s="89"/>
      <c r="D557" s="89"/>
      <c r="E557" s="89"/>
      <c r="F557" s="89"/>
      <c r="G557" s="89"/>
    </row>
    <row r="558" spans="2:7">
      <c r="B558" s="89"/>
      <c r="C558" s="89"/>
      <c r="D558" s="89"/>
      <c r="E558" s="89"/>
      <c r="F558" s="89"/>
      <c r="G558" s="89"/>
    </row>
    <row r="559" spans="2:7">
      <c r="B559" s="89"/>
      <c r="C559" s="89"/>
      <c r="D559" s="89"/>
      <c r="E559" s="89"/>
      <c r="F559" s="89"/>
      <c r="G559" s="89"/>
    </row>
    <row r="560" spans="2:7">
      <c r="B560" s="89"/>
      <c r="C560" s="89"/>
      <c r="D560" s="89"/>
      <c r="E560" s="89"/>
      <c r="F560" s="89"/>
      <c r="G560" s="89"/>
    </row>
    <row r="561" spans="2:7">
      <c r="B561" s="89"/>
      <c r="C561" s="89"/>
      <c r="D561" s="89"/>
      <c r="E561" s="89"/>
      <c r="F561" s="89"/>
      <c r="G561" s="89"/>
    </row>
    <row r="562" spans="2:7">
      <c r="B562" s="89"/>
      <c r="C562" s="89"/>
      <c r="D562" s="89"/>
      <c r="E562" s="89"/>
      <c r="F562" s="89"/>
      <c r="G562" s="89"/>
    </row>
    <row r="563" spans="2:7">
      <c r="B563" s="89"/>
      <c r="C563" s="89"/>
      <c r="D563" s="89"/>
      <c r="E563" s="89"/>
      <c r="F563" s="89"/>
      <c r="G563" s="89"/>
    </row>
    <row r="564" spans="2:7">
      <c r="B564" s="89"/>
      <c r="C564" s="89"/>
      <c r="D564" s="89"/>
      <c r="E564" s="89"/>
      <c r="F564" s="89"/>
      <c r="G564" s="89"/>
    </row>
    <row r="565" spans="2:7">
      <c r="B565" s="89"/>
      <c r="C565" s="89"/>
      <c r="D565" s="89"/>
      <c r="E565" s="89"/>
      <c r="F565" s="89"/>
      <c r="G565" s="89"/>
    </row>
    <row r="566" spans="2:7">
      <c r="B566" s="89"/>
      <c r="C566" s="89"/>
      <c r="D566" s="89"/>
      <c r="E566" s="89"/>
      <c r="F566" s="89"/>
      <c r="G566" s="89"/>
    </row>
    <row r="567" spans="2:7">
      <c r="B567" s="89"/>
      <c r="C567" s="89"/>
      <c r="D567" s="89"/>
      <c r="E567" s="89"/>
      <c r="F567" s="89"/>
      <c r="G567" s="89"/>
    </row>
    <row r="568" spans="2:7">
      <c r="B568" s="89"/>
      <c r="C568" s="89"/>
      <c r="D568" s="89"/>
      <c r="E568" s="89"/>
      <c r="F568" s="89"/>
      <c r="G568" s="89"/>
    </row>
    <row r="569" spans="2:7">
      <c r="B569" s="89"/>
      <c r="C569" s="89"/>
      <c r="D569" s="89"/>
      <c r="E569" s="89"/>
      <c r="F569" s="89"/>
      <c r="G569" s="89"/>
    </row>
    <row r="570" spans="2:7">
      <c r="B570" s="89"/>
      <c r="C570" s="89"/>
      <c r="D570" s="89"/>
      <c r="E570" s="89"/>
      <c r="F570" s="89"/>
      <c r="G570" s="89"/>
    </row>
    <row r="571" spans="2:7">
      <c r="B571" s="89"/>
      <c r="C571" s="89"/>
      <c r="D571" s="89"/>
      <c r="E571" s="89"/>
      <c r="F571" s="89"/>
      <c r="G571" s="89"/>
    </row>
    <row r="572" spans="2:7">
      <c r="B572" s="89"/>
      <c r="C572" s="89"/>
      <c r="D572" s="89"/>
      <c r="E572" s="89"/>
      <c r="F572" s="89"/>
      <c r="G572" s="89"/>
    </row>
    <row r="573" spans="2:7">
      <c r="B573" s="89"/>
      <c r="C573" s="89"/>
      <c r="D573" s="89"/>
      <c r="E573" s="89"/>
      <c r="F573" s="89"/>
      <c r="G573" s="89"/>
    </row>
    <row r="574" spans="2:7">
      <c r="B574" s="89"/>
      <c r="C574" s="89"/>
      <c r="D574" s="89"/>
      <c r="E574" s="89"/>
      <c r="F574" s="89"/>
      <c r="G574" s="89"/>
    </row>
    <row r="575" spans="2:7">
      <c r="B575" s="89"/>
      <c r="C575" s="89"/>
      <c r="D575" s="89"/>
      <c r="E575" s="89"/>
      <c r="F575" s="89"/>
      <c r="G575" s="89"/>
    </row>
    <row r="576" spans="2:7">
      <c r="B576" s="89"/>
      <c r="C576" s="89"/>
      <c r="D576" s="89"/>
      <c r="E576" s="89"/>
      <c r="F576" s="89"/>
      <c r="G576" s="89"/>
    </row>
    <row r="577" spans="2:7">
      <c r="B577" s="89"/>
      <c r="C577" s="89"/>
      <c r="D577" s="89"/>
      <c r="E577" s="89"/>
      <c r="F577" s="89"/>
      <c r="G577" s="89"/>
    </row>
    <row r="578" spans="2:7">
      <c r="B578" s="89"/>
      <c r="C578" s="89"/>
      <c r="D578" s="89"/>
      <c r="E578" s="89"/>
      <c r="F578" s="89"/>
      <c r="G578" s="89"/>
    </row>
    <row r="579" spans="2:7">
      <c r="B579" s="89"/>
      <c r="C579" s="89"/>
      <c r="D579" s="89"/>
      <c r="E579" s="89"/>
      <c r="F579" s="89"/>
      <c r="G579" s="89"/>
    </row>
    <row r="580" spans="2:7">
      <c r="B580" s="89"/>
      <c r="C580" s="89"/>
      <c r="D580" s="89"/>
      <c r="E580" s="89"/>
      <c r="F580" s="89"/>
      <c r="G580" s="89"/>
    </row>
    <row r="581" spans="2:7">
      <c r="B581" s="89"/>
      <c r="C581" s="89"/>
      <c r="D581" s="89"/>
      <c r="E581" s="89"/>
      <c r="F581" s="89"/>
      <c r="G581" s="89"/>
    </row>
    <row r="582" spans="2:7">
      <c r="B582" s="89"/>
      <c r="C582" s="89"/>
      <c r="D582" s="89"/>
      <c r="E582" s="89"/>
      <c r="F582" s="89"/>
      <c r="G582" s="89"/>
    </row>
    <row r="583" spans="2:7">
      <c r="B583" s="89"/>
      <c r="C583" s="89"/>
      <c r="D583" s="89"/>
      <c r="E583" s="89"/>
      <c r="F583" s="89"/>
      <c r="G583" s="89"/>
    </row>
    <row r="584" spans="2:7">
      <c r="B584" s="89"/>
      <c r="C584" s="89"/>
      <c r="D584" s="89"/>
      <c r="E584" s="89"/>
      <c r="F584" s="89"/>
      <c r="G584" s="89"/>
    </row>
    <row r="585" spans="2:7">
      <c r="B585" s="89"/>
      <c r="C585" s="89"/>
      <c r="D585" s="89"/>
      <c r="E585" s="89"/>
      <c r="F585" s="89"/>
      <c r="G585" s="89"/>
    </row>
    <row r="586" spans="2:7">
      <c r="B586" s="89"/>
      <c r="C586" s="89"/>
      <c r="D586" s="89"/>
      <c r="E586" s="89"/>
      <c r="F586" s="89"/>
      <c r="G586" s="89"/>
    </row>
    <row r="587" spans="2:7">
      <c r="B587" s="89"/>
      <c r="C587" s="89"/>
      <c r="D587" s="89"/>
      <c r="E587" s="89"/>
      <c r="F587" s="89"/>
      <c r="G587" s="89"/>
    </row>
    <row r="588" spans="2:7">
      <c r="B588" s="89"/>
      <c r="C588" s="89"/>
      <c r="D588" s="89"/>
      <c r="E588" s="89"/>
      <c r="F588" s="89"/>
      <c r="G588" s="89"/>
    </row>
    <row r="589" spans="2:7">
      <c r="B589" s="89"/>
      <c r="C589" s="89"/>
      <c r="D589" s="89"/>
      <c r="E589" s="89"/>
      <c r="F589" s="89"/>
      <c r="G589" s="89"/>
    </row>
    <row r="590" spans="2:7">
      <c r="B590" s="89"/>
      <c r="C590" s="89"/>
      <c r="D590" s="89"/>
      <c r="E590" s="89"/>
      <c r="F590" s="89"/>
      <c r="G590" s="89"/>
    </row>
    <row r="591" spans="2:7">
      <c r="B591" s="89"/>
      <c r="C591" s="89"/>
      <c r="D591" s="89"/>
      <c r="E591" s="89"/>
      <c r="F591" s="89"/>
      <c r="G591" s="89"/>
    </row>
    <row r="592" spans="2:7">
      <c r="B592" s="89"/>
      <c r="C592" s="89"/>
      <c r="D592" s="89"/>
      <c r="E592" s="89"/>
      <c r="F592" s="89"/>
      <c r="G592" s="89"/>
    </row>
    <row r="593" spans="2:7">
      <c r="B593" s="89"/>
      <c r="C593" s="89"/>
      <c r="D593" s="89"/>
      <c r="E593" s="89"/>
      <c r="F593" s="89"/>
      <c r="G593" s="89"/>
    </row>
    <row r="594" spans="2:7">
      <c r="B594" s="89"/>
      <c r="C594" s="89"/>
      <c r="D594" s="89"/>
      <c r="E594" s="89"/>
      <c r="F594" s="89"/>
      <c r="G594" s="89"/>
    </row>
    <row r="595" spans="2:7">
      <c r="B595" s="89"/>
      <c r="C595" s="89"/>
      <c r="D595" s="89"/>
      <c r="E595" s="89"/>
      <c r="F595" s="89"/>
      <c r="G595" s="89"/>
    </row>
    <row r="596" spans="2:7">
      <c r="B596" s="89"/>
      <c r="C596" s="89"/>
      <c r="D596" s="89"/>
      <c r="E596" s="89"/>
      <c r="F596" s="89"/>
      <c r="G596" s="89"/>
    </row>
    <row r="597" spans="2:7">
      <c r="B597" s="89"/>
      <c r="C597" s="89"/>
      <c r="D597" s="89"/>
      <c r="E597" s="89"/>
      <c r="F597" s="89"/>
      <c r="G597" s="89"/>
    </row>
    <row r="598" spans="2:7">
      <c r="B598" s="89"/>
      <c r="C598" s="89"/>
      <c r="D598" s="89"/>
      <c r="E598" s="89"/>
      <c r="F598" s="89"/>
      <c r="G598" s="89"/>
    </row>
    <row r="599" spans="2:7">
      <c r="B599" s="89"/>
      <c r="C599" s="89"/>
      <c r="D599" s="89"/>
      <c r="E599" s="89"/>
      <c r="F599" s="89"/>
      <c r="G599" s="89"/>
    </row>
    <row r="600" spans="2:7">
      <c r="B600" s="89"/>
      <c r="C600" s="89"/>
      <c r="D600" s="89"/>
      <c r="E600" s="89"/>
      <c r="F600" s="89"/>
      <c r="G600" s="89"/>
    </row>
    <row r="601" spans="2:7">
      <c r="B601" s="89"/>
      <c r="C601" s="89"/>
      <c r="D601" s="89"/>
      <c r="E601" s="89"/>
      <c r="F601" s="89"/>
      <c r="G601" s="89"/>
    </row>
    <row r="602" spans="2:7">
      <c r="B602" s="89"/>
      <c r="C602" s="89"/>
      <c r="D602" s="89"/>
      <c r="E602" s="89"/>
      <c r="F602" s="89"/>
      <c r="G602" s="89"/>
    </row>
    <row r="603" spans="2:7">
      <c r="B603" s="89"/>
      <c r="C603" s="89"/>
      <c r="D603" s="89"/>
      <c r="E603" s="89"/>
      <c r="F603" s="89"/>
      <c r="G603" s="89"/>
    </row>
    <row r="604" spans="2:7">
      <c r="B604" s="89"/>
      <c r="C604" s="89"/>
      <c r="D604" s="89"/>
      <c r="E604" s="89"/>
      <c r="F604" s="89"/>
      <c r="G604" s="89"/>
    </row>
    <row r="605" spans="2:7">
      <c r="B605" s="89"/>
      <c r="C605" s="89"/>
      <c r="D605" s="89"/>
      <c r="E605" s="89"/>
      <c r="F605" s="89"/>
      <c r="G605" s="89"/>
    </row>
    <row r="606" spans="2:7">
      <c r="B606" s="89"/>
      <c r="C606" s="89"/>
      <c r="D606" s="89"/>
      <c r="E606" s="89"/>
      <c r="F606" s="89"/>
      <c r="G606" s="89"/>
    </row>
    <row r="607" spans="2:7">
      <c r="B607" s="89"/>
      <c r="C607" s="89"/>
      <c r="D607" s="89"/>
      <c r="E607" s="89"/>
      <c r="F607" s="89"/>
      <c r="G607" s="89"/>
    </row>
    <row r="608" spans="2:7">
      <c r="B608" s="89"/>
      <c r="C608" s="89"/>
      <c r="D608" s="89"/>
      <c r="E608" s="89"/>
      <c r="F608" s="89"/>
      <c r="G608" s="89"/>
    </row>
    <row r="609" spans="2:7">
      <c r="B609" s="89"/>
      <c r="C609" s="89"/>
      <c r="D609" s="89"/>
      <c r="E609" s="89"/>
      <c r="F609" s="89"/>
      <c r="G609" s="89"/>
    </row>
    <row r="610" spans="2:7">
      <c r="B610" s="89"/>
      <c r="C610" s="89"/>
      <c r="D610" s="89"/>
      <c r="E610" s="89"/>
      <c r="F610" s="89"/>
      <c r="G610" s="89"/>
    </row>
    <row r="611" spans="2:7">
      <c r="B611" s="89"/>
      <c r="C611" s="89"/>
      <c r="D611" s="89"/>
      <c r="E611" s="89"/>
      <c r="F611" s="89"/>
      <c r="G611" s="89"/>
    </row>
    <row r="612" spans="2:7">
      <c r="B612" s="89"/>
      <c r="C612" s="89"/>
      <c r="D612" s="89"/>
      <c r="E612" s="89"/>
      <c r="F612" s="89"/>
      <c r="G612" s="89"/>
    </row>
    <row r="613" spans="2:7">
      <c r="B613" s="89"/>
      <c r="C613" s="89"/>
      <c r="D613" s="89"/>
      <c r="E613" s="89"/>
      <c r="F613" s="89"/>
      <c r="G613" s="89"/>
    </row>
    <row r="614" spans="2:7">
      <c r="B614" s="89"/>
      <c r="C614" s="89"/>
      <c r="D614" s="89"/>
      <c r="E614" s="89"/>
      <c r="F614" s="89"/>
      <c r="G614" s="89"/>
    </row>
    <row r="615" spans="2:7">
      <c r="B615" s="89"/>
      <c r="C615" s="89"/>
      <c r="D615" s="89"/>
      <c r="E615" s="89"/>
      <c r="F615" s="89"/>
      <c r="G615" s="89"/>
    </row>
    <row r="616" spans="2:7">
      <c r="B616" s="89"/>
      <c r="C616" s="89"/>
      <c r="D616" s="89"/>
      <c r="E616" s="89"/>
      <c r="F616" s="89"/>
      <c r="G616" s="89"/>
    </row>
    <row r="617" spans="2:7">
      <c r="B617" s="89"/>
      <c r="C617" s="89"/>
      <c r="D617" s="89"/>
      <c r="E617" s="89"/>
      <c r="F617" s="89"/>
      <c r="G617" s="89"/>
    </row>
    <row r="618" spans="2:7">
      <c r="B618" s="89"/>
      <c r="C618" s="89"/>
      <c r="D618" s="89"/>
      <c r="E618" s="89"/>
      <c r="F618" s="89"/>
      <c r="G618" s="89"/>
    </row>
    <row r="619" spans="2:7">
      <c r="B619" s="89"/>
      <c r="C619" s="89"/>
      <c r="D619" s="89"/>
      <c r="E619" s="89"/>
      <c r="F619" s="89"/>
      <c r="G619" s="89"/>
    </row>
    <row r="620" spans="2:7">
      <c r="B620" s="89"/>
      <c r="C620" s="89"/>
      <c r="D620" s="89"/>
      <c r="E620" s="89"/>
      <c r="F620" s="89"/>
      <c r="G620" s="89"/>
    </row>
    <row r="621" spans="2:7">
      <c r="B621" s="89"/>
      <c r="C621" s="89"/>
      <c r="D621" s="89"/>
      <c r="E621" s="89"/>
      <c r="F621" s="89"/>
      <c r="G621" s="89"/>
    </row>
    <row r="622" spans="2:7">
      <c r="B622" s="89"/>
      <c r="C622" s="89"/>
      <c r="D622" s="89"/>
      <c r="E622" s="89"/>
      <c r="F622" s="89"/>
      <c r="G622" s="89"/>
    </row>
    <row r="623" spans="2:7">
      <c r="B623" s="89"/>
      <c r="C623" s="89"/>
      <c r="D623" s="89"/>
      <c r="E623" s="89"/>
      <c r="F623" s="89"/>
      <c r="G623" s="89"/>
    </row>
    <row r="624" spans="2:7">
      <c r="B624" s="89"/>
      <c r="C624" s="89"/>
      <c r="D624" s="89"/>
      <c r="E624" s="89"/>
      <c r="F624" s="89"/>
      <c r="G624" s="89"/>
    </row>
    <row r="625" spans="2:7">
      <c r="B625" s="89"/>
      <c r="C625" s="89"/>
      <c r="D625" s="89"/>
      <c r="E625" s="89"/>
      <c r="F625" s="89"/>
      <c r="G625" s="89"/>
    </row>
    <row r="626" spans="2:7">
      <c r="B626" s="89"/>
      <c r="C626" s="89"/>
      <c r="D626" s="89"/>
      <c r="E626" s="89"/>
      <c r="F626" s="89"/>
      <c r="G626" s="89"/>
    </row>
    <row r="627" spans="2:7">
      <c r="B627" s="89"/>
      <c r="C627" s="89"/>
      <c r="D627" s="89"/>
      <c r="E627" s="89"/>
      <c r="F627" s="89"/>
      <c r="G627" s="89"/>
    </row>
    <row r="628" spans="2:7">
      <c r="B628" s="89"/>
      <c r="C628" s="89"/>
      <c r="D628" s="89"/>
      <c r="E628" s="89"/>
      <c r="F628" s="89"/>
      <c r="G628" s="89"/>
    </row>
    <row r="629" spans="2:7">
      <c r="B629" s="89"/>
      <c r="C629" s="89"/>
      <c r="D629" s="89"/>
      <c r="E629" s="89"/>
      <c r="F629" s="89"/>
      <c r="G629" s="89"/>
    </row>
    <row r="630" spans="2:7">
      <c r="B630" s="89"/>
      <c r="C630" s="89"/>
      <c r="D630" s="89"/>
      <c r="E630" s="89"/>
      <c r="F630" s="89"/>
      <c r="G630" s="89"/>
    </row>
    <row r="631" spans="2:7">
      <c r="B631" s="89"/>
      <c r="C631" s="89"/>
      <c r="D631" s="89"/>
      <c r="E631" s="89"/>
      <c r="F631" s="89"/>
      <c r="G631" s="89"/>
    </row>
    <row r="632" spans="2:7">
      <c r="B632" s="89"/>
      <c r="C632" s="89"/>
      <c r="D632" s="89"/>
      <c r="E632" s="89"/>
      <c r="F632" s="89"/>
      <c r="G632" s="89"/>
    </row>
    <row r="633" spans="2:7">
      <c r="B633" s="89"/>
      <c r="C633" s="89"/>
      <c r="D633" s="89"/>
      <c r="E633" s="89"/>
      <c r="F633" s="89"/>
      <c r="G633" s="89"/>
    </row>
    <row r="634" spans="2:7">
      <c r="B634" s="89"/>
      <c r="C634" s="89"/>
      <c r="D634" s="89"/>
      <c r="E634" s="89"/>
      <c r="F634" s="89"/>
      <c r="G634" s="89"/>
    </row>
    <row r="635" spans="2:7">
      <c r="B635" s="89"/>
      <c r="C635" s="89"/>
      <c r="D635" s="89"/>
      <c r="E635" s="89"/>
      <c r="F635" s="89"/>
      <c r="G635" s="89"/>
    </row>
    <row r="636" spans="2:7">
      <c r="B636" s="89"/>
      <c r="C636" s="89"/>
      <c r="D636" s="89"/>
      <c r="E636" s="89"/>
      <c r="F636" s="89"/>
      <c r="G636" s="89"/>
    </row>
    <row r="637" spans="2:7">
      <c r="B637" s="89"/>
      <c r="C637" s="89"/>
      <c r="D637" s="89"/>
      <c r="E637" s="89"/>
      <c r="F637" s="89"/>
      <c r="G637" s="89"/>
    </row>
    <row r="638" spans="2:7">
      <c r="B638" s="89"/>
      <c r="C638" s="89"/>
      <c r="D638" s="89"/>
      <c r="E638" s="89"/>
      <c r="F638" s="89"/>
      <c r="G638" s="89"/>
    </row>
    <row r="639" spans="2:7">
      <c r="B639" s="89"/>
      <c r="C639" s="89"/>
      <c r="D639" s="89"/>
      <c r="E639" s="89"/>
      <c r="F639" s="89"/>
      <c r="G639" s="89"/>
    </row>
    <row r="640" spans="2:7">
      <c r="B640" s="89"/>
      <c r="C640" s="89"/>
      <c r="D640" s="89"/>
      <c r="E640" s="89"/>
      <c r="F640" s="89"/>
      <c r="G640" s="89"/>
    </row>
    <row r="641" spans="2:7">
      <c r="B641" s="89"/>
      <c r="C641" s="89"/>
      <c r="D641" s="89"/>
      <c r="E641" s="89"/>
      <c r="F641" s="89"/>
      <c r="G641" s="89"/>
    </row>
    <row r="642" spans="2:7">
      <c r="B642" s="89"/>
      <c r="C642" s="89"/>
      <c r="D642" s="89"/>
      <c r="E642" s="89"/>
      <c r="F642" s="89"/>
      <c r="G642" s="89"/>
    </row>
    <row r="643" spans="2:7">
      <c r="B643" s="89"/>
      <c r="C643" s="89"/>
      <c r="D643" s="89"/>
      <c r="E643" s="89"/>
      <c r="F643" s="89"/>
      <c r="G643" s="89"/>
    </row>
    <row r="644" spans="2:7">
      <c r="B644" s="89"/>
      <c r="C644" s="89"/>
      <c r="D644" s="89"/>
      <c r="E644" s="89"/>
      <c r="F644" s="89"/>
      <c r="G644" s="89"/>
    </row>
    <row r="645" spans="2:7">
      <c r="B645" s="89"/>
      <c r="C645" s="89"/>
      <c r="D645" s="89"/>
      <c r="E645" s="89"/>
      <c r="F645" s="89"/>
      <c r="G645" s="89"/>
    </row>
    <row r="646" spans="2:7">
      <c r="B646" s="89"/>
      <c r="C646" s="89"/>
      <c r="D646" s="89"/>
      <c r="E646" s="89"/>
      <c r="F646" s="89"/>
      <c r="G646" s="89"/>
    </row>
    <row r="647" spans="2:7">
      <c r="B647" s="89"/>
      <c r="C647" s="89"/>
      <c r="D647" s="89"/>
      <c r="E647" s="89"/>
      <c r="F647" s="89"/>
      <c r="G647" s="89"/>
    </row>
    <row r="648" spans="2:7">
      <c r="B648" s="89"/>
      <c r="C648" s="89"/>
      <c r="D648" s="89"/>
      <c r="E648" s="89"/>
      <c r="F648" s="89"/>
      <c r="G648" s="89"/>
    </row>
    <row r="649" spans="2:7">
      <c r="B649" s="89"/>
      <c r="C649" s="89"/>
      <c r="D649" s="89"/>
      <c r="E649" s="89"/>
      <c r="F649" s="89"/>
      <c r="G649" s="89"/>
    </row>
    <row r="650" spans="2:7">
      <c r="B650" s="89"/>
      <c r="C650" s="89"/>
      <c r="D650" s="89"/>
      <c r="E650" s="89"/>
      <c r="F650" s="89"/>
      <c r="G650" s="89"/>
    </row>
    <row r="651" spans="2:7">
      <c r="B651" s="89"/>
      <c r="C651" s="89"/>
      <c r="D651" s="89"/>
      <c r="E651" s="89"/>
      <c r="F651" s="89"/>
      <c r="G651" s="89"/>
    </row>
    <row r="652" spans="2:7">
      <c r="B652" s="89"/>
      <c r="C652" s="89"/>
      <c r="D652" s="89"/>
      <c r="E652" s="89"/>
      <c r="F652" s="89"/>
      <c r="G652" s="89"/>
    </row>
    <row r="653" spans="2:7">
      <c r="B653" s="89"/>
      <c r="C653" s="89"/>
      <c r="D653" s="89"/>
      <c r="E653" s="89"/>
      <c r="F653" s="89"/>
      <c r="G653" s="89"/>
    </row>
    <row r="654" spans="2:7">
      <c r="B654" s="89"/>
      <c r="C654" s="89"/>
      <c r="D654" s="89"/>
      <c r="E654" s="89"/>
      <c r="F654" s="89"/>
      <c r="G654" s="89"/>
    </row>
    <row r="655" spans="2:7">
      <c r="B655" s="89"/>
      <c r="C655" s="89"/>
      <c r="D655" s="89"/>
      <c r="E655" s="89"/>
      <c r="F655" s="89"/>
      <c r="G655" s="89"/>
    </row>
    <row r="656" spans="2:7">
      <c r="B656" s="89"/>
      <c r="C656" s="89"/>
      <c r="D656" s="89"/>
      <c r="E656" s="89"/>
      <c r="F656" s="89"/>
      <c r="G656" s="89"/>
    </row>
    <row r="657" spans="2:7">
      <c r="B657" s="89"/>
      <c r="C657" s="89"/>
      <c r="D657" s="89"/>
      <c r="E657" s="89"/>
      <c r="F657" s="89"/>
      <c r="G657" s="89"/>
    </row>
    <row r="658" spans="2:7">
      <c r="B658" s="89"/>
      <c r="C658" s="89"/>
      <c r="D658" s="89"/>
      <c r="E658" s="89"/>
      <c r="F658" s="89"/>
      <c r="G658" s="89"/>
    </row>
    <row r="659" spans="2:7">
      <c r="B659" s="89"/>
      <c r="C659" s="89"/>
      <c r="D659" s="89"/>
      <c r="E659" s="89"/>
      <c r="F659" s="89"/>
      <c r="G659" s="89"/>
    </row>
    <row r="660" spans="2:7">
      <c r="B660" s="89"/>
      <c r="C660" s="89"/>
      <c r="D660" s="89"/>
      <c r="E660" s="89"/>
      <c r="F660" s="89"/>
      <c r="G660" s="89"/>
    </row>
    <row r="661" spans="2:7">
      <c r="B661" s="89"/>
      <c r="C661" s="89"/>
      <c r="D661" s="89"/>
      <c r="E661" s="89"/>
      <c r="F661" s="89"/>
      <c r="G661" s="89"/>
    </row>
    <row r="662" spans="2:7">
      <c r="B662" s="89"/>
      <c r="C662" s="89"/>
      <c r="D662" s="89"/>
      <c r="E662" s="89"/>
      <c r="F662" s="89"/>
      <c r="G662" s="89"/>
    </row>
    <row r="663" spans="2:7">
      <c r="B663" s="89"/>
      <c r="C663" s="89"/>
      <c r="D663" s="89"/>
      <c r="E663" s="89"/>
      <c r="F663" s="89"/>
      <c r="G663" s="89"/>
    </row>
    <row r="664" spans="2:7">
      <c r="B664" s="89"/>
      <c r="C664" s="89"/>
      <c r="D664" s="89"/>
      <c r="E664" s="89"/>
      <c r="F664" s="89"/>
      <c r="G664" s="89"/>
    </row>
    <row r="665" spans="2:7">
      <c r="B665" s="89"/>
      <c r="C665" s="89"/>
      <c r="D665" s="89"/>
      <c r="E665" s="89"/>
      <c r="F665" s="89"/>
      <c r="G665" s="89"/>
    </row>
    <row r="666" spans="2:7">
      <c r="B666" s="89"/>
      <c r="C666" s="89"/>
      <c r="D666" s="89"/>
      <c r="E666" s="89"/>
      <c r="F666" s="89"/>
      <c r="G666" s="89"/>
    </row>
    <row r="667" spans="2:7">
      <c r="B667" s="89"/>
      <c r="C667" s="89"/>
      <c r="D667" s="89"/>
      <c r="E667" s="89"/>
      <c r="F667" s="89"/>
      <c r="G667" s="89"/>
    </row>
    <row r="668" spans="2:7">
      <c r="B668" s="89"/>
      <c r="C668" s="89"/>
      <c r="D668" s="89"/>
      <c r="E668" s="89"/>
      <c r="F668" s="89"/>
      <c r="G668" s="89"/>
    </row>
    <row r="669" spans="2:7">
      <c r="B669" s="89"/>
      <c r="C669" s="89"/>
      <c r="D669" s="89"/>
      <c r="E669" s="89"/>
      <c r="F669" s="89"/>
      <c r="G669" s="89"/>
    </row>
    <row r="670" spans="2:7">
      <c r="B670" s="89"/>
      <c r="C670" s="89"/>
      <c r="D670" s="89"/>
      <c r="E670" s="89"/>
      <c r="F670" s="89"/>
      <c r="G670" s="89"/>
    </row>
    <row r="671" spans="2:7">
      <c r="B671" s="89"/>
      <c r="C671" s="89"/>
      <c r="D671" s="89"/>
      <c r="E671" s="89"/>
      <c r="F671" s="89"/>
      <c r="G671" s="89"/>
    </row>
    <row r="672" spans="2:7">
      <c r="B672" s="89"/>
      <c r="C672" s="89"/>
      <c r="D672" s="89"/>
      <c r="E672" s="89"/>
      <c r="F672" s="89"/>
      <c r="G672" s="89"/>
    </row>
    <row r="673" spans="2:7">
      <c r="B673" s="89"/>
      <c r="C673" s="89"/>
      <c r="D673" s="89"/>
      <c r="E673" s="89"/>
      <c r="F673" s="89"/>
      <c r="G673" s="89"/>
    </row>
    <row r="674" spans="2:7">
      <c r="B674" s="89"/>
      <c r="C674" s="89"/>
      <c r="D674" s="89"/>
      <c r="E674" s="89"/>
      <c r="F674" s="89"/>
      <c r="G674" s="89"/>
    </row>
    <row r="675" spans="2:7">
      <c r="B675" s="89"/>
      <c r="C675" s="89"/>
      <c r="D675" s="89"/>
      <c r="E675" s="89"/>
      <c r="F675" s="89"/>
      <c r="G675" s="89"/>
    </row>
    <row r="676" spans="2:7">
      <c r="B676" s="89"/>
      <c r="C676" s="89"/>
      <c r="D676" s="89"/>
      <c r="E676" s="89"/>
      <c r="F676" s="89"/>
      <c r="G676" s="89"/>
    </row>
    <row r="677" spans="2:7">
      <c r="B677" s="89"/>
      <c r="C677" s="89"/>
      <c r="D677" s="89"/>
      <c r="E677" s="89"/>
      <c r="F677" s="89"/>
      <c r="G677" s="89"/>
    </row>
    <row r="678" spans="2:7">
      <c r="B678" s="89"/>
      <c r="C678" s="89"/>
      <c r="D678" s="89"/>
      <c r="E678" s="89"/>
      <c r="F678" s="89"/>
      <c r="G678" s="89"/>
    </row>
    <row r="679" spans="2:7">
      <c r="B679" s="89"/>
      <c r="C679" s="89"/>
      <c r="D679" s="89"/>
      <c r="E679" s="89"/>
      <c r="F679" s="89"/>
      <c r="G679" s="89"/>
    </row>
    <row r="680" spans="2:7">
      <c r="B680" s="89"/>
      <c r="C680" s="89"/>
      <c r="D680" s="89"/>
      <c r="E680" s="89"/>
      <c r="F680" s="89"/>
      <c r="G680" s="89"/>
    </row>
    <row r="681" spans="2:7">
      <c r="B681" s="89"/>
      <c r="C681" s="89"/>
      <c r="D681" s="89"/>
      <c r="E681" s="89"/>
      <c r="F681" s="89"/>
      <c r="G681" s="89"/>
    </row>
    <row r="682" spans="2:7">
      <c r="B682" s="89"/>
      <c r="C682" s="89"/>
      <c r="D682" s="89"/>
      <c r="E682" s="89"/>
      <c r="F682" s="89"/>
      <c r="G682" s="89"/>
    </row>
    <row r="683" spans="2:7">
      <c r="B683" s="89"/>
      <c r="C683" s="89"/>
      <c r="D683" s="89"/>
      <c r="E683" s="89"/>
      <c r="F683" s="89"/>
      <c r="G683" s="89"/>
    </row>
    <row r="684" spans="2:7">
      <c r="B684" s="89"/>
      <c r="C684" s="89"/>
      <c r="D684" s="89"/>
      <c r="E684" s="89"/>
      <c r="F684" s="89"/>
      <c r="G684" s="89"/>
    </row>
    <row r="685" spans="2:7">
      <c r="B685" s="89"/>
      <c r="C685" s="89"/>
      <c r="D685" s="89"/>
      <c r="E685" s="89"/>
      <c r="F685" s="89"/>
      <c r="G685" s="89"/>
    </row>
    <row r="686" spans="2:7">
      <c r="B686" s="89"/>
      <c r="C686" s="89"/>
      <c r="D686" s="89"/>
      <c r="E686" s="89"/>
      <c r="F686" s="89"/>
      <c r="G686" s="89"/>
    </row>
    <row r="687" spans="2:7">
      <c r="B687" s="89"/>
      <c r="C687" s="89"/>
      <c r="D687" s="89"/>
      <c r="E687" s="89"/>
      <c r="F687" s="89"/>
      <c r="G687" s="89"/>
    </row>
  </sheetData>
  <mergeCells count="5">
    <mergeCell ref="A1:L1"/>
    <mergeCell ref="A2:L2"/>
    <mergeCell ref="B86:G86"/>
    <mergeCell ref="I88:L88"/>
    <mergeCell ref="B97:G97"/>
  </mergeCells>
  <hyperlinks>
    <hyperlink ref="A47" location="'indice cap.2'!A1" display="regresar al índice"/>
    <hyperlink ref="A46" location="'indice cap.2'!A1" display="Notas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63"/>
  <sheetViews>
    <sheetView showGridLines="0" workbookViewId="0">
      <pane xSplit="1" ySplit="5" topLeftCell="B6" activePane="bottomRight" state="frozen"/>
      <selection activeCell="T16" sqref="T16"/>
      <selection pane="topRight" activeCell="T16" sqref="T16"/>
      <selection pane="bottomLeft" activeCell="T16" sqref="T16"/>
      <selection pane="bottomRight" activeCell="T16" sqref="T16"/>
    </sheetView>
  </sheetViews>
  <sheetFormatPr baseColWidth="10" defaultRowHeight="12.75"/>
  <cols>
    <col min="1" max="1" width="11.42578125" style="175" customWidth="1"/>
    <col min="2" max="2" width="12.7109375" style="175" customWidth="1"/>
    <col min="3" max="3" width="12" style="175" bestFit="1" customWidth="1"/>
    <col min="4" max="4" width="7.7109375" style="175" bestFit="1" customWidth="1"/>
    <col min="5" max="6" width="9.7109375" style="175" bestFit="1" customWidth="1"/>
    <col min="7" max="9" width="7.7109375" style="175" bestFit="1" customWidth="1"/>
    <col min="10" max="11" width="6.7109375" style="175" bestFit="1" customWidth="1"/>
    <col min="12" max="12" width="7.5703125" style="175" bestFit="1" customWidth="1"/>
    <col min="13" max="13" width="10.7109375" style="175" bestFit="1" customWidth="1"/>
    <col min="14" max="15" width="7.85546875" style="175" bestFit="1" customWidth="1"/>
    <col min="16" max="16" width="9.85546875" style="175" bestFit="1" customWidth="1"/>
    <col min="17" max="17" width="12.140625" style="175" bestFit="1" customWidth="1"/>
    <col min="18" max="16384" width="11.42578125" style="175"/>
  </cols>
  <sheetData>
    <row r="1" spans="1:17">
      <c r="A1" s="347" t="s">
        <v>196</v>
      </c>
      <c r="B1" s="347"/>
      <c r="C1" s="347"/>
      <c r="D1" s="347"/>
      <c r="E1" s="347"/>
      <c r="F1" s="347"/>
      <c r="G1" s="347"/>
      <c r="H1" s="347"/>
      <c r="I1" s="347"/>
      <c r="J1" s="347"/>
      <c r="K1" s="347"/>
      <c r="L1" s="347"/>
      <c r="M1" s="347"/>
      <c r="N1" s="347"/>
      <c r="O1" s="347"/>
      <c r="P1" s="347"/>
      <c r="Q1" s="347"/>
    </row>
    <row r="2" spans="1:17">
      <c r="A2" s="347" t="s">
        <v>459</v>
      </c>
      <c r="B2" s="347"/>
      <c r="C2" s="347"/>
      <c r="D2" s="347"/>
      <c r="E2" s="347"/>
      <c r="F2" s="347"/>
      <c r="G2" s="347"/>
      <c r="H2" s="347"/>
      <c r="I2" s="347"/>
      <c r="J2" s="347"/>
      <c r="K2" s="347"/>
      <c r="L2" s="347"/>
      <c r="M2" s="347"/>
      <c r="N2" s="347"/>
      <c r="O2" s="347"/>
      <c r="P2" s="347"/>
      <c r="Q2" s="347"/>
    </row>
    <row r="3" spans="1:17">
      <c r="A3" s="156"/>
      <c r="B3" s="88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</row>
    <row r="4" spans="1:17" s="176" customFormat="1" ht="13.5" thickBot="1">
      <c r="A4" s="344" t="s">
        <v>194</v>
      </c>
      <c r="B4" s="345" t="s">
        <v>197</v>
      </c>
      <c r="C4" s="383" t="s">
        <v>198</v>
      </c>
      <c r="D4" s="384"/>
      <c r="E4" s="384"/>
      <c r="F4" s="384"/>
      <c r="G4" s="384"/>
      <c r="H4" s="384"/>
      <c r="I4" s="384"/>
      <c r="J4" s="384"/>
      <c r="K4" s="384"/>
      <c r="L4" s="384"/>
      <c r="M4" s="384"/>
      <c r="N4" s="384"/>
      <c r="O4" s="384"/>
      <c r="P4" s="384"/>
      <c r="Q4" s="385"/>
    </row>
    <row r="5" spans="1:17" s="176" customFormat="1" ht="38.25">
      <c r="A5" s="381"/>
      <c r="B5" s="382"/>
      <c r="C5" s="92" t="s">
        <v>199</v>
      </c>
      <c r="D5" s="92" t="s">
        <v>200</v>
      </c>
      <c r="E5" s="92" t="s">
        <v>201</v>
      </c>
      <c r="F5" s="92" t="s">
        <v>202</v>
      </c>
      <c r="G5" s="92" t="s">
        <v>203</v>
      </c>
      <c r="H5" s="92" t="s">
        <v>204</v>
      </c>
      <c r="I5" s="92" t="s">
        <v>205</v>
      </c>
      <c r="J5" s="92" t="s">
        <v>206</v>
      </c>
      <c r="K5" s="92" t="s">
        <v>207</v>
      </c>
      <c r="L5" s="92" t="s">
        <v>208</v>
      </c>
      <c r="M5" s="92" t="s">
        <v>209</v>
      </c>
      <c r="N5" s="92" t="s">
        <v>210</v>
      </c>
      <c r="O5" s="92" t="s">
        <v>211</v>
      </c>
      <c r="P5" s="92" t="s">
        <v>212</v>
      </c>
      <c r="Q5" s="177" t="s">
        <v>213</v>
      </c>
    </row>
    <row r="6" spans="1:17" s="176" customFormat="1">
      <c r="A6" s="178"/>
      <c r="B6" s="81"/>
      <c r="C6" s="81"/>
      <c r="D6" s="81"/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</row>
    <row r="7" spans="1:17" s="176" customFormat="1">
      <c r="A7" s="170">
        <v>1971</v>
      </c>
      <c r="B7" s="184">
        <v>75.183881656959883</v>
      </c>
      <c r="C7" s="184">
        <v>83.461759354733118</v>
      </c>
      <c r="D7" s="184"/>
      <c r="E7" s="184"/>
      <c r="F7" s="184"/>
      <c r="G7" s="184"/>
      <c r="H7" s="184"/>
      <c r="I7" s="184"/>
      <c r="J7" s="184"/>
      <c r="K7" s="184"/>
      <c r="L7" s="184"/>
      <c r="M7" s="184"/>
      <c r="N7" s="184"/>
      <c r="O7" s="184"/>
      <c r="P7" s="184"/>
      <c r="Q7" s="184"/>
    </row>
    <row r="8" spans="1:17" s="176" customFormat="1">
      <c r="A8" s="170">
        <v>1972</v>
      </c>
      <c r="B8" s="184">
        <v>74.161380866425247</v>
      </c>
      <c r="C8" s="184">
        <v>79.989750165576226</v>
      </c>
      <c r="D8" s="184"/>
      <c r="E8" s="184"/>
      <c r="F8" s="184"/>
      <c r="G8" s="184"/>
      <c r="H8" s="184"/>
      <c r="I8" s="184"/>
      <c r="J8" s="184"/>
      <c r="K8" s="184"/>
      <c r="L8" s="184"/>
      <c r="M8" s="184"/>
      <c r="N8" s="184"/>
      <c r="O8" s="184"/>
      <c r="P8" s="184"/>
      <c r="Q8" s="184"/>
    </row>
    <row r="9" spans="1:17" s="176" customFormat="1">
      <c r="A9" s="170">
        <v>1973</v>
      </c>
      <c r="B9" s="184">
        <v>66.800878852208882</v>
      </c>
      <c r="C9" s="184">
        <v>75.2407760582919</v>
      </c>
      <c r="D9" s="184"/>
      <c r="E9" s="184"/>
      <c r="F9" s="184"/>
      <c r="G9" s="184"/>
      <c r="H9" s="184"/>
      <c r="I9" s="184"/>
      <c r="J9" s="184"/>
      <c r="K9" s="184"/>
      <c r="L9" s="184"/>
      <c r="M9" s="184"/>
      <c r="N9" s="184"/>
      <c r="O9" s="184"/>
      <c r="P9" s="184"/>
      <c r="Q9" s="184"/>
    </row>
    <row r="10" spans="1:17" s="176" customFormat="1">
      <c r="A10" s="170">
        <v>1974</v>
      </c>
      <c r="B10" s="184">
        <v>61.598154241547249</v>
      </c>
      <c r="C10" s="184">
        <v>67.662448308882134</v>
      </c>
      <c r="D10" s="184"/>
      <c r="E10" s="184"/>
      <c r="F10" s="184"/>
      <c r="G10" s="184"/>
      <c r="H10" s="184"/>
      <c r="I10" s="184"/>
      <c r="J10" s="184"/>
      <c r="K10" s="184"/>
      <c r="L10" s="184"/>
      <c r="M10" s="184"/>
      <c r="N10" s="184"/>
      <c r="O10" s="184"/>
      <c r="P10" s="184"/>
      <c r="Q10" s="184"/>
    </row>
    <row r="11" spans="1:17" s="176" customFormat="1">
      <c r="A11" s="170">
        <v>1975</v>
      </c>
      <c r="B11" s="184">
        <v>56.944271966981418</v>
      </c>
      <c r="C11" s="184">
        <v>64.040207952886732</v>
      </c>
      <c r="D11" s="184"/>
      <c r="E11" s="184"/>
      <c r="F11" s="184"/>
      <c r="G11" s="184"/>
      <c r="H11" s="184"/>
      <c r="I11" s="184"/>
      <c r="J11" s="184"/>
      <c r="K11" s="184"/>
      <c r="L11" s="184"/>
      <c r="M11" s="184"/>
      <c r="N11" s="184"/>
      <c r="O11" s="184"/>
      <c r="P11" s="184"/>
      <c r="Q11" s="184"/>
    </row>
    <row r="12" spans="1:17" s="176" customFormat="1">
      <c r="A12" s="170">
        <v>1976</v>
      </c>
      <c r="B12" s="184">
        <v>56.718720322010554</v>
      </c>
      <c r="C12" s="184">
        <v>61.202508134825777</v>
      </c>
      <c r="D12" s="184"/>
      <c r="E12" s="184"/>
      <c r="F12" s="184"/>
      <c r="G12" s="184"/>
      <c r="H12" s="184"/>
      <c r="I12" s="184"/>
      <c r="J12" s="184"/>
      <c r="K12" s="184"/>
      <c r="L12" s="184"/>
      <c r="M12" s="184"/>
      <c r="N12" s="184"/>
      <c r="O12" s="184"/>
      <c r="P12" s="184"/>
      <c r="Q12" s="184"/>
    </row>
    <row r="13" spans="1:17" s="176" customFormat="1">
      <c r="A13" s="170">
        <v>1977</v>
      </c>
      <c r="B13" s="184">
        <v>57.43296719775168</v>
      </c>
      <c r="C13" s="184">
        <v>57.697114241927004</v>
      </c>
      <c r="D13" s="184"/>
      <c r="E13" s="184"/>
      <c r="F13" s="184"/>
      <c r="G13" s="184"/>
      <c r="H13" s="184"/>
      <c r="I13" s="184"/>
      <c r="J13" s="184"/>
      <c r="K13" s="184"/>
      <c r="L13" s="184"/>
      <c r="M13" s="184"/>
      <c r="N13" s="184"/>
      <c r="O13" s="184"/>
      <c r="P13" s="184"/>
      <c r="Q13" s="184"/>
    </row>
    <row r="14" spans="1:17" s="176" customFormat="1">
      <c r="A14" s="170">
        <v>1978</v>
      </c>
      <c r="B14" s="184">
        <v>58.553207034440376</v>
      </c>
      <c r="C14" s="184">
        <v>55.560493202445826</v>
      </c>
      <c r="D14" s="184"/>
      <c r="E14" s="184"/>
      <c r="F14" s="184"/>
      <c r="G14" s="184"/>
      <c r="H14" s="184"/>
      <c r="I14" s="184"/>
      <c r="J14" s="184"/>
      <c r="K14" s="184"/>
      <c r="L14" s="184"/>
      <c r="M14" s="184"/>
      <c r="N14" s="184"/>
      <c r="O14" s="184"/>
      <c r="P14" s="184"/>
      <c r="Q14" s="184"/>
    </row>
    <row r="15" spans="1:17" s="176" customFormat="1">
      <c r="A15" s="170">
        <v>1979</v>
      </c>
      <c r="B15" s="184">
        <v>56.162359597749052</v>
      </c>
      <c r="C15" s="184">
        <v>56.094648462316115</v>
      </c>
      <c r="D15" s="184"/>
      <c r="E15" s="184"/>
      <c r="F15" s="184"/>
      <c r="G15" s="184"/>
      <c r="H15" s="184"/>
      <c r="I15" s="184"/>
      <c r="J15" s="184"/>
      <c r="K15" s="184"/>
      <c r="L15" s="184"/>
      <c r="M15" s="184"/>
      <c r="N15" s="184"/>
      <c r="O15" s="184"/>
      <c r="P15" s="184"/>
      <c r="Q15" s="184"/>
    </row>
    <row r="16" spans="1:17" s="176" customFormat="1">
      <c r="A16" s="170">
        <v>1980</v>
      </c>
      <c r="B16" s="184">
        <v>57.771294665207996</v>
      </c>
      <c r="C16" s="184">
        <v>56.311649036638435</v>
      </c>
      <c r="D16" s="184"/>
      <c r="E16" s="184"/>
      <c r="F16" s="184"/>
      <c r="G16" s="184"/>
      <c r="H16" s="184"/>
      <c r="I16" s="184"/>
      <c r="J16" s="184"/>
      <c r="K16" s="184"/>
      <c r="L16" s="184"/>
      <c r="M16" s="184"/>
      <c r="N16" s="184"/>
      <c r="O16" s="184"/>
      <c r="P16" s="184"/>
      <c r="Q16" s="184"/>
    </row>
    <row r="17" spans="1:17" s="176" customFormat="1">
      <c r="A17" s="170">
        <v>1981</v>
      </c>
      <c r="B17" s="184">
        <v>52.027246106616261</v>
      </c>
      <c r="C17" s="184">
        <v>53.415525987029191</v>
      </c>
      <c r="D17" s="184"/>
      <c r="E17" s="184"/>
      <c r="F17" s="184"/>
      <c r="G17" s="184"/>
      <c r="H17" s="184"/>
      <c r="I17" s="184"/>
      <c r="J17" s="184"/>
      <c r="K17" s="184"/>
      <c r="L17" s="184"/>
      <c r="M17" s="184"/>
      <c r="N17" s="184"/>
      <c r="O17" s="184"/>
      <c r="P17" s="184"/>
      <c r="Q17" s="184"/>
    </row>
    <row r="18" spans="1:17" s="176" customFormat="1">
      <c r="A18" s="170">
        <v>1982</v>
      </c>
      <c r="B18" s="184">
        <v>55.342855287688188</v>
      </c>
      <c r="C18" s="184">
        <v>59.967274096375739</v>
      </c>
      <c r="D18" s="184"/>
      <c r="E18" s="184"/>
      <c r="F18" s="184"/>
      <c r="G18" s="184"/>
      <c r="H18" s="184"/>
      <c r="I18" s="184"/>
      <c r="J18" s="184"/>
      <c r="K18" s="184"/>
      <c r="L18" s="184"/>
      <c r="M18" s="184"/>
      <c r="N18" s="184"/>
      <c r="O18" s="184"/>
      <c r="P18" s="184"/>
      <c r="Q18" s="184"/>
    </row>
    <row r="19" spans="1:17" s="176" customFormat="1">
      <c r="A19" s="170">
        <v>1983</v>
      </c>
      <c r="B19" s="184">
        <v>60.086958220242359</v>
      </c>
      <c r="C19" s="184">
        <v>67.044831289657111</v>
      </c>
      <c r="D19" s="184"/>
      <c r="E19" s="184"/>
      <c r="F19" s="184"/>
      <c r="G19" s="184"/>
      <c r="H19" s="184"/>
      <c r="I19" s="184"/>
      <c r="J19" s="184"/>
      <c r="K19" s="184"/>
      <c r="L19" s="184"/>
      <c r="M19" s="184"/>
      <c r="N19" s="184"/>
      <c r="O19" s="184"/>
      <c r="P19" s="184"/>
      <c r="Q19" s="184"/>
    </row>
    <row r="20" spans="1:17" s="176" customFormat="1">
      <c r="A20" s="170">
        <v>1984</v>
      </c>
      <c r="B20" s="184">
        <v>64.185297856838588</v>
      </c>
      <c r="C20" s="184">
        <v>75.241201547380754</v>
      </c>
      <c r="D20" s="184">
        <v>64.00859537755197</v>
      </c>
      <c r="E20" s="184">
        <v>85.037992125332607</v>
      </c>
      <c r="F20" s="184">
        <v>48.801398766631479</v>
      </c>
      <c r="G20" s="184">
        <v>49.71063323802354</v>
      </c>
      <c r="H20" s="184">
        <v>41.771285673731832</v>
      </c>
      <c r="I20" s="184">
        <v>84.037878973675177</v>
      </c>
      <c r="J20" s="184">
        <v>31.270603738310957</v>
      </c>
      <c r="K20" s="184">
        <v>35.458086621523904</v>
      </c>
      <c r="L20" s="184">
        <v>59.734978531403534</v>
      </c>
      <c r="M20" s="184">
        <v>68.311901860133105</v>
      </c>
      <c r="N20" s="184">
        <v>49.751022574964296</v>
      </c>
      <c r="O20" s="184">
        <v>46.685633561066957</v>
      </c>
      <c r="P20" s="184">
        <v>74.641692788846584</v>
      </c>
      <c r="Q20" s="184">
        <v>43.30086603646388</v>
      </c>
    </row>
    <row r="21" spans="1:17" s="176" customFormat="1">
      <c r="A21" s="170">
        <v>1985</v>
      </c>
      <c r="B21" s="184">
        <v>64.448354929332439</v>
      </c>
      <c r="C21" s="184">
        <v>78.664390032322359</v>
      </c>
      <c r="D21" s="184">
        <v>65.682666377194025</v>
      </c>
      <c r="E21" s="184">
        <v>75.489893646849836</v>
      </c>
      <c r="F21" s="184">
        <v>48.666598403299467</v>
      </c>
      <c r="G21" s="184">
        <v>50.434561427311053</v>
      </c>
      <c r="H21" s="184">
        <v>43.399908710318932</v>
      </c>
      <c r="I21" s="184">
        <v>67.512382019871751</v>
      </c>
      <c r="J21" s="184">
        <v>22.666309924328043</v>
      </c>
      <c r="K21" s="184">
        <v>38.506312554528321</v>
      </c>
      <c r="L21" s="184">
        <v>62.153686066995725</v>
      </c>
      <c r="M21" s="184">
        <v>71.880292661633078</v>
      </c>
      <c r="N21" s="184">
        <v>51.659407319685059</v>
      </c>
      <c r="O21" s="184">
        <v>48.096835396587927</v>
      </c>
      <c r="P21" s="184">
        <v>65.50133218405081</v>
      </c>
      <c r="Q21" s="184">
        <v>44.986895708588115</v>
      </c>
    </row>
    <row r="22" spans="1:17" s="176" customFormat="1">
      <c r="A22" s="170">
        <v>1986</v>
      </c>
      <c r="B22" s="184">
        <v>78.675338266833663</v>
      </c>
      <c r="C22" s="184">
        <v>88.484916758241724</v>
      </c>
      <c r="D22" s="184">
        <v>103.24651538662194</v>
      </c>
      <c r="E22" s="184">
        <v>72.583780676295603</v>
      </c>
      <c r="F22" s="184">
        <v>72.759772969064841</v>
      </c>
      <c r="G22" s="184">
        <v>75.441155840529802</v>
      </c>
      <c r="H22" s="184">
        <v>63.285261310334391</v>
      </c>
      <c r="I22" s="184">
        <v>74.009349253052022</v>
      </c>
      <c r="J22" s="184">
        <v>34.993095153728788</v>
      </c>
      <c r="K22" s="184">
        <v>44.631153758570136</v>
      </c>
      <c r="L22" s="184">
        <v>53.643620484680994</v>
      </c>
      <c r="M22" s="184">
        <v>82.090003057566818</v>
      </c>
      <c r="N22" s="184">
        <v>75.827922689716218</v>
      </c>
      <c r="O22" s="184">
        <v>71.4879757167365</v>
      </c>
      <c r="P22" s="184">
        <v>87.701175719166898</v>
      </c>
      <c r="Q22" s="184">
        <v>58.109620710763281</v>
      </c>
    </row>
    <row r="23" spans="1:17" s="176" customFormat="1">
      <c r="A23" s="170">
        <v>1987</v>
      </c>
      <c r="B23" s="184">
        <v>99.726154655003654</v>
      </c>
      <c r="C23" s="184">
        <v>107.57718451292946</v>
      </c>
      <c r="D23" s="184">
        <v>141.13023151899935</v>
      </c>
      <c r="E23" s="184">
        <v>83.987859239874155</v>
      </c>
      <c r="F23" s="184">
        <v>103.23456799646648</v>
      </c>
      <c r="G23" s="184">
        <v>106.51074530792553</v>
      </c>
      <c r="H23" s="184">
        <v>88.535161780293961</v>
      </c>
      <c r="I23" s="184">
        <v>91.64619467377814</v>
      </c>
      <c r="J23" s="184">
        <v>62.808668583939955</v>
      </c>
      <c r="K23" s="184">
        <v>61.929410047210204</v>
      </c>
      <c r="L23" s="184">
        <v>64.709464264246833</v>
      </c>
      <c r="M23" s="184">
        <v>68.73886132592115</v>
      </c>
      <c r="N23" s="184">
        <v>105.80716606871619</v>
      </c>
      <c r="O23" s="184">
        <v>101.84036010736416</v>
      </c>
      <c r="P23" s="184">
        <v>104.69875723195426</v>
      </c>
      <c r="Q23" s="184">
        <v>79.252992663934947</v>
      </c>
    </row>
    <row r="24" spans="1:17" s="176" customFormat="1">
      <c r="A24" s="170">
        <v>1988</v>
      </c>
      <c r="B24" s="184">
        <v>114.72224454484594</v>
      </c>
      <c r="C24" s="184">
        <v>119.93136736336326</v>
      </c>
      <c r="D24" s="184">
        <v>171.98416056414254</v>
      </c>
      <c r="E24" s="184">
        <v>93.524270915881345</v>
      </c>
      <c r="F24" s="184">
        <v>114.68633719677456</v>
      </c>
      <c r="G24" s="184">
        <v>119.47965182177697</v>
      </c>
      <c r="H24" s="184">
        <v>105.38557777981634</v>
      </c>
      <c r="I24" s="184">
        <v>101.41765764122209</v>
      </c>
      <c r="J24" s="184">
        <v>67.417970619551127</v>
      </c>
      <c r="K24" s="184">
        <v>77.374642075167529</v>
      </c>
      <c r="L24" s="184">
        <v>90.122309135804812</v>
      </c>
      <c r="M24" s="184">
        <v>95.176577531867594</v>
      </c>
      <c r="N24" s="184">
        <v>117.56372241124481</v>
      </c>
      <c r="O24" s="184">
        <v>112.14007221978264</v>
      </c>
      <c r="P24" s="184">
        <v>123.20774766396622</v>
      </c>
      <c r="Q24" s="184">
        <v>96.778747590758556</v>
      </c>
    </row>
    <row r="25" spans="1:17" s="176" customFormat="1">
      <c r="A25" s="170">
        <v>1989</v>
      </c>
      <c r="B25" s="184">
        <v>110.22807842207139</v>
      </c>
      <c r="C25" s="184">
        <v>118.83685822913561</v>
      </c>
      <c r="D25" s="184">
        <v>154.29794457087232</v>
      </c>
      <c r="E25" s="184">
        <v>86.97572344422268</v>
      </c>
      <c r="F25" s="184">
        <v>104.01097533417867</v>
      </c>
      <c r="G25" s="184">
        <v>113.76267470577014</v>
      </c>
      <c r="H25" s="184">
        <v>104.69651632297827</v>
      </c>
      <c r="I25" s="184">
        <v>102.12116710710168</v>
      </c>
      <c r="J25" s="184">
        <v>106.99591147587378</v>
      </c>
      <c r="K25" s="184">
        <v>93.764090259289077</v>
      </c>
      <c r="L25" s="184">
        <v>94.417599250069273</v>
      </c>
      <c r="M25" s="184">
        <v>69.34335290466862</v>
      </c>
      <c r="N25" s="184">
        <v>107.27085909436545</v>
      </c>
      <c r="O25" s="184">
        <v>101.93302364325216</v>
      </c>
      <c r="P25" s="184">
        <v>76.721838701570178</v>
      </c>
      <c r="Q25" s="184">
        <v>90.734208821395299</v>
      </c>
    </row>
    <row r="26" spans="1:17">
      <c r="A26" s="170">
        <v>1990</v>
      </c>
      <c r="B26" s="184">
        <v>122.48813966837761</v>
      </c>
      <c r="C26" s="184">
        <v>123.33808306455037</v>
      </c>
      <c r="D26" s="184">
        <v>149.35042020452966</v>
      </c>
      <c r="E26" s="184">
        <v>86.805481865056151</v>
      </c>
      <c r="F26" s="184">
        <v>125.47650550965596</v>
      </c>
      <c r="G26" s="184">
        <v>136.88310013749282</v>
      </c>
      <c r="H26" s="184">
        <v>127.91745037865954</v>
      </c>
      <c r="I26" s="184">
        <v>111.28928843144435</v>
      </c>
      <c r="J26" s="184">
        <v>113.23456994239871</v>
      </c>
      <c r="K26" s="184">
        <v>134.01287587396718</v>
      </c>
      <c r="L26" s="184">
        <v>103.06283444454809</v>
      </c>
      <c r="M26" s="184">
        <v>71.109568238013424</v>
      </c>
      <c r="N26" s="184">
        <v>128.14210577136467</v>
      </c>
      <c r="O26" s="184">
        <v>122.42730933951616</v>
      </c>
      <c r="P26" s="184">
        <v>158.31200976205025</v>
      </c>
      <c r="Q26" s="184">
        <v>118.56716035229522</v>
      </c>
    </row>
    <row r="27" spans="1:17">
      <c r="A27" s="170">
        <v>1991</v>
      </c>
      <c r="B27" s="184">
        <v>117.92534312004599</v>
      </c>
      <c r="C27" s="184">
        <v>118.31475909152375</v>
      </c>
      <c r="D27" s="184">
        <v>152.61033245533875</v>
      </c>
      <c r="E27" s="184">
        <v>82.634099486980745</v>
      </c>
      <c r="F27" s="184">
        <v>113.31075272315603</v>
      </c>
      <c r="G27" s="184">
        <v>129.30315188284791</v>
      </c>
      <c r="H27" s="184">
        <v>122.33583268737237</v>
      </c>
      <c r="I27" s="184">
        <v>108.90348478047891</v>
      </c>
      <c r="J27" s="184">
        <v>129.14356245564284</v>
      </c>
      <c r="K27" s="184">
        <v>110.37566836841172</v>
      </c>
      <c r="L27" s="184">
        <v>108.40907685211543</v>
      </c>
      <c r="M27" s="184">
        <v>72.474073356293999</v>
      </c>
      <c r="N27" s="184">
        <v>117.47595474662572</v>
      </c>
      <c r="O27" s="184">
        <v>113.79765240912873</v>
      </c>
      <c r="P27" s="184">
        <v>202.39262108342905</v>
      </c>
      <c r="Q27" s="184">
        <v>116.55876750082344</v>
      </c>
    </row>
    <row r="28" spans="1:17">
      <c r="A28" s="170">
        <v>1992</v>
      </c>
      <c r="B28" s="184">
        <v>117.89940475454091</v>
      </c>
      <c r="C28" s="184">
        <v>115.74968607738445</v>
      </c>
      <c r="D28" s="184">
        <v>156.76093158847578</v>
      </c>
      <c r="E28" s="184">
        <v>83.098558107893822</v>
      </c>
      <c r="F28" s="184">
        <v>120.14538845579139</v>
      </c>
      <c r="G28" s="184">
        <v>129.98709614003948</v>
      </c>
      <c r="H28" s="184">
        <v>124.89065705777153</v>
      </c>
      <c r="I28" s="184">
        <v>114.96399870693814</v>
      </c>
      <c r="J28" s="184">
        <v>131.94822118743204</v>
      </c>
      <c r="K28" s="184">
        <v>99.306147869028067</v>
      </c>
      <c r="L28" s="184">
        <v>115.96753238821205</v>
      </c>
      <c r="M28" s="184">
        <v>75.156107668057672</v>
      </c>
      <c r="N28" s="184">
        <v>121.70237061218674</v>
      </c>
      <c r="O28" s="184">
        <v>117.56455919193698</v>
      </c>
      <c r="P28" s="184">
        <v>231.05112996519685</v>
      </c>
      <c r="Q28" s="184">
        <v>114.87355000932189</v>
      </c>
    </row>
    <row r="29" spans="1:17">
      <c r="A29" s="170">
        <v>1993</v>
      </c>
      <c r="B29" s="184">
        <v>103.15022030687553</v>
      </c>
      <c r="C29" s="184">
        <v>102.47040226200342</v>
      </c>
      <c r="D29" s="184">
        <v>155.47702072900245</v>
      </c>
      <c r="E29" s="184">
        <v>76.969051403549969</v>
      </c>
      <c r="F29" s="184">
        <v>101.91181461829532</v>
      </c>
      <c r="G29" s="184">
        <v>91.433331739295824</v>
      </c>
      <c r="H29" s="184">
        <v>90.343011588792038</v>
      </c>
      <c r="I29" s="184">
        <v>99.971748761453057</v>
      </c>
      <c r="J29" s="184">
        <v>105.62887859559599</v>
      </c>
      <c r="K29" s="184">
        <v>88.360885610510394</v>
      </c>
      <c r="L29" s="184">
        <v>108.71632111069832</v>
      </c>
      <c r="M29" s="184">
        <v>67.194924932105081</v>
      </c>
      <c r="N29" s="184">
        <v>99.884992184771363</v>
      </c>
      <c r="O29" s="184">
        <v>96.529934505096776</v>
      </c>
      <c r="P29" s="184">
        <v>217.93571146981088</v>
      </c>
      <c r="Q29" s="184">
        <v>86.564928922778549</v>
      </c>
    </row>
    <row r="30" spans="1:17">
      <c r="A30" s="170">
        <v>1994</v>
      </c>
      <c r="B30" s="184">
        <v>95.881873100968335</v>
      </c>
      <c r="C30" s="184">
        <v>94.541392689199697</v>
      </c>
      <c r="D30" s="184">
        <v>153.14416520986478</v>
      </c>
      <c r="E30" s="184">
        <v>86.855985409374696</v>
      </c>
      <c r="F30" s="184">
        <v>95.922832003933721</v>
      </c>
      <c r="G30" s="184">
        <v>83.485569447352091</v>
      </c>
      <c r="H30" s="184">
        <v>80.814173518432952</v>
      </c>
      <c r="I30" s="184">
        <v>96.361387456143163</v>
      </c>
      <c r="J30" s="184">
        <v>106.45802928479118</v>
      </c>
      <c r="K30" s="184">
        <v>99.55413806816081</v>
      </c>
      <c r="L30" s="184">
        <v>96.524917689250216</v>
      </c>
      <c r="M30" s="184">
        <v>60.104971543853701</v>
      </c>
      <c r="N30" s="184">
        <v>93.134378137884227</v>
      </c>
      <c r="O30" s="184">
        <v>91.889175379160193</v>
      </c>
      <c r="P30" s="184">
        <v>204.13593253636895</v>
      </c>
      <c r="Q30" s="184">
        <v>80.91953455482043</v>
      </c>
    </row>
    <row r="31" spans="1:17">
      <c r="A31" s="170">
        <v>1995</v>
      </c>
      <c r="B31" s="184">
        <v>98.058750752996772</v>
      </c>
      <c r="C31" s="184">
        <v>92.297807910976758</v>
      </c>
      <c r="D31" s="184">
        <v>157.83324088665591</v>
      </c>
      <c r="E31" s="184">
        <v>92.286941266033836</v>
      </c>
      <c r="F31" s="184">
        <v>104.92393829594971</v>
      </c>
      <c r="G31" s="184">
        <v>82.565060295572664</v>
      </c>
      <c r="H31" s="184">
        <v>86.302444936879382</v>
      </c>
      <c r="I31" s="184">
        <v>104.88276871032632</v>
      </c>
      <c r="J31" s="184">
        <v>109.43773719036504</v>
      </c>
      <c r="K31" s="184">
        <v>113.67664722812387</v>
      </c>
      <c r="L31" s="184">
        <v>65.060426853393508</v>
      </c>
      <c r="M31" s="184">
        <v>75.801533450484825</v>
      </c>
      <c r="N31" s="184">
        <v>100.12472085945964</v>
      </c>
      <c r="O31" s="184">
        <v>100.48346700111783</v>
      </c>
      <c r="P31" s="184">
        <v>200.24910000452135</v>
      </c>
      <c r="Q31" s="184">
        <v>81.344692411869744</v>
      </c>
    </row>
    <row r="32" spans="1:17">
      <c r="A32" s="170">
        <v>1996</v>
      </c>
      <c r="B32" s="184">
        <v>97.894547806837295</v>
      </c>
      <c r="C32" s="184">
        <v>94.972027282053304</v>
      </c>
      <c r="D32" s="184">
        <v>136.61101540637708</v>
      </c>
      <c r="E32" s="184">
        <v>98.129036762723231</v>
      </c>
      <c r="F32" s="184">
        <v>101.34027797891592</v>
      </c>
      <c r="G32" s="184">
        <v>90.600986492312003</v>
      </c>
      <c r="H32" s="184">
        <v>87.952724944474213</v>
      </c>
      <c r="I32" s="184">
        <v>108.3339178545139</v>
      </c>
      <c r="J32" s="184">
        <v>112.0768204941361</v>
      </c>
      <c r="K32" s="184">
        <v>120.10280687847977</v>
      </c>
      <c r="L32" s="184">
        <v>73.827049138640788</v>
      </c>
      <c r="M32" s="184">
        <v>64.177447746154641</v>
      </c>
      <c r="N32" s="184">
        <v>99.62628084592005</v>
      </c>
      <c r="O32" s="184">
        <v>97.613165033440268</v>
      </c>
      <c r="P32" s="184">
        <v>200.51246874939625</v>
      </c>
      <c r="Q32" s="184">
        <v>82.385471756747748</v>
      </c>
    </row>
    <row r="33" spans="1:17">
      <c r="A33" s="170">
        <v>1997</v>
      </c>
      <c r="B33" s="184">
        <v>95.639729273594156</v>
      </c>
      <c r="C33" s="184">
        <v>93.249632360206917</v>
      </c>
      <c r="D33" s="184">
        <v>119.91618911651807</v>
      </c>
      <c r="E33" s="184">
        <v>101.34245392854044</v>
      </c>
      <c r="F33" s="184">
        <v>85.95984142183768</v>
      </c>
      <c r="G33" s="184">
        <v>80.360741590904212</v>
      </c>
      <c r="H33" s="184">
        <v>74.439579112561262</v>
      </c>
      <c r="I33" s="184">
        <v>108.46578672200636</v>
      </c>
      <c r="J33" s="184">
        <v>107.49926165084712</v>
      </c>
      <c r="K33" s="184">
        <v>114.87920619734014</v>
      </c>
      <c r="L33" s="184">
        <v>82.000259641522504</v>
      </c>
      <c r="M33" s="184">
        <v>78.907842368444335</v>
      </c>
      <c r="N33" s="184">
        <v>84.780288368390615</v>
      </c>
      <c r="O33" s="184">
        <v>82.374224509955567</v>
      </c>
      <c r="P33" s="184">
        <v>193.42702525616383</v>
      </c>
      <c r="Q33" s="184">
        <v>84.419707075328759</v>
      </c>
    </row>
    <row r="34" spans="1:17">
      <c r="A34" s="170">
        <v>1998</v>
      </c>
      <c r="B34" s="184">
        <v>95.134768887048395</v>
      </c>
      <c r="C34" s="184">
        <v>94.697639787095042</v>
      </c>
      <c r="D34" s="184">
        <v>111.56956263191671</v>
      </c>
      <c r="E34" s="184">
        <v>96.227166433946167</v>
      </c>
      <c r="F34" s="184">
        <v>85.501712250103537</v>
      </c>
      <c r="G34" s="184">
        <v>80.376045433888322</v>
      </c>
      <c r="H34" s="184">
        <v>74.291886457402626</v>
      </c>
      <c r="I34" s="184">
        <v>103.8557864595119</v>
      </c>
      <c r="J34" s="184">
        <v>104.83106317685072</v>
      </c>
      <c r="K34" s="184">
        <v>110.12278120433731</v>
      </c>
      <c r="L34" s="184">
        <v>82.392636704916484</v>
      </c>
      <c r="M34" s="184">
        <v>95.611617481736104</v>
      </c>
      <c r="N34" s="184">
        <v>84.392273649891024</v>
      </c>
      <c r="O34" s="184">
        <v>81.957987348392194</v>
      </c>
      <c r="P34" s="184">
        <v>195.21660792283461</v>
      </c>
      <c r="Q34" s="184">
        <v>86.753368001454788</v>
      </c>
    </row>
    <row r="35" spans="1:17">
      <c r="A35" s="170">
        <v>1999</v>
      </c>
      <c r="B35" s="184">
        <v>133.09688743603866</v>
      </c>
      <c r="C35" s="184">
        <v>136.87815473595111</v>
      </c>
      <c r="D35" s="184">
        <v>180.76559910031463</v>
      </c>
      <c r="E35" s="184">
        <v>122.53919823184694</v>
      </c>
      <c r="F35" s="184">
        <v>116.58529201669674</v>
      </c>
      <c r="G35" s="184">
        <v>110.40672674120795</v>
      </c>
      <c r="H35" s="184">
        <v>102.84538653555535</v>
      </c>
      <c r="I35" s="184">
        <v>137.33560175901752</v>
      </c>
      <c r="J35" s="184">
        <v>132.86816425486259</v>
      </c>
      <c r="K35" s="184">
        <v>104.49760501184709</v>
      </c>
      <c r="L35" s="184">
        <v>129.84060277556156</v>
      </c>
      <c r="M35" s="184">
        <v>151.07066632133422</v>
      </c>
      <c r="N35" s="184">
        <v>114.98889134625246</v>
      </c>
      <c r="O35" s="184">
        <v>112.37834159192366</v>
      </c>
      <c r="P35" s="184">
        <v>272.77739654271443</v>
      </c>
      <c r="Q35" s="184">
        <v>121.47756370165948</v>
      </c>
    </row>
    <row r="36" spans="1:17">
      <c r="A36" s="170">
        <v>2000</v>
      </c>
      <c r="B36" s="184">
        <v>143.60566955370962</v>
      </c>
      <c r="C36" s="184">
        <v>153.75115765837859</v>
      </c>
      <c r="D36" s="184">
        <v>206.25335133970714</v>
      </c>
      <c r="E36" s="184">
        <v>122.3244060477513</v>
      </c>
      <c r="F36" s="184">
        <v>111.1606715349748</v>
      </c>
      <c r="G36" s="184">
        <v>106.35674609917334</v>
      </c>
      <c r="H36" s="184">
        <v>99.955361828540774</v>
      </c>
      <c r="I36" s="184">
        <v>146.11259547362582</v>
      </c>
      <c r="J36" s="184">
        <v>145.21855141475712</v>
      </c>
      <c r="K36" s="184">
        <v>120.51302749945192</v>
      </c>
      <c r="L36" s="184">
        <v>156.19048670221059</v>
      </c>
      <c r="M36" s="184">
        <v>169.92335882890538</v>
      </c>
      <c r="N36" s="184">
        <v>109.88492058227128</v>
      </c>
      <c r="O36" s="184">
        <v>108.28448673156039</v>
      </c>
      <c r="P36" s="184">
        <v>293.74277576760443</v>
      </c>
      <c r="Q36" s="184">
        <v>124.41696844140577</v>
      </c>
    </row>
    <row r="37" spans="1:17">
      <c r="A37" s="170">
        <v>2001</v>
      </c>
      <c r="B37" s="184">
        <v>103.56332789442794</v>
      </c>
      <c r="C37" s="184">
        <v>114.97841133178032</v>
      </c>
      <c r="D37" s="184">
        <v>131.94509115546867</v>
      </c>
      <c r="E37" s="184">
        <v>87.207970903356411</v>
      </c>
      <c r="F37" s="184">
        <v>80.078424571158223</v>
      </c>
      <c r="G37" s="184">
        <v>77.22176312281556</v>
      </c>
      <c r="H37" s="184">
        <v>73.140691548082359</v>
      </c>
      <c r="I37" s="184">
        <v>93.528174386018222</v>
      </c>
      <c r="J37" s="184">
        <v>107.18331463384459</v>
      </c>
      <c r="K37" s="184">
        <v>72.908356706716162</v>
      </c>
      <c r="L37" s="184">
        <v>122.28379208071914</v>
      </c>
      <c r="M37" s="184">
        <v>130.67364934964561</v>
      </c>
      <c r="N37" s="184">
        <v>78.884952883653554</v>
      </c>
      <c r="O37" s="184">
        <v>78.379316865087887</v>
      </c>
      <c r="P37" s="184">
        <v>211.35087028238945</v>
      </c>
      <c r="Q37" s="184">
        <v>87.154003619847586</v>
      </c>
    </row>
    <row r="38" spans="1:17">
      <c r="A38" s="170">
        <v>2002</v>
      </c>
      <c r="B38" s="184">
        <v>87.959223539986056</v>
      </c>
      <c r="C38" s="184">
        <v>103.83916699659554</v>
      </c>
      <c r="D38" s="184">
        <v>112.62933247352787</v>
      </c>
      <c r="E38" s="184">
        <v>75.716069055672207</v>
      </c>
      <c r="F38" s="184">
        <v>75.93724705954844</v>
      </c>
      <c r="G38" s="184">
        <v>73.979391826846467</v>
      </c>
      <c r="H38" s="184">
        <v>70.483859536643877</v>
      </c>
      <c r="I38" s="184">
        <v>78.538850143184206</v>
      </c>
      <c r="J38" s="184">
        <v>95.209562190550798</v>
      </c>
      <c r="K38" s="184">
        <v>56.556324694099722</v>
      </c>
      <c r="L38" s="184">
        <v>110.47342555459106</v>
      </c>
      <c r="M38" s="184">
        <v>88.657660684312475</v>
      </c>
      <c r="N38" s="184">
        <v>75.171374361692216</v>
      </c>
      <c r="O38" s="184">
        <v>74.489133056751626</v>
      </c>
      <c r="P38" s="184">
        <v>77.166969199151339</v>
      </c>
      <c r="Q38" s="184">
        <v>81.678292004693745</v>
      </c>
    </row>
    <row r="39" spans="1:17">
      <c r="A39" s="170">
        <v>2003</v>
      </c>
      <c r="B39" s="184">
        <v>84.832564547907538</v>
      </c>
      <c r="C39" s="184">
        <v>98.39434229725903</v>
      </c>
      <c r="D39" s="184">
        <v>112.62407863997494</v>
      </c>
      <c r="E39" s="184">
        <v>65.403629965168534</v>
      </c>
      <c r="F39" s="184">
        <v>85.247834462308859</v>
      </c>
      <c r="G39" s="184">
        <v>84.399852153229887</v>
      </c>
      <c r="H39" s="184">
        <v>80.697139594357452</v>
      </c>
      <c r="I39" s="184">
        <v>74.547378492384979</v>
      </c>
      <c r="J39" s="184">
        <v>91.194107932705464</v>
      </c>
      <c r="K39" s="184">
        <v>57.042876980705245</v>
      </c>
      <c r="L39" s="184">
        <v>95.774096450115778</v>
      </c>
      <c r="M39" s="184">
        <v>77.795436317344596</v>
      </c>
      <c r="N39" s="184">
        <v>85.285834930673587</v>
      </c>
      <c r="O39" s="184">
        <v>84.083268125388742</v>
      </c>
      <c r="P39" s="184">
        <v>85.656467209905699</v>
      </c>
      <c r="Q39" s="184">
        <v>83.573242252905686</v>
      </c>
    </row>
    <row r="40" spans="1:17">
      <c r="A40" s="170">
        <v>2004</v>
      </c>
      <c r="B40" s="184">
        <v>88.419214194413769</v>
      </c>
      <c r="C40" s="184">
        <v>98.331141342302573</v>
      </c>
      <c r="D40" s="184">
        <v>117.45040057183699</v>
      </c>
      <c r="E40" s="184">
        <v>73.803263812170655</v>
      </c>
      <c r="F40" s="184">
        <v>92.803078103693665</v>
      </c>
      <c r="G40" s="184">
        <v>92.376546129718591</v>
      </c>
      <c r="H40" s="184">
        <v>89.03432161390883</v>
      </c>
      <c r="I40" s="184">
        <v>83.170478911513115</v>
      </c>
      <c r="J40" s="184">
        <v>93.770095725011629</v>
      </c>
      <c r="K40" s="184">
        <v>62.265849365447124</v>
      </c>
      <c r="L40" s="184">
        <v>93.2901987005081</v>
      </c>
      <c r="M40" s="184">
        <v>78.32458100483241</v>
      </c>
      <c r="N40" s="184">
        <v>93.272886659646943</v>
      </c>
      <c r="O40" s="184">
        <v>91.923073804257569</v>
      </c>
      <c r="P40" s="184">
        <v>86.375697848034392</v>
      </c>
      <c r="Q40" s="184">
        <v>92.435379086405973</v>
      </c>
    </row>
    <row r="41" spans="1:17">
      <c r="A41" s="170">
        <v>2005</v>
      </c>
      <c r="B41" s="184">
        <v>92.430845584176183</v>
      </c>
      <c r="C41" s="184">
        <v>99.509628394575216</v>
      </c>
      <c r="D41" s="184">
        <v>112.53657476281364</v>
      </c>
      <c r="E41" s="184">
        <v>85.946873106564738</v>
      </c>
      <c r="F41" s="184">
        <v>92.3814792263897</v>
      </c>
      <c r="G41" s="184">
        <v>92.366355087646994</v>
      </c>
      <c r="H41" s="184">
        <v>90.220776996760875</v>
      </c>
      <c r="I41" s="184">
        <v>91.347974950929085</v>
      </c>
      <c r="J41" s="184">
        <v>96.583709679235767</v>
      </c>
      <c r="K41" s="184">
        <v>78.261000305340858</v>
      </c>
      <c r="L41" s="184">
        <v>98.332627764236264</v>
      </c>
      <c r="M41" s="184">
        <v>80.453245018124449</v>
      </c>
      <c r="N41" s="184">
        <v>93.021669128104946</v>
      </c>
      <c r="O41" s="184">
        <v>92.617806210794754</v>
      </c>
      <c r="P41" s="184">
        <v>93.3190203965964</v>
      </c>
      <c r="Q41" s="184">
        <v>91.688441830871241</v>
      </c>
    </row>
    <row r="42" spans="1:17">
      <c r="A42" s="170">
        <v>2006</v>
      </c>
      <c r="B42" s="184">
        <v>93.575574410547887</v>
      </c>
      <c r="C42" s="184">
        <v>99.43949701177938</v>
      </c>
      <c r="D42" s="184">
        <v>103.49495943294818</v>
      </c>
      <c r="E42" s="184">
        <v>85.29561995766764</v>
      </c>
      <c r="F42" s="184">
        <v>91.63742021980903</v>
      </c>
      <c r="G42" s="184">
        <v>92.066500530198439</v>
      </c>
      <c r="H42" s="184">
        <v>91.201937434553912</v>
      </c>
      <c r="I42" s="184">
        <v>96.515604062886382</v>
      </c>
      <c r="J42" s="184">
        <v>96.006786586275467</v>
      </c>
      <c r="K42" s="184">
        <v>88.330975048646991</v>
      </c>
      <c r="L42" s="184">
        <v>98.63516073331779</v>
      </c>
      <c r="M42" s="184">
        <v>86.164605080392548</v>
      </c>
      <c r="N42" s="184">
        <v>92.369030836094794</v>
      </c>
      <c r="O42" s="184">
        <v>92.064969453434486</v>
      </c>
      <c r="P42" s="184">
        <v>95.245140646580822</v>
      </c>
      <c r="Q42" s="184">
        <v>91.916778244091404</v>
      </c>
    </row>
    <row r="43" spans="1:17">
      <c r="A43" s="173">
        <v>2007</v>
      </c>
      <c r="B43" s="184">
        <v>100</v>
      </c>
      <c r="C43" s="184">
        <v>100</v>
      </c>
      <c r="D43" s="184">
        <v>100</v>
      </c>
      <c r="E43" s="184">
        <v>100</v>
      </c>
      <c r="F43" s="184">
        <v>100</v>
      </c>
      <c r="G43" s="184">
        <v>100</v>
      </c>
      <c r="H43" s="184">
        <v>100</v>
      </c>
      <c r="I43" s="184">
        <v>100</v>
      </c>
      <c r="J43" s="184">
        <v>100</v>
      </c>
      <c r="K43" s="184">
        <v>100</v>
      </c>
      <c r="L43" s="184">
        <v>100</v>
      </c>
      <c r="M43" s="184">
        <v>100</v>
      </c>
      <c r="N43" s="184">
        <v>100</v>
      </c>
      <c r="O43" s="184">
        <v>100</v>
      </c>
      <c r="P43" s="184">
        <v>100</v>
      </c>
      <c r="Q43" s="184">
        <v>100</v>
      </c>
    </row>
    <row r="44" spans="1:17">
      <c r="A44" s="170">
        <v>2008</v>
      </c>
      <c r="B44" s="184">
        <v>101.59761492265977</v>
      </c>
      <c r="C44" s="184">
        <v>95.792457429875583</v>
      </c>
      <c r="D44" s="184">
        <v>106.54118580742973</v>
      </c>
      <c r="E44" s="184">
        <v>104.25356145037199</v>
      </c>
      <c r="F44" s="184">
        <v>101.32719486436042</v>
      </c>
      <c r="G44" s="184">
        <v>102.06427425556781</v>
      </c>
      <c r="H44" s="184">
        <v>102.7547675681601</v>
      </c>
      <c r="I44" s="184">
        <v>100.29242340888143</v>
      </c>
      <c r="J44" s="184">
        <v>104.3837290271467</v>
      </c>
      <c r="K44" s="184">
        <v>103.49610277164747</v>
      </c>
      <c r="L44" s="184">
        <v>95.223175283517634</v>
      </c>
      <c r="M44" s="184">
        <v>121.25500909376019</v>
      </c>
      <c r="N44" s="184">
        <v>101.51034740041227</v>
      </c>
      <c r="O44" s="184">
        <v>103.16425230197559</v>
      </c>
      <c r="P44" s="184">
        <v>98.624561726150503</v>
      </c>
      <c r="Q44" s="184">
        <v>87.627081738164875</v>
      </c>
    </row>
    <row r="45" spans="1:17">
      <c r="A45" s="173">
        <v>2009</v>
      </c>
      <c r="B45" s="184">
        <v>95.850189402630065</v>
      </c>
      <c r="C45" s="184">
        <v>90.7682337743381</v>
      </c>
      <c r="D45" s="184">
        <v>110.40598773083219</v>
      </c>
      <c r="E45" s="184">
        <v>94.183450141559561</v>
      </c>
      <c r="F45" s="184">
        <v>91.665828343694741</v>
      </c>
      <c r="G45" s="184">
        <v>92.735261796341902</v>
      </c>
      <c r="H45" s="184">
        <v>92.401793630907619</v>
      </c>
      <c r="I45" s="184">
        <v>90.158924080157618</v>
      </c>
      <c r="J45" s="184">
        <v>99.221225939880014</v>
      </c>
      <c r="K45" s="184">
        <v>94.672908833438115</v>
      </c>
      <c r="L45" s="184">
        <v>78.527989553491736</v>
      </c>
      <c r="M45" s="184">
        <v>148.26965674504876</v>
      </c>
      <c r="N45" s="184">
        <v>91.625876551878662</v>
      </c>
      <c r="O45" s="184">
        <v>92.987345249818461</v>
      </c>
      <c r="P45" s="184">
        <v>84.465909595261493</v>
      </c>
      <c r="Q45" s="184">
        <v>72.350098870120021</v>
      </c>
    </row>
    <row r="46" spans="1:17">
      <c r="A46" s="170">
        <v>2010</v>
      </c>
      <c r="B46" s="184">
        <v>98.189096835548952</v>
      </c>
      <c r="C46" s="184">
        <v>89.090322900789985</v>
      </c>
      <c r="D46" s="184">
        <v>112.83113267596268</v>
      </c>
      <c r="E46" s="184">
        <v>105.74639743652303</v>
      </c>
      <c r="F46" s="184">
        <v>85.323920963536466</v>
      </c>
      <c r="G46" s="184">
        <v>86.691999763471088</v>
      </c>
      <c r="H46" s="184">
        <v>86.601208274768126</v>
      </c>
      <c r="I46" s="184">
        <v>97.163930381135657</v>
      </c>
      <c r="J46" s="184">
        <v>103.69789025608733</v>
      </c>
      <c r="K46" s="184">
        <v>109.14280852272825</v>
      </c>
      <c r="L46" s="184">
        <v>84.46966339882691</v>
      </c>
      <c r="M46" s="184">
        <v>153.65587840767381</v>
      </c>
      <c r="N46" s="184">
        <v>85.646092662039777</v>
      </c>
      <c r="O46" s="184">
        <v>87.483310697714245</v>
      </c>
      <c r="P46" s="184">
        <v>85.795134872962137</v>
      </c>
      <c r="Q46" s="184">
        <v>71.504449391839302</v>
      </c>
    </row>
    <row r="47" spans="1:17">
      <c r="A47" s="173">
        <v>2011</v>
      </c>
      <c r="B47" s="184">
        <v>96.740731508799072</v>
      </c>
      <c r="C47" s="184">
        <v>87.966678773057353</v>
      </c>
      <c r="D47" s="184">
        <v>118.45137313336846</v>
      </c>
      <c r="E47" s="184">
        <v>107.52675209513028</v>
      </c>
      <c r="F47" s="184">
        <v>87.500612925084781</v>
      </c>
      <c r="G47" s="184">
        <v>89.483302428049527</v>
      </c>
      <c r="H47" s="184">
        <v>89.785513148787047</v>
      </c>
      <c r="I47" s="184">
        <v>101.39149330126298</v>
      </c>
      <c r="J47" s="184">
        <v>105.24826202276603</v>
      </c>
      <c r="K47" s="184">
        <v>117.15465176851669</v>
      </c>
      <c r="L47" s="184">
        <v>85.038230922595687</v>
      </c>
      <c r="M47" s="184">
        <v>112.57286820201719</v>
      </c>
      <c r="N47" s="184">
        <v>87.867268294345692</v>
      </c>
      <c r="O47" s="184">
        <v>90.994555639946398</v>
      </c>
      <c r="P47" s="184">
        <v>85.457562707132368</v>
      </c>
      <c r="Q47" s="184">
        <v>74.214749254113428</v>
      </c>
    </row>
    <row r="48" spans="1:17">
      <c r="A48" s="170">
        <v>2012</v>
      </c>
      <c r="B48" s="184">
        <v>94.248853660867823</v>
      </c>
      <c r="C48" s="184">
        <v>85.428674548851916</v>
      </c>
      <c r="D48" s="184">
        <v>112.68736669213936</v>
      </c>
      <c r="E48" s="184">
        <v>108.56792834100317</v>
      </c>
      <c r="F48" s="184">
        <v>78.494390435491397</v>
      </c>
      <c r="G48" s="184">
        <v>81.085620747200821</v>
      </c>
      <c r="H48" s="184">
        <v>80.889298407000183</v>
      </c>
      <c r="I48" s="184">
        <v>98.797296980010813</v>
      </c>
      <c r="J48" s="184">
        <v>108.38340269453286</v>
      </c>
      <c r="K48" s="184">
        <v>100.63088363423375</v>
      </c>
      <c r="L48" s="184">
        <v>79.464466677865417</v>
      </c>
      <c r="M48" s="184">
        <v>129.7185792314913</v>
      </c>
      <c r="N48" s="184">
        <v>78.782243667541579</v>
      </c>
      <c r="O48" s="184">
        <v>82.294264024118235</v>
      </c>
      <c r="P48" s="184">
        <v>81.055661269317923</v>
      </c>
      <c r="Q48" s="184">
        <v>71.781722688272552</v>
      </c>
    </row>
    <row r="49" spans="1:17">
      <c r="A49" s="173">
        <v>2013</v>
      </c>
      <c r="B49" s="184">
        <v>91.913071347757054</v>
      </c>
      <c r="C49" s="184">
        <v>84.383195209738673</v>
      </c>
      <c r="D49" s="184">
        <v>90.010138224312371</v>
      </c>
      <c r="E49" s="184">
        <v>103.68107897784505</v>
      </c>
      <c r="F49" s="184">
        <v>80.152741727579482</v>
      </c>
      <c r="G49" s="184">
        <v>82.566649305743184</v>
      </c>
      <c r="H49" s="184">
        <v>82.520319998050283</v>
      </c>
      <c r="I49" s="184">
        <v>96.164727209515092</v>
      </c>
      <c r="J49" s="184">
        <v>105.9012518982166</v>
      </c>
      <c r="K49" s="184">
        <v>94.243724398893761</v>
      </c>
      <c r="L49" s="184">
        <v>82.802568807854129</v>
      </c>
      <c r="M49" s="184">
        <v>124.06398815116735</v>
      </c>
      <c r="N49" s="184">
        <v>79.938688254278745</v>
      </c>
      <c r="O49" s="184">
        <v>83.708163842342103</v>
      </c>
      <c r="P49" s="184">
        <v>72.539778412634391</v>
      </c>
      <c r="Q49" s="184">
        <v>70.689532087742009</v>
      </c>
    </row>
    <row r="50" spans="1:17">
      <c r="A50" s="170">
        <v>2014</v>
      </c>
      <c r="B50" s="184">
        <v>91.652424149249981</v>
      </c>
      <c r="C50" s="184">
        <v>82.781127526287008</v>
      </c>
      <c r="D50" s="184">
        <v>82.263204956582427</v>
      </c>
      <c r="E50" s="184">
        <v>96.128853209765992</v>
      </c>
      <c r="F50" s="184">
        <v>78.041794919517272</v>
      </c>
      <c r="G50" s="184">
        <v>79.861826700017886</v>
      </c>
      <c r="H50" s="184">
        <v>79.508337779126038</v>
      </c>
      <c r="I50" s="184">
        <v>84.272561665117379</v>
      </c>
      <c r="J50" s="184">
        <v>100.45272889910137</v>
      </c>
      <c r="K50" s="184">
        <v>88.705386575796354</v>
      </c>
      <c r="L50" s="184">
        <v>79.841823299206553</v>
      </c>
      <c r="M50" s="184">
        <v>181.32098854843991</v>
      </c>
      <c r="N50" s="184">
        <v>77.528695598487005</v>
      </c>
      <c r="O50" s="184">
        <v>81.045066310523765</v>
      </c>
      <c r="P50" s="184">
        <v>61.291869785480934</v>
      </c>
      <c r="Q50" s="184">
        <v>72.907870484394635</v>
      </c>
    </row>
    <row r="51" spans="1:17">
      <c r="A51" s="173">
        <v>2015</v>
      </c>
      <c r="B51" s="184">
        <v>86.800713260889026</v>
      </c>
      <c r="C51" s="184">
        <v>79.717327725531661</v>
      </c>
      <c r="D51" s="184">
        <v>69.743716632069876</v>
      </c>
      <c r="E51" s="184">
        <v>70.980621507406667</v>
      </c>
      <c r="F51" s="184">
        <v>62.962951785214536</v>
      </c>
      <c r="G51" s="184">
        <v>64.305586534185423</v>
      </c>
      <c r="H51" s="184">
        <v>63.673531919460572</v>
      </c>
      <c r="I51" s="184">
        <v>73.986932497994573</v>
      </c>
      <c r="J51" s="184">
        <v>89.2507171448176</v>
      </c>
      <c r="K51" s="184">
        <v>65.79069328787736</v>
      </c>
      <c r="L51" s="184">
        <v>66.197702777184148</v>
      </c>
      <c r="M51" s="184">
        <v>369.38174391265551</v>
      </c>
      <c r="N51" s="184">
        <v>62.430623999391678</v>
      </c>
      <c r="O51" s="184">
        <v>65.599241149583875</v>
      </c>
      <c r="P51" s="184">
        <v>65.426426923035791</v>
      </c>
      <c r="Q51" s="184">
        <v>65.110223878715956</v>
      </c>
    </row>
    <row r="52" spans="1:17">
      <c r="A52" s="170">
        <v>2016</v>
      </c>
      <c r="B52" s="184">
        <v>90.149615122675613</v>
      </c>
      <c r="C52" s="184">
        <v>79.351622123094032</v>
      </c>
      <c r="D52" s="184">
        <v>76.16315069667435</v>
      </c>
      <c r="E52" s="184">
        <v>67.362128779159576</v>
      </c>
      <c r="F52" s="184">
        <v>61.970412331341294</v>
      </c>
      <c r="G52" s="184">
        <v>62.92820715166819</v>
      </c>
      <c r="H52" s="184">
        <v>62.241927289741973</v>
      </c>
      <c r="I52" s="184">
        <v>72.939309339146291</v>
      </c>
      <c r="J52" s="184">
        <v>85.71150308506806</v>
      </c>
      <c r="K52" s="184">
        <v>67.00915886542964</v>
      </c>
      <c r="L52" s="184">
        <v>56.838319287252794</v>
      </c>
      <c r="M52" s="184">
        <v>702.37529474283531</v>
      </c>
      <c r="N52" s="184">
        <v>61.2640300059238</v>
      </c>
      <c r="O52" s="184">
        <v>65.522856104519065</v>
      </c>
      <c r="P52" s="184">
        <v>56.887887065065492</v>
      </c>
      <c r="Q52" s="184">
        <v>56.957729241288121</v>
      </c>
    </row>
    <row r="53" spans="1:17">
      <c r="A53" s="179"/>
      <c r="B53" s="180"/>
      <c r="C53" s="180"/>
      <c r="D53" s="180"/>
      <c r="E53" s="180"/>
      <c r="F53" s="180"/>
      <c r="G53" s="180"/>
      <c r="H53" s="180"/>
      <c r="I53" s="180"/>
      <c r="J53" s="181"/>
      <c r="K53" s="181"/>
      <c r="L53" s="181"/>
      <c r="M53" s="181"/>
      <c r="N53" s="181"/>
      <c r="O53" s="181"/>
      <c r="P53" s="181"/>
      <c r="Q53" s="181"/>
    </row>
    <row r="54" spans="1:17">
      <c r="A54" s="200"/>
      <c r="B54" s="183"/>
      <c r="C54" s="183"/>
      <c r="D54" s="183"/>
      <c r="E54" s="183"/>
      <c r="F54" s="183"/>
      <c r="G54" s="183"/>
      <c r="H54" s="183"/>
      <c r="I54" s="183"/>
      <c r="J54" s="182"/>
      <c r="K54" s="182"/>
      <c r="L54" s="182"/>
      <c r="M54" s="182"/>
      <c r="N54" s="182"/>
      <c r="O54" s="182"/>
      <c r="P54" s="182"/>
      <c r="Q54" s="182"/>
    </row>
    <row r="55" spans="1:17">
      <c r="A55" s="182"/>
      <c r="B55" s="183"/>
      <c r="C55" s="183"/>
      <c r="D55" s="183"/>
      <c r="E55" s="183"/>
      <c r="F55" s="183"/>
      <c r="G55" s="183"/>
      <c r="H55" s="183"/>
      <c r="I55" s="183"/>
      <c r="J55" s="182"/>
      <c r="K55" s="182"/>
      <c r="L55" s="182"/>
      <c r="M55" s="182"/>
      <c r="N55" s="182"/>
      <c r="O55" s="182"/>
      <c r="P55" s="182"/>
      <c r="Q55" s="182"/>
    </row>
    <row r="56" spans="1:17">
      <c r="A56" s="197" t="s">
        <v>234</v>
      </c>
    </row>
    <row r="57" spans="1:17">
      <c r="A57" s="79" t="s">
        <v>222</v>
      </c>
    </row>
    <row r="58" spans="1:17">
      <c r="A58" s="253"/>
    </row>
    <row r="59" spans="1:17">
      <c r="A59" s="253"/>
    </row>
    <row r="60" spans="1:17">
      <c r="A60" s="253"/>
    </row>
    <row r="61" spans="1:17">
      <c r="A61" s="253"/>
    </row>
    <row r="62" spans="1:17">
      <c r="A62" s="253"/>
    </row>
    <row r="63" spans="1:17">
      <c r="A63" s="77"/>
    </row>
  </sheetData>
  <mergeCells count="5">
    <mergeCell ref="A1:Q1"/>
    <mergeCell ref="A2:Q2"/>
    <mergeCell ref="A4:A5"/>
    <mergeCell ref="B4:B5"/>
    <mergeCell ref="C4:Q4"/>
  </mergeCells>
  <hyperlinks>
    <hyperlink ref="A57" location="'indice cap.2'!A1" display="regresar al índice"/>
    <hyperlink ref="A56" location="'indice cap.2'!A1" display="Notas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H49"/>
  <sheetViews>
    <sheetView showGridLines="0" workbookViewId="0">
      <pane xSplit="1" ySplit="6" topLeftCell="B7" activePane="bottomRight" state="frozen"/>
      <selection activeCell="T16" sqref="T16"/>
      <selection pane="topRight" activeCell="T16" sqref="T16"/>
      <selection pane="bottomLeft" activeCell="T16" sqref="T16"/>
      <selection pane="bottomRight" activeCell="C21" sqref="C21"/>
    </sheetView>
  </sheetViews>
  <sheetFormatPr baseColWidth="10" defaultRowHeight="15" customHeight="1"/>
  <cols>
    <col min="1" max="1" width="10.28515625" style="6" customWidth="1"/>
    <col min="2" max="2" width="22.28515625" style="23" customWidth="1"/>
    <col min="3" max="3" width="21.28515625" style="23" bestFit="1" customWidth="1"/>
    <col min="4" max="4" width="12.7109375" style="23" customWidth="1"/>
    <col min="5" max="5" width="15" style="23" customWidth="1"/>
    <col min="6" max="6" width="14.42578125" style="23" customWidth="1"/>
    <col min="7" max="7" width="14.7109375" style="23" customWidth="1"/>
    <col min="8" max="8" width="13.42578125" style="23" customWidth="1"/>
    <col min="9" max="16384" width="11.42578125" style="6"/>
  </cols>
  <sheetData>
    <row r="1" spans="1:8" s="185" customFormat="1" ht="15" customHeight="1">
      <c r="A1" s="386" t="s">
        <v>214</v>
      </c>
      <c r="B1" s="386"/>
      <c r="C1" s="386"/>
      <c r="D1" s="386"/>
      <c r="E1" s="386"/>
      <c r="F1" s="386"/>
      <c r="G1" s="386"/>
      <c r="H1" s="386"/>
    </row>
    <row r="2" spans="1:8" s="185" customFormat="1" ht="15" customHeight="1">
      <c r="A2" s="386" t="s">
        <v>460</v>
      </c>
      <c r="B2" s="386"/>
      <c r="C2" s="386"/>
      <c r="D2" s="386"/>
      <c r="E2" s="386"/>
      <c r="F2" s="386"/>
      <c r="G2" s="386"/>
      <c r="H2" s="386"/>
    </row>
    <row r="3" spans="1:8" s="185" customFormat="1" ht="15" customHeight="1">
      <c r="A3" s="186"/>
      <c r="B3" s="186"/>
      <c r="C3" s="186"/>
      <c r="D3" s="186"/>
      <c r="E3" s="186"/>
      <c r="F3" s="186"/>
      <c r="G3" s="186"/>
      <c r="H3" s="186"/>
    </row>
    <row r="4" spans="1:8" s="32" customFormat="1" ht="15" customHeight="1" thickBot="1">
      <c r="A4" s="387" t="s">
        <v>55</v>
      </c>
      <c r="B4" s="387" t="s">
        <v>286</v>
      </c>
      <c r="C4" s="390" t="s">
        <v>215</v>
      </c>
      <c r="D4" s="391"/>
      <c r="E4" s="391"/>
      <c r="F4" s="391"/>
      <c r="G4" s="391"/>
      <c r="H4" s="391"/>
    </row>
    <row r="5" spans="1:8" s="32" customFormat="1" ht="15" customHeight="1" thickBot="1">
      <c r="A5" s="388"/>
      <c r="B5" s="388"/>
      <c r="C5" s="392" t="s">
        <v>216</v>
      </c>
      <c r="D5" s="392" t="s">
        <v>217</v>
      </c>
      <c r="E5" s="394" t="s">
        <v>218</v>
      </c>
      <c r="F5" s="395"/>
      <c r="G5" s="395"/>
      <c r="H5" s="395"/>
    </row>
    <row r="6" spans="1:8" s="32" customFormat="1" ht="26.25" customHeight="1" thickBot="1">
      <c r="A6" s="389"/>
      <c r="B6" s="389"/>
      <c r="C6" s="393"/>
      <c r="D6" s="393"/>
      <c r="E6" s="255">
        <v>30</v>
      </c>
      <c r="F6" s="255" t="s">
        <v>219</v>
      </c>
      <c r="G6" s="255" t="s">
        <v>220</v>
      </c>
      <c r="H6" s="256" t="s">
        <v>221</v>
      </c>
    </row>
    <row r="7" spans="1:8" s="110" customFormat="1" ht="15" customHeight="1">
      <c r="A7" s="44"/>
      <c r="B7" s="44"/>
      <c r="C7" s="44"/>
      <c r="D7" s="44"/>
      <c r="E7" s="24"/>
      <c r="F7" s="24"/>
      <c r="G7" s="24"/>
      <c r="H7" s="24"/>
    </row>
    <row r="8" spans="1:8" s="110" customFormat="1" ht="15" customHeight="1">
      <c r="A8" s="188">
        <v>1980</v>
      </c>
      <c r="B8" s="189">
        <v>12.4</v>
      </c>
      <c r="C8" s="189">
        <v>20.5</v>
      </c>
      <c r="D8" s="189">
        <v>21.5</v>
      </c>
      <c r="E8" s="189">
        <v>20.375</v>
      </c>
      <c r="F8" s="189">
        <v>17.9375</v>
      </c>
      <c r="G8" s="189">
        <v>16.125</v>
      </c>
      <c r="H8" s="189">
        <v>15.125</v>
      </c>
    </row>
    <row r="9" spans="1:8" s="110" customFormat="1" ht="15" customHeight="1">
      <c r="A9" s="188">
        <v>1981</v>
      </c>
      <c r="B9" s="189">
        <v>8.9</v>
      </c>
      <c r="C9" s="189">
        <v>12.875</v>
      </c>
      <c r="D9" s="189">
        <v>15.75</v>
      </c>
      <c r="E9" s="189">
        <v>13.3125</v>
      </c>
      <c r="F9" s="189">
        <v>13.875</v>
      </c>
      <c r="G9" s="189">
        <v>14.9375</v>
      </c>
      <c r="H9" s="189">
        <v>14.875</v>
      </c>
    </row>
    <row r="10" spans="1:8" s="110" customFormat="1" ht="15" customHeight="1">
      <c r="A10" s="188">
        <v>1982</v>
      </c>
      <c r="B10" s="189">
        <v>3.9</v>
      </c>
      <c r="C10" s="189">
        <v>9.07</v>
      </c>
      <c r="D10" s="189">
        <v>11.5</v>
      </c>
      <c r="E10" s="189">
        <v>9.32</v>
      </c>
      <c r="F10" s="189">
        <v>9.4700000000000006</v>
      </c>
      <c r="G10" s="189">
        <v>9.6</v>
      </c>
      <c r="H10" s="189">
        <v>9.85</v>
      </c>
    </row>
    <row r="11" spans="1:8" s="110" customFormat="1" ht="15" customHeight="1">
      <c r="A11" s="188">
        <v>1983</v>
      </c>
      <c r="B11" s="189">
        <v>3.8</v>
      </c>
      <c r="C11" s="189">
        <v>10.75</v>
      </c>
      <c r="D11" s="189">
        <v>11</v>
      </c>
      <c r="E11" s="189">
        <v>9.8125</v>
      </c>
      <c r="F11" s="189">
        <v>9.9375</v>
      </c>
      <c r="G11" s="189">
        <v>10.125</v>
      </c>
      <c r="H11" s="189">
        <v>10.4375</v>
      </c>
    </row>
    <row r="12" spans="1:8" s="110" customFormat="1" ht="15" customHeight="1">
      <c r="A12" s="188">
        <v>1984</v>
      </c>
      <c r="B12" s="189">
        <v>3.9</v>
      </c>
      <c r="C12" s="189">
        <v>8.5625</v>
      </c>
      <c r="D12" s="189">
        <v>10.75</v>
      </c>
      <c r="E12" s="189">
        <v>8.5</v>
      </c>
      <c r="F12" s="189">
        <v>8.75</v>
      </c>
      <c r="G12" s="189">
        <v>9.25</v>
      </c>
      <c r="H12" s="189">
        <v>9.9375</v>
      </c>
    </row>
    <row r="13" spans="1:8" ht="15" customHeight="1">
      <c r="A13" s="188">
        <v>1985</v>
      </c>
      <c r="B13" s="189">
        <v>3.8</v>
      </c>
      <c r="C13" s="189">
        <v>11</v>
      </c>
      <c r="D13" s="189">
        <v>9.5</v>
      </c>
      <c r="E13" s="189">
        <v>8.125</v>
      </c>
      <c r="F13" s="189">
        <v>8</v>
      </c>
      <c r="G13" s="189">
        <v>8</v>
      </c>
      <c r="H13" s="189">
        <v>8.0625</v>
      </c>
    </row>
    <row r="14" spans="1:8" ht="15" customHeight="1">
      <c r="A14" s="188">
        <v>1986</v>
      </c>
      <c r="B14" s="189">
        <v>1.1000000000000001</v>
      </c>
      <c r="C14" s="189">
        <v>20</v>
      </c>
      <c r="D14" s="189">
        <v>7.5</v>
      </c>
      <c r="E14" s="189">
        <v>6.75</v>
      </c>
      <c r="F14" s="189">
        <v>6.44</v>
      </c>
      <c r="G14" s="189">
        <v>6.31</v>
      </c>
      <c r="H14" s="189">
        <v>6.31</v>
      </c>
    </row>
    <row r="15" spans="1:8" ht="15" customHeight="1">
      <c r="A15" s="188">
        <v>1987</v>
      </c>
      <c r="B15" s="189">
        <v>3.7</v>
      </c>
      <c r="C15" s="189">
        <v>6.75</v>
      </c>
      <c r="D15" s="189">
        <v>8.75</v>
      </c>
      <c r="E15" s="189">
        <v>7.125</v>
      </c>
      <c r="F15" s="189">
        <v>7.4375</v>
      </c>
      <c r="G15" s="189">
        <v>7.5</v>
      </c>
      <c r="H15" s="189">
        <v>7.875</v>
      </c>
    </row>
    <row r="16" spans="1:8" ht="15" customHeight="1">
      <c r="A16" s="188">
        <v>1988</v>
      </c>
      <c r="B16" s="189">
        <v>4</v>
      </c>
      <c r="C16" s="189">
        <v>10.5</v>
      </c>
      <c r="D16" s="189">
        <v>10.5</v>
      </c>
      <c r="E16" s="189">
        <v>9.1875</v>
      </c>
      <c r="F16" s="189">
        <v>9.3125</v>
      </c>
      <c r="G16" s="189">
        <v>9.4375</v>
      </c>
      <c r="H16" s="189">
        <v>9.625</v>
      </c>
    </row>
    <row r="17" spans="1:8" ht="15" customHeight="1">
      <c r="A17" s="188">
        <v>1989</v>
      </c>
      <c r="B17" s="189">
        <v>4.8</v>
      </c>
      <c r="C17" s="189">
        <v>9.75</v>
      </c>
      <c r="D17" s="189">
        <v>10.5</v>
      </c>
      <c r="E17" s="189">
        <v>8.5</v>
      </c>
      <c r="F17" s="189">
        <v>8.375</v>
      </c>
      <c r="G17" s="189">
        <v>8.3125</v>
      </c>
      <c r="H17" s="189">
        <v>8.25</v>
      </c>
    </row>
    <row r="18" spans="1:8" ht="15" customHeight="1">
      <c r="A18" s="188">
        <v>1990</v>
      </c>
      <c r="B18" s="189">
        <v>5.4</v>
      </c>
      <c r="C18" s="189">
        <v>8</v>
      </c>
      <c r="D18" s="189">
        <v>10</v>
      </c>
      <c r="E18" s="189">
        <v>7.625</v>
      </c>
      <c r="F18" s="189">
        <v>7.5625</v>
      </c>
      <c r="G18" s="189">
        <v>7.5625</v>
      </c>
      <c r="H18" s="189">
        <v>7.5625</v>
      </c>
    </row>
    <row r="19" spans="1:8" ht="15" customHeight="1">
      <c r="A19" s="188">
        <v>1991</v>
      </c>
      <c r="B19" s="189">
        <v>3.1</v>
      </c>
      <c r="C19" s="189">
        <v>4.5</v>
      </c>
      <c r="D19" s="189">
        <v>6.5</v>
      </c>
      <c r="E19" s="189">
        <v>4.3125</v>
      </c>
      <c r="F19" s="189">
        <v>4.25</v>
      </c>
      <c r="G19" s="189">
        <v>4.25</v>
      </c>
      <c r="H19" s="189">
        <v>4.3125</v>
      </c>
    </row>
    <row r="20" spans="1:8" ht="15" customHeight="1">
      <c r="A20" s="188">
        <v>1992</v>
      </c>
      <c r="B20" s="189">
        <v>2.9</v>
      </c>
      <c r="C20" s="189">
        <v>3.125</v>
      </c>
      <c r="D20" s="189">
        <v>6</v>
      </c>
      <c r="E20" s="189">
        <v>3.5</v>
      </c>
      <c r="F20" s="189">
        <v>3.5625</v>
      </c>
      <c r="G20" s="189">
        <v>3.6875</v>
      </c>
      <c r="H20" s="189">
        <v>4.125</v>
      </c>
    </row>
    <row r="21" spans="1:8" ht="15" customHeight="1">
      <c r="A21" s="188">
        <v>1993</v>
      </c>
      <c r="B21" s="189">
        <v>2.7</v>
      </c>
      <c r="C21" s="189">
        <v>3</v>
      </c>
      <c r="D21" s="189">
        <v>6</v>
      </c>
      <c r="E21" s="189">
        <v>3.25</v>
      </c>
      <c r="F21" s="189">
        <v>3.375</v>
      </c>
      <c r="G21" s="189">
        <v>3.5</v>
      </c>
      <c r="H21" s="189">
        <v>3.8125</v>
      </c>
    </row>
    <row r="22" spans="1:8" ht="15" customHeight="1">
      <c r="A22" s="188">
        <v>1994</v>
      </c>
      <c r="B22" s="189">
        <v>2.7</v>
      </c>
      <c r="C22" s="189">
        <v>5.5625</v>
      </c>
      <c r="D22" s="189">
        <v>8.5</v>
      </c>
      <c r="E22" s="189">
        <v>6.125</v>
      </c>
      <c r="F22" s="189">
        <v>6.5</v>
      </c>
      <c r="G22" s="189">
        <v>7</v>
      </c>
      <c r="H22" s="189">
        <v>7.6875</v>
      </c>
    </row>
    <row r="23" spans="1:8" ht="15" customHeight="1">
      <c r="A23" s="188">
        <v>1995</v>
      </c>
      <c r="B23" s="189">
        <v>2.5</v>
      </c>
      <c r="C23" s="189">
        <v>6</v>
      </c>
      <c r="D23" s="189">
        <v>8.5</v>
      </c>
      <c r="E23" s="189">
        <v>5.75</v>
      </c>
      <c r="F23" s="189">
        <v>5.6875</v>
      </c>
      <c r="G23" s="189">
        <v>5.5625</v>
      </c>
      <c r="H23" s="189">
        <v>5.4687999999999999</v>
      </c>
    </row>
    <row r="24" spans="1:8" ht="15" customHeight="1">
      <c r="A24" s="188">
        <v>1996</v>
      </c>
      <c r="B24" s="189">
        <v>2.9527559055118111</v>
      </c>
      <c r="C24" s="189">
        <v>5.75</v>
      </c>
      <c r="D24" s="189">
        <v>8.25</v>
      </c>
      <c r="E24" s="189">
        <v>5.6875</v>
      </c>
      <c r="F24" s="189">
        <v>5.625</v>
      </c>
      <c r="G24" s="189">
        <v>5.625</v>
      </c>
      <c r="H24" s="189">
        <v>5.8125</v>
      </c>
    </row>
    <row r="25" spans="1:8" ht="15" customHeight="1">
      <c r="A25" s="188">
        <v>1997</v>
      </c>
      <c r="B25" s="189">
        <v>2.2944550669216026</v>
      </c>
      <c r="C25" s="189">
        <v>5.375</v>
      </c>
      <c r="D25" s="189">
        <v>8.5</v>
      </c>
      <c r="E25" s="189">
        <v>5.9375</v>
      </c>
      <c r="F25" s="189">
        <v>5.90625</v>
      </c>
      <c r="G25" s="189">
        <v>5.90625</v>
      </c>
      <c r="H25" s="189">
        <v>5.96875</v>
      </c>
    </row>
    <row r="26" spans="1:8" ht="15" customHeight="1">
      <c r="A26" s="188">
        <v>1998</v>
      </c>
      <c r="B26" s="189">
        <v>1.557632398753894</v>
      </c>
      <c r="C26" s="189">
        <v>4.875</v>
      </c>
      <c r="D26" s="189">
        <v>7.75</v>
      </c>
      <c r="E26" s="189">
        <v>5.0625</v>
      </c>
      <c r="F26" s="189">
        <v>5.0625</v>
      </c>
      <c r="G26" s="189">
        <v>5.0625</v>
      </c>
      <c r="H26" s="189">
        <v>5.09375</v>
      </c>
    </row>
    <row r="27" spans="1:8" ht="15" customHeight="1">
      <c r="A27" s="188">
        <v>1999</v>
      </c>
      <c r="B27" s="189">
        <v>2.2085889570552113</v>
      </c>
      <c r="C27" s="189">
        <v>4.75</v>
      </c>
      <c r="D27" s="189">
        <v>8.5</v>
      </c>
      <c r="E27" s="189">
        <v>5.8</v>
      </c>
      <c r="F27" s="189">
        <v>6</v>
      </c>
      <c r="G27" s="189">
        <v>6.12</v>
      </c>
      <c r="H27" s="189">
        <v>6.5</v>
      </c>
    </row>
    <row r="28" spans="1:8" ht="15" customHeight="1">
      <c r="A28" s="188">
        <v>2000</v>
      </c>
      <c r="B28" s="189">
        <v>3.36</v>
      </c>
      <c r="C28" s="189">
        <v>6.5</v>
      </c>
      <c r="D28" s="189">
        <v>9.5</v>
      </c>
      <c r="E28" s="189">
        <v>6.56</v>
      </c>
      <c r="F28" s="189">
        <v>6.39</v>
      </c>
      <c r="G28" s="189">
        <v>6.22</v>
      </c>
      <c r="H28" s="189">
        <v>6</v>
      </c>
    </row>
    <row r="29" spans="1:8" ht="15" customHeight="1">
      <c r="A29" s="188">
        <v>2001</v>
      </c>
      <c r="B29" s="189">
        <v>2.85</v>
      </c>
      <c r="C29" s="189">
        <v>1.75</v>
      </c>
      <c r="D29" s="189">
        <v>4.75</v>
      </c>
      <c r="E29" s="189">
        <v>1.88</v>
      </c>
      <c r="F29" s="189">
        <v>1.88</v>
      </c>
      <c r="G29" s="189">
        <v>1.98</v>
      </c>
      <c r="H29" s="189">
        <v>2.44</v>
      </c>
    </row>
    <row r="30" spans="1:8" ht="15" customHeight="1">
      <c r="A30" s="188">
        <v>2002</v>
      </c>
      <c r="B30" s="189">
        <v>1.5810276679841961</v>
      </c>
      <c r="C30" s="189">
        <v>1.25</v>
      </c>
      <c r="D30" s="189">
        <v>4.25</v>
      </c>
      <c r="E30" s="189">
        <v>1.35</v>
      </c>
      <c r="F30" s="189">
        <v>1.38</v>
      </c>
      <c r="G30" s="189">
        <v>1.38</v>
      </c>
      <c r="H30" s="189">
        <v>1.45</v>
      </c>
    </row>
    <row r="31" spans="1:8" ht="15" customHeight="1">
      <c r="A31" s="188">
        <v>2003</v>
      </c>
      <c r="B31" s="189">
        <v>2.2790439132851552</v>
      </c>
      <c r="C31" s="189">
        <v>1</v>
      </c>
      <c r="D31" s="189">
        <v>4</v>
      </c>
      <c r="E31" s="189">
        <v>1.1200000000000001</v>
      </c>
      <c r="F31" s="189">
        <v>1.1499999999999999</v>
      </c>
      <c r="G31" s="189">
        <v>1.22</v>
      </c>
      <c r="H31" s="189">
        <v>1.46</v>
      </c>
    </row>
    <row r="32" spans="1:8" ht="15" customHeight="1">
      <c r="A32" s="188">
        <v>2004</v>
      </c>
      <c r="B32" s="189">
        <v>2.6630434782608727</v>
      </c>
      <c r="C32" s="189">
        <v>2.25</v>
      </c>
      <c r="D32" s="189">
        <v>5.25</v>
      </c>
      <c r="E32" s="189">
        <v>2.41</v>
      </c>
      <c r="F32" s="189">
        <v>2.57</v>
      </c>
      <c r="G32" s="189">
        <v>2.78</v>
      </c>
      <c r="H32" s="189">
        <v>3.1</v>
      </c>
    </row>
    <row r="33" spans="1:8" ht="15" customHeight="1">
      <c r="A33" s="188">
        <v>2005</v>
      </c>
      <c r="B33" s="189">
        <v>3.3880359978824806</v>
      </c>
      <c r="C33" s="190">
        <v>4.25</v>
      </c>
      <c r="D33" s="190">
        <v>7.25</v>
      </c>
      <c r="E33" s="190">
        <v>4.3899999999999997</v>
      </c>
      <c r="F33" s="190">
        <v>4.53</v>
      </c>
      <c r="G33" s="190">
        <v>4.6900000000000004</v>
      </c>
      <c r="H33" s="190">
        <v>4.84</v>
      </c>
    </row>
    <row r="34" spans="1:8" ht="15" customHeight="1">
      <c r="A34" s="188">
        <v>2006</v>
      </c>
      <c r="B34" s="189">
        <v>3.2258064516128968</v>
      </c>
      <c r="C34" s="190">
        <v>5.25</v>
      </c>
      <c r="D34" s="190">
        <v>8.25</v>
      </c>
      <c r="E34" s="190">
        <v>5.32</v>
      </c>
      <c r="F34" s="190">
        <v>5.36</v>
      </c>
      <c r="G34" s="190">
        <v>5.37</v>
      </c>
      <c r="H34" s="190">
        <v>5.34</v>
      </c>
    </row>
    <row r="35" spans="1:8" ht="15" customHeight="1">
      <c r="A35" s="188">
        <v>2007</v>
      </c>
      <c r="B35" s="191">
        <v>2.8482142857142918</v>
      </c>
      <c r="C35" s="190">
        <v>4.25</v>
      </c>
      <c r="D35" s="190">
        <v>7.25</v>
      </c>
      <c r="E35" s="190">
        <v>4.5999999999999996</v>
      </c>
      <c r="F35" s="190">
        <v>4.7</v>
      </c>
      <c r="G35" s="190">
        <v>4.5999999999999996</v>
      </c>
      <c r="H35" s="190">
        <v>4.22</v>
      </c>
    </row>
    <row r="36" spans="1:8" ht="15" customHeight="1">
      <c r="A36" s="188">
        <v>2008</v>
      </c>
      <c r="B36" s="191">
        <v>3.8395501152684801</v>
      </c>
      <c r="C36" s="190">
        <v>0.25</v>
      </c>
      <c r="D36" s="190">
        <v>3.25</v>
      </c>
      <c r="E36" s="190">
        <v>0.44</v>
      </c>
      <c r="F36" s="190">
        <v>1.43</v>
      </c>
      <c r="G36" s="190">
        <v>1.75</v>
      </c>
      <c r="H36" s="190">
        <v>2</v>
      </c>
    </row>
    <row r="37" spans="1:8" ht="15" customHeight="1">
      <c r="A37" s="188">
        <v>2009</v>
      </c>
      <c r="B37" s="191">
        <v>-0.36</v>
      </c>
      <c r="C37" s="190">
        <v>0.25</v>
      </c>
      <c r="D37" s="190">
        <v>3.25</v>
      </c>
      <c r="E37" s="190">
        <v>0.23</v>
      </c>
      <c r="F37" s="190">
        <v>0.25</v>
      </c>
      <c r="G37" s="190">
        <v>0.43</v>
      </c>
      <c r="H37" s="190">
        <v>0.98</v>
      </c>
    </row>
    <row r="38" spans="1:8" ht="15" customHeight="1">
      <c r="A38" s="188">
        <v>2010</v>
      </c>
      <c r="B38" s="191">
        <v>1.6402765024214858</v>
      </c>
      <c r="C38" s="190">
        <v>0.25</v>
      </c>
      <c r="D38" s="190">
        <v>3.25</v>
      </c>
      <c r="E38" s="190">
        <v>0.26</v>
      </c>
      <c r="F38" s="190">
        <v>0.3</v>
      </c>
      <c r="G38" s="190">
        <v>0.46</v>
      </c>
      <c r="H38" s="190">
        <v>0.78</v>
      </c>
    </row>
    <row r="39" spans="1:8" ht="15" customHeight="1">
      <c r="A39" s="188">
        <v>2011</v>
      </c>
      <c r="B39" s="191">
        <v>3.1565285981582747</v>
      </c>
      <c r="C39" s="190">
        <v>0.25</v>
      </c>
      <c r="D39" s="190">
        <v>3.25</v>
      </c>
      <c r="E39" s="190">
        <v>0.3</v>
      </c>
      <c r="F39" s="190">
        <v>0.57999999999999996</v>
      </c>
      <c r="G39" s="190">
        <v>0.81</v>
      </c>
      <c r="H39" s="190">
        <v>1.1299999999999999</v>
      </c>
    </row>
    <row r="40" spans="1:8" ht="15" customHeight="1">
      <c r="A40" s="188">
        <v>2012</v>
      </c>
      <c r="B40" s="191">
        <v>2.0694499397614408</v>
      </c>
      <c r="C40" s="190">
        <v>0.25</v>
      </c>
      <c r="D40" s="190">
        <v>3.25</v>
      </c>
      <c r="E40" s="190">
        <v>0.21</v>
      </c>
      <c r="F40" s="190">
        <v>0.31</v>
      </c>
      <c r="G40" s="190">
        <v>0.51</v>
      </c>
      <c r="H40" s="190">
        <v>0.84</v>
      </c>
    </row>
    <row r="41" spans="1:8" ht="15" customHeight="1">
      <c r="A41" s="188">
        <v>2013</v>
      </c>
      <c r="B41" s="191">
        <v>1.46475953204353</v>
      </c>
      <c r="C41" s="190">
        <v>0.25</v>
      </c>
      <c r="D41" s="190">
        <v>3.25</v>
      </c>
      <c r="E41" s="190">
        <v>0.17</v>
      </c>
      <c r="F41" s="190">
        <v>0.25</v>
      </c>
      <c r="G41" s="190">
        <v>0.35</v>
      </c>
      <c r="H41" s="190">
        <v>0.57999999999999996</v>
      </c>
    </row>
    <row r="42" spans="1:8" ht="15" customHeight="1">
      <c r="A42" s="188">
        <v>2014</v>
      </c>
      <c r="B42" s="191">
        <v>1.6221877857286842</v>
      </c>
      <c r="C42" s="190">
        <v>0.25</v>
      </c>
      <c r="D42" s="190">
        <v>3.25</v>
      </c>
      <c r="E42" s="190">
        <v>0.17</v>
      </c>
      <c r="F42" s="190">
        <v>0.26</v>
      </c>
      <c r="G42" s="190">
        <v>0.36</v>
      </c>
      <c r="H42" s="190">
        <v>0.63</v>
      </c>
    </row>
    <row r="43" spans="1:8" ht="15" customHeight="1">
      <c r="A43" s="188">
        <v>2015</v>
      </c>
      <c r="B43" s="191">
        <v>0.118697620978647</v>
      </c>
      <c r="C43" s="190">
        <v>0.5</v>
      </c>
      <c r="D43" s="190">
        <v>3.5</v>
      </c>
      <c r="E43" s="190">
        <v>0.43</v>
      </c>
      <c r="F43" s="190">
        <v>0.61</v>
      </c>
      <c r="G43" s="190">
        <v>0.85</v>
      </c>
      <c r="H43" s="190">
        <v>1.18</v>
      </c>
    </row>
    <row r="44" spans="1:8" ht="15" customHeight="1">
      <c r="A44" s="188">
        <v>2016</v>
      </c>
      <c r="B44" s="191">
        <v>1.2615128872612615</v>
      </c>
      <c r="C44" s="190">
        <v>0.75</v>
      </c>
      <c r="D44" s="190">
        <v>3.75</v>
      </c>
      <c r="E44" s="190">
        <v>0.77</v>
      </c>
      <c r="F44" s="190">
        <v>1</v>
      </c>
      <c r="G44" s="190">
        <v>1.32</v>
      </c>
      <c r="H44" s="190">
        <v>1.69</v>
      </c>
    </row>
    <row r="45" spans="1:8" ht="15" customHeight="1">
      <c r="A45" s="155"/>
      <c r="B45" s="187"/>
      <c r="C45" s="187"/>
      <c r="D45" s="187"/>
      <c r="E45" s="187"/>
      <c r="F45" s="187"/>
      <c r="G45" s="187"/>
      <c r="H45" s="187"/>
    </row>
    <row r="46" spans="1:8" ht="15" customHeight="1">
      <c r="A46" s="32"/>
      <c r="B46" s="42"/>
      <c r="C46" s="42"/>
      <c r="D46" s="42"/>
      <c r="E46" s="42"/>
      <c r="F46" s="42"/>
      <c r="G46" s="42"/>
      <c r="H46" s="42"/>
    </row>
    <row r="47" spans="1:8" ht="15" customHeight="1">
      <c r="A47" s="110"/>
      <c r="B47" s="43"/>
      <c r="C47" s="43"/>
      <c r="D47" s="43"/>
      <c r="E47" s="43"/>
      <c r="F47" s="43"/>
      <c r="G47" s="43"/>
      <c r="H47" s="43"/>
    </row>
    <row r="48" spans="1:8" ht="15" customHeight="1">
      <c r="A48" s="197" t="s">
        <v>234</v>
      </c>
      <c r="B48" s="43"/>
      <c r="C48" s="43"/>
      <c r="D48" s="43"/>
      <c r="E48" s="43"/>
      <c r="F48" s="43"/>
      <c r="G48" s="43"/>
      <c r="H48" s="43"/>
    </row>
    <row r="49" spans="1:1" ht="15" customHeight="1">
      <c r="A49" s="7" t="s">
        <v>222</v>
      </c>
    </row>
  </sheetData>
  <mergeCells count="8">
    <mergeCell ref="A1:H1"/>
    <mergeCell ref="A2:H2"/>
    <mergeCell ref="A4:A6"/>
    <mergeCell ref="B4:B6"/>
    <mergeCell ref="C4:H4"/>
    <mergeCell ref="C5:C6"/>
    <mergeCell ref="D5:D6"/>
    <mergeCell ref="E5:H5"/>
  </mergeCells>
  <hyperlinks>
    <hyperlink ref="A49" location="'indice cap.2'!A1" display="regresar al índice"/>
    <hyperlink ref="A48" location="'indice cap.2'!A1" display="Notas"/>
  </hyperlink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17</vt:i4>
      </vt:variant>
      <vt:variant>
        <vt:lpstr>Rangos con nombre</vt:lpstr>
      </vt:variant>
      <vt:variant>
        <vt:i4>2</vt:i4>
      </vt:variant>
    </vt:vector>
  </HeadingPairs>
  <TitlesOfParts>
    <vt:vector size="19" baseType="lpstr">
      <vt:lpstr>indice cap.2</vt:lpstr>
      <vt:lpstr>2.1</vt:lpstr>
      <vt:lpstr>2.2</vt:lpstr>
      <vt:lpstr>2.3</vt:lpstr>
      <vt:lpstr>2.4</vt:lpstr>
      <vt:lpstr>2.5</vt:lpstr>
      <vt:lpstr>2.6</vt:lpstr>
      <vt:lpstr>2.7</vt:lpstr>
      <vt:lpstr>2.8</vt:lpstr>
      <vt:lpstr>2.9</vt:lpstr>
      <vt:lpstr>2.10</vt:lpstr>
      <vt:lpstr>2.11</vt:lpstr>
      <vt:lpstr>2.12</vt:lpstr>
      <vt:lpstr>2.13</vt:lpstr>
      <vt:lpstr>2.14</vt:lpstr>
      <vt:lpstr>2.15</vt:lpstr>
      <vt:lpstr>2.16</vt:lpstr>
      <vt:lpstr>'2.2'!Área_de_impresión</vt:lpstr>
      <vt:lpstr>'indice cap.2'!Área_de_impresión</vt:lpstr>
    </vt:vector>
  </TitlesOfParts>
  <Company>Banco Central del Ecuador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Elba Beatriz Vasconez Carrion</dc:creator>
  <cp:lastModifiedBy>opazmino</cp:lastModifiedBy>
  <cp:lastPrinted>2017-07-24T20:56:07Z</cp:lastPrinted>
  <dcterms:created xsi:type="dcterms:W3CDTF">2008-04-14T20:41:23Z</dcterms:created>
  <dcterms:modified xsi:type="dcterms:W3CDTF">2017-08-23T17:46:59Z</dcterms:modified>
</cp:coreProperties>
</file>