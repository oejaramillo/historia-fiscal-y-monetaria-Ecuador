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edu\repositories\historia-fiscal-y-monetaria-Ecuador\"/>
    </mc:Choice>
  </mc:AlternateContent>
  <xr:revisionPtr revIDLastSave="0" documentId="13_ncr:1_{7ED80691-246F-4A02-91A7-B94D01F14750}" xr6:coauthVersionLast="47" xr6:coauthVersionMax="47" xr10:uidLastSave="{00000000-0000-0000-0000-000000000000}"/>
  <bookViews>
    <workbookView xWindow="2805" yWindow="3780" windowWidth="20445" windowHeight="15285" activeTab="1" xr2:uid="{00000000-000D-0000-FFFF-FFFF00000000}"/>
  </bookViews>
  <sheets>
    <sheet name="METADATA" sheetId="2" r:id="rId1"/>
    <sheet name="monetario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2" i="1"/>
</calcChain>
</file>

<file path=xl/sharedStrings.xml><?xml version="1.0" encoding="utf-8"?>
<sst xmlns="http://schemas.openxmlformats.org/spreadsheetml/2006/main" count="89" uniqueCount="70">
  <si>
    <t>ano</t>
  </si>
  <si>
    <t>m1</t>
  </si>
  <si>
    <t>m1_sucres</t>
  </si>
  <si>
    <t>m2_sucres</t>
  </si>
  <si>
    <t>Indicador</t>
  </si>
  <si>
    <t>Descripción</t>
  </si>
  <si>
    <t>em_sucres</t>
  </si>
  <si>
    <t>em</t>
  </si>
  <si>
    <t>moneda</t>
  </si>
  <si>
    <t>USD</t>
  </si>
  <si>
    <t>ECS</t>
  </si>
  <si>
    <t>ano base</t>
  </si>
  <si>
    <t>Emision monetaria</t>
  </si>
  <si>
    <t>bm_sucres</t>
  </si>
  <si>
    <t>notas</t>
  </si>
  <si>
    <t>bm</t>
  </si>
  <si>
    <t>Base monetaria</t>
  </si>
  <si>
    <t>emc_sucres</t>
  </si>
  <si>
    <t>emc</t>
  </si>
  <si>
    <t>Especies monetarias en circulación</t>
  </si>
  <si>
    <t>dm_sucres</t>
  </si>
  <si>
    <t>dm</t>
  </si>
  <si>
    <t>Depósitos monetarios</t>
  </si>
  <si>
    <t>Medio circulante</t>
  </si>
  <si>
    <t>cd_sucres</t>
  </si>
  <si>
    <t>cd</t>
  </si>
  <si>
    <t>Cuasidinero</t>
  </si>
  <si>
    <t>m2</t>
  </si>
  <si>
    <t>Liquidez bancaria</t>
  </si>
  <si>
    <t>Fórmula</t>
  </si>
  <si>
    <t>emc+dm</t>
  </si>
  <si>
    <t>rmi</t>
  </si>
  <si>
    <t>Reservas monetarias internacionales</t>
  </si>
  <si>
    <t>rmi_sucres</t>
  </si>
  <si>
    <t>mult_m1</t>
  </si>
  <si>
    <t>Multiplicador por medio circulante</t>
  </si>
  <si>
    <t>m1/bm</t>
  </si>
  <si>
    <t>mult_m2</t>
  </si>
  <si>
    <t>Multiplicador monetario</t>
  </si>
  <si>
    <t>m2/bm</t>
  </si>
  <si>
    <t>mnl</t>
  </si>
  <si>
    <t>Liquidez bancaria en moneda nacional</t>
  </si>
  <si>
    <t>mnl_sucres</t>
  </si>
  <si>
    <t>mxl</t>
  </si>
  <si>
    <t>Liquidez bancaria en moneda extranjera</t>
  </si>
  <si>
    <t>mxl_sucres</t>
  </si>
  <si>
    <t>m1+cd; mnl+mxl</t>
  </si>
  <si>
    <t>rb</t>
  </si>
  <si>
    <t>Reservas bancarias</t>
  </si>
  <si>
    <t>rb_sucres</t>
  </si>
  <si>
    <t>rb+emc</t>
  </si>
  <si>
    <t>cnspnf</t>
  </si>
  <si>
    <t>Crédito neto sector público no financiero</t>
  </si>
  <si>
    <t>cnsf</t>
  </si>
  <si>
    <t>Crédito neto sistema financiero</t>
  </si>
  <si>
    <t>cnsp</t>
  </si>
  <si>
    <t>Crédito neto sector privado</t>
  </si>
  <si>
    <t>cnspnf_sucres</t>
  </si>
  <si>
    <t>cnsf_sucres</t>
  </si>
  <si>
    <t>cnsp_sucres</t>
  </si>
  <si>
    <t>pxmlp</t>
  </si>
  <si>
    <t>Préstamos externos de mediano y largo plazo</t>
  </si>
  <si>
    <t>oanc</t>
  </si>
  <si>
    <t>Otros activos no clasificados</t>
  </si>
  <si>
    <t>pxmlp_sucres</t>
  </si>
  <si>
    <t>oanc_sucres</t>
  </si>
  <si>
    <t>ain</t>
  </si>
  <si>
    <t>Activos internos netos del banco central</t>
  </si>
  <si>
    <t>cnspnf+cnsp+pxmlp+oanc</t>
  </si>
  <si>
    <t>ain_sucres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</si>
</sst>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C048-541F-4A29-9FB2-AC58317D4DE0}">
  <dimension ref="A1:G21"/>
  <sheetViews>
    <sheetView workbookViewId="0">
      <selection activeCell="B7" sqref="B7"/>
    </sheetView>
  </sheetViews>
  <sheetFormatPr defaultRowHeight="15" x14ac:dyDescent="0.25"/>
  <cols>
    <col min="1" max="1" width="9.28515625" bestFit="1" customWidth="1"/>
    <col min="2" max="2" width="42.140625" bestFit="1" customWidth="1"/>
    <col min="3" max="3" width="24" bestFit="1" customWidth="1"/>
    <col min="4" max="4" width="4.5703125" bestFit="1" customWidth="1"/>
    <col min="5" max="5" width="13.5703125" bestFit="1" customWidth="1"/>
    <col min="6" max="6" width="8.85546875" bestFit="1" customWidth="1"/>
    <col min="7" max="7" width="5.85546875" bestFit="1" customWidth="1"/>
  </cols>
  <sheetData>
    <row r="1" spans="1:7" x14ac:dyDescent="0.25">
      <c r="D1" s="1" t="s">
        <v>8</v>
      </c>
      <c r="E1" s="1"/>
    </row>
    <row r="2" spans="1:7" x14ac:dyDescent="0.25">
      <c r="A2" t="s">
        <v>4</v>
      </c>
      <c r="B2" t="s">
        <v>5</v>
      </c>
      <c r="C2" t="s">
        <v>29</v>
      </c>
      <c r="D2" t="s">
        <v>9</v>
      </c>
      <c r="E2" t="s">
        <v>10</v>
      </c>
      <c r="F2" t="s">
        <v>11</v>
      </c>
      <c r="G2" t="s">
        <v>14</v>
      </c>
    </row>
    <row r="3" spans="1:7" x14ac:dyDescent="0.25">
      <c r="A3" t="s">
        <v>7</v>
      </c>
      <c r="B3" t="s">
        <v>12</v>
      </c>
      <c r="E3" t="s">
        <v>6</v>
      </c>
    </row>
    <row r="4" spans="1:7" x14ac:dyDescent="0.25">
      <c r="A4" t="s">
        <v>15</v>
      </c>
      <c r="B4" t="s">
        <v>16</v>
      </c>
      <c r="C4" t="s">
        <v>50</v>
      </c>
      <c r="E4" t="s">
        <v>13</v>
      </c>
    </row>
    <row r="5" spans="1:7" x14ac:dyDescent="0.25">
      <c r="A5" t="s">
        <v>18</v>
      </c>
      <c r="B5" t="s">
        <v>19</v>
      </c>
      <c r="E5" t="s">
        <v>17</v>
      </c>
    </row>
    <row r="6" spans="1:7" x14ac:dyDescent="0.25">
      <c r="A6" t="s">
        <v>21</v>
      </c>
      <c r="B6" t="s">
        <v>22</v>
      </c>
      <c r="E6" t="s">
        <v>20</v>
      </c>
    </row>
    <row r="7" spans="1:7" x14ac:dyDescent="0.25">
      <c r="A7" t="s">
        <v>1</v>
      </c>
      <c r="B7" t="s">
        <v>23</v>
      </c>
      <c r="C7" t="s">
        <v>30</v>
      </c>
      <c r="E7" t="s">
        <v>2</v>
      </c>
    </row>
    <row r="8" spans="1:7" x14ac:dyDescent="0.25">
      <c r="A8" t="s">
        <v>25</v>
      </c>
      <c r="B8" t="s">
        <v>26</v>
      </c>
      <c r="E8" t="s">
        <v>24</v>
      </c>
    </row>
    <row r="9" spans="1:7" x14ac:dyDescent="0.25">
      <c r="A9" t="s">
        <v>27</v>
      </c>
      <c r="B9" t="s">
        <v>28</v>
      </c>
      <c r="C9" t="s">
        <v>46</v>
      </c>
      <c r="E9" t="s">
        <v>3</v>
      </c>
    </row>
    <row r="10" spans="1:7" x14ac:dyDescent="0.25">
      <c r="A10" t="s">
        <v>31</v>
      </c>
      <c r="B10" t="s">
        <v>32</v>
      </c>
      <c r="E10" t="s">
        <v>33</v>
      </c>
    </row>
    <row r="11" spans="1:7" x14ac:dyDescent="0.25">
      <c r="A11" t="s">
        <v>34</v>
      </c>
      <c r="B11" t="s">
        <v>35</v>
      </c>
      <c r="C11" t="s">
        <v>36</v>
      </c>
    </row>
    <row r="12" spans="1:7" x14ac:dyDescent="0.25">
      <c r="A12" t="s">
        <v>37</v>
      </c>
      <c r="B12" t="s">
        <v>38</v>
      </c>
      <c r="C12" t="s">
        <v>39</v>
      </c>
    </row>
    <row r="13" spans="1:7" x14ac:dyDescent="0.25">
      <c r="A13" t="s">
        <v>40</v>
      </c>
      <c r="B13" t="s">
        <v>41</v>
      </c>
      <c r="E13" t="s">
        <v>42</v>
      </c>
    </row>
    <row r="14" spans="1:7" x14ac:dyDescent="0.25">
      <c r="A14" t="s">
        <v>43</v>
      </c>
      <c r="B14" t="s">
        <v>44</v>
      </c>
      <c r="E14" t="s">
        <v>45</v>
      </c>
    </row>
    <row r="15" spans="1:7" x14ac:dyDescent="0.25">
      <c r="A15" t="s">
        <v>47</v>
      </c>
      <c r="B15" t="s">
        <v>48</v>
      </c>
      <c r="E15" t="s">
        <v>49</v>
      </c>
    </row>
    <row r="16" spans="1:7" x14ac:dyDescent="0.25">
      <c r="A16" t="s">
        <v>51</v>
      </c>
      <c r="B16" t="s">
        <v>52</v>
      </c>
      <c r="E16" t="s">
        <v>57</v>
      </c>
    </row>
    <row r="17" spans="1:5" x14ac:dyDescent="0.25">
      <c r="A17" t="s">
        <v>53</v>
      </c>
      <c r="B17" t="s">
        <v>54</v>
      </c>
      <c r="E17" t="s">
        <v>58</v>
      </c>
    </row>
    <row r="18" spans="1:5" x14ac:dyDescent="0.25">
      <c r="A18" t="s">
        <v>55</v>
      </c>
      <c r="B18" t="s">
        <v>56</v>
      </c>
      <c r="E18" t="s">
        <v>59</v>
      </c>
    </row>
    <row r="19" spans="1:5" x14ac:dyDescent="0.25">
      <c r="A19" t="s">
        <v>60</v>
      </c>
      <c r="B19" t="s">
        <v>61</v>
      </c>
      <c r="E19" t="s">
        <v>64</v>
      </c>
    </row>
    <row r="20" spans="1:5" x14ac:dyDescent="0.25">
      <c r="A20" t="s">
        <v>62</v>
      </c>
      <c r="B20" t="s">
        <v>63</v>
      </c>
      <c r="E20" t="s">
        <v>65</v>
      </c>
    </row>
    <row r="21" spans="1:5" x14ac:dyDescent="0.25">
      <c r="A21" t="s">
        <v>66</v>
      </c>
      <c r="B21" t="s">
        <v>67</v>
      </c>
      <c r="C21" t="s">
        <v>68</v>
      </c>
      <c r="E21" t="s">
        <v>69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N20" sqref="N20"/>
    </sheetView>
  </sheetViews>
  <sheetFormatPr defaultRowHeight="15" x14ac:dyDescent="0.25"/>
  <cols>
    <col min="1" max="1" width="5" bestFit="1" customWidth="1"/>
    <col min="2" max="8" width="12" bestFit="1" customWidth="1"/>
    <col min="9" max="9" width="12.7109375" bestFit="1" customWidth="1"/>
    <col min="10" max="14" width="12" bestFit="1" customWidth="1"/>
  </cols>
  <sheetData>
    <row r="1" spans="1:20" x14ac:dyDescent="0.25">
      <c r="A1" t="s">
        <v>0</v>
      </c>
      <c r="B1" t="s">
        <v>6</v>
      </c>
      <c r="C1" t="s">
        <v>13</v>
      </c>
      <c r="D1" t="s">
        <v>17</v>
      </c>
      <c r="E1" t="s">
        <v>20</v>
      </c>
      <c r="F1" t="s">
        <v>2</v>
      </c>
      <c r="G1" t="s">
        <v>24</v>
      </c>
      <c r="H1" t="s">
        <v>3</v>
      </c>
      <c r="I1" t="s">
        <v>33</v>
      </c>
      <c r="J1" t="s">
        <v>34</v>
      </c>
      <c r="K1" t="s">
        <v>37</v>
      </c>
      <c r="L1" t="s">
        <v>42</v>
      </c>
      <c r="M1" t="s">
        <v>45</v>
      </c>
      <c r="N1" t="s">
        <v>49</v>
      </c>
      <c r="O1" t="s">
        <v>57</v>
      </c>
      <c r="P1" t="s">
        <v>58</v>
      </c>
      <c r="Q1" t="s">
        <v>59</v>
      </c>
      <c r="R1" t="s">
        <v>64</v>
      </c>
      <c r="S1" t="s">
        <v>65</v>
      </c>
      <c r="T1" t="s">
        <v>69</v>
      </c>
    </row>
    <row r="2" spans="1:20" x14ac:dyDescent="0.25">
      <c r="A2">
        <v>1927</v>
      </c>
      <c r="B2">
        <v>38661000</v>
      </c>
      <c r="C2">
        <v>44530000</v>
      </c>
      <c r="D2">
        <v>34580000</v>
      </c>
      <c r="E2">
        <v>30416000</v>
      </c>
      <c r="F2">
        <f>E2+D2</f>
        <v>64996000</v>
      </c>
      <c r="G2">
        <v>6905000</v>
      </c>
      <c r="H2">
        <f>G2+F2</f>
        <v>71901000</v>
      </c>
      <c r="I2">
        <v>44085000</v>
      </c>
      <c r="J2">
        <f>F2/C2</f>
        <v>1.4596002694812487</v>
      </c>
      <c r="K2">
        <f>H2/C2</f>
        <v>1.6146642712777903</v>
      </c>
      <c r="L2">
        <v>71901000</v>
      </c>
      <c r="N2">
        <v>9950000</v>
      </c>
      <c r="O2">
        <v>-1535999.9999999995</v>
      </c>
      <c r="P2">
        <v>-3034000</v>
      </c>
      <c r="Q2">
        <v>496000</v>
      </c>
      <c r="R2">
        <v>0</v>
      </c>
      <c r="S2">
        <v>-1350000</v>
      </c>
      <c r="T2">
        <f>S2+R2+Q2+P2+O2</f>
        <v>-5424000</v>
      </c>
    </row>
    <row r="3" spans="1:20" x14ac:dyDescent="0.25">
      <c r="A3">
        <v>1928</v>
      </c>
      <c r="B3">
        <v>38850000</v>
      </c>
      <c r="C3">
        <v>44726000</v>
      </c>
      <c r="D3">
        <v>35931000</v>
      </c>
      <c r="E3">
        <v>29231000</v>
      </c>
      <c r="F3">
        <f t="shared" ref="F3:F66" si="0">E3+D3</f>
        <v>65162000</v>
      </c>
      <c r="G3">
        <v>7000000</v>
      </c>
      <c r="H3">
        <f t="shared" ref="H3:H66" si="1">G3+F3</f>
        <v>72162000</v>
      </c>
      <c r="I3">
        <v>38029000</v>
      </c>
      <c r="J3">
        <f t="shared" ref="J3:J66" si="2">F3/C3</f>
        <v>1.4569154406832714</v>
      </c>
      <c r="K3">
        <f t="shared" ref="K3:K66" si="3">H3/C3</f>
        <v>1.6134239592183517</v>
      </c>
      <c r="L3">
        <v>72162000</v>
      </c>
      <c r="N3">
        <v>8795000</v>
      </c>
      <c r="O3">
        <v>2173999.9999999995</v>
      </c>
      <c r="P3">
        <v>-1740000</v>
      </c>
      <c r="Q3">
        <v>414000.00000000006</v>
      </c>
      <c r="R3">
        <v>0</v>
      </c>
      <c r="S3">
        <v>-27000.000000001357</v>
      </c>
      <c r="T3">
        <f t="shared" ref="T3:T66" si="4">S3+R3+Q3+P3+O3</f>
        <v>820999.99999999814</v>
      </c>
    </row>
    <row r="4" spans="1:20" x14ac:dyDescent="0.25">
      <c r="A4">
        <v>1929</v>
      </c>
      <c r="B4">
        <v>34679000</v>
      </c>
      <c r="C4">
        <v>39255000</v>
      </c>
      <c r="D4">
        <v>31015000</v>
      </c>
      <c r="E4">
        <v>25994000</v>
      </c>
      <c r="F4">
        <f t="shared" si="0"/>
        <v>57009000</v>
      </c>
      <c r="G4">
        <v>7248000</v>
      </c>
      <c r="H4">
        <f t="shared" si="1"/>
        <v>64257000</v>
      </c>
      <c r="I4">
        <v>35064000</v>
      </c>
      <c r="J4">
        <f t="shared" si="2"/>
        <v>1.4522735957202904</v>
      </c>
      <c r="K4">
        <f t="shared" si="3"/>
        <v>1.6369124952235383</v>
      </c>
      <c r="L4">
        <v>64257000.000000007</v>
      </c>
      <c r="N4">
        <v>8240000</v>
      </c>
      <c r="O4">
        <v>-715000</v>
      </c>
      <c r="P4">
        <v>-24999.999999999469</v>
      </c>
      <c r="Q4">
        <v>264000</v>
      </c>
      <c r="R4">
        <v>0</v>
      </c>
      <c r="S4">
        <v>91000.000000001295</v>
      </c>
      <c r="T4">
        <f t="shared" si="4"/>
        <v>-384999.9999999982</v>
      </c>
    </row>
    <row r="5" spans="1:20" x14ac:dyDescent="0.25">
      <c r="A5">
        <v>1930</v>
      </c>
      <c r="B5">
        <v>28760000</v>
      </c>
      <c r="C5">
        <v>33311000</v>
      </c>
      <c r="D5">
        <v>25448000</v>
      </c>
      <c r="E5">
        <v>19127000</v>
      </c>
      <c r="F5">
        <f t="shared" si="0"/>
        <v>44575000</v>
      </c>
      <c r="G5">
        <v>9993000</v>
      </c>
      <c r="H5">
        <f t="shared" si="1"/>
        <v>54568000</v>
      </c>
      <c r="I5">
        <v>28914999.999999996</v>
      </c>
      <c r="J5">
        <f t="shared" si="2"/>
        <v>1.33814655819399</v>
      </c>
      <c r="K5">
        <f t="shared" si="3"/>
        <v>1.6381375521599473</v>
      </c>
      <c r="L5">
        <v>54568000.000000007</v>
      </c>
      <c r="N5">
        <v>7863000</v>
      </c>
      <c r="O5">
        <v>-899000.00000000093</v>
      </c>
      <c r="P5">
        <v>-1180000</v>
      </c>
      <c r="Q5">
        <v>1427000</v>
      </c>
      <c r="R5">
        <v>0</v>
      </c>
      <c r="S5">
        <v>496999.99999999988</v>
      </c>
      <c r="T5">
        <f t="shared" si="4"/>
        <v>-155000.00000000093</v>
      </c>
    </row>
    <row r="6" spans="1:20" x14ac:dyDescent="0.25">
      <c r="A6">
        <v>1931</v>
      </c>
      <c r="B6">
        <v>24894000</v>
      </c>
      <c r="C6">
        <v>27075000</v>
      </c>
      <c r="D6">
        <v>22911000</v>
      </c>
      <c r="E6">
        <v>14049000</v>
      </c>
      <c r="F6">
        <f t="shared" si="0"/>
        <v>36960000</v>
      </c>
      <c r="G6">
        <v>7481000</v>
      </c>
      <c r="H6">
        <f t="shared" si="1"/>
        <v>44441000</v>
      </c>
      <c r="I6">
        <v>15567000</v>
      </c>
      <c r="J6">
        <f t="shared" si="2"/>
        <v>1.3650969529085872</v>
      </c>
      <c r="K6">
        <f t="shared" si="3"/>
        <v>1.6414035087719299</v>
      </c>
      <c r="L6">
        <v>44441000</v>
      </c>
      <c r="N6">
        <v>4163999.9999999981</v>
      </c>
      <c r="O6">
        <v>1550000</v>
      </c>
      <c r="P6">
        <v>942999.99999999988</v>
      </c>
      <c r="Q6">
        <v>2888000</v>
      </c>
      <c r="R6">
        <v>0</v>
      </c>
      <c r="S6">
        <v>3947000</v>
      </c>
      <c r="T6">
        <f t="shared" si="4"/>
        <v>9328000</v>
      </c>
    </row>
    <row r="7" spans="1:20" x14ac:dyDescent="0.25">
      <c r="A7">
        <v>1932</v>
      </c>
      <c r="B7">
        <v>29612000.000000004</v>
      </c>
      <c r="C7">
        <v>41130000</v>
      </c>
      <c r="D7">
        <v>27753000</v>
      </c>
      <c r="E7">
        <v>27848000</v>
      </c>
      <c r="F7">
        <f t="shared" si="0"/>
        <v>55601000</v>
      </c>
      <c r="G7">
        <v>9589000</v>
      </c>
      <c r="H7">
        <f t="shared" si="1"/>
        <v>65190000</v>
      </c>
      <c r="I7">
        <v>17408000</v>
      </c>
      <c r="J7">
        <f t="shared" si="2"/>
        <v>1.3518356430829079</v>
      </c>
      <c r="K7">
        <f t="shared" si="3"/>
        <v>1.5849744711889131</v>
      </c>
      <c r="L7">
        <v>65190000</v>
      </c>
      <c r="N7">
        <v>13377000.000000002</v>
      </c>
      <c r="O7">
        <v>17279000</v>
      </c>
      <c r="P7">
        <v>-7616000</v>
      </c>
      <c r="Q7">
        <v>5233000</v>
      </c>
      <c r="R7">
        <v>0</v>
      </c>
      <c r="S7">
        <v>-2691999.9999999991</v>
      </c>
      <c r="T7">
        <f t="shared" si="4"/>
        <v>12204000</v>
      </c>
    </row>
    <row r="8" spans="1:20" x14ac:dyDescent="0.25">
      <c r="A8">
        <v>1933</v>
      </c>
      <c r="B8">
        <v>41869000</v>
      </c>
      <c r="C8">
        <v>59531000</v>
      </c>
      <c r="D8">
        <v>35967000</v>
      </c>
      <c r="E8">
        <v>46206000</v>
      </c>
      <c r="F8">
        <f t="shared" si="0"/>
        <v>82173000</v>
      </c>
      <c r="G8">
        <v>10340000</v>
      </c>
      <c r="H8">
        <f t="shared" si="1"/>
        <v>92513000</v>
      </c>
      <c r="I8">
        <v>18340000</v>
      </c>
      <c r="J8">
        <f t="shared" si="2"/>
        <v>1.3803396549696796</v>
      </c>
      <c r="K8">
        <f t="shared" si="3"/>
        <v>1.5540306730946902</v>
      </c>
      <c r="L8">
        <v>92513000</v>
      </c>
      <c r="N8">
        <v>23564000</v>
      </c>
      <c r="O8">
        <v>30634000</v>
      </c>
      <c r="P8">
        <v>-13625000</v>
      </c>
      <c r="Q8">
        <v>12881000</v>
      </c>
      <c r="R8">
        <v>0</v>
      </c>
      <c r="S8">
        <v>-6361000.0000000009</v>
      </c>
      <c r="T8">
        <f t="shared" si="4"/>
        <v>23529000</v>
      </c>
    </row>
    <row r="9" spans="1:20" x14ac:dyDescent="0.25">
      <c r="A9">
        <v>1934</v>
      </c>
      <c r="B9">
        <v>56692000</v>
      </c>
      <c r="C9">
        <v>70538000</v>
      </c>
      <c r="D9">
        <v>49207000</v>
      </c>
      <c r="E9">
        <v>53937000</v>
      </c>
      <c r="F9">
        <f t="shared" si="0"/>
        <v>103144000</v>
      </c>
      <c r="G9">
        <v>12408000</v>
      </c>
      <c r="H9">
        <f t="shared" si="1"/>
        <v>115552000</v>
      </c>
      <c r="I9">
        <v>26213000</v>
      </c>
      <c r="J9">
        <f t="shared" si="2"/>
        <v>1.4622472993280218</v>
      </c>
      <c r="K9">
        <f t="shared" si="3"/>
        <v>1.6381524851852902</v>
      </c>
      <c r="L9">
        <v>115552000</v>
      </c>
      <c r="N9">
        <v>21330999.999999996</v>
      </c>
      <c r="O9">
        <v>24752999.999999996</v>
      </c>
      <c r="P9">
        <v>-10255000</v>
      </c>
      <c r="Q9">
        <v>11827000</v>
      </c>
      <c r="R9">
        <v>0</v>
      </c>
      <c r="S9">
        <v>4154000.0000000033</v>
      </c>
      <c r="T9">
        <f t="shared" si="4"/>
        <v>30479000</v>
      </c>
    </row>
    <row r="10" spans="1:20" x14ac:dyDescent="0.25">
      <c r="A10">
        <v>1935</v>
      </c>
      <c r="B10">
        <v>59912000</v>
      </c>
      <c r="C10">
        <v>71794000</v>
      </c>
      <c r="D10">
        <v>52190000</v>
      </c>
      <c r="E10">
        <v>47746000</v>
      </c>
      <c r="F10">
        <f t="shared" si="0"/>
        <v>99936000</v>
      </c>
      <c r="G10">
        <v>18644000</v>
      </c>
      <c r="H10">
        <f t="shared" si="1"/>
        <v>118580000</v>
      </c>
      <c r="I10">
        <v>39701000</v>
      </c>
      <c r="J10">
        <f t="shared" si="2"/>
        <v>1.3919826169317771</v>
      </c>
      <c r="K10">
        <f t="shared" si="3"/>
        <v>1.6516700559935371</v>
      </c>
      <c r="L10">
        <v>118580000</v>
      </c>
      <c r="N10">
        <v>19604000</v>
      </c>
      <c r="O10">
        <v>776999.99999999744</v>
      </c>
      <c r="P10">
        <v>-6205000</v>
      </c>
      <c r="Q10">
        <v>19014000</v>
      </c>
      <c r="R10">
        <v>0</v>
      </c>
      <c r="S10">
        <v>6625000</v>
      </c>
      <c r="T10">
        <f t="shared" si="4"/>
        <v>20210999.999999996</v>
      </c>
    </row>
    <row r="11" spans="1:20" x14ac:dyDescent="0.25">
      <c r="A11">
        <v>1936</v>
      </c>
      <c r="B11">
        <v>67105999.999999993</v>
      </c>
      <c r="C11">
        <v>94172000</v>
      </c>
      <c r="D11">
        <v>62451000</v>
      </c>
      <c r="E11">
        <v>64180000.000000007</v>
      </c>
      <c r="F11">
        <f t="shared" si="0"/>
        <v>126631000</v>
      </c>
      <c r="G11">
        <v>17445000</v>
      </c>
      <c r="H11">
        <f t="shared" si="1"/>
        <v>144076000</v>
      </c>
      <c r="I11">
        <v>48287000.000000007</v>
      </c>
      <c r="J11">
        <f t="shared" si="2"/>
        <v>1.3446778235568959</v>
      </c>
      <c r="K11">
        <f t="shared" si="3"/>
        <v>1.5299239689079556</v>
      </c>
      <c r="L11">
        <v>144076000</v>
      </c>
      <c r="N11">
        <v>31720999.999999996</v>
      </c>
      <c r="O11">
        <v>10405999.999999998</v>
      </c>
      <c r="P11">
        <v>-22290000</v>
      </c>
      <c r="Q11">
        <v>18448000</v>
      </c>
      <c r="R11">
        <v>0</v>
      </c>
      <c r="S11">
        <v>12255000</v>
      </c>
      <c r="T11">
        <f t="shared" si="4"/>
        <v>18819000</v>
      </c>
    </row>
    <row r="12" spans="1:20" x14ac:dyDescent="0.25">
      <c r="A12">
        <v>1937</v>
      </c>
      <c r="B12">
        <v>79764000</v>
      </c>
      <c r="C12">
        <v>110764000</v>
      </c>
      <c r="D12">
        <v>73590000</v>
      </c>
      <c r="E12">
        <v>64018000</v>
      </c>
      <c r="F12">
        <f t="shared" si="0"/>
        <v>137608000</v>
      </c>
      <c r="G12">
        <v>21858000</v>
      </c>
      <c r="H12">
        <f t="shared" si="1"/>
        <v>159466000</v>
      </c>
      <c r="I12">
        <v>43840999.999999978</v>
      </c>
      <c r="J12">
        <f t="shared" si="2"/>
        <v>1.2423531111191362</v>
      </c>
      <c r="K12">
        <f t="shared" si="3"/>
        <v>1.4396915965476147</v>
      </c>
      <c r="L12">
        <v>159466000</v>
      </c>
      <c r="N12">
        <v>37173999.999999993</v>
      </c>
      <c r="O12">
        <v>14747000</v>
      </c>
      <c r="P12">
        <v>-19391000</v>
      </c>
      <c r="Q12">
        <v>14817000</v>
      </c>
      <c r="R12">
        <v>0</v>
      </c>
      <c r="S12">
        <v>25750000</v>
      </c>
      <c r="T12">
        <f t="shared" si="4"/>
        <v>35923000</v>
      </c>
    </row>
    <row r="13" spans="1:20" x14ac:dyDescent="0.25">
      <c r="A13">
        <v>1938</v>
      </c>
      <c r="B13">
        <v>79280000</v>
      </c>
      <c r="C13">
        <v>105589000</v>
      </c>
      <c r="D13">
        <v>73133000</v>
      </c>
      <c r="E13">
        <v>58465000</v>
      </c>
      <c r="F13">
        <f t="shared" si="0"/>
        <v>131598000</v>
      </c>
      <c r="G13">
        <v>24517000</v>
      </c>
      <c r="H13">
        <f t="shared" si="1"/>
        <v>156115000</v>
      </c>
      <c r="I13">
        <v>40784999.999999993</v>
      </c>
      <c r="J13">
        <f t="shared" si="2"/>
        <v>1.2463230071314246</v>
      </c>
      <c r="K13">
        <f t="shared" si="3"/>
        <v>1.4785157544820009</v>
      </c>
      <c r="L13">
        <v>156115000</v>
      </c>
      <c r="N13">
        <v>32456000.000000004</v>
      </c>
      <c r="O13">
        <v>23232000</v>
      </c>
      <c r="P13">
        <v>-16418000</v>
      </c>
      <c r="Q13">
        <v>13344000.000000002</v>
      </c>
      <c r="R13">
        <v>0</v>
      </c>
      <c r="S13">
        <v>18337000.000000004</v>
      </c>
      <c r="T13">
        <f t="shared" si="4"/>
        <v>38495000.000000007</v>
      </c>
    </row>
    <row r="14" spans="1:20" x14ac:dyDescent="0.25">
      <c r="A14">
        <v>1939</v>
      </c>
      <c r="B14">
        <v>83523000</v>
      </c>
      <c r="C14">
        <v>114060000</v>
      </c>
      <c r="D14">
        <v>77853000</v>
      </c>
      <c r="E14">
        <v>60102000</v>
      </c>
      <c r="F14">
        <f t="shared" si="0"/>
        <v>137955000</v>
      </c>
      <c r="G14">
        <v>36140000</v>
      </c>
      <c r="H14">
        <f t="shared" si="1"/>
        <v>174095000</v>
      </c>
      <c r="I14">
        <v>40857000.000000007</v>
      </c>
      <c r="J14">
        <f t="shared" si="2"/>
        <v>1.2094950026301947</v>
      </c>
      <c r="K14">
        <f t="shared" si="3"/>
        <v>1.5263457829212694</v>
      </c>
      <c r="L14">
        <v>174095000</v>
      </c>
      <c r="N14">
        <v>36207000.000000007</v>
      </c>
      <c r="O14">
        <v>20775000</v>
      </c>
      <c r="P14">
        <v>-17075000</v>
      </c>
      <c r="Q14">
        <v>12151000.000000002</v>
      </c>
      <c r="R14">
        <v>0</v>
      </c>
      <c r="S14">
        <v>26815000</v>
      </c>
      <c r="T14">
        <f t="shared" si="4"/>
        <v>42666000</v>
      </c>
    </row>
    <row r="15" spans="1:20" x14ac:dyDescent="0.25">
      <c r="A15">
        <v>1940</v>
      </c>
      <c r="B15">
        <v>89682000</v>
      </c>
      <c r="C15">
        <v>134929000</v>
      </c>
      <c r="D15">
        <v>80150000</v>
      </c>
      <c r="E15">
        <v>94165000</v>
      </c>
      <c r="F15">
        <f t="shared" si="0"/>
        <v>174315000</v>
      </c>
      <c r="G15">
        <v>35362000</v>
      </c>
      <c r="H15">
        <f t="shared" si="1"/>
        <v>209677000</v>
      </c>
      <c r="I15">
        <v>79079000</v>
      </c>
      <c r="J15">
        <f t="shared" si="2"/>
        <v>1.2919016668025407</v>
      </c>
      <c r="K15">
        <f t="shared" si="3"/>
        <v>1.5539802414603237</v>
      </c>
      <c r="L15">
        <v>209677000</v>
      </c>
      <c r="N15">
        <v>54779000</v>
      </c>
      <c r="O15">
        <v>18133000</v>
      </c>
      <c r="P15">
        <v>-25779000</v>
      </c>
      <c r="Q15">
        <v>5766999.9999999991</v>
      </c>
      <c r="R15">
        <v>0</v>
      </c>
      <c r="S15">
        <v>12483000.000000015</v>
      </c>
      <c r="T15">
        <f t="shared" si="4"/>
        <v>10604000.000000015</v>
      </c>
    </row>
    <row r="16" spans="1:20" x14ac:dyDescent="0.25">
      <c r="A16">
        <v>1941</v>
      </c>
      <c r="B16">
        <v>128345000</v>
      </c>
      <c r="C16">
        <v>189703000</v>
      </c>
      <c r="D16">
        <v>120169000</v>
      </c>
      <c r="E16">
        <v>104361000</v>
      </c>
      <c r="F16">
        <f t="shared" si="0"/>
        <v>224530000</v>
      </c>
      <c r="G16">
        <v>41804000</v>
      </c>
      <c r="H16">
        <f t="shared" si="1"/>
        <v>266334000</v>
      </c>
      <c r="I16">
        <v>115143999.99999999</v>
      </c>
      <c r="J16">
        <f t="shared" si="2"/>
        <v>1.1835869754300143</v>
      </c>
      <c r="K16">
        <f t="shared" si="3"/>
        <v>1.4039524941619268</v>
      </c>
      <c r="L16">
        <v>266334000</v>
      </c>
      <c r="N16">
        <v>69534000</v>
      </c>
      <c r="O16">
        <v>24945999.999999996</v>
      </c>
      <c r="P16">
        <v>-34357000</v>
      </c>
      <c r="Q16">
        <v>5510000</v>
      </c>
      <c r="R16">
        <v>0</v>
      </c>
      <c r="S16">
        <v>17102000.000000011</v>
      </c>
      <c r="T16">
        <f t="shared" si="4"/>
        <v>13201000.000000007</v>
      </c>
    </row>
    <row r="17" spans="1:20" x14ac:dyDescent="0.25">
      <c r="A17">
        <v>1942</v>
      </c>
      <c r="B17">
        <v>184303000</v>
      </c>
      <c r="C17">
        <v>267289000</v>
      </c>
      <c r="D17">
        <v>169345000</v>
      </c>
      <c r="E17">
        <v>148568000</v>
      </c>
      <c r="F17">
        <f t="shared" si="0"/>
        <v>317913000</v>
      </c>
      <c r="G17">
        <v>70616000</v>
      </c>
      <c r="H17">
        <f t="shared" si="1"/>
        <v>388529000</v>
      </c>
      <c r="I17">
        <v>206855999.99999997</v>
      </c>
      <c r="J17">
        <f t="shared" si="2"/>
        <v>1.1893979924351545</v>
      </c>
      <c r="K17">
        <f t="shared" si="3"/>
        <v>1.4535914309979086</v>
      </c>
      <c r="L17">
        <v>388529000</v>
      </c>
      <c r="N17">
        <v>97943999.999999985</v>
      </c>
      <c r="O17">
        <v>9980000</v>
      </c>
      <c r="P17">
        <v>-62365000</v>
      </c>
      <c r="Q17">
        <v>-8543999.9999999963</v>
      </c>
      <c r="R17">
        <v>0</v>
      </c>
      <c r="S17">
        <v>38375999.999999993</v>
      </c>
      <c r="T17">
        <f t="shared" si="4"/>
        <v>-22553000.000000004</v>
      </c>
    </row>
    <row r="18" spans="1:20" x14ac:dyDescent="0.25">
      <c r="A18">
        <v>1943</v>
      </c>
      <c r="B18">
        <v>246735000</v>
      </c>
      <c r="C18">
        <v>357079000</v>
      </c>
      <c r="D18">
        <v>232154000</v>
      </c>
      <c r="E18">
        <v>221333000</v>
      </c>
      <c r="F18">
        <f t="shared" si="0"/>
        <v>453487000</v>
      </c>
      <c r="G18">
        <v>90573000.000000015</v>
      </c>
      <c r="H18">
        <f t="shared" si="1"/>
        <v>544060000</v>
      </c>
      <c r="I18">
        <v>359529000</v>
      </c>
      <c r="J18">
        <f t="shared" si="2"/>
        <v>1.2699906743325706</v>
      </c>
      <c r="K18">
        <f t="shared" si="3"/>
        <v>1.5236404269083312</v>
      </c>
      <c r="L18">
        <v>544060000</v>
      </c>
      <c r="N18">
        <v>124925000</v>
      </c>
      <c r="O18">
        <v>-5943999.9999999953</v>
      </c>
      <c r="P18">
        <v>-76448000</v>
      </c>
      <c r="Q18">
        <v>-35158999.999999993</v>
      </c>
      <c r="R18">
        <v>0</v>
      </c>
      <c r="S18">
        <v>4756999.9999999907</v>
      </c>
      <c r="T18">
        <f t="shared" si="4"/>
        <v>-112794000</v>
      </c>
    </row>
    <row r="19" spans="1:20" x14ac:dyDescent="0.25">
      <c r="A19">
        <v>1944</v>
      </c>
      <c r="B19">
        <v>339885000</v>
      </c>
      <c r="C19">
        <v>546780000</v>
      </c>
      <c r="D19">
        <v>294584000</v>
      </c>
      <c r="E19">
        <v>279798000</v>
      </c>
      <c r="F19">
        <f t="shared" si="0"/>
        <v>574382000</v>
      </c>
      <c r="G19">
        <v>99241999.999999985</v>
      </c>
      <c r="H19">
        <f t="shared" si="1"/>
        <v>673624000</v>
      </c>
      <c r="I19">
        <v>467372999.99999988</v>
      </c>
      <c r="J19">
        <f t="shared" si="2"/>
        <v>1.0504809978419107</v>
      </c>
      <c r="K19">
        <f t="shared" si="3"/>
        <v>1.2319836131533706</v>
      </c>
      <c r="L19">
        <v>673624000</v>
      </c>
      <c r="N19">
        <v>252195999.99999997</v>
      </c>
      <c r="O19">
        <v>7687000.0000000047</v>
      </c>
      <c r="P19">
        <v>-184375000</v>
      </c>
      <c r="Q19">
        <v>-32674000</v>
      </c>
      <c r="R19">
        <v>0</v>
      </c>
      <c r="S19">
        <v>81874000.000000045</v>
      </c>
      <c r="T19">
        <f t="shared" si="4"/>
        <v>-127487999.99999994</v>
      </c>
    </row>
    <row r="20" spans="1:20" x14ac:dyDescent="0.25">
      <c r="A20">
        <v>1945</v>
      </c>
      <c r="B20">
        <v>365226000</v>
      </c>
      <c r="C20">
        <v>552014000</v>
      </c>
      <c r="D20">
        <v>321242000</v>
      </c>
      <c r="E20">
        <v>310354000</v>
      </c>
      <c r="F20">
        <f t="shared" si="0"/>
        <v>631596000</v>
      </c>
      <c r="G20">
        <v>109917000</v>
      </c>
      <c r="H20">
        <f t="shared" si="1"/>
        <v>741513000</v>
      </c>
      <c r="I20">
        <v>371049000</v>
      </c>
      <c r="J20">
        <f t="shared" si="2"/>
        <v>1.1441666334549485</v>
      </c>
      <c r="K20">
        <f t="shared" si="3"/>
        <v>1.3432865833112928</v>
      </c>
      <c r="L20">
        <v>741513000</v>
      </c>
      <c r="N20">
        <v>230772000</v>
      </c>
      <c r="O20">
        <v>63902000</v>
      </c>
      <c r="P20">
        <v>-148677000</v>
      </c>
      <c r="Q20">
        <v>-28814000</v>
      </c>
      <c r="R20">
        <v>0</v>
      </c>
      <c r="S20">
        <v>107765000</v>
      </c>
      <c r="T20">
        <f t="shared" si="4"/>
        <v>-5824000</v>
      </c>
    </row>
    <row r="21" spans="1:20" x14ac:dyDescent="0.25">
      <c r="A21">
        <v>1946</v>
      </c>
      <c r="B21">
        <v>392815000</v>
      </c>
      <c r="C21">
        <v>616394000</v>
      </c>
      <c r="D21">
        <v>349716000</v>
      </c>
      <c r="E21">
        <v>348426000</v>
      </c>
      <c r="F21">
        <f t="shared" si="0"/>
        <v>698142000</v>
      </c>
      <c r="G21">
        <v>107856999.99999999</v>
      </c>
      <c r="H21">
        <f t="shared" si="1"/>
        <v>805999000</v>
      </c>
      <c r="I21">
        <v>396220000</v>
      </c>
      <c r="J21">
        <f t="shared" si="2"/>
        <v>1.1326229651813613</v>
      </c>
      <c r="K21">
        <f t="shared" si="3"/>
        <v>1.3076035782308069</v>
      </c>
      <c r="L21">
        <v>805999000</v>
      </c>
      <c r="N21">
        <v>266678000</v>
      </c>
      <c r="O21">
        <v>114560000</v>
      </c>
      <c r="P21">
        <v>-189113000</v>
      </c>
      <c r="Q21">
        <v>-33786000</v>
      </c>
      <c r="R21">
        <v>0</v>
      </c>
      <c r="S21">
        <v>104934000.00000003</v>
      </c>
      <c r="T21">
        <f t="shared" si="4"/>
        <v>-3404999.9999999702</v>
      </c>
    </row>
    <row r="22" spans="1:20" x14ac:dyDescent="0.25">
      <c r="A22">
        <v>1947</v>
      </c>
      <c r="B22">
        <v>372228000</v>
      </c>
      <c r="C22">
        <v>529455000.00000006</v>
      </c>
      <c r="D22">
        <v>329462000</v>
      </c>
      <c r="E22">
        <v>272307000</v>
      </c>
      <c r="F22">
        <f t="shared" si="0"/>
        <v>601769000</v>
      </c>
      <c r="G22">
        <v>90340999.999999985</v>
      </c>
      <c r="H22">
        <f t="shared" si="1"/>
        <v>692110000</v>
      </c>
      <c r="I22">
        <v>343015000</v>
      </c>
      <c r="J22">
        <f t="shared" si="2"/>
        <v>1.1365819569179627</v>
      </c>
      <c r="K22">
        <f t="shared" si="3"/>
        <v>1.3072121332313416</v>
      </c>
      <c r="L22">
        <v>692110000</v>
      </c>
      <c r="N22">
        <v>199993000.00000006</v>
      </c>
      <c r="O22">
        <v>47629000</v>
      </c>
      <c r="P22">
        <v>-140048999.99999997</v>
      </c>
      <c r="Q22">
        <v>44417000</v>
      </c>
      <c r="R22">
        <v>0</v>
      </c>
      <c r="S22">
        <v>77216000.000000015</v>
      </c>
      <c r="T22">
        <f t="shared" si="4"/>
        <v>29213000.000000045</v>
      </c>
    </row>
    <row r="23" spans="1:20" x14ac:dyDescent="0.25">
      <c r="A23">
        <v>1948</v>
      </c>
      <c r="B23">
        <v>375644000</v>
      </c>
      <c r="C23">
        <v>547632999.99999988</v>
      </c>
      <c r="D23">
        <v>344560000</v>
      </c>
      <c r="E23">
        <v>306182000</v>
      </c>
      <c r="F23">
        <f t="shared" si="0"/>
        <v>650742000</v>
      </c>
      <c r="G23">
        <v>84610000</v>
      </c>
      <c r="H23">
        <f t="shared" si="1"/>
        <v>735352000</v>
      </c>
      <c r="I23">
        <v>363166000</v>
      </c>
      <c r="J23">
        <f t="shared" si="2"/>
        <v>1.1882812029223955</v>
      </c>
      <c r="K23">
        <f t="shared" si="3"/>
        <v>1.3427824838897586</v>
      </c>
      <c r="L23">
        <v>735352000</v>
      </c>
      <c r="N23">
        <v>203072999.99999991</v>
      </c>
      <c r="O23">
        <v>92148999.999999985</v>
      </c>
      <c r="P23">
        <v>-98023000</v>
      </c>
      <c r="Q23">
        <v>55562000</v>
      </c>
      <c r="R23">
        <v>0</v>
      </c>
      <c r="S23">
        <v>-37210000</v>
      </c>
      <c r="T23">
        <f t="shared" si="4"/>
        <v>12477999.999999985</v>
      </c>
    </row>
    <row r="24" spans="1:20" x14ac:dyDescent="0.25">
      <c r="A24">
        <v>1949</v>
      </c>
      <c r="B24">
        <v>392790000</v>
      </c>
      <c r="C24">
        <v>577241000.00000012</v>
      </c>
      <c r="D24">
        <v>356591000</v>
      </c>
      <c r="E24">
        <v>355861000</v>
      </c>
      <c r="F24">
        <f t="shared" si="0"/>
        <v>712452000</v>
      </c>
      <c r="G24">
        <v>100853000</v>
      </c>
      <c r="H24">
        <f t="shared" si="1"/>
        <v>813305000</v>
      </c>
      <c r="I24">
        <v>201002000</v>
      </c>
      <c r="J24">
        <f t="shared" si="2"/>
        <v>1.2342366533215761</v>
      </c>
      <c r="K24">
        <f t="shared" si="3"/>
        <v>1.4089522400522483</v>
      </c>
      <c r="L24">
        <v>813305000</v>
      </c>
      <c r="N24">
        <v>220650000</v>
      </c>
      <c r="O24">
        <v>93907999.999999985</v>
      </c>
      <c r="P24">
        <v>77508000.000000015</v>
      </c>
      <c r="Q24">
        <v>18462999.999999993</v>
      </c>
      <c r="R24">
        <v>0</v>
      </c>
      <c r="S24">
        <v>1909000.0000000487</v>
      </c>
      <c r="T24">
        <f t="shared" si="4"/>
        <v>191788000.00000006</v>
      </c>
    </row>
    <row r="25" spans="1:20" x14ac:dyDescent="0.25">
      <c r="A25">
        <v>1950</v>
      </c>
      <c r="B25">
        <v>509451000</v>
      </c>
      <c r="C25">
        <v>744358000.00000012</v>
      </c>
      <c r="D25">
        <v>458660000</v>
      </c>
      <c r="E25">
        <v>456612000</v>
      </c>
      <c r="F25">
        <f t="shared" si="0"/>
        <v>915272000</v>
      </c>
      <c r="G25">
        <v>120564000</v>
      </c>
      <c r="H25">
        <f t="shared" si="1"/>
        <v>1035836000</v>
      </c>
      <c r="I25">
        <v>532405999.99999994</v>
      </c>
      <c r="J25">
        <f t="shared" si="2"/>
        <v>1.2296126326310726</v>
      </c>
      <c r="K25">
        <f t="shared" si="3"/>
        <v>1.391583082334038</v>
      </c>
      <c r="L25">
        <v>1035836000</v>
      </c>
      <c r="N25">
        <v>285698000.00000006</v>
      </c>
      <c r="O25">
        <v>83966000.000000015</v>
      </c>
      <c r="P25">
        <v>-104673999.99999999</v>
      </c>
      <c r="Q25">
        <v>22567000.000000007</v>
      </c>
      <c r="R25">
        <v>0</v>
      </c>
      <c r="S25">
        <v>-24813999.999999952</v>
      </c>
      <c r="T25">
        <f t="shared" si="4"/>
        <v>-22954999.999999911</v>
      </c>
    </row>
    <row r="26" spans="1:20" x14ac:dyDescent="0.25">
      <c r="A26">
        <v>1951</v>
      </c>
      <c r="B26">
        <v>489581000</v>
      </c>
      <c r="C26">
        <v>686439000</v>
      </c>
      <c r="D26">
        <v>441031000</v>
      </c>
      <c r="E26">
        <v>402031000</v>
      </c>
      <c r="F26">
        <f t="shared" si="0"/>
        <v>843062000</v>
      </c>
      <c r="G26">
        <v>134351000</v>
      </c>
      <c r="H26">
        <f t="shared" si="1"/>
        <v>977413000</v>
      </c>
      <c r="I26">
        <v>405635999.99999994</v>
      </c>
      <c r="J26">
        <f t="shared" si="2"/>
        <v>1.2281673972486995</v>
      </c>
      <c r="K26">
        <f t="shared" si="3"/>
        <v>1.4238890855560362</v>
      </c>
      <c r="L26">
        <v>977413000</v>
      </c>
      <c r="N26">
        <v>245407999.99999997</v>
      </c>
      <c r="O26">
        <v>80812999.999999985</v>
      </c>
      <c r="P26">
        <v>-82783000</v>
      </c>
      <c r="Q26">
        <v>107274000</v>
      </c>
      <c r="R26">
        <v>0</v>
      </c>
      <c r="S26">
        <v>-21358999.999999937</v>
      </c>
      <c r="T26">
        <f t="shared" si="4"/>
        <v>83945000.000000045</v>
      </c>
    </row>
    <row r="27" spans="1:20" x14ac:dyDescent="0.25">
      <c r="A27">
        <v>1952</v>
      </c>
      <c r="B27">
        <v>569864000</v>
      </c>
      <c r="C27">
        <v>852657000</v>
      </c>
      <c r="D27">
        <v>513490000</v>
      </c>
      <c r="E27">
        <v>524331000</v>
      </c>
      <c r="F27">
        <f t="shared" si="0"/>
        <v>1037821000</v>
      </c>
      <c r="G27">
        <v>157286000</v>
      </c>
      <c r="H27">
        <f t="shared" si="1"/>
        <v>1195107000</v>
      </c>
      <c r="I27">
        <v>591568000</v>
      </c>
      <c r="J27">
        <f t="shared" si="2"/>
        <v>1.2171611797006299</v>
      </c>
      <c r="K27">
        <f t="shared" si="3"/>
        <v>1.4016269144568096</v>
      </c>
      <c r="L27">
        <v>1195107000</v>
      </c>
      <c r="N27">
        <v>339167000.00000006</v>
      </c>
      <c r="O27">
        <v>37006999.999999985</v>
      </c>
      <c r="P27">
        <v>-143242000.00000003</v>
      </c>
      <c r="Q27">
        <v>84208000</v>
      </c>
      <c r="R27">
        <v>0</v>
      </c>
      <c r="S27">
        <v>323000.00000009278</v>
      </c>
      <c r="T27">
        <f t="shared" si="4"/>
        <v>-21703999.999999955</v>
      </c>
    </row>
    <row r="28" spans="1:20" x14ac:dyDescent="0.25">
      <c r="A28">
        <v>1953</v>
      </c>
      <c r="B28">
        <v>601041000</v>
      </c>
      <c r="C28">
        <v>875318000.00000012</v>
      </c>
      <c r="D28">
        <v>550674000</v>
      </c>
      <c r="E28">
        <v>550739000</v>
      </c>
      <c r="F28">
        <f t="shared" si="0"/>
        <v>1101413000</v>
      </c>
      <c r="G28">
        <v>189754000.00000003</v>
      </c>
      <c r="H28">
        <f t="shared" si="1"/>
        <v>1291167000</v>
      </c>
      <c r="I28">
        <v>485700000</v>
      </c>
      <c r="J28">
        <f t="shared" si="2"/>
        <v>1.2583004119645658</v>
      </c>
      <c r="K28">
        <f t="shared" si="3"/>
        <v>1.4750833411400197</v>
      </c>
      <c r="L28">
        <v>1291167000</v>
      </c>
      <c r="N28">
        <v>324644000.00000012</v>
      </c>
      <c r="O28">
        <v>90523000.000000015</v>
      </c>
      <c r="P28">
        <v>-97027000.000000015</v>
      </c>
      <c r="Q28">
        <v>122273000.00000001</v>
      </c>
      <c r="R28">
        <v>0</v>
      </c>
      <c r="S28">
        <v>-427999.99999999726</v>
      </c>
      <c r="T28">
        <f t="shared" si="4"/>
        <v>115341000.00000001</v>
      </c>
    </row>
    <row r="29" spans="1:20" x14ac:dyDescent="0.25">
      <c r="A29">
        <v>1954</v>
      </c>
      <c r="B29">
        <v>698846000</v>
      </c>
      <c r="C29">
        <v>966706000</v>
      </c>
      <c r="D29">
        <v>639117000</v>
      </c>
      <c r="E29">
        <v>635693000</v>
      </c>
      <c r="F29">
        <f t="shared" si="0"/>
        <v>1274810000</v>
      </c>
      <c r="G29">
        <v>227136000</v>
      </c>
      <c r="H29">
        <f t="shared" si="1"/>
        <v>1501946000</v>
      </c>
      <c r="I29">
        <v>511705000</v>
      </c>
      <c r="J29">
        <f t="shared" si="2"/>
        <v>1.3187153074461109</v>
      </c>
      <c r="K29">
        <f t="shared" si="3"/>
        <v>1.5536740229190675</v>
      </c>
      <c r="L29">
        <v>1501946000</v>
      </c>
      <c r="N29">
        <v>327589000.00000006</v>
      </c>
      <c r="O29">
        <v>139420000</v>
      </c>
      <c r="P29">
        <v>-90457000</v>
      </c>
      <c r="Q29">
        <v>119602000</v>
      </c>
      <c r="R29">
        <v>0</v>
      </c>
      <c r="S29">
        <v>18575999.999999993</v>
      </c>
      <c r="T29">
        <f t="shared" si="4"/>
        <v>187141000</v>
      </c>
    </row>
    <row r="30" spans="1:20" x14ac:dyDescent="0.25">
      <c r="A30">
        <v>1955</v>
      </c>
      <c r="B30">
        <v>664158000</v>
      </c>
      <c r="C30">
        <v>933509000</v>
      </c>
      <c r="D30">
        <v>609750000</v>
      </c>
      <c r="E30">
        <v>589936000</v>
      </c>
      <c r="F30">
        <f t="shared" si="0"/>
        <v>1199686000</v>
      </c>
      <c r="G30">
        <v>241553000</v>
      </c>
      <c r="H30">
        <f t="shared" si="1"/>
        <v>1441239000</v>
      </c>
      <c r="I30">
        <v>351091999.99999994</v>
      </c>
      <c r="J30">
        <f t="shared" si="2"/>
        <v>1.2851359761930523</v>
      </c>
      <c r="K30">
        <f t="shared" si="3"/>
        <v>1.5438940599394329</v>
      </c>
      <c r="L30">
        <v>1441239000</v>
      </c>
      <c r="N30">
        <v>323759000</v>
      </c>
      <c r="O30">
        <v>162598999.99999997</v>
      </c>
      <c r="P30">
        <v>-9457000.0000000224</v>
      </c>
      <c r="Q30">
        <v>60692999.999999985</v>
      </c>
      <c r="R30">
        <v>0</v>
      </c>
      <c r="S30">
        <v>99231000.000000104</v>
      </c>
      <c r="T30">
        <f t="shared" si="4"/>
        <v>313066000</v>
      </c>
    </row>
    <row r="31" spans="1:20" x14ac:dyDescent="0.25">
      <c r="A31">
        <v>1956</v>
      </c>
      <c r="B31">
        <v>751915000</v>
      </c>
      <c r="C31">
        <v>1043609999.9999999</v>
      </c>
      <c r="D31">
        <v>690244000</v>
      </c>
      <c r="E31">
        <v>666703000</v>
      </c>
      <c r="F31">
        <f t="shared" si="0"/>
        <v>1356947000</v>
      </c>
      <c r="G31">
        <v>281088000</v>
      </c>
      <c r="H31">
        <f t="shared" si="1"/>
        <v>1638035000</v>
      </c>
      <c r="I31">
        <v>392724000.00000006</v>
      </c>
      <c r="J31">
        <f t="shared" si="2"/>
        <v>1.300243385939192</v>
      </c>
      <c r="K31">
        <f t="shared" si="3"/>
        <v>1.5695853815122509</v>
      </c>
      <c r="L31">
        <v>1638035000</v>
      </c>
      <c r="N31">
        <v>353365999.99999988</v>
      </c>
      <c r="O31">
        <v>235500000</v>
      </c>
      <c r="P31">
        <v>-53232999.999999978</v>
      </c>
      <c r="Q31">
        <v>123930000</v>
      </c>
      <c r="R31">
        <v>0</v>
      </c>
      <c r="S31">
        <v>52993999.999999888</v>
      </c>
      <c r="T31">
        <f t="shared" si="4"/>
        <v>359190999.99999988</v>
      </c>
    </row>
    <row r="32" spans="1:20" x14ac:dyDescent="0.25">
      <c r="A32">
        <v>1957</v>
      </c>
      <c r="B32">
        <v>768551000</v>
      </c>
      <c r="C32">
        <v>1099653000</v>
      </c>
      <c r="D32">
        <v>703344000</v>
      </c>
      <c r="E32">
        <v>707749000</v>
      </c>
      <c r="F32">
        <f t="shared" si="0"/>
        <v>1411093000</v>
      </c>
      <c r="G32">
        <v>316032000</v>
      </c>
      <c r="H32">
        <f t="shared" si="1"/>
        <v>1727125000</v>
      </c>
      <c r="I32">
        <v>419388000</v>
      </c>
      <c r="J32">
        <f t="shared" si="2"/>
        <v>1.2832166146957267</v>
      </c>
      <c r="K32">
        <f t="shared" si="3"/>
        <v>1.5706090921408844</v>
      </c>
      <c r="L32">
        <v>1725500000</v>
      </c>
      <c r="M32">
        <v>1625000</v>
      </c>
      <c r="N32">
        <v>396308999.99999994</v>
      </c>
      <c r="O32">
        <v>179745000</v>
      </c>
      <c r="P32">
        <v>-74435000</v>
      </c>
      <c r="Q32">
        <v>218265000</v>
      </c>
      <c r="R32">
        <v>0</v>
      </c>
      <c r="S32">
        <v>25588000.000000052</v>
      </c>
      <c r="T32">
        <f t="shared" si="4"/>
        <v>349163000.00000006</v>
      </c>
    </row>
    <row r="33" spans="1:20" x14ac:dyDescent="0.25">
      <c r="A33">
        <v>1958</v>
      </c>
      <c r="B33">
        <v>752483000</v>
      </c>
      <c r="C33">
        <v>1063609999.9999999</v>
      </c>
      <c r="D33">
        <v>688300000</v>
      </c>
      <c r="E33">
        <v>709162000</v>
      </c>
      <c r="F33">
        <f t="shared" si="0"/>
        <v>1397462000</v>
      </c>
      <c r="G33">
        <v>310506000</v>
      </c>
      <c r="H33">
        <f t="shared" si="1"/>
        <v>1707968000</v>
      </c>
      <c r="I33">
        <v>456632000.00000012</v>
      </c>
      <c r="J33">
        <f t="shared" si="2"/>
        <v>1.3138857287915684</v>
      </c>
      <c r="K33">
        <f t="shared" si="3"/>
        <v>1.6058216827596583</v>
      </c>
      <c r="L33">
        <v>1698369000</v>
      </c>
      <c r="M33">
        <v>9599000</v>
      </c>
      <c r="N33">
        <v>375310000</v>
      </c>
      <c r="O33">
        <v>52601000.00000003</v>
      </c>
      <c r="P33">
        <v>-26670000</v>
      </c>
      <c r="Q33">
        <v>216655000</v>
      </c>
      <c r="R33">
        <v>0</v>
      </c>
      <c r="S33">
        <v>53264999.999999873</v>
      </c>
      <c r="T33">
        <f t="shared" si="4"/>
        <v>295850999.99999988</v>
      </c>
    </row>
    <row r="34" spans="1:20" x14ac:dyDescent="0.25">
      <c r="A34">
        <v>1959</v>
      </c>
      <c r="B34">
        <v>803303000</v>
      </c>
      <c r="C34">
        <v>1190668000.0000002</v>
      </c>
      <c r="D34">
        <v>730397000</v>
      </c>
      <c r="E34">
        <v>836596000</v>
      </c>
      <c r="F34">
        <f t="shared" si="0"/>
        <v>1566993000</v>
      </c>
      <c r="G34">
        <v>357221000</v>
      </c>
      <c r="H34">
        <f t="shared" si="1"/>
        <v>1924214000</v>
      </c>
      <c r="I34">
        <v>568750000</v>
      </c>
      <c r="J34">
        <f t="shared" si="2"/>
        <v>1.3160620760783019</v>
      </c>
      <c r="K34">
        <f t="shared" si="3"/>
        <v>1.6160793772907307</v>
      </c>
      <c r="L34">
        <v>1897047000</v>
      </c>
      <c r="M34">
        <v>27167000</v>
      </c>
      <c r="N34">
        <v>460271000.00000006</v>
      </c>
      <c r="O34">
        <v>68806000</v>
      </c>
      <c r="P34">
        <v>-115362000.00000003</v>
      </c>
      <c r="Q34">
        <v>225282000.00000003</v>
      </c>
      <c r="R34">
        <v>0</v>
      </c>
      <c r="S34">
        <v>55827000</v>
      </c>
      <c r="T34">
        <f t="shared" si="4"/>
        <v>234552999.99999997</v>
      </c>
    </row>
    <row r="35" spans="1:20" x14ac:dyDescent="0.25">
      <c r="A35">
        <v>1960</v>
      </c>
      <c r="B35">
        <v>898487000</v>
      </c>
      <c r="C35">
        <v>1267259000</v>
      </c>
      <c r="D35">
        <v>826821000</v>
      </c>
      <c r="E35">
        <v>908801000</v>
      </c>
      <c r="F35">
        <f t="shared" si="0"/>
        <v>1735622000</v>
      </c>
      <c r="G35">
        <v>393712999.99999994</v>
      </c>
      <c r="H35">
        <f t="shared" si="1"/>
        <v>2129335000</v>
      </c>
      <c r="I35">
        <v>487105000</v>
      </c>
      <c r="J35">
        <f t="shared" si="2"/>
        <v>1.3695874324033208</v>
      </c>
      <c r="K35">
        <f t="shared" si="3"/>
        <v>1.6802682008965808</v>
      </c>
      <c r="L35">
        <v>2084421000.0000002</v>
      </c>
      <c r="M35">
        <v>44914000</v>
      </c>
      <c r="N35">
        <v>440438000</v>
      </c>
      <c r="O35">
        <v>169244000</v>
      </c>
      <c r="P35">
        <v>-150326000.00000003</v>
      </c>
      <c r="Q35">
        <v>323032000</v>
      </c>
      <c r="R35">
        <v>0</v>
      </c>
      <c r="S35">
        <v>69431999.999999955</v>
      </c>
      <c r="T35">
        <f t="shared" si="4"/>
        <v>411381999.99999988</v>
      </c>
    </row>
    <row r="36" spans="1:20" x14ac:dyDescent="0.25">
      <c r="A36">
        <v>1961</v>
      </c>
      <c r="B36">
        <v>921472000</v>
      </c>
      <c r="C36">
        <v>1289576000</v>
      </c>
      <c r="D36">
        <v>860070000</v>
      </c>
      <c r="E36">
        <v>934766000</v>
      </c>
      <c r="F36">
        <f t="shared" si="0"/>
        <v>1794836000</v>
      </c>
      <c r="G36">
        <v>422184000</v>
      </c>
      <c r="H36">
        <f t="shared" si="1"/>
        <v>2217020000</v>
      </c>
      <c r="I36">
        <v>373961000</v>
      </c>
      <c r="J36">
        <f t="shared" si="2"/>
        <v>1.3918031973299752</v>
      </c>
      <c r="K36">
        <f t="shared" si="3"/>
        <v>1.7191852205686211</v>
      </c>
      <c r="L36">
        <v>2179386000</v>
      </c>
      <c r="M36">
        <v>37634000</v>
      </c>
      <c r="N36">
        <v>429506000</v>
      </c>
      <c r="O36">
        <v>345715999.99999994</v>
      </c>
      <c r="P36">
        <v>-81840999.999999985</v>
      </c>
      <c r="Q36">
        <v>175758000</v>
      </c>
      <c r="R36">
        <v>0</v>
      </c>
      <c r="S36">
        <v>107877999.99999996</v>
      </c>
      <c r="T36">
        <f t="shared" si="4"/>
        <v>547510999.99999988</v>
      </c>
    </row>
    <row r="37" spans="1:20" x14ac:dyDescent="0.25">
      <c r="A37">
        <v>1962</v>
      </c>
      <c r="B37">
        <v>1006512000</v>
      </c>
      <c r="C37">
        <v>1470773000</v>
      </c>
      <c r="D37">
        <v>929101000</v>
      </c>
      <c r="E37">
        <v>1071372000.0000001</v>
      </c>
      <c r="F37">
        <f t="shared" si="0"/>
        <v>2000473000</v>
      </c>
      <c r="G37">
        <v>473611000</v>
      </c>
      <c r="H37">
        <f t="shared" si="1"/>
        <v>2474084000</v>
      </c>
      <c r="I37">
        <v>580565000.00000012</v>
      </c>
      <c r="J37">
        <f t="shared" si="2"/>
        <v>1.360150750659687</v>
      </c>
      <c r="K37">
        <f t="shared" si="3"/>
        <v>1.6821657726923189</v>
      </c>
      <c r="L37">
        <v>2425993000</v>
      </c>
      <c r="M37">
        <v>48091000</v>
      </c>
      <c r="N37">
        <v>541671999.99999988</v>
      </c>
      <c r="O37">
        <v>354776999.99999994</v>
      </c>
      <c r="P37">
        <v>-162341999.99999997</v>
      </c>
      <c r="Q37">
        <v>121973000.00000001</v>
      </c>
      <c r="R37">
        <v>0</v>
      </c>
      <c r="S37">
        <v>111538999.99999993</v>
      </c>
      <c r="T37">
        <f t="shared" si="4"/>
        <v>425946999.99999988</v>
      </c>
    </row>
    <row r="38" spans="1:20" x14ac:dyDescent="0.25">
      <c r="A38">
        <v>1963</v>
      </c>
      <c r="B38">
        <v>1106947000</v>
      </c>
      <c r="C38">
        <v>1630710999.9999998</v>
      </c>
      <c r="D38">
        <v>1014500000</v>
      </c>
      <c r="E38">
        <v>1236900000</v>
      </c>
      <c r="F38">
        <f t="shared" si="0"/>
        <v>2251400000</v>
      </c>
      <c r="G38">
        <v>550749000</v>
      </c>
      <c r="H38">
        <f t="shared" si="1"/>
        <v>2802149000</v>
      </c>
      <c r="I38">
        <v>731705999.99999988</v>
      </c>
      <c r="J38">
        <f t="shared" si="2"/>
        <v>1.380624770422227</v>
      </c>
      <c r="K38">
        <f t="shared" si="3"/>
        <v>1.7183602735248615</v>
      </c>
      <c r="L38">
        <v>2746244000</v>
      </c>
      <c r="M38">
        <v>55905000</v>
      </c>
      <c r="N38">
        <v>616210999.99999976</v>
      </c>
      <c r="O38">
        <v>302155000</v>
      </c>
      <c r="P38">
        <v>-245540000</v>
      </c>
      <c r="Q38">
        <v>140272000</v>
      </c>
      <c r="R38">
        <v>0</v>
      </c>
      <c r="S38">
        <v>178353999.99999997</v>
      </c>
      <c r="T38">
        <f t="shared" si="4"/>
        <v>375241000</v>
      </c>
    </row>
    <row r="39" spans="1:20" x14ac:dyDescent="0.25">
      <c r="A39">
        <v>1964</v>
      </c>
      <c r="B39">
        <v>1204475000</v>
      </c>
      <c r="C39">
        <v>1789254000</v>
      </c>
      <c r="D39">
        <v>1114000000</v>
      </c>
      <c r="E39">
        <v>1409600000</v>
      </c>
      <c r="F39">
        <f t="shared" si="0"/>
        <v>2523600000</v>
      </c>
      <c r="G39">
        <v>627039000</v>
      </c>
      <c r="H39">
        <f t="shared" si="1"/>
        <v>3150639000</v>
      </c>
      <c r="I39">
        <v>810894000</v>
      </c>
      <c r="J39">
        <f t="shared" si="2"/>
        <v>1.4104202086456143</v>
      </c>
      <c r="K39">
        <f t="shared" si="3"/>
        <v>1.7608673782481414</v>
      </c>
      <c r="L39">
        <v>3090603000</v>
      </c>
      <c r="M39">
        <v>60036000</v>
      </c>
      <c r="N39">
        <v>675253999.99999988</v>
      </c>
      <c r="O39">
        <v>185466000</v>
      </c>
      <c r="P39">
        <v>-233896999.99999997</v>
      </c>
      <c r="Q39">
        <v>268687000</v>
      </c>
      <c r="R39">
        <v>0</v>
      </c>
      <c r="S39">
        <v>173325000</v>
      </c>
      <c r="T39">
        <f t="shared" si="4"/>
        <v>393581000</v>
      </c>
    </row>
    <row r="40" spans="1:20" x14ac:dyDescent="0.25">
      <c r="A40">
        <v>1965</v>
      </c>
      <c r="B40">
        <v>1310051000</v>
      </c>
      <c r="C40">
        <v>1888216000</v>
      </c>
      <c r="D40">
        <v>1214944000</v>
      </c>
      <c r="E40">
        <v>1367128000</v>
      </c>
      <c r="F40">
        <f t="shared" si="0"/>
        <v>2582072000</v>
      </c>
      <c r="G40">
        <v>712404000</v>
      </c>
      <c r="H40">
        <f t="shared" si="1"/>
        <v>3294476000</v>
      </c>
      <c r="I40">
        <v>605821000</v>
      </c>
      <c r="J40">
        <f t="shared" si="2"/>
        <v>1.3674664339249323</v>
      </c>
      <c r="K40">
        <f t="shared" si="3"/>
        <v>1.7447558965711549</v>
      </c>
      <c r="L40">
        <v>3211902000</v>
      </c>
      <c r="M40">
        <v>82574000</v>
      </c>
      <c r="N40">
        <v>673271999.99999988</v>
      </c>
      <c r="O40">
        <v>586440000</v>
      </c>
      <c r="P40">
        <v>-187612999.99999994</v>
      </c>
      <c r="Q40">
        <v>212936000.00000003</v>
      </c>
      <c r="R40">
        <v>0</v>
      </c>
      <c r="S40">
        <v>92466999.999999762</v>
      </c>
      <c r="T40">
        <f t="shared" si="4"/>
        <v>704229999.99999976</v>
      </c>
    </row>
    <row r="41" spans="1:20" x14ac:dyDescent="0.25">
      <c r="A41">
        <v>1966</v>
      </c>
      <c r="B41">
        <v>1424537000</v>
      </c>
      <c r="C41">
        <v>2133461000.0000002</v>
      </c>
      <c r="D41">
        <v>1320202000</v>
      </c>
      <c r="E41">
        <v>1597238000</v>
      </c>
      <c r="F41">
        <f t="shared" si="0"/>
        <v>2917440000</v>
      </c>
      <c r="G41">
        <v>855830999.99999988</v>
      </c>
      <c r="H41">
        <f t="shared" si="1"/>
        <v>3773271000</v>
      </c>
      <c r="I41">
        <v>804171000.00000024</v>
      </c>
      <c r="J41">
        <f t="shared" si="2"/>
        <v>1.367468165576966</v>
      </c>
      <c r="K41">
        <f t="shared" si="3"/>
        <v>1.7686149406996423</v>
      </c>
      <c r="L41">
        <v>3661655000</v>
      </c>
      <c r="M41">
        <v>111616000</v>
      </c>
      <c r="N41">
        <v>813259000.00000024</v>
      </c>
      <c r="O41">
        <v>714913000</v>
      </c>
      <c r="P41">
        <v>-361207000</v>
      </c>
      <c r="Q41">
        <v>134875000</v>
      </c>
      <c r="R41">
        <v>0</v>
      </c>
      <c r="S41">
        <v>131785000</v>
      </c>
      <c r="T41">
        <f t="shared" si="4"/>
        <v>620366000</v>
      </c>
    </row>
    <row r="42" spans="1:20" x14ac:dyDescent="0.25">
      <c r="A42">
        <v>1967</v>
      </c>
      <c r="B42">
        <v>1492558000</v>
      </c>
      <c r="C42">
        <v>2210662000</v>
      </c>
      <c r="D42">
        <v>1370715000</v>
      </c>
      <c r="E42">
        <v>2028967000</v>
      </c>
      <c r="F42">
        <f t="shared" si="0"/>
        <v>3399682000</v>
      </c>
      <c r="G42">
        <v>934568000</v>
      </c>
      <c r="H42">
        <f t="shared" si="1"/>
        <v>4334250000</v>
      </c>
      <c r="I42">
        <v>970104000.00000012</v>
      </c>
      <c r="J42">
        <f t="shared" si="2"/>
        <v>1.5378569858259652</v>
      </c>
      <c r="K42">
        <f t="shared" si="3"/>
        <v>1.9606117986376932</v>
      </c>
      <c r="L42">
        <v>4214996000</v>
      </c>
      <c r="M42">
        <v>119254000</v>
      </c>
      <c r="N42">
        <v>839946999.99999988</v>
      </c>
      <c r="O42">
        <v>488181000.00000006</v>
      </c>
      <c r="P42">
        <v>-334615000</v>
      </c>
      <c r="Q42">
        <v>70102999.999999955</v>
      </c>
      <c r="R42">
        <v>0</v>
      </c>
      <c r="S42">
        <v>298785000</v>
      </c>
      <c r="T42">
        <f t="shared" si="4"/>
        <v>522454000</v>
      </c>
    </row>
    <row r="43" spans="1:20" x14ac:dyDescent="0.25">
      <c r="A43">
        <v>1968</v>
      </c>
      <c r="B43">
        <v>1726983000</v>
      </c>
      <c r="C43">
        <v>2542634000</v>
      </c>
      <c r="D43">
        <v>1564057000</v>
      </c>
      <c r="E43">
        <v>2304040000</v>
      </c>
      <c r="F43">
        <f t="shared" si="0"/>
        <v>3868097000</v>
      </c>
      <c r="G43">
        <v>1249312000</v>
      </c>
      <c r="H43">
        <f t="shared" si="1"/>
        <v>5117409000</v>
      </c>
      <c r="I43">
        <v>745009000</v>
      </c>
      <c r="J43">
        <f t="shared" si="2"/>
        <v>1.5212952395036015</v>
      </c>
      <c r="K43">
        <f t="shared" si="3"/>
        <v>2.0126408283693209</v>
      </c>
      <c r="L43">
        <v>4931795000</v>
      </c>
      <c r="M43">
        <v>185614000</v>
      </c>
      <c r="N43">
        <v>978577000</v>
      </c>
      <c r="O43">
        <v>907445000</v>
      </c>
      <c r="P43">
        <v>-393993000.00000006</v>
      </c>
      <c r="Q43">
        <v>129785000</v>
      </c>
      <c r="R43">
        <v>0</v>
      </c>
      <c r="S43">
        <v>338736999.99999994</v>
      </c>
      <c r="T43">
        <f t="shared" si="4"/>
        <v>981973999.99999988</v>
      </c>
    </row>
    <row r="44" spans="1:20" x14ac:dyDescent="0.25">
      <c r="A44">
        <v>1969</v>
      </c>
      <c r="B44">
        <v>1873195000</v>
      </c>
      <c r="C44">
        <v>3003867000</v>
      </c>
      <c r="D44">
        <v>1702480000</v>
      </c>
      <c r="E44">
        <v>2686748000</v>
      </c>
      <c r="F44">
        <f t="shared" si="0"/>
        <v>4389228000</v>
      </c>
      <c r="G44">
        <v>1573820000</v>
      </c>
      <c r="H44">
        <f t="shared" si="1"/>
        <v>5963048000</v>
      </c>
      <c r="I44">
        <v>702206000.00000012</v>
      </c>
      <c r="J44">
        <f t="shared" si="2"/>
        <v>1.4611925228380618</v>
      </c>
      <c r="K44">
        <f t="shared" si="3"/>
        <v>1.9851238420342845</v>
      </c>
      <c r="L44">
        <v>5741866000</v>
      </c>
      <c r="M44">
        <v>221182000</v>
      </c>
      <c r="N44">
        <v>1301387000.0000002</v>
      </c>
      <c r="O44">
        <v>1496656999.9999995</v>
      </c>
      <c r="P44">
        <v>-462974000.00000006</v>
      </c>
      <c r="Q44">
        <v>-306770999.99999982</v>
      </c>
      <c r="R44">
        <v>0</v>
      </c>
      <c r="S44">
        <v>444078000.00000018</v>
      </c>
      <c r="T44">
        <f t="shared" si="4"/>
        <v>1170989999.9999998</v>
      </c>
    </row>
    <row r="45" spans="1:20" x14ac:dyDescent="0.25">
      <c r="A45">
        <v>1970</v>
      </c>
      <c r="B45">
        <v>2469536000</v>
      </c>
      <c r="C45">
        <v>4021402000</v>
      </c>
      <c r="D45">
        <v>2271903000</v>
      </c>
      <c r="E45">
        <v>3193182000</v>
      </c>
      <c r="F45">
        <f t="shared" si="0"/>
        <v>5465085000</v>
      </c>
      <c r="G45">
        <v>1795879000</v>
      </c>
      <c r="H45">
        <f t="shared" si="1"/>
        <v>7260964000</v>
      </c>
      <c r="I45">
        <v>1378578000</v>
      </c>
      <c r="J45">
        <f t="shared" si="2"/>
        <v>1.358999920923101</v>
      </c>
      <c r="K45">
        <f t="shared" si="3"/>
        <v>1.8055802429103085</v>
      </c>
      <c r="L45">
        <v>7260963999.999999</v>
      </c>
      <c r="M45">
        <v>0</v>
      </c>
      <c r="N45">
        <v>1749499000.0000002</v>
      </c>
      <c r="O45">
        <v>1870078000</v>
      </c>
      <c r="P45">
        <v>-857571000.00000012</v>
      </c>
      <c r="Q45">
        <v>-432525000</v>
      </c>
      <c r="R45">
        <v>0</v>
      </c>
      <c r="S45">
        <v>510976000.00000012</v>
      </c>
      <c r="T45">
        <f t="shared" si="4"/>
        <v>1090958000</v>
      </c>
    </row>
    <row r="46" spans="1:20" x14ac:dyDescent="0.25">
      <c r="A46">
        <v>1971</v>
      </c>
      <c r="B46">
        <v>2558213000</v>
      </c>
      <c r="C46">
        <v>4356408000</v>
      </c>
      <c r="D46">
        <v>2341591000</v>
      </c>
      <c r="E46">
        <v>3776360000</v>
      </c>
      <c r="F46">
        <f t="shared" si="0"/>
        <v>6117951000</v>
      </c>
      <c r="G46">
        <v>2261201000</v>
      </c>
      <c r="H46">
        <f t="shared" si="1"/>
        <v>8379152000</v>
      </c>
      <c r="I46">
        <v>620820000</v>
      </c>
      <c r="J46">
        <f t="shared" si="2"/>
        <v>1.4043567544637692</v>
      </c>
      <c r="K46">
        <f t="shared" si="3"/>
        <v>1.9234084594464063</v>
      </c>
      <c r="L46">
        <v>8331451000.000001</v>
      </c>
      <c r="M46">
        <v>47701000</v>
      </c>
      <c r="N46">
        <v>2014817000.0000005</v>
      </c>
      <c r="O46">
        <v>2168603999.9999995</v>
      </c>
      <c r="P46">
        <v>-1152904000.0000002</v>
      </c>
      <c r="Q46">
        <v>-3347999.9999999562</v>
      </c>
      <c r="R46">
        <v>0</v>
      </c>
      <c r="S46">
        <v>925041000.00000107</v>
      </c>
      <c r="T46">
        <f t="shared" si="4"/>
        <v>1937393000.0000005</v>
      </c>
    </row>
    <row r="47" spans="1:20" x14ac:dyDescent="0.25">
      <c r="A47">
        <v>1972</v>
      </c>
      <c r="B47">
        <v>3065276000</v>
      </c>
      <c r="C47">
        <v>5473191999.999999</v>
      </c>
      <c r="D47">
        <v>2817552000</v>
      </c>
      <c r="E47">
        <v>4605741000</v>
      </c>
      <c r="F47">
        <f t="shared" si="0"/>
        <v>7423293000</v>
      </c>
      <c r="G47">
        <v>2773879000</v>
      </c>
      <c r="H47">
        <f t="shared" si="1"/>
        <v>10197172000</v>
      </c>
      <c r="I47">
        <v>3198497000</v>
      </c>
      <c r="J47">
        <f t="shared" si="2"/>
        <v>1.3563004915595873</v>
      </c>
      <c r="K47">
        <f t="shared" si="3"/>
        <v>1.8631124214169723</v>
      </c>
      <c r="L47">
        <v>10086389000</v>
      </c>
      <c r="M47">
        <v>110783000</v>
      </c>
      <c r="N47">
        <v>2655640000</v>
      </c>
      <c r="O47">
        <v>1788183999.9999995</v>
      </c>
      <c r="P47">
        <v>-1595553999.9999995</v>
      </c>
      <c r="Q47">
        <v>-705137999.99999988</v>
      </c>
      <c r="R47">
        <v>0</v>
      </c>
      <c r="S47">
        <v>379287000.00000006</v>
      </c>
      <c r="T47">
        <f t="shared" si="4"/>
        <v>-133220999.99999976</v>
      </c>
    </row>
    <row r="48" spans="1:20" x14ac:dyDescent="0.25">
      <c r="A48">
        <v>1973</v>
      </c>
      <c r="B48">
        <v>3883155000</v>
      </c>
      <c r="C48">
        <v>7520804000</v>
      </c>
      <c r="D48">
        <v>3538083000</v>
      </c>
      <c r="E48">
        <v>5831723000</v>
      </c>
      <c r="F48">
        <f t="shared" si="0"/>
        <v>9369806000</v>
      </c>
      <c r="G48">
        <v>3357143999.9999995</v>
      </c>
      <c r="H48">
        <f t="shared" si="1"/>
        <v>12726950000</v>
      </c>
      <c r="I48">
        <v>5648872000</v>
      </c>
      <c r="J48">
        <f t="shared" si="2"/>
        <v>1.2458516403299436</v>
      </c>
      <c r="K48">
        <f t="shared" si="3"/>
        <v>1.692232638957218</v>
      </c>
      <c r="L48">
        <v>12565897000</v>
      </c>
      <c r="M48">
        <v>161053000</v>
      </c>
      <c r="N48">
        <v>3982721000</v>
      </c>
      <c r="O48">
        <v>137119000.00000027</v>
      </c>
      <c r="P48">
        <v>-2438883000.0000005</v>
      </c>
      <c r="Q48">
        <v>-149573000.00000009</v>
      </c>
      <c r="R48">
        <v>0</v>
      </c>
      <c r="S48">
        <v>685620999.99999988</v>
      </c>
      <c r="T48">
        <f t="shared" si="4"/>
        <v>-1765716000.0000005</v>
      </c>
    </row>
    <row r="49" spans="1:20" x14ac:dyDescent="0.25">
      <c r="A49">
        <v>1974</v>
      </c>
      <c r="B49">
        <v>5078985000</v>
      </c>
      <c r="C49">
        <v>9332285000</v>
      </c>
      <c r="D49">
        <v>4640144000</v>
      </c>
      <c r="E49">
        <v>8741154000</v>
      </c>
      <c r="F49">
        <f t="shared" si="0"/>
        <v>13381298000</v>
      </c>
      <c r="G49">
        <v>4316251999.999999</v>
      </c>
      <c r="H49">
        <f t="shared" si="1"/>
        <v>17697550000</v>
      </c>
      <c r="I49">
        <v>8486057999.999999</v>
      </c>
      <c r="J49">
        <f t="shared" si="2"/>
        <v>1.4338715545013896</v>
      </c>
      <c r="K49">
        <f t="shared" si="3"/>
        <v>1.8963790754354373</v>
      </c>
      <c r="L49">
        <v>17429853000</v>
      </c>
      <c r="M49">
        <v>267697000</v>
      </c>
      <c r="N49">
        <v>4692141000</v>
      </c>
      <c r="O49">
        <v>-605082999.99999988</v>
      </c>
      <c r="P49">
        <v>-2060108000.0000002</v>
      </c>
      <c r="Q49">
        <v>616343000</v>
      </c>
      <c r="R49">
        <v>0</v>
      </c>
      <c r="S49">
        <v>-1358225000</v>
      </c>
      <c r="T49">
        <f t="shared" si="4"/>
        <v>-3407073000</v>
      </c>
    </row>
    <row r="50" spans="1:20" x14ac:dyDescent="0.25">
      <c r="A50">
        <v>1975</v>
      </c>
      <c r="B50">
        <v>5765685000</v>
      </c>
      <c r="C50">
        <v>9973318000.0000019</v>
      </c>
      <c r="D50">
        <v>5241157000</v>
      </c>
      <c r="E50">
        <v>10298167000</v>
      </c>
      <c r="F50">
        <f t="shared" si="0"/>
        <v>15539324000</v>
      </c>
      <c r="G50">
        <v>4631268999.999999</v>
      </c>
      <c r="H50">
        <f t="shared" si="1"/>
        <v>20170593000</v>
      </c>
      <c r="I50">
        <v>6139262999.999999</v>
      </c>
      <c r="J50">
        <f t="shared" si="2"/>
        <v>1.558089694923996</v>
      </c>
      <c r="K50">
        <f t="shared" si="3"/>
        <v>2.0224556160748106</v>
      </c>
      <c r="L50">
        <v>19816308000</v>
      </c>
      <c r="M50">
        <v>354285000</v>
      </c>
      <c r="N50">
        <v>4732161000.000001</v>
      </c>
      <c r="O50">
        <v>-2597956000</v>
      </c>
      <c r="P50">
        <v>-212001999.99999961</v>
      </c>
      <c r="Q50">
        <v>257279999.99999997</v>
      </c>
      <c r="R50">
        <v>0</v>
      </c>
      <c r="S50">
        <v>2179100000</v>
      </c>
      <c r="T50">
        <f t="shared" si="4"/>
        <v>-373577999.99999952</v>
      </c>
    </row>
    <row r="51" spans="1:20" x14ac:dyDescent="0.25">
      <c r="A51">
        <v>1976</v>
      </c>
      <c r="B51">
        <v>8048482000</v>
      </c>
      <c r="C51">
        <v>14702628000</v>
      </c>
      <c r="D51">
        <v>7387693999.999999</v>
      </c>
      <c r="E51">
        <v>14074958999.999998</v>
      </c>
      <c r="F51">
        <f t="shared" si="0"/>
        <v>21462652999.999996</v>
      </c>
      <c r="G51">
        <v>5906701448.9795923</v>
      </c>
      <c r="H51">
        <f t="shared" si="1"/>
        <v>27369354448.979588</v>
      </c>
      <c r="I51">
        <v>11729064600</v>
      </c>
      <c r="J51">
        <f t="shared" si="2"/>
        <v>1.459783448237961</v>
      </c>
      <c r="K51">
        <f t="shared" si="3"/>
        <v>1.8615280512422396</v>
      </c>
      <c r="L51">
        <v>26813631999.999996</v>
      </c>
      <c r="M51">
        <v>555722448.97959173</v>
      </c>
      <c r="N51">
        <v>7314934000.000001</v>
      </c>
      <c r="O51">
        <v>-1139536320.0000007</v>
      </c>
      <c r="P51">
        <v>-1287087599.9999995</v>
      </c>
      <c r="Q51">
        <v>-1159143400</v>
      </c>
      <c r="R51">
        <v>0</v>
      </c>
      <c r="S51">
        <v>-94815279.999999568</v>
      </c>
      <c r="T51">
        <f t="shared" si="4"/>
        <v>-3680582600</v>
      </c>
    </row>
    <row r="52" spans="1:20" x14ac:dyDescent="0.25">
      <c r="A52">
        <v>1977</v>
      </c>
      <c r="B52">
        <v>9619200494</v>
      </c>
      <c r="C52">
        <v>16090955494</v>
      </c>
      <c r="D52">
        <v>8922880000</v>
      </c>
      <c r="E52">
        <v>17444779000.000004</v>
      </c>
      <c r="F52">
        <f t="shared" si="0"/>
        <v>26367659000.000004</v>
      </c>
      <c r="G52">
        <v>6644783311.3417358</v>
      </c>
      <c r="H52">
        <f t="shared" si="1"/>
        <v>33012442311.34174</v>
      </c>
      <c r="I52">
        <v>15312865386.000004</v>
      </c>
      <c r="J52">
        <f t="shared" si="2"/>
        <v>1.6386633478560042</v>
      </c>
      <c r="K52">
        <f t="shared" si="3"/>
        <v>2.0516147921514931</v>
      </c>
      <c r="L52">
        <v>32222497000</v>
      </c>
      <c r="M52">
        <v>789945311.34173465</v>
      </c>
      <c r="N52">
        <v>7168075494.000001</v>
      </c>
      <c r="O52">
        <v>-3753765760.000001</v>
      </c>
      <c r="P52">
        <v>-349972075.99999976</v>
      </c>
      <c r="Q52">
        <v>236235602.00000021</v>
      </c>
      <c r="R52">
        <v>0</v>
      </c>
      <c r="S52">
        <v>-1826163151.9999998</v>
      </c>
      <c r="T52">
        <f t="shared" si="4"/>
        <v>-5693665386</v>
      </c>
    </row>
    <row r="53" spans="1:20" x14ac:dyDescent="0.25">
      <c r="A53">
        <v>1978</v>
      </c>
      <c r="B53">
        <v>10913428000</v>
      </c>
      <c r="C53">
        <v>19995292000</v>
      </c>
      <c r="D53">
        <v>10020932000</v>
      </c>
      <c r="E53">
        <v>19904086000</v>
      </c>
      <c r="F53">
        <f t="shared" si="0"/>
        <v>29925018000</v>
      </c>
      <c r="G53">
        <v>7088557252.3719158</v>
      </c>
      <c r="H53">
        <f t="shared" si="1"/>
        <v>37013575252.371918</v>
      </c>
      <c r="I53">
        <v>16267946207.661295</v>
      </c>
      <c r="J53">
        <f t="shared" si="2"/>
        <v>1.4966032003933727</v>
      </c>
      <c r="K53">
        <f t="shared" si="3"/>
        <v>1.8511145149754211</v>
      </c>
      <c r="L53">
        <v>36167733000</v>
      </c>
      <c r="M53">
        <v>845842252.37191653</v>
      </c>
      <c r="N53">
        <v>9974360000</v>
      </c>
      <c r="O53">
        <v>-5393465697.5806456</v>
      </c>
      <c r="P53">
        <v>-942843159.27419376</v>
      </c>
      <c r="Q53">
        <v>748692282.25806451</v>
      </c>
      <c r="R53">
        <v>0</v>
      </c>
      <c r="S53">
        <v>233098366.93548208</v>
      </c>
      <c r="T53">
        <f t="shared" si="4"/>
        <v>-5354518207.661293</v>
      </c>
    </row>
    <row r="54" spans="1:20" x14ac:dyDescent="0.25">
      <c r="A54">
        <v>1979</v>
      </c>
      <c r="B54">
        <v>13008809000</v>
      </c>
      <c r="C54">
        <v>23565732000</v>
      </c>
      <c r="D54">
        <v>12095464000</v>
      </c>
      <c r="E54">
        <v>22902734000</v>
      </c>
      <c r="F54">
        <f t="shared" si="0"/>
        <v>34998198000</v>
      </c>
      <c r="G54">
        <v>8404990799.1104517</v>
      </c>
      <c r="H54">
        <f t="shared" si="1"/>
        <v>43403188799.110451</v>
      </c>
      <c r="I54">
        <v>17235887391.129028</v>
      </c>
      <c r="J54">
        <f t="shared" si="2"/>
        <v>1.485130952011166</v>
      </c>
      <c r="K54">
        <f t="shared" si="3"/>
        <v>1.8417925146187035</v>
      </c>
      <c r="L54">
        <v>42323525000</v>
      </c>
      <c r="M54">
        <v>1079663799.1104522</v>
      </c>
      <c r="N54">
        <v>11470268000</v>
      </c>
      <c r="O54">
        <v>-5679081052.4193554</v>
      </c>
      <c r="P54">
        <v>-3468267766.1290317</v>
      </c>
      <c r="Q54">
        <v>2572201895.1612902</v>
      </c>
      <c r="R54">
        <v>0</v>
      </c>
      <c r="S54">
        <v>2348068532.2580647</v>
      </c>
      <c r="T54">
        <f t="shared" si="4"/>
        <v>-4227078391.1290317</v>
      </c>
    </row>
    <row r="55" spans="1:20" x14ac:dyDescent="0.25">
      <c r="A55">
        <v>1980</v>
      </c>
      <c r="B55">
        <v>16162629000</v>
      </c>
      <c r="C55">
        <v>27776183000</v>
      </c>
      <c r="D55">
        <v>14884647000</v>
      </c>
      <c r="E55">
        <v>29904792000</v>
      </c>
      <c r="F55">
        <f t="shared" si="0"/>
        <v>44789439000</v>
      </c>
      <c r="G55">
        <v>9633494170.3650684</v>
      </c>
      <c r="H55">
        <f t="shared" si="1"/>
        <v>54422933170.365067</v>
      </c>
      <c r="I55">
        <v>23442312798.387096</v>
      </c>
      <c r="J55">
        <f t="shared" si="2"/>
        <v>1.6125123815608502</v>
      </c>
      <c r="K55">
        <f t="shared" si="3"/>
        <v>1.9593380836512009</v>
      </c>
      <c r="L55">
        <v>53443477000</v>
      </c>
      <c r="M55">
        <v>979456170.36506796</v>
      </c>
      <c r="N55">
        <v>12891536000</v>
      </c>
      <c r="O55">
        <v>-8499515836.6935463</v>
      </c>
      <c r="P55">
        <v>1436204858.8709676</v>
      </c>
      <c r="Q55">
        <v>2503280169.3548388</v>
      </c>
      <c r="R55">
        <v>0</v>
      </c>
      <c r="S55">
        <v>-2719652989.9193573</v>
      </c>
      <c r="T55">
        <f t="shared" si="4"/>
        <v>-7279683798.3870974</v>
      </c>
    </row>
    <row r="56" spans="1:20" x14ac:dyDescent="0.25">
      <c r="A56">
        <v>1981</v>
      </c>
      <c r="B56">
        <v>18334000000</v>
      </c>
      <c r="C56">
        <v>30047000000</v>
      </c>
      <c r="D56">
        <v>16906761999.999998</v>
      </c>
      <c r="E56">
        <v>33140807000</v>
      </c>
      <c r="F56">
        <f t="shared" si="0"/>
        <v>50047569000</v>
      </c>
      <c r="G56">
        <v>10861998629.449347</v>
      </c>
      <c r="H56">
        <f t="shared" si="1"/>
        <v>60909567629.449348</v>
      </c>
      <c r="I56">
        <v>17459054331.451614</v>
      </c>
      <c r="J56">
        <f t="shared" si="2"/>
        <v>1.6656427929576996</v>
      </c>
      <c r="K56">
        <f t="shared" si="3"/>
        <v>2.0271430635154708</v>
      </c>
      <c r="L56">
        <v>59550759000.000008</v>
      </c>
      <c r="M56">
        <v>1358808629.4493463</v>
      </c>
      <c r="N56">
        <v>13140238000.000002</v>
      </c>
      <c r="O56">
        <v>-13784941662.096773</v>
      </c>
      <c r="P56">
        <v>10193644867.741936</v>
      </c>
      <c r="Q56">
        <v>9075276489.9193535</v>
      </c>
      <c r="R56">
        <v>0</v>
      </c>
      <c r="S56">
        <v>-4609034027.0161304</v>
      </c>
      <c r="T56">
        <f t="shared" si="4"/>
        <v>874945668.54838562</v>
      </c>
    </row>
    <row r="57" spans="1:20" x14ac:dyDescent="0.25">
      <c r="A57">
        <v>1982</v>
      </c>
      <c r="B57">
        <v>21582000000</v>
      </c>
      <c r="C57">
        <v>33902000000</v>
      </c>
      <c r="D57">
        <v>20024332000</v>
      </c>
      <c r="E57">
        <v>40142998000</v>
      </c>
      <c r="F57">
        <f t="shared" si="0"/>
        <v>60167330000</v>
      </c>
      <c r="G57">
        <v>12562381596.779188</v>
      </c>
      <c r="H57">
        <f t="shared" si="1"/>
        <v>72729711596.77919</v>
      </c>
      <c r="I57">
        <v>7412709042.4242439</v>
      </c>
      <c r="J57">
        <f t="shared" si="2"/>
        <v>1.774742788036104</v>
      </c>
      <c r="K57">
        <f t="shared" si="3"/>
        <v>2.1452926552055689</v>
      </c>
      <c r="L57">
        <v>71995189000</v>
      </c>
      <c r="M57">
        <v>734522596.77918863</v>
      </c>
      <c r="N57">
        <v>13877668000.000002</v>
      </c>
      <c r="O57">
        <v>-6457435693.939394</v>
      </c>
      <c r="P57">
        <v>14311085087.87879</v>
      </c>
      <c r="Q57">
        <v>1896983124.2424242</v>
      </c>
      <c r="R57">
        <v>0</v>
      </c>
      <c r="S57">
        <v>4419811439.3939342</v>
      </c>
      <c r="T57">
        <f t="shared" si="4"/>
        <v>14170443957.575754</v>
      </c>
    </row>
    <row r="58" spans="1:20" x14ac:dyDescent="0.25">
      <c r="A58">
        <v>1983</v>
      </c>
      <c r="B58">
        <v>26816000000</v>
      </c>
      <c r="C58">
        <v>38828000000</v>
      </c>
      <c r="D58">
        <v>24918471000</v>
      </c>
      <c r="E58">
        <v>53531927000</v>
      </c>
      <c r="F58">
        <f t="shared" si="0"/>
        <v>78450398000</v>
      </c>
      <c r="G58">
        <v>19628331466.160221</v>
      </c>
      <c r="H58">
        <f t="shared" si="1"/>
        <v>98078729466.160217</v>
      </c>
      <c r="I58">
        <v>13312521615.526798</v>
      </c>
      <c r="J58">
        <f t="shared" si="2"/>
        <v>2.0204594107345213</v>
      </c>
      <c r="K58">
        <f t="shared" si="3"/>
        <v>2.5259794340723247</v>
      </c>
      <c r="L58">
        <v>95739429000</v>
      </c>
      <c r="M58">
        <v>2339300466.1602216</v>
      </c>
      <c r="N58">
        <v>13909528999.999998</v>
      </c>
      <c r="O58">
        <v>-118770487639.55638</v>
      </c>
      <c r="P58">
        <v>57175813495.378937</v>
      </c>
      <c r="Q58">
        <v>-2551070776.3401079</v>
      </c>
      <c r="R58">
        <v>-75744130275.415894</v>
      </c>
      <c r="S58">
        <v>153393539580.40665</v>
      </c>
      <c r="T58">
        <f t="shared" si="4"/>
        <v>13503664384.473206</v>
      </c>
    </row>
    <row r="59" spans="1:20" x14ac:dyDescent="0.25">
      <c r="A59">
        <v>1984</v>
      </c>
      <c r="B59">
        <v>37845000000</v>
      </c>
      <c r="C59">
        <v>56204000000</v>
      </c>
      <c r="D59">
        <v>34622000000</v>
      </c>
      <c r="E59">
        <v>76908000000</v>
      </c>
      <c r="F59">
        <f t="shared" si="0"/>
        <v>111530000000</v>
      </c>
      <c r="G59">
        <v>34948491235.95314</v>
      </c>
      <c r="H59">
        <f t="shared" si="1"/>
        <v>146478491235.95313</v>
      </c>
      <c r="I59">
        <v>16469158714.285704</v>
      </c>
      <c r="J59">
        <f t="shared" si="2"/>
        <v>1.9843783360614904</v>
      </c>
      <c r="K59">
        <f t="shared" si="3"/>
        <v>2.6061933534259683</v>
      </c>
      <c r="L59">
        <v>142916504000.00003</v>
      </c>
      <c r="M59">
        <v>3561987235.9531341</v>
      </c>
      <c r="N59">
        <v>21582000000</v>
      </c>
      <c r="O59">
        <v>-163229550285.71429</v>
      </c>
      <c r="P59">
        <v>109884502225.5639</v>
      </c>
      <c r="Q59">
        <v>-7573820127.8195486</v>
      </c>
      <c r="R59">
        <v>-166139291751.87967</v>
      </c>
      <c r="S59">
        <v>248433655225.5639</v>
      </c>
      <c r="T59">
        <f t="shared" si="4"/>
        <v>21375495285.714294</v>
      </c>
    </row>
    <row r="60" spans="1:20" x14ac:dyDescent="0.25">
      <c r="A60">
        <v>1985</v>
      </c>
      <c r="B60">
        <v>46526000000</v>
      </c>
      <c r="C60">
        <v>71573000000</v>
      </c>
      <c r="D60">
        <v>41697000000</v>
      </c>
      <c r="E60">
        <v>96149000000</v>
      </c>
      <c r="F60">
        <f t="shared" si="0"/>
        <v>137846000000</v>
      </c>
      <c r="G60">
        <v>92706879062.348572</v>
      </c>
      <c r="H60">
        <f t="shared" si="1"/>
        <v>230552879062.34857</v>
      </c>
      <c r="I60">
        <v>18900418894.736835</v>
      </c>
      <c r="J60">
        <f t="shared" si="2"/>
        <v>1.9259497296466546</v>
      </c>
      <c r="K60">
        <f t="shared" si="3"/>
        <v>3.2212269859073754</v>
      </c>
      <c r="L60">
        <v>226094000000</v>
      </c>
      <c r="M60">
        <v>4458879062.3485708</v>
      </c>
      <c r="N60">
        <v>29876000000</v>
      </c>
      <c r="O60">
        <v>-94181042578.947357</v>
      </c>
      <c r="P60">
        <v>116710843694.73685</v>
      </c>
      <c r="Q60">
        <v>-912512926.31579053</v>
      </c>
      <c r="R60">
        <v>-310512031894.73682</v>
      </c>
      <c r="S60">
        <v>316519991810.52631</v>
      </c>
      <c r="T60">
        <f t="shared" si="4"/>
        <v>27625248105.263184</v>
      </c>
    </row>
    <row r="61" spans="1:20" x14ac:dyDescent="0.25">
      <c r="A61">
        <v>1986</v>
      </c>
      <c r="B61">
        <v>59568000000</v>
      </c>
      <c r="C61">
        <v>98885000000</v>
      </c>
      <c r="D61">
        <v>53346000000</v>
      </c>
      <c r="E61">
        <v>112654000000</v>
      </c>
      <c r="F61">
        <f t="shared" si="0"/>
        <v>166000000000</v>
      </c>
      <c r="G61">
        <v>135565564430.79045</v>
      </c>
      <c r="H61">
        <f t="shared" si="1"/>
        <v>301565564430.79047</v>
      </c>
      <c r="I61">
        <v>-11095714736.8421</v>
      </c>
      <c r="J61">
        <f t="shared" si="2"/>
        <v>1.6787177023815543</v>
      </c>
      <c r="K61">
        <f t="shared" si="3"/>
        <v>3.0496593460159827</v>
      </c>
      <c r="L61">
        <v>291954128000</v>
      </c>
      <c r="M61">
        <v>9611436430.7904739</v>
      </c>
      <c r="N61">
        <v>45539000000</v>
      </c>
      <c r="O61">
        <v>-101417398947.36841</v>
      </c>
      <c r="P61">
        <v>116832331578.9474</v>
      </c>
      <c r="Q61">
        <v>-6227456842.1052608</v>
      </c>
      <c r="R61">
        <v>-511414392631.57898</v>
      </c>
      <c r="S61">
        <v>572890131578.94727</v>
      </c>
      <c r="T61">
        <f t="shared" si="4"/>
        <v>70663214736.84201</v>
      </c>
    </row>
    <row r="62" spans="1:20" x14ac:dyDescent="0.25">
      <c r="A62">
        <v>1987</v>
      </c>
      <c r="B62">
        <v>80252000000</v>
      </c>
      <c r="C62">
        <v>135339000000</v>
      </c>
      <c r="D62">
        <v>73494000000</v>
      </c>
      <c r="E62">
        <v>146081000000</v>
      </c>
      <c r="F62">
        <f t="shared" si="0"/>
        <v>219575000000</v>
      </c>
      <c r="G62">
        <v>202768373346.89725</v>
      </c>
      <c r="H62">
        <f t="shared" si="1"/>
        <v>422343373346.89722</v>
      </c>
      <c r="I62">
        <v>-33482378842.105259</v>
      </c>
      <c r="J62">
        <f t="shared" si="2"/>
        <v>1.6224074361418364</v>
      </c>
      <c r="K62">
        <f t="shared" si="3"/>
        <v>3.120633175558392</v>
      </c>
      <c r="L62">
        <v>408896000000</v>
      </c>
      <c r="M62">
        <v>13447373346.897253</v>
      </c>
      <c r="N62">
        <v>61845000000</v>
      </c>
      <c r="O62">
        <v>-77741852526.315796</v>
      </c>
      <c r="P62">
        <v>91010656136.842117</v>
      </c>
      <c r="Q62">
        <v>-54688130831.578949</v>
      </c>
      <c r="R62">
        <v>-770253317178.94751</v>
      </c>
      <c r="S62">
        <v>925407076242.10535</v>
      </c>
      <c r="T62">
        <f t="shared" si="4"/>
        <v>113734431842.10522</v>
      </c>
    </row>
    <row r="63" spans="1:20" x14ac:dyDescent="0.25">
      <c r="A63">
        <v>1988</v>
      </c>
      <c r="B63">
        <v>132465000000</v>
      </c>
      <c r="C63">
        <v>219126000000</v>
      </c>
      <c r="D63">
        <v>122470000000</v>
      </c>
      <c r="E63">
        <v>215197000000</v>
      </c>
      <c r="F63">
        <f t="shared" si="0"/>
        <v>337667000000</v>
      </c>
      <c r="G63">
        <v>286569457020</v>
      </c>
      <c r="H63">
        <f t="shared" si="1"/>
        <v>624236457020</v>
      </c>
      <c r="I63">
        <v>-79810082421.743576</v>
      </c>
      <c r="J63">
        <f t="shared" si="2"/>
        <v>1.5409718609384555</v>
      </c>
      <c r="K63">
        <f t="shared" si="3"/>
        <v>2.848755770743773</v>
      </c>
      <c r="L63">
        <v>600688000000</v>
      </c>
      <c r="M63">
        <v>23548457019.999996</v>
      </c>
      <c r="N63">
        <v>96656000000</v>
      </c>
      <c r="O63">
        <v>-97014000000</v>
      </c>
      <c r="P63">
        <v>35511524582.025627</v>
      </c>
      <c r="Q63">
        <v>-92986871597.384598</v>
      </c>
      <c r="R63">
        <v>-1501688365517.4617</v>
      </c>
      <c r="S63">
        <v>1868452905586.5386</v>
      </c>
      <c r="T63">
        <f t="shared" si="4"/>
        <v>212275193053.71796</v>
      </c>
    </row>
    <row r="64" spans="1:20" x14ac:dyDescent="0.25">
      <c r="A64">
        <v>1989</v>
      </c>
      <c r="B64">
        <v>190402000000</v>
      </c>
      <c r="C64">
        <v>313675000000</v>
      </c>
      <c r="D64">
        <v>174307000000</v>
      </c>
      <c r="E64">
        <v>292000000000</v>
      </c>
      <c r="F64">
        <f t="shared" si="0"/>
        <v>466307000000</v>
      </c>
      <c r="G64">
        <v>443785153536.58539</v>
      </c>
      <c r="H64">
        <f t="shared" si="1"/>
        <v>910092153536.58545</v>
      </c>
      <c r="I64">
        <v>133208887666.15382</v>
      </c>
      <c r="J64">
        <f t="shared" si="2"/>
        <v>1.4865928110305253</v>
      </c>
      <c r="K64">
        <f t="shared" si="3"/>
        <v>2.9013856811559271</v>
      </c>
      <c r="L64">
        <v>866711000000</v>
      </c>
      <c r="M64">
        <v>43381153536.585365</v>
      </c>
      <c r="N64">
        <v>139368000000</v>
      </c>
      <c r="O64">
        <v>-279052000000</v>
      </c>
      <c r="P64">
        <v>47000000</v>
      </c>
      <c r="Q64">
        <v>-47121832055.384598</v>
      </c>
      <c r="R64">
        <v>-2261781570475.3853</v>
      </c>
      <c r="S64">
        <v>2645101303376.3081</v>
      </c>
      <c r="T64">
        <f t="shared" si="4"/>
        <v>57192900845.538269</v>
      </c>
    </row>
    <row r="65" spans="1:20" x14ac:dyDescent="0.25">
      <c r="A65">
        <v>1990</v>
      </c>
      <c r="B65">
        <v>294719000000</v>
      </c>
      <c r="C65">
        <v>508494000000</v>
      </c>
      <c r="D65">
        <v>269972000000</v>
      </c>
      <c r="E65">
        <v>439696000000</v>
      </c>
      <c r="F65">
        <f t="shared" si="0"/>
        <v>709668000000</v>
      </c>
      <c r="G65">
        <v>781887465195.24622</v>
      </c>
      <c r="H65">
        <f t="shared" si="1"/>
        <v>1491555465195.2461</v>
      </c>
      <c r="I65">
        <v>535038357808.99994</v>
      </c>
      <c r="J65">
        <f t="shared" si="2"/>
        <v>1.3956270870452749</v>
      </c>
      <c r="K65">
        <f t="shared" si="3"/>
        <v>2.9332803635740956</v>
      </c>
      <c r="L65">
        <v>1432831000000</v>
      </c>
      <c r="M65">
        <v>58724465195.246178</v>
      </c>
      <c r="N65">
        <v>238521000000</v>
      </c>
      <c r="O65">
        <v>-659789598747.84619</v>
      </c>
      <c r="P65">
        <v>-135876010883.92307</v>
      </c>
      <c r="Q65">
        <v>-49084086411.000008</v>
      </c>
      <c r="R65">
        <v>-2976158469967.9233</v>
      </c>
      <c r="S65">
        <v>3580588545201.6929</v>
      </c>
      <c r="T65">
        <f t="shared" si="4"/>
        <v>-240319620808.99976</v>
      </c>
    </row>
    <row r="66" spans="1:20" x14ac:dyDescent="0.25">
      <c r="A66">
        <v>1991</v>
      </c>
      <c r="B66">
        <v>425504000000</v>
      </c>
      <c r="C66">
        <v>742329000000</v>
      </c>
      <c r="D66">
        <v>379733000000</v>
      </c>
      <c r="E66">
        <v>659748000000</v>
      </c>
      <c r="F66">
        <f t="shared" si="0"/>
        <v>1039481000000</v>
      </c>
      <c r="G66">
        <v>1318804435111.2847</v>
      </c>
      <c r="H66">
        <f t="shared" si="1"/>
        <v>2358285435111.2847</v>
      </c>
      <c r="I66">
        <v>975775748296.92322</v>
      </c>
      <c r="J66">
        <f t="shared" si="2"/>
        <v>1.4002969033945865</v>
      </c>
      <c r="K66">
        <f t="shared" si="3"/>
        <v>3.17687364377693</v>
      </c>
      <c r="L66">
        <v>2258703000000</v>
      </c>
      <c r="M66">
        <v>99582435111.284653</v>
      </c>
      <c r="N66">
        <v>362596000000</v>
      </c>
      <c r="O66">
        <v>-976961360154.46167</v>
      </c>
      <c r="P66">
        <v>-218489643813.2308</v>
      </c>
      <c r="Q66">
        <v>-95826102081.230774</v>
      </c>
      <c r="R66">
        <v>-5597104967868.6162</v>
      </c>
      <c r="S66">
        <v>6338110105620.6162</v>
      </c>
      <c r="T66">
        <f t="shared" si="4"/>
        <v>-550271968296.92322</v>
      </c>
    </row>
    <row r="67" spans="1:20" x14ac:dyDescent="0.25">
      <c r="A67">
        <v>1992</v>
      </c>
      <c r="B67">
        <v>661013000000</v>
      </c>
      <c r="C67">
        <v>1172162000000</v>
      </c>
      <c r="D67">
        <v>591154000000</v>
      </c>
      <c r="E67">
        <v>910763000000</v>
      </c>
      <c r="F67">
        <f t="shared" ref="F67:F100" si="5">E67+D67</f>
        <v>1501917000000</v>
      </c>
      <c r="G67">
        <v>2198148299701.6543</v>
      </c>
      <c r="H67">
        <f t="shared" ref="H67:H100" si="6">G67+F67</f>
        <v>3700065299701.6543</v>
      </c>
      <c r="I67">
        <v>1563632789743.5898</v>
      </c>
      <c r="J67">
        <f t="shared" ref="J67:J100" si="7">F67/C67</f>
        <v>1.2813220356913122</v>
      </c>
      <c r="K67">
        <f t="shared" ref="K67:K100" si="8">H67/C67</f>
        <v>3.1566159794479383</v>
      </c>
      <c r="L67">
        <v>3461480000000</v>
      </c>
      <c r="M67">
        <v>238585299701.65448</v>
      </c>
      <c r="N67">
        <v>581008000000</v>
      </c>
      <c r="O67">
        <v>-1319555051871.7947</v>
      </c>
      <c r="P67">
        <v>-571076510794.8717</v>
      </c>
      <c r="Q67">
        <v>-338368896128.20514</v>
      </c>
      <c r="R67">
        <v>-8005868569230.7686</v>
      </c>
      <c r="S67">
        <v>9332249407282.0508</v>
      </c>
      <c r="T67">
        <f t="shared" ref="T67:T100" si="9">S67+R67+Q67+P67+O67</f>
        <v>-902619620743.58923</v>
      </c>
    </row>
    <row r="68" spans="1:20" x14ac:dyDescent="0.25">
      <c r="A68">
        <v>1993</v>
      </c>
      <c r="B68">
        <v>933158000000</v>
      </c>
      <c r="C68">
        <v>1616583000000</v>
      </c>
      <c r="D68">
        <v>846817000000</v>
      </c>
      <c r="E68">
        <v>1397153000000</v>
      </c>
      <c r="F68">
        <f t="shared" si="5"/>
        <v>2243970000000</v>
      </c>
      <c r="G68">
        <v>3410733073753.9448</v>
      </c>
      <c r="H68">
        <f t="shared" si="6"/>
        <v>5654703073753.9453</v>
      </c>
      <c r="I68">
        <v>2543882400000</v>
      </c>
      <c r="J68">
        <f t="shared" si="7"/>
        <v>1.3880945178812347</v>
      </c>
      <c r="K68">
        <f t="shared" si="8"/>
        <v>3.4979355057884103</v>
      </c>
      <c r="L68">
        <v>5225781000000</v>
      </c>
      <c r="M68">
        <v>428922073753.94452</v>
      </c>
      <c r="N68">
        <v>769766000000</v>
      </c>
      <c r="O68">
        <v>-1852955800000</v>
      </c>
      <c r="P68">
        <v>-926588700000</v>
      </c>
      <c r="Q68">
        <v>-243315200000</v>
      </c>
      <c r="R68">
        <v>-7982127900000</v>
      </c>
      <c r="S68">
        <v>9394262900000</v>
      </c>
      <c r="T68">
        <f t="shared" si="9"/>
        <v>-1610724700000</v>
      </c>
    </row>
    <row r="69" spans="1:20" x14ac:dyDescent="0.25">
      <c r="A69">
        <v>1994</v>
      </c>
      <c r="B69">
        <v>1268667000000</v>
      </c>
      <c r="C69">
        <v>1858129000000</v>
      </c>
      <c r="D69">
        <v>1111611000000</v>
      </c>
      <c r="E69">
        <v>1934132000000</v>
      </c>
      <c r="F69">
        <f t="shared" si="5"/>
        <v>3045743000000</v>
      </c>
      <c r="G69">
        <v>5818883412823.8125</v>
      </c>
      <c r="H69">
        <f t="shared" si="6"/>
        <v>8864626412823.8125</v>
      </c>
      <c r="I69">
        <v>3931845901000.0005</v>
      </c>
      <c r="J69">
        <f t="shared" si="7"/>
        <v>1.6391450755033692</v>
      </c>
      <c r="K69">
        <f t="shared" si="8"/>
        <v>4.7707271200351604</v>
      </c>
      <c r="L69">
        <v>7952497000000</v>
      </c>
      <c r="M69">
        <v>912129412823.81189</v>
      </c>
      <c r="N69">
        <v>746518000000</v>
      </c>
      <c r="O69">
        <v>-2564648738475.0005</v>
      </c>
      <c r="P69">
        <v>-1071016929553</v>
      </c>
      <c r="Q69">
        <v>-143974835189</v>
      </c>
      <c r="R69">
        <v>-9061485058000</v>
      </c>
      <c r="S69">
        <v>10177946482217</v>
      </c>
      <c r="T69">
        <f t="shared" si="9"/>
        <v>-2663179079000.0005</v>
      </c>
    </row>
    <row r="70" spans="1:20" x14ac:dyDescent="0.25">
      <c r="A70">
        <v>1995</v>
      </c>
      <c r="B70">
        <v>1608602000000</v>
      </c>
      <c r="C70">
        <v>2411848000000</v>
      </c>
      <c r="D70">
        <v>1364316000000</v>
      </c>
      <c r="E70">
        <v>2068026000000</v>
      </c>
      <c r="F70">
        <f t="shared" si="5"/>
        <v>3432342000000</v>
      </c>
      <c r="G70">
        <v>9142083673293.7246</v>
      </c>
      <c r="H70">
        <f t="shared" si="6"/>
        <v>12574425673293.725</v>
      </c>
      <c r="I70">
        <v>4548411629000.001</v>
      </c>
      <c r="J70">
        <f t="shared" si="7"/>
        <v>1.4231170455186231</v>
      </c>
      <c r="K70">
        <f t="shared" si="8"/>
        <v>5.2136061946249201</v>
      </c>
      <c r="L70">
        <v>10357040603000</v>
      </c>
      <c r="M70">
        <v>2217385070293.7256</v>
      </c>
      <c r="N70">
        <v>1047532000000</v>
      </c>
      <c r="O70">
        <v>-2470781000000</v>
      </c>
      <c r="P70">
        <v>-595768000000</v>
      </c>
      <c r="Q70">
        <v>-119729000000</v>
      </c>
      <c r="R70">
        <v>-522671645000</v>
      </c>
      <c r="S70">
        <v>769140000000</v>
      </c>
      <c r="T70">
        <f t="shared" si="9"/>
        <v>-2939809645000</v>
      </c>
    </row>
    <row r="71" spans="1:20" x14ac:dyDescent="0.25">
      <c r="A71">
        <v>1996</v>
      </c>
      <c r="B71">
        <v>2321693000000</v>
      </c>
      <c r="C71">
        <v>3062398000000</v>
      </c>
      <c r="D71">
        <v>1859012000000</v>
      </c>
      <c r="E71">
        <v>2788536000000</v>
      </c>
      <c r="F71">
        <f t="shared" si="5"/>
        <v>4647548000000</v>
      </c>
      <c r="G71">
        <v>13435461431205.283</v>
      </c>
      <c r="H71">
        <f t="shared" si="6"/>
        <v>18083009431205.281</v>
      </c>
      <c r="I71">
        <v>6642697192000</v>
      </c>
      <c r="J71">
        <f t="shared" si="7"/>
        <v>1.5176172398231713</v>
      </c>
      <c r="K71">
        <f t="shared" si="8"/>
        <v>5.904852808552409</v>
      </c>
      <c r="L71">
        <v>14318924000000</v>
      </c>
      <c r="M71">
        <v>3764084431205.2832</v>
      </c>
      <c r="N71">
        <v>1203386000000</v>
      </c>
      <c r="O71">
        <v>-3207975000000</v>
      </c>
      <c r="P71">
        <v>-610408000000</v>
      </c>
      <c r="Q71">
        <v>-163489000000</v>
      </c>
      <c r="R71">
        <v>-574886558000</v>
      </c>
      <c r="S71">
        <v>235754000000</v>
      </c>
      <c r="T71">
        <f t="shared" si="9"/>
        <v>-4321004558000</v>
      </c>
    </row>
    <row r="72" spans="1:20" x14ac:dyDescent="0.25">
      <c r="A72">
        <v>1997</v>
      </c>
      <c r="B72">
        <v>2906495000000</v>
      </c>
      <c r="C72">
        <v>4029362000000</v>
      </c>
      <c r="D72">
        <v>2357325000000</v>
      </c>
      <c r="E72">
        <v>3672653000000</v>
      </c>
      <c r="F72">
        <f t="shared" si="5"/>
        <v>6029978000000</v>
      </c>
      <c r="G72">
        <v>18394475000000</v>
      </c>
      <c r="H72">
        <f t="shared" si="6"/>
        <v>24424453000000</v>
      </c>
      <c r="I72">
        <v>9290361000000</v>
      </c>
      <c r="J72">
        <f t="shared" si="7"/>
        <v>1.4965093729478762</v>
      </c>
      <c r="K72">
        <f t="shared" si="8"/>
        <v>6.0616179434858424</v>
      </c>
      <c r="L72">
        <v>17635041000000</v>
      </c>
      <c r="M72">
        <v>6789413000000</v>
      </c>
      <c r="N72">
        <v>1672037000000</v>
      </c>
      <c r="O72">
        <v>-3529119000000</v>
      </c>
      <c r="P72">
        <v>-1991446000000</v>
      </c>
      <c r="Q72">
        <v>-89628000000</v>
      </c>
      <c r="R72">
        <v>-553212000000</v>
      </c>
      <c r="S72">
        <v>-220461000000</v>
      </c>
      <c r="T72">
        <f t="shared" si="9"/>
        <v>-6383866000000</v>
      </c>
    </row>
    <row r="73" spans="1:20" x14ac:dyDescent="0.25">
      <c r="A73">
        <v>1998</v>
      </c>
      <c r="B73">
        <v>4192128000000</v>
      </c>
      <c r="C73">
        <v>5689445000000</v>
      </c>
      <c r="D73">
        <v>3466923000000</v>
      </c>
      <c r="E73">
        <v>4663376000000</v>
      </c>
      <c r="F73">
        <f t="shared" si="5"/>
        <v>8130299000000</v>
      </c>
      <c r="G73">
        <v>26731761000000</v>
      </c>
      <c r="H73">
        <f t="shared" si="6"/>
        <v>34862060000000</v>
      </c>
      <c r="I73">
        <v>11074696000000</v>
      </c>
      <c r="J73">
        <f t="shared" si="7"/>
        <v>1.4290144293511933</v>
      </c>
      <c r="K73">
        <f t="shared" si="8"/>
        <v>6.1274974975590766</v>
      </c>
      <c r="L73">
        <v>23167205000000</v>
      </c>
      <c r="M73">
        <v>11694855000000</v>
      </c>
      <c r="N73">
        <v>2222522000000</v>
      </c>
      <c r="O73">
        <v>-3452873000000</v>
      </c>
      <c r="P73">
        <v>1499873000000</v>
      </c>
      <c r="Q73">
        <v>-50239000000</v>
      </c>
      <c r="R73">
        <v>-2824520000000</v>
      </c>
      <c r="S73">
        <v>-2054811000000</v>
      </c>
      <c r="T73">
        <f t="shared" si="9"/>
        <v>-6882570000000</v>
      </c>
    </row>
    <row r="74" spans="1:20" x14ac:dyDescent="0.25">
      <c r="A74">
        <v>1999</v>
      </c>
      <c r="B74">
        <v>10568129000000</v>
      </c>
      <c r="C74">
        <v>13410226000000</v>
      </c>
      <c r="D74">
        <v>9039459000000</v>
      </c>
      <c r="E74">
        <v>6291555000000</v>
      </c>
      <c r="F74">
        <f t="shared" si="5"/>
        <v>15331014000000</v>
      </c>
      <c r="G74">
        <v>47709821000000</v>
      </c>
      <c r="H74">
        <f t="shared" si="6"/>
        <v>63040835000000</v>
      </c>
      <c r="I74">
        <v>23330986000000</v>
      </c>
      <c r="J74">
        <f t="shared" si="7"/>
        <v>1.1432330819778875</v>
      </c>
      <c r="K74">
        <f t="shared" si="8"/>
        <v>4.7009524671694569</v>
      </c>
      <c r="L74">
        <v>34746973000000</v>
      </c>
      <c r="M74">
        <v>28293862000000</v>
      </c>
      <c r="N74">
        <v>4370767000000</v>
      </c>
      <c r="O74">
        <v>-9130392000000</v>
      </c>
      <c r="P74">
        <v>-5369008000000</v>
      </c>
      <c r="Q74">
        <v>-319526000000</v>
      </c>
      <c r="R74">
        <v>-9055647000000</v>
      </c>
      <c r="S74">
        <v>11111715000000</v>
      </c>
      <c r="T74">
        <f t="shared" si="9"/>
        <v>-12762858000000</v>
      </c>
    </row>
    <row r="75" spans="1:20" x14ac:dyDescent="0.25">
      <c r="A75">
        <v>2000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9"/>
        <v>0</v>
      </c>
    </row>
    <row r="76" spans="1:20" x14ac:dyDescent="0.25">
      <c r="A76">
        <v>2001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9"/>
        <v>0</v>
      </c>
    </row>
    <row r="77" spans="1:20" x14ac:dyDescent="0.25">
      <c r="A77">
        <v>2002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9"/>
        <v>0</v>
      </c>
    </row>
    <row r="78" spans="1:20" x14ac:dyDescent="0.25">
      <c r="A78">
        <v>2003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9"/>
        <v>0</v>
      </c>
    </row>
    <row r="79" spans="1:20" x14ac:dyDescent="0.25">
      <c r="A79">
        <v>2004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9"/>
        <v>0</v>
      </c>
    </row>
    <row r="80" spans="1:20" x14ac:dyDescent="0.25">
      <c r="A80">
        <v>2005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9"/>
        <v>0</v>
      </c>
    </row>
    <row r="81" spans="1:20" x14ac:dyDescent="0.25">
      <c r="A81">
        <v>2006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9"/>
        <v>0</v>
      </c>
    </row>
    <row r="82" spans="1:20" x14ac:dyDescent="0.25">
      <c r="A82">
        <v>2007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9"/>
        <v>0</v>
      </c>
    </row>
    <row r="83" spans="1:20" x14ac:dyDescent="0.25">
      <c r="A83">
        <v>2008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9"/>
        <v>0</v>
      </c>
    </row>
    <row r="84" spans="1:20" x14ac:dyDescent="0.25">
      <c r="A84">
        <v>2009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9"/>
        <v>0</v>
      </c>
    </row>
    <row r="85" spans="1:20" x14ac:dyDescent="0.25">
      <c r="A85">
        <v>2010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9"/>
        <v>0</v>
      </c>
    </row>
    <row r="86" spans="1:20" x14ac:dyDescent="0.25">
      <c r="A86">
        <v>2011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9"/>
        <v>0</v>
      </c>
    </row>
    <row r="87" spans="1:20" x14ac:dyDescent="0.25">
      <c r="A87">
        <v>2012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9"/>
        <v>0</v>
      </c>
    </row>
    <row r="88" spans="1:20" x14ac:dyDescent="0.25">
      <c r="A88">
        <v>2013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9"/>
        <v>0</v>
      </c>
    </row>
    <row r="89" spans="1:20" x14ac:dyDescent="0.25">
      <c r="A89">
        <v>2014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9"/>
        <v>0</v>
      </c>
    </row>
    <row r="90" spans="1:20" x14ac:dyDescent="0.25">
      <c r="A90">
        <v>2015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9"/>
        <v>0</v>
      </c>
    </row>
    <row r="91" spans="1:20" x14ac:dyDescent="0.25">
      <c r="A91">
        <v>2016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9"/>
        <v>0</v>
      </c>
    </row>
    <row r="92" spans="1:20" x14ac:dyDescent="0.25">
      <c r="A92">
        <v>2017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9"/>
        <v>0</v>
      </c>
    </row>
    <row r="93" spans="1:20" x14ac:dyDescent="0.25">
      <c r="A93">
        <v>2018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9"/>
        <v>0</v>
      </c>
    </row>
    <row r="94" spans="1:20" x14ac:dyDescent="0.25">
      <c r="A94">
        <v>2019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9"/>
        <v>0</v>
      </c>
    </row>
    <row r="95" spans="1:20" x14ac:dyDescent="0.25">
      <c r="A95">
        <v>2020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9"/>
        <v>0</v>
      </c>
    </row>
    <row r="96" spans="1:20" x14ac:dyDescent="0.25">
      <c r="A96">
        <v>2021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9"/>
        <v>0</v>
      </c>
    </row>
    <row r="97" spans="1:20" x14ac:dyDescent="0.25">
      <c r="A97">
        <v>2022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9"/>
        <v>0</v>
      </c>
    </row>
    <row r="98" spans="1:20" x14ac:dyDescent="0.25">
      <c r="A98">
        <v>2023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si="9"/>
        <v>0</v>
      </c>
    </row>
    <row r="99" spans="1:20" x14ac:dyDescent="0.25">
      <c r="A99">
        <v>2024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9"/>
        <v>0</v>
      </c>
    </row>
    <row r="100" spans="1:20" x14ac:dyDescent="0.25">
      <c r="A100">
        <v>2025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monetario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>Jaramillo Vasconez Oscar Eduardo</cp:lastModifiedBy>
  <dcterms:created xsi:type="dcterms:W3CDTF">2015-06-05T18:17:20Z</dcterms:created>
  <dcterms:modified xsi:type="dcterms:W3CDTF">2025-07-25T18:21:18Z</dcterms:modified>
</cp:coreProperties>
</file>