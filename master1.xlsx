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EDU\repositorios\historia-fiscal-y-monetaria-Ecuador\"/>
    </mc:Choice>
  </mc:AlternateContent>
  <xr:revisionPtr revIDLastSave="0" documentId="13_ncr:1_{923D1E52-A61C-4971-803B-19FDA7ADF308}" xr6:coauthVersionLast="47" xr6:coauthVersionMax="47" xr10:uidLastSave="{00000000-0000-0000-0000-000000000000}"/>
  <bookViews>
    <workbookView xWindow="3255" yWindow="4335" windowWidth="18750" windowHeight="15285" tabRatio="500" xr2:uid="{00000000-000D-0000-FFFF-FFFF00000000}"/>
  </bookViews>
  <sheets>
    <sheet name="datos" sheetId="2" r:id="rId1"/>
    <sheet name="ipc chain linking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41" i="2" l="1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40" i="2"/>
  <c r="F20" i="2" l="1"/>
  <c r="F19" i="2"/>
  <c r="F18" i="2"/>
  <c r="F17" i="2"/>
  <c r="F16" i="2"/>
  <c r="F15" i="2"/>
  <c r="F21" i="2" l="1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E61" i="3" l="1"/>
  <c r="E15" i="3"/>
  <c r="E99" i="3" l="1"/>
  <c r="E98" i="3"/>
  <c r="E97" i="3"/>
  <c r="E96" i="3"/>
  <c r="E95" i="3"/>
  <c r="E94" i="3"/>
  <c r="E93" i="3"/>
  <c r="E92" i="3"/>
  <c r="E91" i="3"/>
  <c r="E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D102" i="3" s="1"/>
  <c r="E42" i="3" l="1"/>
  <c r="E34" i="3"/>
  <c r="E26" i="3"/>
  <c r="E18" i="3"/>
  <c r="E41" i="3"/>
  <c r="E33" i="3"/>
  <c r="E25" i="3"/>
  <c r="E17" i="3"/>
  <c r="E40" i="3"/>
  <c r="E32" i="3"/>
  <c r="E24" i="3"/>
  <c r="E16" i="3"/>
  <c r="E39" i="3"/>
  <c r="E31" i="3"/>
  <c r="E23" i="3"/>
  <c r="E38" i="3"/>
  <c r="E30" i="3"/>
  <c r="E22" i="3"/>
  <c r="E37" i="3"/>
  <c r="E29" i="3"/>
  <c r="E21" i="3"/>
  <c r="E36" i="3"/>
  <c r="E28" i="3"/>
  <c r="E20" i="3"/>
  <c r="E43" i="3"/>
  <c r="E35" i="3"/>
  <c r="E27" i="3"/>
  <c r="E19" i="3"/>
</calcChain>
</file>

<file path=xl/sharedStrings.xml><?xml version="1.0" encoding="utf-8"?>
<sst xmlns="http://schemas.openxmlformats.org/spreadsheetml/2006/main" count="33" uniqueCount="29">
  <si>
    <t>poblacion</t>
  </si>
  <si>
    <t>tipo_cambio_oficial_prom_compra</t>
  </si>
  <si>
    <t>tipo_cambio_oficial_prom_venta</t>
  </si>
  <si>
    <t>tipo_cambio_oficial_fin_compra</t>
  </si>
  <si>
    <t>tipo_cambio_oficial_fin_venta</t>
  </si>
  <si>
    <t>tipo_cambio_int_prom_compra</t>
  </si>
  <si>
    <t>tipo_cambio_int_prom_venta</t>
  </si>
  <si>
    <t>tipo_cambio_int_fin_compra</t>
  </si>
  <si>
    <t>tipo_cambio_int_fin_venta</t>
  </si>
  <si>
    <t>tipo_cambio_libre_prom_compra</t>
  </si>
  <si>
    <t>tipo_cambio_libre_prom_venta</t>
  </si>
  <si>
    <t>tipo_cambio_libre_fin_compra</t>
  </si>
  <si>
    <t>tipo_cambio_libre_fin_venta</t>
  </si>
  <si>
    <t>ano</t>
  </si>
  <si>
    <t>solapamiento</t>
  </si>
  <si>
    <t>solapamiento promedio</t>
  </si>
  <si>
    <t>ipc2004</t>
  </si>
  <si>
    <t>pond_ipc2014</t>
  </si>
  <si>
    <t>ipc2014</t>
  </si>
  <si>
    <t>ipc2007</t>
  </si>
  <si>
    <t>pib_ECS</t>
  </si>
  <si>
    <t>pib_USD</t>
  </si>
  <si>
    <t>pibreal2007USD</t>
  </si>
  <si>
    <t>pibreal2018USD</t>
  </si>
  <si>
    <t>fbkf_publico</t>
  </si>
  <si>
    <t>fbkf_publico2018</t>
  </si>
  <si>
    <t>fbkf_privada</t>
  </si>
  <si>
    <t>fbkf_privada2018</t>
  </si>
  <si>
    <t>pib_percapita2018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</si>
</sst>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6">
    <xf numFmtId="0" fontId="0" fillId="0" borderId="0" xfId="0"/>
    <xf numFmtId="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2">
    <cellStyle name="ANCLAS,REZONES Y SUS PARTES,DE FUNDICION,DE HIERRO O DE ACERO" xfId="1" xr:uid="{00000000-0005-0000-0000-000006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17"/>
  <sheetViews>
    <sheetView tabSelected="1" zoomScale="85" zoomScaleNormal="85" workbookViewId="0">
      <pane xSplit="1" ySplit="1" topLeftCell="R2" activePane="bottomRight" state="frozen"/>
      <selection pane="topRight" activeCell="N1" sqref="N1"/>
      <selection pane="bottomLeft" activeCell="A20" sqref="A20"/>
      <selection pane="bottomRight" activeCell="AA13" sqref="AA13"/>
    </sheetView>
  </sheetViews>
  <sheetFormatPr defaultColWidth="8.7109375" defaultRowHeight="15" x14ac:dyDescent="0.25"/>
  <cols>
    <col min="2" max="2" width="11.5703125" customWidth="1"/>
    <col min="3" max="4" width="12" customWidth="1"/>
    <col min="5" max="6" width="19.85546875" customWidth="1"/>
    <col min="7" max="7" width="29.85546875" customWidth="1"/>
    <col min="8" max="8" width="28.140625" customWidth="1"/>
    <col min="9" max="9" width="27.5703125" customWidth="1"/>
    <col min="10" max="10" width="25.85546875" customWidth="1"/>
    <col min="11" max="11" width="27.140625" customWidth="1"/>
    <col min="12" max="12" width="25.5703125" customWidth="1"/>
    <col min="13" max="13" width="25" customWidth="1"/>
    <col min="14" max="14" width="23.28515625" customWidth="1"/>
    <col min="15" max="15" width="28.5703125" customWidth="1"/>
    <col min="16" max="16" width="27" customWidth="1"/>
    <col min="17" max="17" width="26.28515625" customWidth="1"/>
    <col min="18" max="18" width="24.7109375" customWidth="1"/>
    <col min="19" max="25" width="17.7109375" customWidth="1"/>
    <col min="26" max="26" width="10.42578125" bestFit="1" customWidth="1"/>
  </cols>
  <sheetData>
    <row r="1" spans="1:27" x14ac:dyDescent="0.25">
      <c r="A1" t="s">
        <v>13</v>
      </c>
      <c r="B1" t="s">
        <v>20</v>
      </c>
      <c r="C1" s="5" t="s">
        <v>16</v>
      </c>
      <c r="D1" s="5" t="s">
        <v>18</v>
      </c>
      <c r="E1" s="5" t="s">
        <v>17</v>
      </c>
      <c r="F1" s="5" t="s">
        <v>19</v>
      </c>
      <c r="G1" t="s">
        <v>1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21</v>
      </c>
      <c r="T1" t="s">
        <v>23</v>
      </c>
      <c r="U1" t="s">
        <v>22</v>
      </c>
      <c r="V1" t="s">
        <v>24</v>
      </c>
      <c r="W1" t="s">
        <v>25</v>
      </c>
      <c r="X1" t="s">
        <v>26</v>
      </c>
      <c r="Y1" t="s">
        <v>27</v>
      </c>
      <c r="Z1" t="s">
        <v>0</v>
      </c>
      <c r="AA1" s="5" t="s">
        <v>28</v>
      </c>
    </row>
    <row r="2" spans="1:27" x14ac:dyDescent="0.25">
      <c r="A2">
        <v>1927</v>
      </c>
      <c r="H2">
        <v>4.9883333333333297</v>
      </c>
      <c r="Z2">
        <v>2257357</v>
      </c>
    </row>
    <row r="3" spans="1:27" x14ac:dyDescent="0.25">
      <c r="A3">
        <v>1928</v>
      </c>
      <c r="H3">
        <v>5.0016666666666696</v>
      </c>
      <c r="Z3">
        <v>2297561</v>
      </c>
    </row>
    <row r="4" spans="1:27" x14ac:dyDescent="0.25">
      <c r="A4">
        <v>1929</v>
      </c>
      <c r="H4">
        <v>5.0433333333333303</v>
      </c>
      <c r="Z4">
        <v>2338481</v>
      </c>
    </row>
    <row r="5" spans="1:27" x14ac:dyDescent="0.25">
      <c r="A5">
        <v>1930</v>
      </c>
      <c r="H5">
        <v>5.05</v>
      </c>
      <c r="Z5">
        <v>2380129</v>
      </c>
    </row>
    <row r="6" spans="1:27" x14ac:dyDescent="0.25">
      <c r="A6">
        <v>1931</v>
      </c>
      <c r="H6">
        <v>5.0599999999999996</v>
      </c>
      <c r="Z6">
        <v>2422519</v>
      </c>
    </row>
    <row r="7" spans="1:27" x14ac:dyDescent="0.25">
      <c r="A7">
        <v>1932</v>
      </c>
      <c r="H7">
        <v>5.93545454545455</v>
      </c>
      <c r="Z7">
        <v>2465664</v>
      </c>
    </row>
    <row r="8" spans="1:27" x14ac:dyDescent="0.25">
      <c r="A8">
        <v>1933</v>
      </c>
      <c r="H8">
        <v>6</v>
      </c>
      <c r="Z8">
        <v>2509578</v>
      </c>
    </row>
    <row r="9" spans="1:27" x14ac:dyDescent="0.25">
      <c r="A9">
        <v>1934</v>
      </c>
      <c r="H9">
        <v>10.795</v>
      </c>
      <c r="Z9">
        <v>2554273</v>
      </c>
    </row>
    <row r="10" spans="1:27" x14ac:dyDescent="0.25">
      <c r="A10">
        <v>1935</v>
      </c>
      <c r="H10">
        <v>10.5691666666667</v>
      </c>
      <c r="Z10">
        <v>2599765</v>
      </c>
    </row>
    <row r="11" spans="1:27" x14ac:dyDescent="0.25">
      <c r="A11">
        <v>1936</v>
      </c>
      <c r="H11">
        <v>10.5</v>
      </c>
      <c r="Z11">
        <v>2646067</v>
      </c>
    </row>
    <row r="12" spans="1:27" x14ac:dyDescent="0.25">
      <c r="A12">
        <v>1937</v>
      </c>
      <c r="G12" s="1"/>
      <c r="H12">
        <v>11.6675</v>
      </c>
      <c r="Z12">
        <v>2693193</v>
      </c>
    </row>
    <row r="13" spans="1:27" x14ac:dyDescent="0.25">
      <c r="A13">
        <v>1938</v>
      </c>
      <c r="G13" s="1"/>
      <c r="H13">
        <v>14.13</v>
      </c>
      <c r="Z13">
        <v>2741159</v>
      </c>
    </row>
    <row r="14" spans="1:27" x14ac:dyDescent="0.25">
      <c r="A14">
        <v>1939</v>
      </c>
      <c r="G14" s="1"/>
      <c r="H14">
        <v>14.8341666666667</v>
      </c>
      <c r="Z14">
        <v>2789979</v>
      </c>
    </row>
    <row r="15" spans="1:27" x14ac:dyDescent="0.25">
      <c r="A15">
        <v>1940</v>
      </c>
      <c r="C15">
        <v>3.4368996637377698E-3</v>
      </c>
      <c r="E15">
        <v>2.4953989350642398E-3</v>
      </c>
      <c r="F15">
        <f t="shared" ref="F15:F20" si="0">E15/$E$82*100</f>
        <v>3.3998913417775506E-3</v>
      </c>
      <c r="H15">
        <v>16.0425</v>
      </c>
      <c r="Z15">
        <v>2839668</v>
      </c>
    </row>
    <row r="16" spans="1:27" x14ac:dyDescent="0.25">
      <c r="A16">
        <v>1941</v>
      </c>
      <c r="C16">
        <v>3.5546017070164598E-3</v>
      </c>
      <c r="E16">
        <v>2.58085780270343E-3</v>
      </c>
      <c r="F16">
        <f t="shared" si="0"/>
        <v>3.5163259767699378E-3</v>
      </c>
      <c r="H16">
        <v>15</v>
      </c>
      <c r="Z16">
        <v>2890243</v>
      </c>
    </row>
    <row r="17" spans="1:26" x14ac:dyDescent="0.25">
      <c r="A17">
        <v>1942</v>
      </c>
      <c r="C17">
        <v>4.5668392792132103E-3</v>
      </c>
      <c r="E17">
        <v>3.3158040644004302E-3</v>
      </c>
      <c r="F17">
        <f t="shared" si="0"/>
        <v>4.5176638377044196E-3</v>
      </c>
      <c r="H17">
        <v>14.3925</v>
      </c>
      <c r="Z17">
        <v>2941718</v>
      </c>
    </row>
    <row r="18" spans="1:26" x14ac:dyDescent="0.25">
      <c r="A18">
        <v>1943</v>
      </c>
      <c r="C18">
        <v>5.57907685140995E-3</v>
      </c>
      <c r="E18">
        <v>4.0507503260974404E-3</v>
      </c>
      <c r="F18">
        <f t="shared" si="0"/>
        <v>5.519001698638914E-3</v>
      </c>
      <c r="H18">
        <v>14.1</v>
      </c>
      <c r="Z18">
        <v>2994110</v>
      </c>
    </row>
    <row r="19" spans="1:26" x14ac:dyDescent="0.25">
      <c r="A19">
        <v>1944</v>
      </c>
      <c r="C19">
        <v>6.8502589188198099E-3</v>
      </c>
      <c r="E19">
        <v>4.9737060966006498E-3</v>
      </c>
      <c r="F19">
        <f t="shared" si="0"/>
        <v>6.7764957565566346E-3</v>
      </c>
      <c r="H19">
        <v>14.03</v>
      </c>
      <c r="Z19">
        <v>3047435</v>
      </c>
    </row>
    <row r="20" spans="1:26" x14ac:dyDescent="0.25">
      <c r="A20">
        <v>1945</v>
      </c>
      <c r="C20">
        <v>8.8982744718690294E-3</v>
      </c>
      <c r="E20">
        <v>6.4606903935224896E-3</v>
      </c>
      <c r="F20">
        <f t="shared" si="0"/>
        <v>8.8024584054240771E-3</v>
      </c>
      <c r="H20">
        <v>13.5</v>
      </c>
      <c r="Z20">
        <v>3101710</v>
      </c>
    </row>
    <row r="21" spans="1:26" x14ac:dyDescent="0.25">
      <c r="A21">
        <v>1946</v>
      </c>
      <c r="C21">
        <v>1.0216537356590401E-2</v>
      </c>
      <c r="E21">
        <v>7.4178297110813803E-3</v>
      </c>
      <c r="F21">
        <f t="shared" ref="F21:F79" si="1">E21/$E$82*100</f>
        <v>1.0106526317338761E-2</v>
      </c>
      <c r="H21">
        <v>13.5</v>
      </c>
      <c r="Z21">
        <v>3156951</v>
      </c>
    </row>
    <row r="22" spans="1:26" x14ac:dyDescent="0.25">
      <c r="A22">
        <v>1947</v>
      </c>
      <c r="C22">
        <v>1.16760426932461E-2</v>
      </c>
      <c r="E22">
        <v>8.4775196698072906E-3</v>
      </c>
      <c r="F22">
        <f t="shared" si="1"/>
        <v>1.1550315791244294E-2</v>
      </c>
      <c r="H22">
        <v>13.5</v>
      </c>
      <c r="I22">
        <v>13.5</v>
      </c>
      <c r="J22">
        <v>13.5</v>
      </c>
      <c r="O22">
        <v>17.748571428571399</v>
      </c>
      <c r="P22">
        <v>18.068571428571399</v>
      </c>
      <c r="Z22">
        <v>3213177</v>
      </c>
    </row>
    <row r="23" spans="1:26" x14ac:dyDescent="0.25">
      <c r="A23">
        <v>1948</v>
      </c>
      <c r="C23">
        <v>1.3064926803934699E-2</v>
      </c>
      <c r="E23">
        <v>9.4859343079496897E-3</v>
      </c>
      <c r="F23">
        <f t="shared" si="1"/>
        <v>1.2924244484154404E-2</v>
      </c>
      <c r="H23">
        <v>13.5</v>
      </c>
      <c r="I23">
        <v>13.5</v>
      </c>
      <c r="J23">
        <v>13.5</v>
      </c>
      <c r="O23">
        <v>17.754166666666698</v>
      </c>
      <c r="P23">
        <v>18.050833333333301</v>
      </c>
      <c r="Z23">
        <v>3270403</v>
      </c>
    </row>
    <row r="24" spans="1:26" x14ac:dyDescent="0.25">
      <c r="A24">
        <v>1949</v>
      </c>
      <c r="C24">
        <v>1.2829522717377299E-2</v>
      </c>
      <c r="E24">
        <v>9.3150165726713207E-3</v>
      </c>
      <c r="F24">
        <f t="shared" si="1"/>
        <v>1.2691375214169643E-2</v>
      </c>
      <c r="H24">
        <v>13.5</v>
      </c>
      <c r="I24">
        <v>13.5</v>
      </c>
      <c r="J24">
        <v>13.5</v>
      </c>
      <c r="O24">
        <v>17.407499999999999</v>
      </c>
      <c r="P24">
        <v>17.633333333333301</v>
      </c>
      <c r="Z24">
        <v>3328649</v>
      </c>
    </row>
    <row r="25" spans="1:26" x14ac:dyDescent="0.25">
      <c r="A25">
        <v>1950</v>
      </c>
      <c r="B25" s="2">
        <v>7234.4262295081999</v>
      </c>
      <c r="C25">
        <v>1.27589014914101E-2</v>
      </c>
      <c r="E25">
        <v>9.2637412520877992E-3</v>
      </c>
      <c r="F25">
        <f t="shared" si="1"/>
        <v>1.26215144331742E-2</v>
      </c>
      <c r="G25">
        <v>14.85</v>
      </c>
      <c r="H25">
        <v>15.15</v>
      </c>
      <c r="I25">
        <v>14.85</v>
      </c>
      <c r="J25">
        <v>15.15</v>
      </c>
      <c r="O25">
        <v>18.179166666666699</v>
      </c>
      <c r="P25">
        <v>18.378333333333298</v>
      </c>
      <c r="Z25">
        <v>3387358</v>
      </c>
    </row>
    <row r="26" spans="1:26" x14ac:dyDescent="0.25">
      <c r="A26">
        <v>1951</v>
      </c>
      <c r="B26" s="2">
        <v>7720.2898550724603</v>
      </c>
      <c r="C26">
        <v>1.4265487645377301E-2</v>
      </c>
      <c r="E26">
        <v>1.03576147578694E-2</v>
      </c>
      <c r="F26">
        <f t="shared" si="1"/>
        <v>1.4111877761076712E-2</v>
      </c>
      <c r="G26">
        <v>14.85</v>
      </c>
      <c r="H26">
        <v>15.15</v>
      </c>
      <c r="I26">
        <v>14.85</v>
      </c>
      <c r="J26">
        <v>15.15</v>
      </c>
      <c r="O26">
        <v>17.664999999999999</v>
      </c>
      <c r="P26">
        <v>17.858333333333299</v>
      </c>
      <c r="Z26">
        <v>3475951</v>
      </c>
    </row>
    <row r="27" spans="1:26" x14ac:dyDescent="0.25">
      <c r="A27">
        <v>1952</v>
      </c>
      <c r="B27" s="2">
        <v>8769.8412698412703</v>
      </c>
      <c r="C27">
        <v>1.47362958184921E-2</v>
      </c>
      <c r="E27">
        <v>1.06994502284261E-2</v>
      </c>
      <c r="F27">
        <f t="shared" si="1"/>
        <v>1.4577616301046179E-2</v>
      </c>
      <c r="G27">
        <v>14.85</v>
      </c>
      <c r="H27">
        <v>15.15</v>
      </c>
      <c r="I27">
        <v>14.85</v>
      </c>
      <c r="J27">
        <v>15.15</v>
      </c>
      <c r="O27">
        <v>17.342500000000001</v>
      </c>
      <c r="P27">
        <v>17.438333333333301</v>
      </c>
      <c r="Z27">
        <v>3567080</v>
      </c>
    </row>
    <row r="28" spans="1:26" x14ac:dyDescent="0.25">
      <c r="A28">
        <v>1953</v>
      </c>
      <c r="B28" s="2">
        <v>9344</v>
      </c>
      <c r="C28">
        <v>1.48069170444593E-2</v>
      </c>
      <c r="E28">
        <v>1.0750725549009601E-2</v>
      </c>
      <c r="F28">
        <f t="shared" si="1"/>
        <v>1.4647477082041591E-2</v>
      </c>
      <c r="G28">
        <v>14.85</v>
      </c>
      <c r="H28">
        <v>15.15</v>
      </c>
      <c r="I28">
        <v>14.85</v>
      </c>
      <c r="J28">
        <v>15.15</v>
      </c>
      <c r="O28">
        <v>17.336666666666702</v>
      </c>
      <c r="P28">
        <v>17.441666666666698</v>
      </c>
      <c r="Z28">
        <v>3661402</v>
      </c>
    </row>
    <row r="29" spans="1:26" x14ac:dyDescent="0.25">
      <c r="A29">
        <v>1954</v>
      </c>
      <c r="B29" s="2">
        <v>10415.189873417699</v>
      </c>
      <c r="C29">
        <v>1.53483464435413E-2</v>
      </c>
      <c r="E29">
        <v>1.11438363401499E-2</v>
      </c>
      <c r="F29">
        <f t="shared" si="1"/>
        <v>1.5183076403006606E-2</v>
      </c>
      <c r="G29">
        <v>14.85</v>
      </c>
      <c r="H29">
        <v>15.15</v>
      </c>
      <c r="I29">
        <v>14.85</v>
      </c>
      <c r="J29">
        <v>15.15</v>
      </c>
      <c r="O29">
        <v>17.328333333333301</v>
      </c>
      <c r="P29">
        <v>17.422499999999999</v>
      </c>
      <c r="Z29">
        <v>3759571</v>
      </c>
    </row>
    <row r="30" spans="1:26" x14ac:dyDescent="0.25">
      <c r="A30">
        <v>1955</v>
      </c>
      <c r="B30" s="2">
        <v>11048.8636363636</v>
      </c>
      <c r="C30">
        <v>1.6054558703213401E-2</v>
      </c>
      <c r="E30">
        <v>1.1656589545985E-2</v>
      </c>
      <c r="F30">
        <f t="shared" si="1"/>
        <v>1.5881684212960875E-2</v>
      </c>
      <c r="G30">
        <v>14.85</v>
      </c>
      <c r="H30">
        <v>15.15</v>
      </c>
      <c r="I30">
        <v>14.85</v>
      </c>
      <c r="J30">
        <v>15.15</v>
      </c>
      <c r="O30">
        <v>17.375833333333301</v>
      </c>
      <c r="P30">
        <v>17.4316666666667</v>
      </c>
      <c r="Z30">
        <v>3862242</v>
      </c>
    </row>
    <row r="31" spans="1:26" x14ac:dyDescent="0.25">
      <c r="A31">
        <v>1956</v>
      </c>
      <c r="B31" s="2">
        <v>11188.0952380952</v>
      </c>
      <c r="C31">
        <v>1.55837505300987E-2</v>
      </c>
      <c r="E31">
        <v>1.1314754075428301E-2</v>
      </c>
      <c r="F31">
        <f t="shared" si="1"/>
        <v>1.5415945672991408E-2</v>
      </c>
      <c r="G31">
        <v>14.85</v>
      </c>
      <c r="H31">
        <v>15.15</v>
      </c>
      <c r="I31">
        <v>14.85</v>
      </c>
      <c r="J31">
        <v>15.15</v>
      </c>
      <c r="O31">
        <v>18.393333333333299</v>
      </c>
      <c r="P31">
        <v>18.488333333333301</v>
      </c>
      <c r="Z31">
        <v>3968978</v>
      </c>
    </row>
    <row r="32" spans="1:26" x14ac:dyDescent="0.25">
      <c r="A32">
        <v>1957</v>
      </c>
      <c r="B32" s="2">
        <v>12034.7368421053</v>
      </c>
      <c r="C32">
        <v>1.5748533390688799E-2</v>
      </c>
      <c r="E32">
        <v>1.14343964901231E-2</v>
      </c>
      <c r="F32">
        <f t="shared" si="1"/>
        <v>1.5578954161980657E-2</v>
      </c>
      <c r="G32">
        <v>14.85</v>
      </c>
      <c r="H32">
        <v>15.15</v>
      </c>
      <c r="I32">
        <v>14.85</v>
      </c>
      <c r="J32">
        <v>15.15</v>
      </c>
      <c r="O32">
        <v>17.63</v>
      </c>
      <c r="P32">
        <v>17.6875</v>
      </c>
      <c r="Z32">
        <v>4079343</v>
      </c>
    </row>
    <row r="33" spans="1:27" x14ac:dyDescent="0.25">
      <c r="A33">
        <v>1958</v>
      </c>
      <c r="B33" s="2">
        <v>12420.833333333299</v>
      </c>
      <c r="C33">
        <v>1.5913316251279001E-2</v>
      </c>
      <c r="E33">
        <v>1.1554038904817999E-2</v>
      </c>
      <c r="F33">
        <f t="shared" si="1"/>
        <v>1.5741962650970047E-2</v>
      </c>
      <c r="G33">
        <v>14.85</v>
      </c>
      <c r="H33">
        <v>15.15</v>
      </c>
      <c r="I33">
        <v>14.85</v>
      </c>
      <c r="J33">
        <v>15.15</v>
      </c>
      <c r="O33">
        <v>16.648333333333301</v>
      </c>
      <c r="P33">
        <v>16.706666666666699</v>
      </c>
      <c r="Z33">
        <v>4193992</v>
      </c>
    </row>
    <row r="34" spans="1:27" x14ac:dyDescent="0.25">
      <c r="A34">
        <v>1959</v>
      </c>
      <c r="B34" s="2">
        <v>12916.4835164835</v>
      </c>
      <c r="C34">
        <v>1.58662354339675E-2</v>
      </c>
      <c r="E34">
        <v>1.15198553577623E-2</v>
      </c>
      <c r="F34">
        <f t="shared" si="1"/>
        <v>1.5695388796973058E-2</v>
      </c>
      <c r="G34">
        <v>14.85</v>
      </c>
      <c r="H34">
        <v>15.15</v>
      </c>
      <c r="I34">
        <v>14.85</v>
      </c>
      <c r="J34">
        <v>15.15</v>
      </c>
      <c r="O34">
        <v>17.4316666666667</v>
      </c>
      <c r="P34">
        <v>17.491666666666699</v>
      </c>
      <c r="Z34">
        <v>4313580</v>
      </c>
    </row>
    <row r="35" spans="1:27" x14ac:dyDescent="0.25">
      <c r="A35">
        <v>1960</v>
      </c>
      <c r="B35" s="3">
        <v>14071</v>
      </c>
      <c r="C35">
        <v>1.5960397068590499E-2</v>
      </c>
      <c r="E35">
        <v>1.15882224518737E-2</v>
      </c>
      <c r="F35">
        <f t="shared" si="1"/>
        <v>1.5788536504967032E-2</v>
      </c>
      <c r="G35">
        <v>14.85</v>
      </c>
      <c r="H35">
        <v>15.15</v>
      </c>
      <c r="I35">
        <v>14.85</v>
      </c>
      <c r="J35">
        <v>15.15</v>
      </c>
      <c r="O35">
        <v>17.54</v>
      </c>
      <c r="P35">
        <v>17.608333333333299</v>
      </c>
      <c r="Z35">
        <v>4438761</v>
      </c>
    </row>
    <row r="36" spans="1:27" x14ac:dyDescent="0.25">
      <c r="A36">
        <v>1961</v>
      </c>
      <c r="B36" s="3">
        <v>14966</v>
      </c>
      <c r="C36">
        <v>1.6760770962885599E-2</v>
      </c>
      <c r="E36">
        <v>1.2169342751820101E-2</v>
      </c>
      <c r="F36">
        <f t="shared" si="1"/>
        <v>1.6580292022915142E-2</v>
      </c>
      <c r="G36">
        <v>17.82</v>
      </c>
      <c r="H36">
        <v>18.18</v>
      </c>
      <c r="I36">
        <v>17.82</v>
      </c>
      <c r="J36">
        <v>18.18</v>
      </c>
      <c r="O36">
        <v>20.011666666666699</v>
      </c>
      <c r="P36">
        <v>20.190833333333298</v>
      </c>
      <c r="Z36">
        <v>4569675</v>
      </c>
    </row>
    <row r="37" spans="1:27" x14ac:dyDescent="0.25">
      <c r="A37">
        <v>1962</v>
      </c>
      <c r="B37" s="3">
        <v>15978</v>
      </c>
      <c r="C37">
        <v>1.7043255866754401E-2</v>
      </c>
      <c r="E37">
        <v>1.23744440341542E-2</v>
      </c>
      <c r="F37">
        <f t="shared" si="1"/>
        <v>1.6859735146896929E-2</v>
      </c>
      <c r="G37">
        <v>17.82</v>
      </c>
      <c r="H37">
        <v>18.18</v>
      </c>
      <c r="I37">
        <v>17.82</v>
      </c>
      <c r="J37">
        <v>18.18</v>
      </c>
      <c r="O37">
        <v>22.624166666666699</v>
      </c>
      <c r="P37">
        <v>22.732500000000002</v>
      </c>
      <c r="Z37">
        <v>4705884</v>
      </c>
    </row>
    <row r="38" spans="1:27" x14ac:dyDescent="0.25">
      <c r="A38">
        <v>1963</v>
      </c>
      <c r="B38" s="3">
        <v>17388</v>
      </c>
      <c r="C38">
        <v>1.7561144857180699E-2</v>
      </c>
      <c r="E38">
        <v>1.27504630517666E-2</v>
      </c>
      <c r="F38">
        <f t="shared" si="1"/>
        <v>1.737204754086338E-2</v>
      </c>
      <c r="G38">
        <v>17.82</v>
      </c>
      <c r="H38">
        <v>18.18</v>
      </c>
      <c r="I38">
        <v>17.82</v>
      </c>
      <c r="J38">
        <v>18.18</v>
      </c>
      <c r="O38">
        <v>20.489166666666701</v>
      </c>
      <c r="P38">
        <v>20.6033333333333</v>
      </c>
      <c r="Z38">
        <v>4847182</v>
      </c>
    </row>
    <row r="39" spans="1:27" x14ac:dyDescent="0.25">
      <c r="A39">
        <v>1964</v>
      </c>
      <c r="B39" s="3">
        <v>19357</v>
      </c>
      <c r="C39">
        <v>1.77965489437381E-2</v>
      </c>
      <c r="E39">
        <v>1.2921380787045E-2</v>
      </c>
      <c r="F39">
        <f t="shared" si="1"/>
        <v>1.7604916810848185E-2</v>
      </c>
      <c r="G39">
        <v>17.82</v>
      </c>
      <c r="H39">
        <v>18.18</v>
      </c>
      <c r="I39">
        <v>17.82</v>
      </c>
      <c r="J39">
        <v>18.18</v>
      </c>
      <c r="O39">
        <v>18.5425</v>
      </c>
      <c r="P39">
        <v>18.586666666666702</v>
      </c>
      <c r="Z39">
        <v>4993359</v>
      </c>
    </row>
    <row r="40" spans="1:27" x14ac:dyDescent="0.25">
      <c r="A40">
        <v>1965</v>
      </c>
      <c r="B40" s="3">
        <v>20721</v>
      </c>
      <c r="C40">
        <v>1.89264885592135E-2</v>
      </c>
      <c r="E40">
        <v>1.37417859163812E-2</v>
      </c>
      <c r="F40">
        <f t="shared" si="1"/>
        <v>1.8722689306775064E-2</v>
      </c>
      <c r="G40">
        <v>17.82</v>
      </c>
      <c r="H40">
        <v>18.18</v>
      </c>
      <c r="I40">
        <v>17.82</v>
      </c>
      <c r="J40">
        <v>18.18</v>
      </c>
      <c r="O40">
        <v>18.660833333333301</v>
      </c>
      <c r="P40">
        <v>18.726666666666699</v>
      </c>
      <c r="S40">
        <v>2385904</v>
      </c>
      <c r="T40">
        <v>11913499.4</v>
      </c>
      <c r="U40">
        <v>10315274</v>
      </c>
      <c r="V40">
        <v>75119.618799999997</v>
      </c>
      <c r="W40">
        <v>2116717.2195878099</v>
      </c>
      <c r="X40">
        <v>126654.3812</v>
      </c>
      <c r="Y40">
        <v>2529422.29058616</v>
      </c>
      <c r="Z40">
        <v>5144208</v>
      </c>
      <c r="AA40">
        <f>T40/Z40</f>
        <v>2.3159054610544518</v>
      </c>
    </row>
    <row r="41" spans="1:27" x14ac:dyDescent="0.25">
      <c r="A41">
        <v>1966</v>
      </c>
      <c r="B41" s="3">
        <v>22596</v>
      </c>
      <c r="C41">
        <v>1.9632700818885601E-2</v>
      </c>
      <c r="E41">
        <v>1.42545391222163E-2</v>
      </c>
      <c r="F41">
        <f t="shared" si="1"/>
        <v>1.9421297116729332E-2</v>
      </c>
      <c r="G41">
        <v>17.82</v>
      </c>
      <c r="H41">
        <v>18.18</v>
      </c>
      <c r="I41">
        <v>17.82</v>
      </c>
      <c r="J41">
        <v>18.18</v>
      </c>
      <c r="O41">
        <v>19.8333333333333</v>
      </c>
      <c r="P41">
        <v>19.933333333333302</v>
      </c>
      <c r="S41">
        <v>2428145</v>
      </c>
      <c r="T41" s="1">
        <v>12163190.300000001</v>
      </c>
      <c r="U41">
        <v>10280251</v>
      </c>
      <c r="V41">
        <v>70257.803700000004</v>
      </c>
      <c r="W41">
        <v>1917559.8452455101</v>
      </c>
      <c r="X41">
        <v>152036.19630000001</v>
      </c>
      <c r="Y41">
        <v>2907571.1928497902</v>
      </c>
      <c r="Z41">
        <v>5299868</v>
      </c>
      <c r="AA41">
        <f t="shared" ref="AA41:AA100" si="2">T41/Z41</f>
        <v>2.2949987244965349</v>
      </c>
    </row>
    <row r="42" spans="1:27" x14ac:dyDescent="0.25">
      <c r="A42">
        <v>1967</v>
      </c>
      <c r="B42" s="3">
        <v>25238</v>
      </c>
      <c r="C42">
        <v>2.0574317165115201E-2</v>
      </c>
      <c r="E42">
        <v>1.49382100633298E-2</v>
      </c>
      <c r="F42">
        <f t="shared" si="1"/>
        <v>2.0352774196668401E-2</v>
      </c>
      <c r="G42">
        <v>17.82</v>
      </c>
      <c r="H42">
        <v>18.18</v>
      </c>
      <c r="I42">
        <v>17.82</v>
      </c>
      <c r="J42">
        <v>18.18</v>
      </c>
      <c r="O42">
        <v>20.170000000000002</v>
      </c>
      <c r="P42">
        <v>20.224166666666701</v>
      </c>
      <c r="S42">
        <v>2552372</v>
      </c>
      <c r="T42" s="1">
        <v>12636437</v>
      </c>
      <c r="U42">
        <v>10755309</v>
      </c>
      <c r="V42">
        <v>97625.502099999998</v>
      </c>
      <c r="W42">
        <v>2489532.22182803</v>
      </c>
      <c r="X42">
        <v>178165.49789999999</v>
      </c>
      <c r="Y42">
        <v>3384593.9729041401</v>
      </c>
      <c r="Z42">
        <v>5460478</v>
      </c>
      <c r="AA42">
        <f t="shared" si="2"/>
        <v>2.3141631556797777</v>
      </c>
    </row>
    <row r="43" spans="1:27" x14ac:dyDescent="0.25">
      <c r="A43">
        <v>1968</v>
      </c>
      <c r="B43" s="3">
        <v>27412</v>
      </c>
      <c r="C43">
        <v>2.11863677901643E-2</v>
      </c>
      <c r="E43">
        <v>1.53825961750535E-2</v>
      </c>
      <c r="F43">
        <f t="shared" si="1"/>
        <v>2.095823429862869E-2</v>
      </c>
      <c r="G43">
        <v>17.82</v>
      </c>
      <c r="H43">
        <v>18.18</v>
      </c>
      <c r="I43">
        <v>17.82</v>
      </c>
      <c r="J43">
        <v>18.18</v>
      </c>
      <c r="O43">
        <v>22.087499999999999</v>
      </c>
      <c r="P43">
        <v>24.684166666666702</v>
      </c>
      <c r="S43">
        <v>2580943</v>
      </c>
      <c r="T43" s="1">
        <v>12927387.300000001</v>
      </c>
      <c r="U43">
        <v>10960675</v>
      </c>
      <c r="V43">
        <v>109161.6387</v>
      </c>
      <c r="W43">
        <v>2727717.5920387199</v>
      </c>
      <c r="X43">
        <v>199753.36129999999</v>
      </c>
      <c r="Y43">
        <v>3788538.6607312299</v>
      </c>
      <c r="Z43">
        <v>5625829</v>
      </c>
      <c r="AA43">
        <f t="shared" si="2"/>
        <v>2.297863532645589</v>
      </c>
    </row>
    <row r="44" spans="1:27" x14ac:dyDescent="0.25">
      <c r="A44">
        <v>1969</v>
      </c>
      <c r="B44" s="3">
        <v>30144</v>
      </c>
      <c r="C44">
        <v>2.2292766996984001E-2</v>
      </c>
      <c r="D44">
        <v>1.5621985471859799E-2</v>
      </c>
      <c r="E44">
        <v>1.5621985471859799E-2</v>
      </c>
      <c r="F44">
        <f t="shared" si="1"/>
        <v>2.1284393609706943E-2</v>
      </c>
      <c r="G44">
        <v>17.82</v>
      </c>
      <c r="H44">
        <v>18.18</v>
      </c>
      <c r="I44">
        <v>17.82</v>
      </c>
      <c r="J44">
        <v>18.18</v>
      </c>
      <c r="O44">
        <v>21.914166666666699</v>
      </c>
      <c r="P44">
        <v>22.015000000000001</v>
      </c>
      <c r="S44">
        <v>3110675</v>
      </c>
      <c r="T44" s="1">
        <v>13614093.4</v>
      </c>
      <c r="U44">
        <v>11472455</v>
      </c>
      <c r="V44">
        <v>142558.82709999999</v>
      </c>
      <c r="W44">
        <v>3249686.5343531799</v>
      </c>
      <c r="X44">
        <v>223295.17290000001</v>
      </c>
      <c r="Y44">
        <v>3621222.0233525201</v>
      </c>
      <c r="Z44">
        <v>5795712</v>
      </c>
      <c r="AA44">
        <f t="shared" si="2"/>
        <v>2.3489941184103005</v>
      </c>
    </row>
    <row r="45" spans="1:27" x14ac:dyDescent="0.25">
      <c r="A45">
        <v>1970</v>
      </c>
      <c r="B45" s="3">
        <v>35019</v>
      </c>
      <c r="C45">
        <v>2.3540408655738199E-2</v>
      </c>
      <c r="D45">
        <v>1.7271422152814402E-2</v>
      </c>
      <c r="E45">
        <v>1.7271422152814402E-2</v>
      </c>
      <c r="F45">
        <f t="shared" si="1"/>
        <v>2.3531691791808428E-2</v>
      </c>
      <c r="G45">
        <v>24.75</v>
      </c>
      <c r="H45">
        <v>25.25</v>
      </c>
      <c r="I45">
        <v>24.75</v>
      </c>
      <c r="J45">
        <v>25.25</v>
      </c>
      <c r="O45">
        <v>22.89</v>
      </c>
      <c r="P45">
        <v>23.1741666666667</v>
      </c>
      <c r="S45">
        <v>2861132</v>
      </c>
      <c r="T45" s="1">
        <v>14578555.800000001</v>
      </c>
      <c r="U45">
        <v>12260834</v>
      </c>
      <c r="V45">
        <v>144407.9804</v>
      </c>
      <c r="W45">
        <v>3345224.46865565</v>
      </c>
      <c r="X45">
        <v>214577.0196</v>
      </c>
      <c r="Y45">
        <v>3035584.8757749</v>
      </c>
      <c r="Z45">
        <v>5969918</v>
      </c>
      <c r="AA45">
        <f t="shared" si="2"/>
        <v>2.4420026874740994</v>
      </c>
    </row>
    <row r="46" spans="1:27" x14ac:dyDescent="0.25">
      <c r="A46">
        <v>1971</v>
      </c>
      <c r="B46" s="3">
        <v>40048</v>
      </c>
      <c r="C46">
        <v>2.57767474780333E-2</v>
      </c>
      <c r="D46">
        <v>1.8359043194460099E-2</v>
      </c>
      <c r="E46">
        <v>1.8359043194460099E-2</v>
      </c>
      <c r="F46">
        <f t="shared" si="1"/>
        <v>2.5013536362095985E-2</v>
      </c>
      <c r="G46">
        <v>24.75</v>
      </c>
      <c r="H46">
        <v>25.25</v>
      </c>
      <c r="I46">
        <v>24.75</v>
      </c>
      <c r="J46">
        <v>25.25</v>
      </c>
      <c r="O46">
        <v>25.019166666666699</v>
      </c>
      <c r="P46">
        <v>25.477499999999999</v>
      </c>
      <c r="S46">
        <v>2752900</v>
      </c>
      <c r="T46" s="1">
        <v>15170138.699999999</v>
      </c>
      <c r="U46">
        <v>13032360</v>
      </c>
      <c r="V46">
        <v>186502.98850000001</v>
      </c>
      <c r="W46">
        <v>4538990.6400967399</v>
      </c>
      <c r="X46">
        <v>223461.01149999999</v>
      </c>
      <c r="Y46">
        <v>3651481.70229642</v>
      </c>
      <c r="Z46">
        <v>6148361</v>
      </c>
      <c r="AA46">
        <f t="shared" si="2"/>
        <v>2.4673467774582525</v>
      </c>
    </row>
    <row r="47" spans="1:27" x14ac:dyDescent="0.25">
      <c r="A47">
        <v>1972</v>
      </c>
      <c r="B47" s="3">
        <v>46859</v>
      </c>
      <c r="C47">
        <v>2.77541418051153E-2</v>
      </c>
      <c r="D47">
        <v>1.94031593960419E-2</v>
      </c>
      <c r="E47">
        <v>1.94031593960419E-2</v>
      </c>
      <c r="F47">
        <f t="shared" si="1"/>
        <v>2.6436107151754609E-2</v>
      </c>
      <c r="G47">
        <v>24.75</v>
      </c>
      <c r="H47">
        <v>25.25</v>
      </c>
      <c r="I47">
        <v>24.75</v>
      </c>
      <c r="J47">
        <v>25.25</v>
      </c>
      <c r="O47">
        <v>26.0208333333333</v>
      </c>
      <c r="P47">
        <v>26.168333333333301</v>
      </c>
      <c r="S47">
        <v>3184460</v>
      </c>
      <c r="T47" s="1">
        <v>16542379</v>
      </c>
      <c r="U47">
        <v>13686277</v>
      </c>
      <c r="V47">
        <v>183425.65030000001</v>
      </c>
      <c r="W47">
        <v>2986820.9182694098</v>
      </c>
      <c r="X47">
        <v>318956.34970000002</v>
      </c>
      <c r="Y47">
        <v>4245481.8990358897</v>
      </c>
      <c r="Z47">
        <v>6331179</v>
      </c>
      <c r="AA47">
        <f t="shared" si="2"/>
        <v>2.6128433582433854</v>
      </c>
    </row>
    <row r="48" spans="1:27" x14ac:dyDescent="0.25">
      <c r="A48">
        <v>1973</v>
      </c>
      <c r="B48" s="3">
        <v>62229</v>
      </c>
      <c r="C48">
        <v>3.1073339425574401E-2</v>
      </c>
      <c r="D48">
        <v>2.2840041894583898E-2</v>
      </c>
      <c r="E48">
        <v>2.2840041894583898E-2</v>
      </c>
      <c r="F48">
        <f t="shared" si="1"/>
        <v>3.1118736003320949E-2</v>
      </c>
      <c r="G48">
        <v>24.8</v>
      </c>
      <c r="H48">
        <v>24.95</v>
      </c>
      <c r="I48">
        <v>24.8</v>
      </c>
      <c r="J48">
        <v>24.95</v>
      </c>
      <c r="O48">
        <v>24.699166666666699</v>
      </c>
      <c r="P48">
        <v>24.952500000000001</v>
      </c>
      <c r="S48">
        <v>3889890</v>
      </c>
      <c r="T48" s="1">
        <v>17842232.699999999</v>
      </c>
      <c r="U48">
        <v>15595606</v>
      </c>
      <c r="V48">
        <v>270557.59869999997</v>
      </c>
      <c r="W48">
        <v>2832838.5183433001</v>
      </c>
      <c r="X48">
        <v>475678.40130000003</v>
      </c>
      <c r="Y48">
        <v>4155413.66457493</v>
      </c>
      <c r="Z48">
        <v>6518503</v>
      </c>
      <c r="AA48">
        <f t="shared" si="2"/>
        <v>2.7371672146196757</v>
      </c>
    </row>
    <row r="49" spans="1:27" x14ac:dyDescent="0.25">
      <c r="A49">
        <v>1974</v>
      </c>
      <c r="B49" s="3">
        <v>92763</v>
      </c>
      <c r="C49">
        <v>3.8135462022295799E-2</v>
      </c>
      <c r="D49">
        <v>2.7930108368952E-2</v>
      </c>
      <c r="E49">
        <v>2.7930108368952E-2</v>
      </c>
      <c r="F49">
        <f t="shared" si="1"/>
        <v>3.8053768591539472E-2</v>
      </c>
      <c r="G49">
        <v>24.8</v>
      </c>
      <c r="H49">
        <v>24.95</v>
      </c>
      <c r="I49">
        <v>24.8</v>
      </c>
      <c r="J49">
        <v>24.95</v>
      </c>
      <c r="O49">
        <v>24.7983333333333</v>
      </c>
      <c r="P49">
        <v>25.059166666666702</v>
      </c>
      <c r="S49">
        <v>6596096</v>
      </c>
      <c r="T49" s="1">
        <v>20056515.600000001</v>
      </c>
      <c r="U49">
        <v>17343641</v>
      </c>
      <c r="V49">
        <v>321056.61379999999</v>
      </c>
      <c r="W49">
        <v>3772089.1602628902</v>
      </c>
      <c r="X49">
        <v>431736.38620000001</v>
      </c>
      <c r="Y49">
        <v>4178628.3295068499</v>
      </c>
      <c r="Z49">
        <v>6710462</v>
      </c>
      <c r="AA49">
        <f t="shared" si="2"/>
        <v>2.9888427354182174</v>
      </c>
    </row>
    <row r="50" spans="1:27" x14ac:dyDescent="0.25">
      <c r="A50">
        <v>1975</v>
      </c>
      <c r="B50" s="3">
        <v>107740</v>
      </c>
      <c r="C50">
        <v>4.3997023777574598E-2</v>
      </c>
      <c r="D50">
        <v>3.0975447293569401E-2</v>
      </c>
      <c r="E50">
        <v>3.0975447293569401E-2</v>
      </c>
      <c r="F50">
        <f t="shared" si="1"/>
        <v>4.2202933399257209E-2</v>
      </c>
      <c r="G50">
        <v>24.8</v>
      </c>
      <c r="H50">
        <v>24.95</v>
      </c>
      <c r="I50">
        <v>24.8</v>
      </c>
      <c r="J50">
        <v>24.95</v>
      </c>
      <c r="O50">
        <v>25.162500000000001</v>
      </c>
      <c r="P50">
        <v>25.37</v>
      </c>
      <c r="S50">
        <v>7727971</v>
      </c>
      <c r="T50" s="1">
        <v>22607181.5</v>
      </c>
      <c r="U50">
        <v>19246612</v>
      </c>
      <c r="V50">
        <v>451870.28700000001</v>
      </c>
      <c r="W50">
        <v>4842433.4094591197</v>
      </c>
      <c r="X50">
        <v>699852.71299999999</v>
      </c>
      <c r="Y50">
        <v>6308407.0750623699</v>
      </c>
      <c r="Z50">
        <v>6907185</v>
      </c>
      <c r="AA50">
        <f t="shared" si="2"/>
        <v>3.2729949320888321</v>
      </c>
    </row>
    <row r="51" spans="1:27" x14ac:dyDescent="0.25">
      <c r="A51">
        <v>1976</v>
      </c>
      <c r="B51" s="3">
        <v>132913</v>
      </c>
      <c r="C51">
        <v>4.8634484282754999E-2</v>
      </c>
      <c r="D51">
        <v>3.5021397566355701E-2</v>
      </c>
      <c r="E51">
        <v>3.5021397566355701E-2</v>
      </c>
      <c r="F51">
        <f t="shared" si="1"/>
        <v>4.7715395197817104E-2</v>
      </c>
      <c r="G51">
        <v>24.8</v>
      </c>
      <c r="H51">
        <v>24.95</v>
      </c>
      <c r="I51">
        <v>24.8</v>
      </c>
      <c r="J51">
        <v>24.95</v>
      </c>
      <c r="K51">
        <v>27.01</v>
      </c>
      <c r="L51">
        <v>27.181999999999999</v>
      </c>
      <c r="M51">
        <v>26.85</v>
      </c>
      <c r="N51">
        <v>27</v>
      </c>
      <c r="O51">
        <v>27.184999999999999</v>
      </c>
      <c r="P51">
        <v>27.46</v>
      </c>
      <c r="S51">
        <v>9087566</v>
      </c>
      <c r="T51" s="1">
        <v>23999687.399999999</v>
      </c>
      <c r="U51">
        <v>20670320</v>
      </c>
      <c r="V51">
        <v>594750.61100000003</v>
      </c>
      <c r="W51">
        <v>5679265.9457320496</v>
      </c>
      <c r="X51">
        <v>787520.38899999997</v>
      </c>
      <c r="Y51">
        <v>5924010.92928656</v>
      </c>
      <c r="Z51">
        <v>7109212</v>
      </c>
      <c r="AA51">
        <f t="shared" si="2"/>
        <v>3.3758576055967944</v>
      </c>
    </row>
    <row r="52" spans="1:27" x14ac:dyDescent="0.25">
      <c r="A52">
        <v>1977</v>
      </c>
      <c r="B52" s="3">
        <v>166376</v>
      </c>
      <c r="C52">
        <v>5.49197733938371E-2</v>
      </c>
      <c r="D52">
        <v>3.9371881739613097E-2</v>
      </c>
      <c r="E52">
        <v>3.9371881739613097E-2</v>
      </c>
      <c r="F52">
        <f t="shared" si="1"/>
        <v>5.3642773488061221E-2</v>
      </c>
      <c r="G52">
        <v>24.8</v>
      </c>
      <c r="H52">
        <v>24.95</v>
      </c>
      <c r="I52">
        <v>24.8</v>
      </c>
      <c r="J52">
        <v>24.95</v>
      </c>
      <c r="K52">
        <v>26.828333333333301</v>
      </c>
      <c r="L52">
        <v>27.026666666666699</v>
      </c>
      <c r="M52">
        <v>26.5</v>
      </c>
      <c r="N52">
        <v>26.85</v>
      </c>
      <c r="O52">
        <v>26.23</v>
      </c>
      <c r="P52">
        <v>26.595833333333299</v>
      </c>
      <c r="S52">
        <v>11021061</v>
      </c>
      <c r="T52" s="1">
        <v>24454865.899999999</v>
      </c>
      <c r="U52">
        <v>21002046</v>
      </c>
      <c r="V52">
        <v>628071.15430000005</v>
      </c>
      <c r="W52">
        <v>5110217.7538646096</v>
      </c>
      <c r="X52">
        <v>1141506.8456999999</v>
      </c>
      <c r="Y52">
        <v>7324527.5897249803</v>
      </c>
      <c r="Z52">
        <v>7316456</v>
      </c>
      <c r="AA52">
        <f t="shared" si="2"/>
        <v>3.3424469305904387</v>
      </c>
    </row>
    <row r="53" spans="1:27" x14ac:dyDescent="0.25">
      <c r="A53">
        <v>1978</v>
      </c>
      <c r="B53" s="3">
        <v>191345</v>
      </c>
      <c r="C53">
        <v>6.2382082937706099E-2</v>
      </c>
      <c r="D53">
        <v>4.3591851386004202E-2</v>
      </c>
      <c r="E53">
        <v>4.3591851386004202E-2</v>
      </c>
      <c r="F53">
        <f t="shared" si="1"/>
        <v>5.9392330427324655E-2</v>
      </c>
      <c r="G53">
        <v>24.8</v>
      </c>
      <c r="H53">
        <v>24.95</v>
      </c>
      <c r="I53">
        <v>24.8</v>
      </c>
      <c r="J53">
        <v>24.95</v>
      </c>
      <c r="K53">
        <v>25.982500000000002</v>
      </c>
      <c r="L53">
        <v>26.501666666666701</v>
      </c>
      <c r="M53">
        <v>26.5</v>
      </c>
      <c r="N53">
        <v>26.85</v>
      </c>
      <c r="O53">
        <v>26.23</v>
      </c>
      <c r="P53">
        <v>26.595833333333299</v>
      </c>
      <c r="S53">
        <v>11916787</v>
      </c>
      <c r="T53" s="1">
        <v>25713213</v>
      </c>
      <c r="U53">
        <v>22200596</v>
      </c>
      <c r="V53">
        <v>792770.56070000003</v>
      </c>
      <c r="W53">
        <v>5813021.7230375903</v>
      </c>
      <c r="X53">
        <v>1317962.4393</v>
      </c>
      <c r="Y53">
        <v>7926270.3366030604</v>
      </c>
      <c r="Z53">
        <v>7528109</v>
      </c>
      <c r="AA53">
        <f t="shared" si="2"/>
        <v>3.4156270851019825</v>
      </c>
    </row>
    <row r="54" spans="1:27" x14ac:dyDescent="0.25">
      <c r="A54">
        <v>1979</v>
      </c>
      <c r="B54" s="3">
        <v>233963</v>
      </c>
      <c r="C54">
        <v>6.8690912457444006E-2</v>
      </c>
      <c r="D54">
        <v>4.7985840392651101E-2</v>
      </c>
      <c r="E54">
        <v>4.7985840392651101E-2</v>
      </c>
      <c r="F54">
        <f t="shared" si="1"/>
        <v>6.5378982489104093E-2</v>
      </c>
      <c r="G54">
        <v>24.8</v>
      </c>
      <c r="H54">
        <v>24.95</v>
      </c>
      <c r="I54">
        <v>24.8</v>
      </c>
      <c r="J54">
        <v>24.95</v>
      </c>
      <c r="K54">
        <v>26.524166666666702</v>
      </c>
      <c r="L54">
        <v>27.074999999999999</v>
      </c>
      <c r="M54">
        <v>26.65</v>
      </c>
      <c r="N54">
        <v>27.1</v>
      </c>
      <c r="O54">
        <v>27.357500000000002</v>
      </c>
      <c r="P54">
        <v>27.804166666666699</v>
      </c>
      <c r="Q54">
        <v>26.98</v>
      </c>
      <c r="R54">
        <v>27.43</v>
      </c>
      <c r="S54">
        <v>14168371</v>
      </c>
      <c r="T54" s="1">
        <v>26768759.899999999</v>
      </c>
      <c r="U54">
        <v>23029577</v>
      </c>
      <c r="V54">
        <v>885507.18169999996</v>
      </c>
      <c r="W54">
        <v>5451261.9432275603</v>
      </c>
      <c r="X54">
        <v>1451589.8182999999</v>
      </c>
      <c r="Y54">
        <v>7293288.5981631298</v>
      </c>
      <c r="Z54">
        <v>7743360</v>
      </c>
      <c r="AA54">
        <f t="shared" si="2"/>
        <v>3.4569953999297462</v>
      </c>
    </row>
    <row r="55" spans="1:27" x14ac:dyDescent="0.25">
      <c r="A55">
        <v>1980</v>
      </c>
      <c r="B55" s="3">
        <v>293337</v>
      </c>
      <c r="C55">
        <v>7.7353782842755597E-2</v>
      </c>
      <c r="D55">
        <v>5.3206421400559999E-2</v>
      </c>
      <c r="E55">
        <v>5.3206421400559999E-2</v>
      </c>
      <c r="F55">
        <f t="shared" si="1"/>
        <v>7.2491836437397067E-2</v>
      </c>
      <c r="G55">
        <v>24.8</v>
      </c>
      <c r="H55">
        <v>24.95</v>
      </c>
      <c r="I55">
        <v>24.8</v>
      </c>
      <c r="J55">
        <v>24.95</v>
      </c>
      <c r="K55">
        <v>26.745833333333302</v>
      </c>
      <c r="L55">
        <v>27.15</v>
      </c>
      <c r="M55">
        <v>26.75</v>
      </c>
      <c r="N55">
        <v>27.15</v>
      </c>
      <c r="O55">
        <v>27.406666666666698</v>
      </c>
      <c r="P55">
        <v>27.965</v>
      </c>
      <c r="Q55">
        <v>27.94</v>
      </c>
      <c r="R55">
        <v>28.46</v>
      </c>
      <c r="S55">
        <v>17872943</v>
      </c>
      <c r="T55" s="1">
        <v>27604704</v>
      </c>
      <c r="U55">
        <v>23883671</v>
      </c>
      <c r="V55">
        <v>1129474.0349999999</v>
      </c>
      <c r="W55">
        <v>5912215.3177587399</v>
      </c>
      <c r="X55">
        <v>1649855.9650000001</v>
      </c>
      <c r="Y55">
        <v>7107686.1616934603</v>
      </c>
      <c r="Z55">
        <v>7961402</v>
      </c>
      <c r="AA55">
        <f t="shared" si="2"/>
        <v>3.4673169373936901</v>
      </c>
    </row>
    <row r="56" spans="1:27" x14ac:dyDescent="0.25">
      <c r="A56">
        <v>1981</v>
      </c>
      <c r="B56" s="3">
        <v>348662</v>
      </c>
      <c r="C56">
        <v>8.8747340632132896E-2</v>
      </c>
      <c r="D56">
        <v>6.2385942994452902E-2</v>
      </c>
      <c r="E56">
        <v>6.2385942994452902E-2</v>
      </c>
      <c r="F56">
        <f t="shared" si="1"/>
        <v>8.4998604613898326E-2</v>
      </c>
      <c r="G56">
        <v>24.8</v>
      </c>
      <c r="H56">
        <v>24.95</v>
      </c>
      <c r="I56">
        <v>24.8</v>
      </c>
      <c r="J56">
        <v>24.95</v>
      </c>
      <c r="K56">
        <v>27.577500000000001</v>
      </c>
      <c r="L56">
        <v>27.872499999999999</v>
      </c>
      <c r="M56">
        <v>30.72</v>
      </c>
      <c r="N56">
        <v>30.77</v>
      </c>
      <c r="O56">
        <v>30.5558333333333</v>
      </c>
      <c r="P56">
        <v>31.245000000000001</v>
      </c>
      <c r="Q56">
        <v>32.869999999999997</v>
      </c>
      <c r="R56">
        <v>33.72</v>
      </c>
      <c r="S56">
        <v>21800312</v>
      </c>
      <c r="T56" s="1">
        <v>30303882.100000001</v>
      </c>
      <c r="U56">
        <v>25224229</v>
      </c>
      <c r="V56">
        <v>1634630.3732</v>
      </c>
      <c r="W56">
        <v>7006755.2004434997</v>
      </c>
      <c r="X56">
        <v>1785523.6268</v>
      </c>
      <c r="Y56">
        <v>6678625.67939658</v>
      </c>
      <c r="Z56">
        <v>8183120</v>
      </c>
      <c r="AA56">
        <f t="shared" si="2"/>
        <v>3.7032185889978395</v>
      </c>
    </row>
    <row r="57" spans="1:27" x14ac:dyDescent="0.25">
      <c r="A57">
        <v>1982</v>
      </c>
      <c r="B57" s="3">
        <v>415715</v>
      </c>
      <c r="C57">
        <v>0.10324469870449</v>
      </c>
      <c r="D57">
        <v>7.7612637590842207E-2</v>
      </c>
      <c r="E57">
        <v>7.7612637590842207E-2</v>
      </c>
      <c r="F57">
        <f t="shared" si="1"/>
        <v>0.10574442861611234</v>
      </c>
      <c r="G57">
        <v>30.002500000000001</v>
      </c>
      <c r="H57">
        <v>30.247499999999999</v>
      </c>
      <c r="I57">
        <v>33</v>
      </c>
      <c r="J57">
        <v>33.299999999999997</v>
      </c>
      <c r="K57">
        <v>30</v>
      </c>
      <c r="L57">
        <v>34.106000000000002</v>
      </c>
      <c r="M57">
        <v>30</v>
      </c>
      <c r="N57">
        <v>35.299999999999997</v>
      </c>
      <c r="O57">
        <v>50.310833333333299</v>
      </c>
      <c r="P57">
        <v>51.0283333333333</v>
      </c>
      <c r="Q57">
        <v>64.58</v>
      </c>
      <c r="R57">
        <v>65.16</v>
      </c>
      <c r="S57">
        <v>19920300</v>
      </c>
      <c r="T57" s="1">
        <v>30804656.699999999</v>
      </c>
      <c r="U57">
        <v>25379319</v>
      </c>
      <c r="V57">
        <v>1463763.3929000001</v>
      </c>
      <c r="W57">
        <v>6844648.5444662999</v>
      </c>
      <c r="X57">
        <v>1834344.6070999999</v>
      </c>
      <c r="Y57">
        <v>7287924.58131452</v>
      </c>
      <c r="Z57">
        <v>8409053</v>
      </c>
      <c r="AA57">
        <f t="shared" si="2"/>
        <v>3.6632729868630864</v>
      </c>
    </row>
    <row r="58" spans="1:27" x14ac:dyDescent="0.25">
      <c r="A58">
        <v>1983</v>
      </c>
      <c r="B58" s="3">
        <v>560271</v>
      </c>
      <c r="C58">
        <v>0.153201810980856</v>
      </c>
      <c r="D58">
        <v>0.118333169425834</v>
      </c>
      <c r="E58">
        <v>0.118333169425834</v>
      </c>
      <c r="F58">
        <f t="shared" si="1"/>
        <v>0.16122468937642306</v>
      </c>
      <c r="G58">
        <v>44.197499999999998</v>
      </c>
      <c r="H58">
        <v>45.005000000000003</v>
      </c>
      <c r="I58">
        <v>54.1</v>
      </c>
      <c r="J58">
        <v>55.18</v>
      </c>
      <c r="K58">
        <v>82.361000000000004</v>
      </c>
      <c r="L58">
        <v>83.22</v>
      </c>
      <c r="M58">
        <v>87</v>
      </c>
      <c r="N58">
        <v>87.9</v>
      </c>
      <c r="O58">
        <v>83.196666666666701</v>
      </c>
      <c r="P58">
        <v>84.783333333333402</v>
      </c>
      <c r="Q58">
        <v>86.88</v>
      </c>
      <c r="R58">
        <v>88.78</v>
      </c>
      <c r="S58">
        <v>17144261</v>
      </c>
      <c r="T58" s="1">
        <v>31022134.5</v>
      </c>
      <c r="U58">
        <v>25293824</v>
      </c>
      <c r="V58">
        <v>1001426.814</v>
      </c>
      <c r="W58">
        <v>6408690.7828439502</v>
      </c>
      <c r="X58">
        <v>1166546.186</v>
      </c>
      <c r="Y58">
        <v>5892516.6977287298</v>
      </c>
      <c r="Z58">
        <v>8637873</v>
      </c>
      <c r="AA58">
        <f t="shared" si="2"/>
        <v>3.591408961442244</v>
      </c>
    </row>
    <row r="59" spans="1:27" x14ac:dyDescent="0.25">
      <c r="A59">
        <v>1984</v>
      </c>
      <c r="B59" s="3">
        <v>812629</v>
      </c>
      <c r="C59">
        <v>0.20100391057079101</v>
      </c>
      <c r="D59">
        <v>0.14800347146408899</v>
      </c>
      <c r="E59">
        <v>0.14800347146408899</v>
      </c>
      <c r="F59">
        <f t="shared" si="1"/>
        <v>0.20164940928406022</v>
      </c>
      <c r="G59">
        <v>62.3</v>
      </c>
      <c r="H59">
        <v>63.554166666666703</v>
      </c>
      <c r="I59">
        <v>66.5</v>
      </c>
      <c r="J59">
        <v>67.849999999999994</v>
      </c>
      <c r="K59">
        <v>91.554166666666703</v>
      </c>
      <c r="L59">
        <v>92.696666666666701</v>
      </c>
      <c r="M59">
        <v>95</v>
      </c>
      <c r="N59">
        <v>96.5</v>
      </c>
      <c r="O59">
        <v>96.752499999999998</v>
      </c>
      <c r="P59">
        <v>98.685833333333306</v>
      </c>
      <c r="Q59">
        <v>116.93</v>
      </c>
      <c r="R59">
        <v>119.28</v>
      </c>
      <c r="S59">
        <v>16904408</v>
      </c>
      <c r="T59" s="1">
        <v>31929899.899999999</v>
      </c>
      <c r="U59">
        <v>25957856</v>
      </c>
      <c r="V59">
        <v>904019.79119999998</v>
      </c>
      <c r="W59">
        <v>5739817.5751652699</v>
      </c>
      <c r="X59">
        <v>1267512.2087999999</v>
      </c>
      <c r="Y59">
        <v>6316688.5039891796</v>
      </c>
      <c r="Z59">
        <v>8868249</v>
      </c>
      <c r="AA59">
        <f t="shared" si="2"/>
        <v>3.6004739943589765</v>
      </c>
    </row>
    <row r="60" spans="1:27" x14ac:dyDescent="0.25">
      <c r="A60">
        <v>1985</v>
      </c>
      <c r="B60" s="3">
        <v>1109940</v>
      </c>
      <c r="C60">
        <v>0.25729545407697102</v>
      </c>
      <c r="D60">
        <v>0.184068985232026</v>
      </c>
      <c r="E60">
        <v>0.184068985232026</v>
      </c>
      <c r="F60">
        <f t="shared" si="1"/>
        <v>0.25078737527153533</v>
      </c>
      <c r="G60">
        <v>70.379166666666706</v>
      </c>
      <c r="H60">
        <v>71.75</v>
      </c>
      <c r="I60">
        <v>95</v>
      </c>
      <c r="J60">
        <v>96.5</v>
      </c>
      <c r="K60">
        <v>95</v>
      </c>
      <c r="L60">
        <v>96.5</v>
      </c>
      <c r="M60">
        <v>95</v>
      </c>
      <c r="N60">
        <v>96.5</v>
      </c>
      <c r="O60">
        <v>116.29</v>
      </c>
      <c r="P60">
        <v>117.23583333333301</v>
      </c>
      <c r="Q60">
        <v>123.815</v>
      </c>
      <c r="R60">
        <v>126.37</v>
      </c>
      <c r="S60">
        <v>17140874</v>
      </c>
      <c r="T60" s="1">
        <v>33464019.699999999</v>
      </c>
      <c r="U60">
        <v>26979298</v>
      </c>
      <c r="V60">
        <v>921381.73939999996</v>
      </c>
      <c r="W60">
        <v>5999739.2505897898</v>
      </c>
      <c r="X60">
        <v>1401560.2605999999</v>
      </c>
      <c r="Y60">
        <v>7046219.8930579098</v>
      </c>
      <c r="Z60">
        <v>9098852</v>
      </c>
      <c r="AA60">
        <f t="shared" si="2"/>
        <v>3.6778287744431934</v>
      </c>
    </row>
    <row r="61" spans="1:27" x14ac:dyDescent="0.25">
      <c r="A61">
        <v>1986</v>
      </c>
      <c r="B61" s="3">
        <v>1383232</v>
      </c>
      <c r="C61">
        <v>0.31652565124646598</v>
      </c>
      <c r="D61">
        <v>0.23440408708157401</v>
      </c>
      <c r="E61">
        <v>0.23440408708157401</v>
      </c>
      <c r="F61">
        <f t="shared" si="1"/>
        <v>0.31936714204191896</v>
      </c>
      <c r="G61">
        <v>95</v>
      </c>
      <c r="H61">
        <v>96.5</v>
      </c>
      <c r="I61">
        <v>95</v>
      </c>
      <c r="K61">
        <v>122.083333333333</v>
      </c>
      <c r="L61">
        <v>123.448333333333</v>
      </c>
      <c r="M61">
        <v>146</v>
      </c>
      <c r="N61">
        <v>147</v>
      </c>
      <c r="O61">
        <v>150.854166666667</v>
      </c>
      <c r="P61">
        <v>151.39500000000001</v>
      </c>
      <c r="Q61">
        <v>144.25</v>
      </c>
      <c r="R61">
        <v>147.25</v>
      </c>
      <c r="S61">
        <v>15306803</v>
      </c>
      <c r="T61" s="1">
        <v>34617438.700000003</v>
      </c>
      <c r="U61">
        <v>27914072</v>
      </c>
      <c r="V61">
        <v>1123807.5943</v>
      </c>
      <c r="W61">
        <v>7222934.4277415602</v>
      </c>
      <c r="X61">
        <v>1220141.4057</v>
      </c>
      <c r="Y61">
        <v>6319977.9199251402</v>
      </c>
      <c r="Z61">
        <v>9329636</v>
      </c>
      <c r="AA61">
        <f t="shared" si="2"/>
        <v>3.7104811698977325</v>
      </c>
    </row>
    <row r="62" spans="1:27" x14ac:dyDescent="0.25">
      <c r="A62">
        <v>1987</v>
      </c>
      <c r="B62" s="3">
        <v>1794501</v>
      </c>
      <c r="C62">
        <v>0.40990953432516403</v>
      </c>
      <c r="D62">
        <v>0.31053756005684502</v>
      </c>
      <c r="E62">
        <v>0.31053756005684502</v>
      </c>
      <c r="F62">
        <f t="shared" si="1"/>
        <v>0.42309626204389394</v>
      </c>
      <c r="G62">
        <v>95</v>
      </c>
      <c r="I62">
        <v>95</v>
      </c>
      <c r="K62">
        <v>169.97166666666701</v>
      </c>
      <c r="L62">
        <v>170.97166666666701</v>
      </c>
      <c r="M62">
        <v>221</v>
      </c>
      <c r="N62">
        <v>222</v>
      </c>
      <c r="O62">
        <v>193.23333333333301</v>
      </c>
      <c r="P62">
        <v>193.80166666666699</v>
      </c>
      <c r="Q62">
        <v>245.59</v>
      </c>
      <c r="R62">
        <v>249.13</v>
      </c>
      <c r="S62">
        <v>13938747</v>
      </c>
      <c r="T62" s="1">
        <v>35925609.200000003</v>
      </c>
      <c r="U62">
        <v>27841747</v>
      </c>
      <c r="V62">
        <v>1046368.5068</v>
      </c>
      <c r="W62">
        <v>6886572.41500967</v>
      </c>
      <c r="X62">
        <v>1340595.4931999999</v>
      </c>
      <c r="Y62">
        <v>6526136.3473437699</v>
      </c>
      <c r="Z62">
        <v>9561489</v>
      </c>
      <c r="AA62">
        <f t="shared" si="2"/>
        <v>3.7573236971772914</v>
      </c>
    </row>
    <row r="63" spans="1:27" x14ac:dyDescent="0.25">
      <c r="A63">
        <v>1988</v>
      </c>
      <c r="B63" s="3">
        <v>3019724</v>
      </c>
      <c r="C63">
        <v>0.64859351520113595</v>
      </c>
      <c r="D63">
        <v>0.57670018157316305</v>
      </c>
      <c r="E63">
        <v>0.57670018157316305</v>
      </c>
      <c r="F63">
        <f t="shared" si="1"/>
        <v>0.78573326556367362</v>
      </c>
      <c r="G63">
        <v>194.45083333333301</v>
      </c>
      <c r="I63">
        <v>390</v>
      </c>
      <c r="K63">
        <v>294.33583333333303</v>
      </c>
      <c r="L63">
        <v>308.88249999999999</v>
      </c>
      <c r="M63">
        <v>410.88</v>
      </c>
      <c r="N63">
        <v>454.13</v>
      </c>
      <c r="O63">
        <v>435.02583333333303</v>
      </c>
      <c r="P63">
        <v>436.19083333333299</v>
      </c>
      <c r="Q63">
        <v>498.32</v>
      </c>
      <c r="R63">
        <v>512.83000000000004</v>
      </c>
      <c r="S63">
        <v>13045630</v>
      </c>
      <c r="T63" s="1">
        <v>37000520.799999997</v>
      </c>
      <c r="U63">
        <v>29481756</v>
      </c>
      <c r="V63">
        <v>848913.38509999996</v>
      </c>
      <c r="W63">
        <v>5780881.7601554198</v>
      </c>
      <c r="X63">
        <v>1193952.6148999999</v>
      </c>
      <c r="Y63">
        <v>6362847.4555459898</v>
      </c>
      <c r="Z63">
        <v>9804403</v>
      </c>
      <c r="AA63">
        <f t="shared" si="2"/>
        <v>3.7738678020477123</v>
      </c>
    </row>
    <row r="64" spans="1:27" x14ac:dyDescent="0.25">
      <c r="A64">
        <v>1989</v>
      </c>
      <c r="B64" s="3">
        <v>5170485</v>
      </c>
      <c r="C64">
        <v>1.13915276673063</v>
      </c>
      <c r="D64">
        <v>0.88954349824016599</v>
      </c>
      <c r="E64">
        <v>0.88954349824016599</v>
      </c>
      <c r="F64">
        <f t="shared" si="1"/>
        <v>1.2119710380991235</v>
      </c>
      <c r="G64">
        <v>390</v>
      </c>
      <c r="I64">
        <v>390</v>
      </c>
      <c r="K64">
        <v>510.91166666666697</v>
      </c>
      <c r="L64">
        <v>542.09333333333302</v>
      </c>
      <c r="M64">
        <v>642</v>
      </c>
      <c r="N64">
        <v>654.84</v>
      </c>
      <c r="O64">
        <v>567.24083333333294</v>
      </c>
      <c r="P64">
        <v>568.17666666666696</v>
      </c>
      <c r="Q64">
        <v>653.53</v>
      </c>
      <c r="R64">
        <v>664.5</v>
      </c>
      <c r="S64">
        <v>13884170</v>
      </c>
      <c r="T64" s="1">
        <v>38074783.5</v>
      </c>
      <c r="U64">
        <v>29778277</v>
      </c>
      <c r="V64">
        <v>799073.33589999995</v>
      </c>
      <c r="W64">
        <v>5335095.8374985401</v>
      </c>
      <c r="X64">
        <v>1409823.6640999999</v>
      </c>
      <c r="Y64">
        <v>6261442.6689066105</v>
      </c>
      <c r="Z64">
        <v>10039775</v>
      </c>
      <c r="AA64">
        <f t="shared" si="2"/>
        <v>3.7923941024574752</v>
      </c>
    </row>
    <row r="65" spans="1:27" x14ac:dyDescent="0.25">
      <c r="A65">
        <v>1990</v>
      </c>
      <c r="B65" s="3">
        <v>8204222</v>
      </c>
      <c r="C65">
        <v>1.6918808690929299</v>
      </c>
      <c r="D65">
        <v>1.3300735252938301</v>
      </c>
      <c r="E65">
        <v>1.3300735252938301</v>
      </c>
      <c r="F65">
        <f t="shared" si="1"/>
        <v>1.8121773633191132</v>
      </c>
      <c r="G65">
        <v>390</v>
      </c>
      <c r="I65">
        <v>390</v>
      </c>
      <c r="K65">
        <v>760.30166666666696</v>
      </c>
      <c r="L65">
        <v>775.506666666667</v>
      </c>
      <c r="M65">
        <v>869.5</v>
      </c>
      <c r="N65">
        <v>886.89</v>
      </c>
      <c r="O65">
        <v>821.14083333333303</v>
      </c>
      <c r="P65">
        <v>821.90833333333296</v>
      </c>
      <c r="Q65">
        <v>883.7</v>
      </c>
      <c r="R65">
        <v>898.1</v>
      </c>
      <c r="S65">
        <v>15231973</v>
      </c>
      <c r="T65" s="1">
        <v>40557043.5</v>
      </c>
      <c r="U65">
        <v>30874092</v>
      </c>
      <c r="V65">
        <v>797250.97560000001</v>
      </c>
      <c r="W65">
        <v>5011383.2508591702</v>
      </c>
      <c r="X65">
        <v>1394116.0244</v>
      </c>
      <c r="Y65">
        <v>6164825.0534334099</v>
      </c>
      <c r="Z65">
        <v>10271874</v>
      </c>
      <c r="AA65">
        <f t="shared" si="2"/>
        <v>3.9483587415499839</v>
      </c>
    </row>
    <row r="66" spans="1:27" x14ac:dyDescent="0.25">
      <c r="A66">
        <v>1991</v>
      </c>
      <c r="B66" s="3">
        <v>12295991</v>
      </c>
      <c r="C66">
        <v>2.5162058733603399</v>
      </c>
      <c r="D66">
        <v>1.9816020345936201</v>
      </c>
      <c r="E66">
        <v>1.9816020345936201</v>
      </c>
      <c r="F66">
        <f t="shared" si="1"/>
        <v>2.69986153540223</v>
      </c>
      <c r="G66">
        <v>390</v>
      </c>
      <c r="I66">
        <v>390</v>
      </c>
      <c r="K66">
        <v>1039.62333333333</v>
      </c>
      <c r="L66">
        <v>1060.4166666666699</v>
      </c>
      <c r="M66">
        <v>1258</v>
      </c>
      <c r="N66">
        <v>1283.1600000000001</v>
      </c>
      <c r="O66">
        <v>1099.4608333333299</v>
      </c>
      <c r="P66">
        <v>1100.8475000000001</v>
      </c>
      <c r="Q66">
        <v>1290.77</v>
      </c>
      <c r="R66">
        <v>1310.25</v>
      </c>
      <c r="S66">
        <v>16980041</v>
      </c>
      <c r="T66" s="1">
        <v>42306979.600000001</v>
      </c>
      <c r="U66">
        <v>32199005</v>
      </c>
      <c r="V66">
        <v>831004.17370000004</v>
      </c>
      <c r="W66">
        <v>5144728.70441835</v>
      </c>
      <c r="X66">
        <v>1573011.8263000001</v>
      </c>
      <c r="Y66">
        <v>6854583.8721278301</v>
      </c>
      <c r="Z66">
        <v>10503491</v>
      </c>
      <c r="AA66">
        <f t="shared" si="2"/>
        <v>4.0278969725398923</v>
      </c>
    </row>
    <row r="67" spans="1:27" x14ac:dyDescent="0.25">
      <c r="A67">
        <v>1992</v>
      </c>
      <c r="B67" s="3">
        <v>19413602</v>
      </c>
      <c r="C67">
        <v>3.8902006033997201</v>
      </c>
      <c r="D67">
        <v>3.1749833472671498</v>
      </c>
      <c r="E67">
        <v>3.1749833472671498</v>
      </c>
      <c r="F67">
        <f t="shared" si="1"/>
        <v>4.3258006729828153</v>
      </c>
      <c r="G67">
        <v>390</v>
      </c>
      <c r="I67">
        <v>390</v>
      </c>
      <c r="K67">
        <v>1529.625</v>
      </c>
      <c r="L67">
        <v>1576.865</v>
      </c>
      <c r="M67">
        <v>1700</v>
      </c>
      <c r="N67">
        <v>2000</v>
      </c>
      <c r="O67">
        <v>1573.76</v>
      </c>
      <c r="P67">
        <v>1598.0216666666699</v>
      </c>
      <c r="Q67">
        <v>1843.5</v>
      </c>
      <c r="R67">
        <v>1846.2</v>
      </c>
      <c r="S67">
        <v>18085191</v>
      </c>
      <c r="T67" s="1">
        <v>43011272.100000001</v>
      </c>
      <c r="U67">
        <v>32879792</v>
      </c>
      <c r="V67">
        <v>839428.19960000005</v>
      </c>
      <c r="W67">
        <v>4971213.8891233802</v>
      </c>
      <c r="X67">
        <v>1604487.8004000001</v>
      </c>
      <c r="Y67">
        <v>6940812.5973374601</v>
      </c>
      <c r="Z67">
        <v>10735969</v>
      </c>
      <c r="AA67">
        <f t="shared" si="2"/>
        <v>4.0062775982307697</v>
      </c>
    </row>
    <row r="68" spans="1:27" x14ac:dyDescent="0.25">
      <c r="A68">
        <v>1993</v>
      </c>
      <c r="B68" s="3">
        <v>27451088</v>
      </c>
      <c r="C68">
        <v>5.63904237599992</v>
      </c>
      <c r="D68">
        <v>4.1579752454754697</v>
      </c>
      <c r="E68">
        <v>4.1579752454754697</v>
      </c>
      <c r="F68">
        <f t="shared" si="1"/>
        <v>5.6650917966563572</v>
      </c>
      <c r="G68">
        <v>394.40583333333302</v>
      </c>
      <c r="I68">
        <v>2029</v>
      </c>
      <c r="K68">
        <v>1705.9166666666699</v>
      </c>
      <c r="L68">
        <v>1989.43916666667</v>
      </c>
      <c r="M68">
        <v>1779</v>
      </c>
      <c r="N68">
        <v>2029</v>
      </c>
      <c r="O68">
        <v>1918.5775000000001</v>
      </c>
      <c r="P68">
        <v>1919.3391666666701</v>
      </c>
      <c r="Q68">
        <v>2044</v>
      </c>
      <c r="R68">
        <v>2046</v>
      </c>
      <c r="S68">
        <v>18929248</v>
      </c>
      <c r="T68" s="1">
        <v>44109790.299999997</v>
      </c>
      <c r="U68">
        <v>33528582</v>
      </c>
      <c r="V68">
        <v>966276.79200000002</v>
      </c>
      <c r="W68">
        <v>5024289.9486139296</v>
      </c>
      <c r="X68">
        <v>1743836.2080000001</v>
      </c>
      <c r="Y68">
        <v>7195977.2963072304</v>
      </c>
      <c r="Z68">
        <v>10965121</v>
      </c>
      <c r="AA68">
        <f t="shared" si="2"/>
        <v>4.0227363017699487</v>
      </c>
    </row>
    <row r="69" spans="1:27" x14ac:dyDescent="0.25">
      <c r="A69">
        <v>1994</v>
      </c>
      <c r="B69" s="3">
        <v>36478366</v>
      </c>
      <c r="C69">
        <v>7.1791145736264603</v>
      </c>
      <c r="D69">
        <v>5.2134027051134604</v>
      </c>
      <c r="E69">
        <v>5.2134027051134604</v>
      </c>
      <c r="F69">
        <f t="shared" si="1"/>
        <v>7.103073768787441</v>
      </c>
      <c r="G69">
        <v>2192.7224999999999</v>
      </c>
      <c r="I69">
        <v>2297</v>
      </c>
      <c r="K69">
        <v>1975.0225</v>
      </c>
      <c r="L69">
        <v>2192.7224999999999</v>
      </c>
      <c r="M69">
        <v>2251</v>
      </c>
      <c r="N69">
        <v>2297</v>
      </c>
      <c r="O69">
        <v>2196.2350000000001</v>
      </c>
      <c r="P69">
        <v>2197.2166666666699</v>
      </c>
      <c r="Q69">
        <v>2268</v>
      </c>
      <c r="R69">
        <v>2270</v>
      </c>
      <c r="S69">
        <v>22697319</v>
      </c>
      <c r="T69" s="1">
        <v>45814243.399999999</v>
      </c>
      <c r="U69">
        <v>34956313</v>
      </c>
      <c r="V69">
        <v>1170100.8311000001</v>
      </c>
      <c r="W69">
        <v>5295789.0170936296</v>
      </c>
      <c r="X69">
        <v>1998511.1688999999</v>
      </c>
      <c r="Y69">
        <v>7348836.0673567103</v>
      </c>
      <c r="Z69">
        <v>11186758</v>
      </c>
      <c r="AA69">
        <f t="shared" si="2"/>
        <v>4.0953995250455941</v>
      </c>
    </row>
    <row r="70" spans="1:27" x14ac:dyDescent="0.25">
      <c r="A70">
        <v>1995</v>
      </c>
      <c r="B70" s="3">
        <v>46005438</v>
      </c>
      <c r="C70">
        <v>8.8255605919137992</v>
      </c>
      <c r="D70">
        <v>6.4006933399511103</v>
      </c>
      <c r="E70">
        <v>6.4006933399511103</v>
      </c>
      <c r="F70">
        <f t="shared" si="1"/>
        <v>8.7207145767707868</v>
      </c>
      <c r="G70">
        <v>2552.0948809523802</v>
      </c>
      <c r="I70">
        <v>2922</v>
      </c>
      <c r="K70">
        <v>2501.0607142857102</v>
      </c>
      <c r="L70">
        <v>2552.0832142857098</v>
      </c>
      <c r="M70">
        <v>2864</v>
      </c>
      <c r="N70">
        <v>2922</v>
      </c>
      <c r="O70">
        <v>2563.7725</v>
      </c>
      <c r="P70">
        <v>2565.21583333333</v>
      </c>
      <c r="Q70">
        <v>2922</v>
      </c>
      <c r="R70">
        <v>2925</v>
      </c>
      <c r="S70">
        <v>24420668</v>
      </c>
      <c r="T70" s="1">
        <v>46706976</v>
      </c>
      <c r="U70">
        <v>35743721</v>
      </c>
      <c r="V70">
        <v>1156934.4193</v>
      </c>
      <c r="W70">
        <v>5004923.2855381798</v>
      </c>
      <c r="X70">
        <v>2163413.5806999998</v>
      </c>
      <c r="Y70">
        <v>7581973.5174946599</v>
      </c>
      <c r="Z70">
        <v>11396692</v>
      </c>
      <c r="AA70">
        <f t="shared" si="2"/>
        <v>4.0982923816840886</v>
      </c>
    </row>
    <row r="71" spans="1:27" x14ac:dyDescent="0.25">
      <c r="A71">
        <v>1996</v>
      </c>
      <c r="B71" s="3">
        <v>60726745</v>
      </c>
      <c r="C71">
        <v>10.9780354387801</v>
      </c>
      <c r="D71">
        <v>8.0405785401673899</v>
      </c>
      <c r="E71">
        <v>8.0405785401673899</v>
      </c>
      <c r="F71">
        <f t="shared" si="1"/>
        <v>10.954999209733069</v>
      </c>
      <c r="G71">
        <v>3176.5478227931499</v>
      </c>
      <c r="I71">
        <v>3627</v>
      </c>
      <c r="K71">
        <v>3112.9526000690098</v>
      </c>
      <c r="L71">
        <v>3176.5478227931499</v>
      </c>
      <c r="M71">
        <v>3554</v>
      </c>
      <c r="N71">
        <v>3627</v>
      </c>
      <c r="O71">
        <v>3188.7592857142899</v>
      </c>
      <c r="P71">
        <v>3190.1924206349199</v>
      </c>
      <c r="Q71">
        <v>3634</v>
      </c>
      <c r="R71">
        <v>3635</v>
      </c>
      <c r="S71">
        <v>25213780</v>
      </c>
      <c r="T71" s="1">
        <v>49017332.899999999</v>
      </c>
      <c r="U71">
        <v>36362712</v>
      </c>
      <c r="V71">
        <v>1286556.1647000001</v>
      </c>
      <c r="W71">
        <v>5550076.1254986804</v>
      </c>
      <c r="X71">
        <v>2030145.8352999999</v>
      </c>
      <c r="Y71">
        <v>7297210.9969891999</v>
      </c>
      <c r="Z71">
        <v>11591131</v>
      </c>
      <c r="AA71">
        <f t="shared" si="2"/>
        <v>4.2288654058003488</v>
      </c>
    </row>
    <row r="72" spans="1:27" x14ac:dyDescent="0.25">
      <c r="A72">
        <v>1997</v>
      </c>
      <c r="B72" s="3">
        <v>79040013</v>
      </c>
      <c r="C72">
        <v>14.3471720319583</v>
      </c>
      <c r="D72">
        <v>10.506715716579899</v>
      </c>
      <c r="E72">
        <v>10.506715716579899</v>
      </c>
      <c r="F72">
        <f t="shared" si="1"/>
        <v>14.315022457280371</v>
      </c>
      <c r="G72">
        <v>3983.0687905452</v>
      </c>
      <c r="I72">
        <v>4438</v>
      </c>
      <c r="K72">
        <v>3903.4035369220101</v>
      </c>
      <c r="L72">
        <v>3983.0687905452</v>
      </c>
      <c r="M72">
        <v>4349</v>
      </c>
      <c r="N72">
        <v>4438</v>
      </c>
      <c r="O72">
        <v>3997.6966666666699</v>
      </c>
      <c r="P72">
        <v>3998.7991666666699</v>
      </c>
      <c r="Q72">
        <v>4425</v>
      </c>
      <c r="R72">
        <v>4428</v>
      </c>
      <c r="S72">
        <v>28147972</v>
      </c>
      <c r="T72" s="1">
        <v>50237588.600000001</v>
      </c>
      <c r="U72">
        <v>37936441</v>
      </c>
      <c r="V72">
        <v>1086799.4362000001</v>
      </c>
      <c r="W72">
        <v>3225835.9163800399</v>
      </c>
      <c r="X72">
        <v>2678281.5638000001</v>
      </c>
      <c r="Y72">
        <v>6511135.6891610101</v>
      </c>
      <c r="Z72">
        <v>11772866</v>
      </c>
      <c r="AA72">
        <f t="shared" si="2"/>
        <v>4.2672352339693669</v>
      </c>
    </row>
    <row r="73" spans="1:27" x14ac:dyDescent="0.25">
      <c r="A73">
        <v>1998</v>
      </c>
      <c r="B73" s="3">
        <v>107421048</v>
      </c>
      <c r="C73">
        <v>17.829975394598399</v>
      </c>
      <c r="D73">
        <v>15.0666411303004</v>
      </c>
      <c r="E73">
        <v>15.0666411303004</v>
      </c>
      <c r="F73">
        <f t="shared" si="1"/>
        <v>20.527756908439638</v>
      </c>
      <c r="G73">
        <v>5402.9445291423599</v>
      </c>
      <c r="I73">
        <v>6521</v>
      </c>
      <c r="K73">
        <v>5294.8471901509402</v>
      </c>
      <c r="L73">
        <v>5402.9445291423599</v>
      </c>
      <c r="M73">
        <v>6391</v>
      </c>
      <c r="N73">
        <v>6521</v>
      </c>
      <c r="O73">
        <v>5436.7242077030496</v>
      </c>
      <c r="P73">
        <v>5446.4394336384403</v>
      </c>
      <c r="Q73">
        <v>6765</v>
      </c>
      <c r="R73">
        <v>6825</v>
      </c>
      <c r="S73">
        <v>27967906</v>
      </c>
      <c r="T73" s="1">
        <v>51941057.100000001</v>
      </c>
      <c r="U73">
        <v>39175646</v>
      </c>
      <c r="V73">
        <v>1122262.8626999999</v>
      </c>
      <c r="W73">
        <v>2960481.1573415599</v>
      </c>
      <c r="X73">
        <v>3040874.1373000001</v>
      </c>
      <c r="Y73">
        <v>6660662.8070370303</v>
      </c>
      <c r="Z73">
        <v>11947588</v>
      </c>
      <c r="AA73">
        <f t="shared" si="2"/>
        <v>4.3474094603864817</v>
      </c>
    </row>
    <row r="74" spans="1:27" x14ac:dyDescent="0.25">
      <c r="A74">
        <v>1999</v>
      </c>
      <c r="B74" s="3"/>
      <c r="C74">
        <v>29.728146543116502</v>
      </c>
      <c r="D74">
        <v>24.213473764919801</v>
      </c>
      <c r="E74">
        <v>24.213473764919801</v>
      </c>
      <c r="F74">
        <f t="shared" si="1"/>
        <v>32.989987553068119</v>
      </c>
      <c r="G74">
        <v>11547.8216154973</v>
      </c>
      <c r="I74">
        <v>18287</v>
      </c>
      <c r="K74">
        <v>11316.8428634869</v>
      </c>
      <c r="L74">
        <v>11547.8216154973</v>
      </c>
      <c r="M74">
        <v>17921</v>
      </c>
      <c r="N74">
        <v>18287</v>
      </c>
      <c r="O74">
        <v>11649.2644706873</v>
      </c>
      <c r="P74">
        <v>11786.802467956901</v>
      </c>
      <c r="Q74">
        <v>19858</v>
      </c>
      <c r="R74">
        <v>20243</v>
      </c>
      <c r="S74">
        <v>19635450</v>
      </c>
      <c r="T74" s="1">
        <v>49665731.100000001</v>
      </c>
      <c r="U74">
        <v>37318961</v>
      </c>
      <c r="V74">
        <v>741566.05330000003</v>
      </c>
      <c r="W74">
        <v>2520864.1820855602</v>
      </c>
      <c r="X74">
        <v>1769637.9467</v>
      </c>
      <c r="Y74">
        <v>4926752.2809004402</v>
      </c>
      <c r="Z74">
        <v>12120984</v>
      </c>
      <c r="AA74">
        <f t="shared" si="2"/>
        <v>4.0974999306986959</v>
      </c>
    </row>
    <row r="75" spans="1:27" x14ac:dyDescent="0.25">
      <c r="A75">
        <v>2000</v>
      </c>
      <c r="B75" s="3"/>
      <c r="C75">
        <v>58.239614587482102</v>
      </c>
      <c r="D75">
        <v>46.2468175095484</v>
      </c>
      <c r="E75">
        <v>46.2468175095484</v>
      </c>
      <c r="F75">
        <f t="shared" si="1"/>
        <v>63.009626327115633</v>
      </c>
      <c r="K75">
        <v>24500</v>
      </c>
      <c r="L75">
        <v>25000</v>
      </c>
      <c r="M75">
        <v>24500</v>
      </c>
      <c r="N75">
        <v>25000</v>
      </c>
      <c r="O75">
        <v>25000</v>
      </c>
      <c r="P75">
        <v>25000</v>
      </c>
      <c r="Q75">
        <v>25000</v>
      </c>
      <c r="R75">
        <v>25000</v>
      </c>
      <c r="S75">
        <v>18318601</v>
      </c>
      <c r="T75" s="1">
        <v>52158040</v>
      </c>
      <c r="U75">
        <v>37726410</v>
      </c>
      <c r="V75">
        <v>698325.32940000005</v>
      </c>
      <c r="W75">
        <v>2768145.07907059</v>
      </c>
      <c r="X75">
        <v>1933185.6706000001</v>
      </c>
      <c r="Y75">
        <v>6052726.1258137804</v>
      </c>
      <c r="Z75">
        <v>12298745</v>
      </c>
      <c r="AA75">
        <f t="shared" si="2"/>
        <v>4.240923769051232</v>
      </c>
    </row>
    <row r="76" spans="1:27" x14ac:dyDescent="0.25">
      <c r="A76">
        <v>2001</v>
      </c>
      <c r="B76" s="3"/>
      <c r="C76">
        <v>80.179897345365703</v>
      </c>
      <c r="D76">
        <v>56.624020551656898</v>
      </c>
      <c r="E76">
        <v>56.624020551656898</v>
      </c>
      <c r="F76">
        <f t="shared" si="1"/>
        <v>77.148192421287703</v>
      </c>
      <c r="S76">
        <v>24468324</v>
      </c>
      <c r="T76" s="1">
        <v>54351949.200000003</v>
      </c>
      <c r="U76">
        <v>39241363</v>
      </c>
      <c r="V76">
        <v>1108717.9950999999</v>
      </c>
      <c r="W76">
        <v>3210692.1518198899</v>
      </c>
      <c r="X76">
        <v>2429032.0049000001</v>
      </c>
      <c r="Y76">
        <v>5820621.1797750304</v>
      </c>
      <c r="Z76">
        <v>12156608</v>
      </c>
      <c r="AA76">
        <f t="shared" si="2"/>
        <v>4.4709798325322332</v>
      </c>
    </row>
    <row r="77" spans="1:27" x14ac:dyDescent="0.25">
      <c r="A77">
        <v>2002</v>
      </c>
      <c r="B77" s="3"/>
      <c r="C77">
        <v>90.234695755904198</v>
      </c>
      <c r="D77">
        <v>61.921628573724703</v>
      </c>
      <c r="E77">
        <v>61.921628573724703</v>
      </c>
      <c r="F77">
        <f t="shared" si="1"/>
        <v>84.365992907323388</v>
      </c>
      <c r="S77">
        <v>28548945</v>
      </c>
      <c r="T77" s="1">
        <v>57030465.700000003</v>
      </c>
      <c r="U77">
        <v>40848994</v>
      </c>
      <c r="V77">
        <v>1366380.4299000001</v>
      </c>
      <c r="W77">
        <v>3686559.8855082002</v>
      </c>
      <c r="X77">
        <v>3156811.5701000001</v>
      </c>
      <c r="Y77">
        <v>7108214.9778319104</v>
      </c>
      <c r="Z77">
        <v>12660727</v>
      </c>
      <c r="AA77">
        <f t="shared" si="2"/>
        <v>4.504517449906313</v>
      </c>
    </row>
    <row r="78" spans="1:27" x14ac:dyDescent="0.25">
      <c r="A78">
        <v>2003</v>
      </c>
      <c r="B78" s="3"/>
      <c r="C78">
        <v>97.425504011087199</v>
      </c>
      <c r="D78">
        <v>65.680194314141502</v>
      </c>
      <c r="E78">
        <v>65.680194314141502</v>
      </c>
      <c r="F78">
        <f t="shared" si="1"/>
        <v>89.486903611733808</v>
      </c>
      <c r="S78">
        <v>32432858</v>
      </c>
      <c r="T78" s="1">
        <v>58675510</v>
      </c>
      <c r="U78">
        <v>41961262</v>
      </c>
      <c r="V78">
        <v>1377596.8924</v>
      </c>
      <c r="W78">
        <v>3556033.9843676798</v>
      </c>
      <c r="X78">
        <v>3402367.1076000002</v>
      </c>
      <c r="Y78">
        <v>7293620.3210054701</v>
      </c>
      <c r="Z78">
        <v>12842576</v>
      </c>
      <c r="AA78">
        <f t="shared" si="2"/>
        <v>4.5688271574176396</v>
      </c>
    </row>
    <row r="79" spans="1:27" x14ac:dyDescent="0.25">
      <c r="A79">
        <v>2004</v>
      </c>
      <c r="B79" s="3"/>
      <c r="C79">
        <v>100</v>
      </c>
      <c r="D79">
        <v>66.958052702270393</v>
      </c>
      <c r="E79">
        <v>66.958052702270393</v>
      </c>
      <c r="F79">
        <f t="shared" si="1"/>
        <v>91.227939727750822</v>
      </c>
      <c r="S79">
        <v>36591661</v>
      </c>
      <c r="T79" s="1">
        <v>62684453.799999997</v>
      </c>
      <c r="U79">
        <v>45406710</v>
      </c>
      <c r="V79">
        <v>1450826.4373000001</v>
      </c>
      <c r="W79">
        <v>3176243.96834148</v>
      </c>
      <c r="X79">
        <v>4099402.5627000001</v>
      </c>
      <c r="Y79">
        <v>7505595.9167936696</v>
      </c>
      <c r="Z79">
        <v>13026890</v>
      </c>
      <c r="AA79">
        <f t="shared" si="2"/>
        <v>4.8119277740120623</v>
      </c>
    </row>
    <row r="80" spans="1:27" x14ac:dyDescent="0.25">
      <c r="A80">
        <v>2005</v>
      </c>
      <c r="B80" s="3"/>
      <c r="C80">
        <v>102.08</v>
      </c>
      <c r="D80">
        <v>69.056664894734496</v>
      </c>
      <c r="E80">
        <v>69.056664894734496</v>
      </c>
      <c r="F80">
        <f t="shared" ref="F80:F99" si="3">E80/$E$82*100</f>
        <v>94.087223396846326</v>
      </c>
      <c r="S80">
        <v>41507085</v>
      </c>
      <c r="T80" s="1">
        <v>66068550</v>
      </c>
      <c r="U80">
        <v>47809319</v>
      </c>
      <c r="V80">
        <v>1458450.4627</v>
      </c>
      <c r="W80">
        <v>2960715.2028739098</v>
      </c>
      <c r="X80">
        <v>5105097.5373</v>
      </c>
      <c r="Y80">
        <v>8754220.2230340708</v>
      </c>
      <c r="Z80">
        <v>13215089</v>
      </c>
      <c r="AA80">
        <f t="shared" si="2"/>
        <v>4.9994782479331015</v>
      </c>
    </row>
    <row r="81" spans="1:27" x14ac:dyDescent="0.25">
      <c r="A81">
        <v>2006</v>
      </c>
      <c r="B81" s="3"/>
      <c r="C81">
        <v>105.45</v>
      </c>
      <c r="D81">
        <v>71.038173151645296</v>
      </c>
      <c r="E81">
        <v>71.038173151645296</v>
      </c>
      <c r="F81">
        <f t="shared" si="3"/>
        <v>96.786957163526935</v>
      </c>
      <c r="S81">
        <v>46802044</v>
      </c>
      <c r="T81" s="1">
        <v>68936673.900000006</v>
      </c>
      <c r="U81">
        <v>49914615</v>
      </c>
      <c r="V81">
        <v>1441327.7235000001</v>
      </c>
      <c r="W81">
        <v>2638253.8280742001</v>
      </c>
      <c r="X81">
        <v>6132982.2764999997</v>
      </c>
      <c r="Y81">
        <v>9592667.6533436403</v>
      </c>
      <c r="Z81">
        <v>13408270</v>
      </c>
      <c r="AA81">
        <f t="shared" si="2"/>
        <v>5.1413548429439446</v>
      </c>
    </row>
    <row r="82" spans="1:27" x14ac:dyDescent="0.25">
      <c r="A82">
        <v>2007</v>
      </c>
      <c r="B82" s="3"/>
      <c r="C82">
        <v>107.847515121795</v>
      </c>
      <c r="D82">
        <v>73.396431950662901</v>
      </c>
      <c r="E82">
        <v>73.396431950662901</v>
      </c>
      <c r="F82">
        <f t="shared" si="3"/>
        <v>100</v>
      </c>
      <c r="S82">
        <v>51007777</v>
      </c>
      <c r="T82" s="1">
        <v>70248145.099999994</v>
      </c>
      <c r="U82">
        <v>51007777</v>
      </c>
      <c r="V82">
        <v>2609319.8679999998</v>
      </c>
      <c r="W82">
        <v>4613020.9809673503</v>
      </c>
      <c r="X82">
        <v>5598928.1320000002</v>
      </c>
      <c r="Y82">
        <v>8328969.6898620799</v>
      </c>
      <c r="Z82">
        <v>13605486</v>
      </c>
      <c r="AA82">
        <f t="shared" si="2"/>
        <v>5.1632220341118273</v>
      </c>
    </row>
    <row r="83" spans="1:27" x14ac:dyDescent="0.25">
      <c r="A83">
        <v>2008</v>
      </c>
      <c r="B83" s="3"/>
      <c r="C83">
        <v>116.906826879439</v>
      </c>
      <c r="D83">
        <v>79.877734234298799</v>
      </c>
      <c r="E83">
        <v>79.877734234298799</v>
      </c>
      <c r="F83">
        <f t="shared" si="3"/>
        <v>108.83054136472552</v>
      </c>
      <c r="S83">
        <v>61762635</v>
      </c>
      <c r="T83" s="1">
        <v>74859881.099999994</v>
      </c>
      <c r="U83">
        <v>54250408</v>
      </c>
      <c r="V83">
        <v>3426787.3132000002</v>
      </c>
      <c r="W83">
        <v>5277436.6992817502</v>
      </c>
      <c r="X83">
        <v>7233692.6868000003</v>
      </c>
      <c r="Y83">
        <v>9605124.8848888408</v>
      </c>
      <c r="Z83">
        <v>13805092</v>
      </c>
      <c r="AA83">
        <f t="shared" si="2"/>
        <v>5.422628194002618</v>
      </c>
    </row>
    <row r="84" spans="1:27" x14ac:dyDescent="0.25">
      <c r="A84">
        <v>2009</v>
      </c>
      <c r="B84" s="3"/>
      <c r="C84">
        <v>122.93918207738</v>
      </c>
      <c r="D84">
        <v>83.321857359366703</v>
      </c>
      <c r="E84">
        <v>83.321857359366703</v>
      </c>
      <c r="F84">
        <f t="shared" si="3"/>
        <v>113.52303530963968</v>
      </c>
      <c r="S84">
        <v>62519686</v>
      </c>
      <c r="T84" s="1">
        <v>75676611.5</v>
      </c>
      <c r="U84">
        <v>54557732</v>
      </c>
      <c r="V84">
        <v>5081310.3422999997</v>
      </c>
      <c r="W84">
        <v>6685212.5580280796</v>
      </c>
      <c r="X84">
        <v>5820610.6577000003</v>
      </c>
      <c r="Y84">
        <v>8088790.1228100797</v>
      </c>
      <c r="Z84">
        <v>14005449</v>
      </c>
      <c r="AA84">
        <f t="shared" si="2"/>
        <v>5.4033691815235629</v>
      </c>
    </row>
    <row r="85" spans="1:27" x14ac:dyDescent="0.25">
      <c r="A85">
        <v>2010</v>
      </c>
      <c r="B85" s="3"/>
      <c r="C85">
        <v>127.308904514102</v>
      </c>
      <c r="D85">
        <v>86.094837996974903</v>
      </c>
      <c r="E85">
        <v>86.094837996974903</v>
      </c>
      <c r="F85">
        <f t="shared" si="3"/>
        <v>117.30112174233194</v>
      </c>
      <c r="S85">
        <v>69555367</v>
      </c>
      <c r="T85" s="1">
        <v>78725726.099999994</v>
      </c>
      <c r="U85">
        <v>56481055</v>
      </c>
      <c r="V85">
        <v>5645306.1363000004</v>
      </c>
      <c r="W85">
        <v>6897187.2187011996</v>
      </c>
      <c r="X85">
        <v>7789208.8636999996</v>
      </c>
      <c r="Y85">
        <v>9586017.9813601505</v>
      </c>
      <c r="Z85">
        <v>14204900</v>
      </c>
      <c r="AA85">
        <f t="shared" si="2"/>
        <v>5.5421527853064783</v>
      </c>
    </row>
    <row r="86" spans="1:27" x14ac:dyDescent="0.25">
      <c r="A86">
        <v>2011</v>
      </c>
      <c r="B86" s="3"/>
      <c r="C86">
        <v>133.005383023072</v>
      </c>
      <c r="D86">
        <v>90.752036903797503</v>
      </c>
      <c r="E86">
        <v>90.752036903797503</v>
      </c>
      <c r="F86">
        <f t="shared" si="3"/>
        <v>123.64638783095212</v>
      </c>
      <c r="S86">
        <v>79276664</v>
      </c>
      <c r="T86" s="1">
        <v>85402830.599999994</v>
      </c>
      <c r="U86">
        <v>60925064</v>
      </c>
      <c r="V86">
        <v>6844913.2149999999</v>
      </c>
      <c r="W86">
        <v>7845210.5145508898</v>
      </c>
      <c r="X86">
        <v>9695694.7850000001</v>
      </c>
      <c r="Y86">
        <v>11465478.955058699</v>
      </c>
      <c r="Z86">
        <v>15266431</v>
      </c>
      <c r="AA86">
        <f t="shared" si="2"/>
        <v>5.5941582285997296</v>
      </c>
    </row>
    <row r="87" spans="1:27" x14ac:dyDescent="0.25">
      <c r="A87">
        <v>2012</v>
      </c>
      <c r="B87" s="3"/>
      <c r="C87">
        <v>139.79094765668501</v>
      </c>
      <c r="D87">
        <v>94.530869689745202</v>
      </c>
      <c r="E87">
        <v>94.530869689745202</v>
      </c>
      <c r="F87">
        <f t="shared" si="3"/>
        <v>128.79491165631714</v>
      </c>
      <c r="S87">
        <v>87924544</v>
      </c>
      <c r="T87" s="1">
        <v>90341857.299999997</v>
      </c>
      <c r="U87">
        <v>64362433</v>
      </c>
      <c r="V87">
        <v>8262367.4106999999</v>
      </c>
      <c r="W87">
        <v>9147305.1393089294</v>
      </c>
      <c r="X87">
        <v>11161814.589299999</v>
      </c>
      <c r="Y87">
        <v>12449443.2651814</v>
      </c>
      <c r="Z87">
        <v>15520973</v>
      </c>
      <c r="AA87">
        <f t="shared" si="2"/>
        <v>5.8206310454892227</v>
      </c>
    </row>
    <row r="88" spans="1:27" x14ac:dyDescent="0.25">
      <c r="A88">
        <v>2013</v>
      </c>
      <c r="B88" s="3"/>
      <c r="C88">
        <v>143.595743808588</v>
      </c>
      <c r="D88">
        <v>97.083526477855102</v>
      </c>
      <c r="E88">
        <v>97.083526477855102</v>
      </c>
      <c r="F88">
        <f t="shared" si="3"/>
        <v>132.27281476450338</v>
      </c>
      <c r="S88">
        <v>95129659</v>
      </c>
      <c r="T88" s="1">
        <v>96856621.799999997</v>
      </c>
      <c r="U88">
        <v>67546128</v>
      </c>
      <c r="V88">
        <v>11994775.9044</v>
      </c>
      <c r="W88">
        <v>13263876.259358</v>
      </c>
      <c r="X88">
        <v>11110011.0956</v>
      </c>
      <c r="Y88">
        <v>12507974.370550999</v>
      </c>
      <c r="Z88">
        <v>15774749</v>
      </c>
      <c r="AA88">
        <f t="shared" si="2"/>
        <v>6.1399786329405304</v>
      </c>
    </row>
    <row r="89" spans="1:27" x14ac:dyDescent="0.25">
      <c r="A89">
        <v>2014</v>
      </c>
      <c r="B89" s="3"/>
      <c r="C89">
        <v>148.749711203125</v>
      </c>
      <c r="D89">
        <v>100.64392618773699</v>
      </c>
      <c r="E89">
        <v>100.64392618773699</v>
      </c>
      <c r="F89">
        <f t="shared" si="3"/>
        <v>137.12373137619261</v>
      </c>
      <c r="S89">
        <v>102292260</v>
      </c>
      <c r="T89" s="1">
        <v>100949846.09999999</v>
      </c>
      <c r="U89">
        <v>70243048</v>
      </c>
      <c r="V89">
        <v>13204938.309699999</v>
      </c>
      <c r="W89">
        <v>14191024.561339701</v>
      </c>
      <c r="X89">
        <v>10917194.690300001</v>
      </c>
      <c r="Y89">
        <v>11933769.0042801</v>
      </c>
      <c r="Z89">
        <v>16027466</v>
      </c>
      <c r="AA89">
        <f t="shared" si="2"/>
        <v>6.2985531274875264</v>
      </c>
    </row>
    <row r="90" spans="1:27" x14ac:dyDescent="0.25">
      <c r="A90">
        <v>2015</v>
      </c>
      <c r="B90" s="3"/>
      <c r="D90">
        <v>104.04581683199901</v>
      </c>
      <c r="E90">
        <v>104.04581683199901</v>
      </c>
      <c r="F90">
        <f t="shared" si="3"/>
        <v>141.75868508422676</v>
      </c>
      <c r="S90">
        <v>100176808</v>
      </c>
      <c r="T90" s="1">
        <v>101070674.7</v>
      </c>
      <c r="U90">
        <v>70353852</v>
      </c>
      <c r="V90">
        <v>9950458.6257000007</v>
      </c>
      <c r="W90">
        <v>11018431.5209962</v>
      </c>
      <c r="X90">
        <v>11962038.374299999</v>
      </c>
      <c r="Y90">
        <v>13103239.245634699</v>
      </c>
      <c r="Z90">
        <v>16278844</v>
      </c>
      <c r="AA90">
        <f t="shared" si="2"/>
        <v>6.2087132661262681</v>
      </c>
    </row>
    <row r="91" spans="1:27" x14ac:dyDescent="0.25">
      <c r="A91">
        <v>2016</v>
      </c>
      <c r="B91" s="3"/>
      <c r="D91">
        <v>105.210912990011</v>
      </c>
      <c r="E91">
        <v>105.210912990011</v>
      </c>
      <c r="F91">
        <f t="shared" si="3"/>
        <v>143.3460867154057</v>
      </c>
      <c r="S91" s="2">
        <v>99937696</v>
      </c>
      <c r="T91" s="1">
        <v>100375354</v>
      </c>
      <c r="V91">
        <v>9543336.5582999997</v>
      </c>
      <c r="W91">
        <v>9708387.3203443103</v>
      </c>
      <c r="X91">
        <v>10689139.4417</v>
      </c>
      <c r="Y91">
        <v>10671090.8713894</v>
      </c>
      <c r="Z91">
        <v>16528730</v>
      </c>
      <c r="AA91">
        <f t="shared" si="2"/>
        <v>6.07278078836063</v>
      </c>
    </row>
    <row r="92" spans="1:27" x14ac:dyDescent="0.25">
      <c r="A92">
        <v>2017</v>
      </c>
      <c r="B92" s="3"/>
      <c r="D92">
        <v>105.00396255276</v>
      </c>
      <c r="E92">
        <v>105.00396255276</v>
      </c>
      <c r="F92">
        <f t="shared" si="3"/>
        <v>143.06412418432507</v>
      </c>
      <c r="S92" s="2">
        <v>104295862</v>
      </c>
      <c r="T92" s="1">
        <v>106368164.09999999</v>
      </c>
      <c r="V92">
        <v>9340678.8998000007</v>
      </c>
      <c r="W92">
        <v>9454694.5266603902</v>
      </c>
      <c r="X92">
        <v>13079327.100199999</v>
      </c>
      <c r="Y92">
        <v>13369332.9968199</v>
      </c>
      <c r="Z92">
        <v>16759519</v>
      </c>
      <c r="AA92">
        <f t="shared" si="2"/>
        <v>6.3467313172889979</v>
      </c>
    </row>
    <row r="93" spans="1:27" x14ac:dyDescent="0.25">
      <c r="A93">
        <v>2018</v>
      </c>
      <c r="B93" s="3"/>
      <c r="D93">
        <v>105.28345197589999</v>
      </c>
      <c r="E93">
        <v>105.28345197589999</v>
      </c>
      <c r="F93">
        <f t="shared" si="3"/>
        <v>143.44491847597109</v>
      </c>
      <c r="S93">
        <v>107479000</v>
      </c>
      <c r="T93" s="1">
        <v>107478961</v>
      </c>
      <c r="V93">
        <v>7034182</v>
      </c>
      <c r="W93">
        <v>7034182</v>
      </c>
      <c r="X93">
        <v>15523956</v>
      </c>
      <c r="Y93">
        <v>15523956</v>
      </c>
      <c r="Z93">
        <v>17049547</v>
      </c>
      <c r="AA93">
        <f t="shared" si="2"/>
        <v>6.3039188665833761</v>
      </c>
    </row>
    <row r="94" spans="1:27" x14ac:dyDescent="0.25">
      <c r="A94">
        <v>2019</v>
      </c>
      <c r="B94" s="3"/>
      <c r="D94">
        <v>105.214666947918</v>
      </c>
      <c r="E94">
        <v>105.214666947918</v>
      </c>
      <c r="F94">
        <f t="shared" si="3"/>
        <v>143.35120134810276</v>
      </c>
      <c r="S94">
        <v>107595800</v>
      </c>
      <c r="T94" s="1">
        <v>107656736</v>
      </c>
      <c r="V94">
        <v>6285805</v>
      </c>
      <c r="W94">
        <v>6234784.4512999998</v>
      </c>
      <c r="X94">
        <v>15938036</v>
      </c>
      <c r="Y94">
        <v>15804740.0962</v>
      </c>
      <c r="Z94">
        <v>17340021</v>
      </c>
      <c r="AA94">
        <f t="shared" si="2"/>
        <v>6.2085701049612343</v>
      </c>
    </row>
    <row r="95" spans="1:27" x14ac:dyDescent="0.25">
      <c r="A95">
        <v>2020</v>
      </c>
      <c r="B95" s="3"/>
      <c r="D95">
        <v>104.233025480214</v>
      </c>
      <c r="E95">
        <v>104.233025480214</v>
      </c>
      <c r="F95">
        <f t="shared" si="3"/>
        <v>142.01375013744465</v>
      </c>
      <c r="S95">
        <v>95865500</v>
      </c>
      <c r="T95" s="1">
        <v>97703767.200000003</v>
      </c>
      <c r="V95">
        <v>4746246</v>
      </c>
      <c r="W95">
        <v>4787003.2096237503</v>
      </c>
      <c r="X95">
        <v>12505170</v>
      </c>
      <c r="Y95">
        <v>12452597.3196293</v>
      </c>
      <c r="Z95">
        <v>17546065</v>
      </c>
      <c r="AA95">
        <f t="shared" si="2"/>
        <v>5.5684147528234966</v>
      </c>
    </row>
    <row r="96" spans="1:27" x14ac:dyDescent="0.25">
      <c r="A96">
        <v>2021</v>
      </c>
      <c r="B96" s="3"/>
      <c r="D96">
        <v>106.255853364723</v>
      </c>
      <c r="E96">
        <v>106.255853364723</v>
      </c>
      <c r="F96">
        <f t="shared" si="3"/>
        <v>144.769780411326</v>
      </c>
      <c r="S96">
        <v>107179100</v>
      </c>
      <c r="T96" s="1">
        <v>106909311.3</v>
      </c>
      <c r="V96">
        <v>5288302</v>
      </c>
      <c r="W96">
        <v>5149662.7859834898</v>
      </c>
      <c r="X96">
        <v>15322865</v>
      </c>
      <c r="Y96">
        <v>14454273.270273</v>
      </c>
      <c r="Z96">
        <v>17682454</v>
      </c>
      <c r="AA96">
        <f t="shared" si="2"/>
        <v>6.0460675480903268</v>
      </c>
    </row>
    <row r="97" spans="1:27" x14ac:dyDescent="0.25">
      <c r="A97">
        <v>2022</v>
      </c>
      <c r="B97" s="3"/>
      <c r="D97">
        <v>110.22731694308099</v>
      </c>
      <c r="E97">
        <v>110.22731694308099</v>
      </c>
      <c r="F97">
        <f t="shared" si="3"/>
        <v>150.18075676645401</v>
      </c>
      <c r="S97">
        <v>116133100</v>
      </c>
      <c r="T97" s="1">
        <v>113183202.5</v>
      </c>
      <c r="V97">
        <v>5624270</v>
      </c>
      <c r="W97">
        <v>5132846.7793885302</v>
      </c>
      <c r="X97">
        <v>18275403</v>
      </c>
      <c r="Y97">
        <v>16256501.6743172</v>
      </c>
      <c r="Z97">
        <v>17823897</v>
      </c>
      <c r="AA97">
        <f t="shared" si="2"/>
        <v>6.3500817189417109</v>
      </c>
    </row>
    <row r="98" spans="1:27" x14ac:dyDescent="0.25">
      <c r="A98">
        <v>2023</v>
      </c>
      <c r="B98" s="3"/>
      <c r="D98">
        <v>111.715101416755</v>
      </c>
      <c r="E98">
        <v>111.715101416755</v>
      </c>
      <c r="F98">
        <f t="shared" si="3"/>
        <v>152.2078096273807</v>
      </c>
      <c r="S98">
        <v>120792800</v>
      </c>
      <c r="T98" s="1">
        <v>115433554.09999999</v>
      </c>
      <c r="V98">
        <v>5438592</v>
      </c>
      <c r="W98">
        <v>4962919.3746042904</v>
      </c>
      <c r="X98">
        <v>18611292</v>
      </c>
      <c r="Y98">
        <v>16469891.0457913</v>
      </c>
      <c r="Z98">
        <v>17980083</v>
      </c>
      <c r="AA98">
        <f t="shared" si="2"/>
        <v>6.4200790452413372</v>
      </c>
    </row>
    <row r="99" spans="1:27" x14ac:dyDescent="0.25">
      <c r="A99">
        <v>2024</v>
      </c>
      <c r="B99" s="3"/>
      <c r="D99">
        <v>112.30626377954199</v>
      </c>
      <c r="E99">
        <v>112.30626377954199</v>
      </c>
      <c r="F99">
        <f t="shared" si="3"/>
        <v>153.01324709494637</v>
      </c>
      <c r="S99">
        <v>123802400</v>
      </c>
    </row>
    <row r="100" spans="1:27" x14ac:dyDescent="0.25">
      <c r="A100">
        <v>2025</v>
      </c>
      <c r="S100">
        <v>130320600</v>
      </c>
    </row>
    <row r="115" spans="19:19" x14ac:dyDescent="0.25">
      <c r="S115" s="1"/>
    </row>
    <row r="116" spans="19:19" x14ac:dyDescent="0.25">
      <c r="S116" s="1"/>
    </row>
    <row r="117" spans="19:19" x14ac:dyDescent="0.25">
      <c r="S117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2"/>
  <sheetViews>
    <sheetView zoomScale="85" zoomScaleNormal="85" workbookViewId="0">
      <selection activeCell="B1" sqref="B1"/>
    </sheetView>
  </sheetViews>
  <sheetFormatPr defaultColWidth="11.5703125" defaultRowHeight="15" x14ac:dyDescent="0.25"/>
  <cols>
    <col min="2" max="2" width="20.85546875" customWidth="1"/>
    <col min="3" max="3" width="19.85546875" customWidth="1"/>
    <col min="4" max="4" width="18.7109375" customWidth="1"/>
    <col min="5" max="5" width="20.85546875" customWidth="1"/>
  </cols>
  <sheetData>
    <row r="1" spans="1:5" x14ac:dyDescent="0.25">
      <c r="A1" t="s">
        <v>13</v>
      </c>
      <c r="B1" t="s">
        <v>16</v>
      </c>
      <c r="C1" t="s">
        <v>18</v>
      </c>
      <c r="D1" t="s">
        <v>14</v>
      </c>
      <c r="E1" t="s">
        <v>17</v>
      </c>
    </row>
    <row r="2" spans="1:5" x14ac:dyDescent="0.25">
      <c r="A2">
        <v>1927</v>
      </c>
    </row>
    <row r="3" spans="1:5" x14ac:dyDescent="0.25">
      <c r="A3">
        <v>1928</v>
      </c>
    </row>
    <row r="4" spans="1:5" x14ac:dyDescent="0.25">
      <c r="A4">
        <v>1929</v>
      </c>
    </row>
    <row r="5" spans="1:5" x14ac:dyDescent="0.25">
      <c r="A5">
        <v>1930</v>
      </c>
    </row>
    <row r="6" spans="1:5" x14ac:dyDescent="0.25">
      <c r="A6">
        <v>1931</v>
      </c>
    </row>
    <row r="7" spans="1:5" x14ac:dyDescent="0.25">
      <c r="A7">
        <v>1932</v>
      </c>
    </row>
    <row r="8" spans="1:5" x14ac:dyDescent="0.25">
      <c r="A8">
        <v>1933</v>
      </c>
    </row>
    <row r="9" spans="1:5" x14ac:dyDescent="0.25">
      <c r="A9">
        <v>1934</v>
      </c>
    </row>
    <row r="10" spans="1:5" x14ac:dyDescent="0.25">
      <c r="A10">
        <v>1935</v>
      </c>
    </row>
    <row r="11" spans="1:5" x14ac:dyDescent="0.25">
      <c r="A11">
        <v>1936</v>
      </c>
    </row>
    <row r="12" spans="1:5" x14ac:dyDescent="0.25">
      <c r="A12">
        <v>1937</v>
      </c>
    </row>
    <row r="13" spans="1:5" x14ac:dyDescent="0.25">
      <c r="A13">
        <v>1938</v>
      </c>
    </row>
    <row r="14" spans="1:5" x14ac:dyDescent="0.25">
      <c r="A14">
        <v>1939</v>
      </c>
    </row>
    <row r="15" spans="1:5" x14ac:dyDescent="0.25">
      <c r="A15">
        <v>1940</v>
      </c>
      <c r="B15">
        <v>3.4368996637377698E-3</v>
      </c>
      <c r="E15">
        <f>B15*$D$102</f>
        <v>2.4953989350642402E-3</v>
      </c>
    </row>
    <row r="16" spans="1:5" x14ac:dyDescent="0.25">
      <c r="A16">
        <v>1941</v>
      </c>
      <c r="B16">
        <v>3.5546017070164598E-3</v>
      </c>
      <c r="E16">
        <f t="shared" ref="E16:E43" si="0">B16*$D$102</f>
        <v>2.5808578027034261E-3</v>
      </c>
    </row>
    <row r="17" spans="1:5" x14ac:dyDescent="0.25">
      <c r="A17">
        <v>1942</v>
      </c>
      <c r="B17">
        <v>4.5668392792132103E-3</v>
      </c>
      <c r="E17">
        <f t="shared" si="0"/>
        <v>3.3158040644004358E-3</v>
      </c>
    </row>
    <row r="18" spans="1:5" x14ac:dyDescent="0.25">
      <c r="A18">
        <v>1943</v>
      </c>
      <c r="B18">
        <v>5.57907685140995E-3</v>
      </c>
      <c r="E18">
        <f t="shared" si="0"/>
        <v>4.0507503260974378E-3</v>
      </c>
    </row>
    <row r="19" spans="1:5" x14ac:dyDescent="0.25">
      <c r="A19">
        <v>1944</v>
      </c>
      <c r="B19">
        <v>6.8502589188198099E-3</v>
      </c>
      <c r="E19">
        <f t="shared" si="0"/>
        <v>4.9737060966006498E-3</v>
      </c>
    </row>
    <row r="20" spans="1:5" x14ac:dyDescent="0.25">
      <c r="A20">
        <v>1945</v>
      </c>
      <c r="B20">
        <v>8.8982744718690294E-3</v>
      </c>
      <c r="E20">
        <f t="shared" si="0"/>
        <v>6.4606903935224922E-3</v>
      </c>
    </row>
    <row r="21" spans="1:5" x14ac:dyDescent="0.25">
      <c r="A21">
        <v>1946</v>
      </c>
      <c r="B21">
        <v>1.0216537356590401E-2</v>
      </c>
      <c r="E21">
        <f t="shared" si="0"/>
        <v>7.4178297110814046E-3</v>
      </c>
    </row>
    <row r="22" spans="1:5" x14ac:dyDescent="0.25">
      <c r="A22">
        <v>1947</v>
      </c>
      <c r="B22">
        <v>1.16760426932461E-2</v>
      </c>
      <c r="E22">
        <f t="shared" si="0"/>
        <v>8.4775196698072663E-3</v>
      </c>
    </row>
    <row r="23" spans="1:5" x14ac:dyDescent="0.25">
      <c r="A23">
        <v>1948</v>
      </c>
      <c r="B23">
        <v>1.3064926803934699E-2</v>
      </c>
      <c r="E23">
        <f t="shared" si="0"/>
        <v>9.4859343079497001E-3</v>
      </c>
    </row>
    <row r="24" spans="1:5" x14ac:dyDescent="0.25">
      <c r="A24">
        <v>1949</v>
      </c>
      <c r="B24">
        <v>1.2829522717377299E-2</v>
      </c>
      <c r="E24">
        <f t="shared" si="0"/>
        <v>9.3150165726713138E-3</v>
      </c>
    </row>
    <row r="25" spans="1:5" x14ac:dyDescent="0.25">
      <c r="A25">
        <v>1950</v>
      </c>
      <c r="B25">
        <v>1.27589014914101E-2</v>
      </c>
      <c r="E25">
        <f t="shared" si="0"/>
        <v>9.2637412520878131E-3</v>
      </c>
    </row>
    <row r="26" spans="1:5" x14ac:dyDescent="0.25">
      <c r="A26">
        <v>1951</v>
      </c>
      <c r="B26">
        <v>1.4265487645377301E-2</v>
      </c>
      <c r="E26">
        <f t="shared" si="0"/>
        <v>1.0357614757869369E-2</v>
      </c>
    </row>
    <row r="27" spans="1:5" x14ac:dyDescent="0.25">
      <c r="A27">
        <v>1952</v>
      </c>
      <c r="B27">
        <v>1.47362958184921E-2</v>
      </c>
      <c r="E27">
        <f t="shared" si="0"/>
        <v>1.069945022842614E-2</v>
      </c>
    </row>
    <row r="28" spans="1:5" x14ac:dyDescent="0.25">
      <c r="A28">
        <v>1953</v>
      </c>
      <c r="B28">
        <v>1.48069170444593E-2</v>
      </c>
      <c r="E28">
        <f t="shared" si="0"/>
        <v>1.0750725549009642E-2</v>
      </c>
    </row>
    <row r="29" spans="1:5" x14ac:dyDescent="0.25">
      <c r="A29">
        <v>1954</v>
      </c>
      <c r="B29">
        <v>1.53483464435413E-2</v>
      </c>
      <c r="E29">
        <f t="shared" si="0"/>
        <v>1.1143836340149914E-2</v>
      </c>
    </row>
    <row r="30" spans="1:5" x14ac:dyDescent="0.25">
      <c r="A30">
        <v>1955</v>
      </c>
      <c r="B30">
        <v>1.6054558703213401E-2</v>
      </c>
      <c r="E30">
        <f t="shared" si="0"/>
        <v>1.1656589545985E-2</v>
      </c>
    </row>
    <row r="31" spans="1:5" x14ac:dyDescent="0.25">
      <c r="A31">
        <v>1956</v>
      </c>
      <c r="B31">
        <v>1.55837505300987E-2</v>
      </c>
      <c r="E31">
        <f t="shared" si="0"/>
        <v>1.1314754075428301E-2</v>
      </c>
    </row>
    <row r="32" spans="1:5" x14ac:dyDescent="0.25">
      <c r="A32">
        <v>1957</v>
      </c>
      <c r="B32">
        <v>1.5748533390688799E-2</v>
      </c>
      <c r="E32">
        <f t="shared" si="0"/>
        <v>1.1434396490123113E-2</v>
      </c>
    </row>
    <row r="33" spans="1:5" x14ac:dyDescent="0.25">
      <c r="A33">
        <v>1958</v>
      </c>
      <c r="B33">
        <v>1.5913316251279001E-2</v>
      </c>
      <c r="E33">
        <f t="shared" si="0"/>
        <v>1.1554038904817999E-2</v>
      </c>
    </row>
    <row r="34" spans="1:5" x14ac:dyDescent="0.25">
      <c r="A34">
        <v>1959</v>
      </c>
      <c r="B34">
        <v>1.58662354339675E-2</v>
      </c>
      <c r="E34">
        <f t="shared" si="0"/>
        <v>1.1519855357762307E-2</v>
      </c>
    </row>
    <row r="35" spans="1:5" x14ac:dyDescent="0.25">
      <c r="A35">
        <v>1960</v>
      </c>
      <c r="B35">
        <v>1.5960397068590499E-2</v>
      </c>
      <c r="E35">
        <f t="shared" si="0"/>
        <v>1.158822245187369E-2</v>
      </c>
    </row>
    <row r="36" spans="1:5" x14ac:dyDescent="0.25">
      <c r="A36">
        <v>1961</v>
      </c>
      <c r="B36">
        <v>1.6760770962885599E-2</v>
      </c>
      <c r="E36">
        <f t="shared" si="0"/>
        <v>1.2169342751820158E-2</v>
      </c>
    </row>
    <row r="37" spans="1:5" x14ac:dyDescent="0.25">
      <c r="A37">
        <v>1962</v>
      </c>
      <c r="B37">
        <v>1.7043255866754401E-2</v>
      </c>
      <c r="E37">
        <f t="shared" si="0"/>
        <v>1.2374444034154166E-2</v>
      </c>
    </row>
    <row r="38" spans="1:5" x14ac:dyDescent="0.25">
      <c r="A38">
        <v>1963</v>
      </c>
      <c r="B38">
        <v>1.7561144857180699E-2</v>
      </c>
      <c r="E38">
        <f t="shared" si="0"/>
        <v>1.2750463051766628E-2</v>
      </c>
    </row>
    <row r="39" spans="1:5" x14ac:dyDescent="0.25">
      <c r="A39">
        <v>1964</v>
      </c>
      <c r="B39">
        <v>1.77965489437381E-2</v>
      </c>
      <c r="E39">
        <f t="shared" si="0"/>
        <v>1.2921380787045014E-2</v>
      </c>
    </row>
    <row r="40" spans="1:5" x14ac:dyDescent="0.25">
      <c r="A40">
        <v>1965</v>
      </c>
      <c r="B40">
        <v>1.89264885592135E-2</v>
      </c>
      <c r="E40">
        <f t="shared" si="0"/>
        <v>1.374178591638118E-2</v>
      </c>
    </row>
    <row r="41" spans="1:5" x14ac:dyDescent="0.25">
      <c r="A41">
        <v>1966</v>
      </c>
      <c r="B41">
        <v>1.9632700818885601E-2</v>
      </c>
      <c r="E41">
        <f t="shared" si="0"/>
        <v>1.4254539122216267E-2</v>
      </c>
    </row>
    <row r="42" spans="1:5" x14ac:dyDescent="0.25">
      <c r="A42">
        <v>1967</v>
      </c>
      <c r="B42">
        <v>2.0574317165115201E-2</v>
      </c>
      <c r="E42">
        <f t="shared" si="0"/>
        <v>1.4938210063329811E-2</v>
      </c>
    </row>
    <row r="43" spans="1:5" x14ac:dyDescent="0.25">
      <c r="A43">
        <v>1968</v>
      </c>
      <c r="B43">
        <v>2.11863677901643E-2</v>
      </c>
      <c r="E43">
        <f t="shared" si="0"/>
        <v>1.5382596175053512E-2</v>
      </c>
    </row>
    <row r="44" spans="1:5" x14ac:dyDescent="0.25">
      <c r="A44">
        <v>1969</v>
      </c>
      <c r="B44">
        <v>2.2292766996984001E-2</v>
      </c>
      <c r="C44">
        <v>1.5621985471859799E-2</v>
      </c>
      <c r="D44">
        <f t="shared" ref="D44:D89" si="1">C44/B44</f>
        <v>0.70076475809276184</v>
      </c>
      <c r="E44">
        <f t="shared" ref="E44:E75" si="2">C44</f>
        <v>1.5621985471859799E-2</v>
      </c>
    </row>
    <row r="45" spans="1:5" x14ac:dyDescent="0.25">
      <c r="A45">
        <v>1970</v>
      </c>
      <c r="B45">
        <v>2.3540408655738199E-2</v>
      </c>
      <c r="C45">
        <v>1.7271422152814402E-2</v>
      </c>
      <c r="D45">
        <f t="shared" si="1"/>
        <v>0.73369253717710325</v>
      </c>
      <c r="E45">
        <f t="shared" si="2"/>
        <v>1.7271422152814402E-2</v>
      </c>
    </row>
    <row r="46" spans="1:5" x14ac:dyDescent="0.25">
      <c r="A46">
        <v>1971</v>
      </c>
      <c r="B46">
        <v>2.57767474780333E-2</v>
      </c>
      <c r="C46">
        <v>1.8359043194460099E-2</v>
      </c>
      <c r="D46">
        <f t="shared" si="1"/>
        <v>0.71223272874537424</v>
      </c>
      <c r="E46">
        <f t="shared" si="2"/>
        <v>1.8359043194460099E-2</v>
      </c>
    </row>
    <row r="47" spans="1:5" x14ac:dyDescent="0.25">
      <c r="A47">
        <v>1972</v>
      </c>
      <c r="B47">
        <v>2.77541418051153E-2</v>
      </c>
      <c r="C47">
        <v>1.94031593960419E-2</v>
      </c>
      <c r="D47">
        <f t="shared" si="1"/>
        <v>0.69910860628613458</v>
      </c>
      <c r="E47">
        <f t="shared" si="2"/>
        <v>1.94031593960419E-2</v>
      </c>
    </row>
    <row r="48" spans="1:5" x14ac:dyDescent="0.25">
      <c r="A48">
        <v>1973</v>
      </c>
      <c r="B48">
        <v>3.1073339425574401E-2</v>
      </c>
      <c r="C48">
        <v>2.2840041894583898E-2</v>
      </c>
      <c r="D48">
        <f t="shared" si="1"/>
        <v>0.7350366042661568</v>
      </c>
      <c r="E48">
        <f t="shared" si="2"/>
        <v>2.2840041894583898E-2</v>
      </c>
    </row>
    <row r="49" spans="1:5" x14ac:dyDescent="0.25">
      <c r="A49">
        <v>1974</v>
      </c>
      <c r="B49">
        <v>3.8135462022295799E-2</v>
      </c>
      <c r="C49">
        <v>2.7930108368952E-2</v>
      </c>
      <c r="D49">
        <f t="shared" si="1"/>
        <v>0.73239202799280978</v>
      </c>
      <c r="E49">
        <f t="shared" si="2"/>
        <v>2.7930108368952E-2</v>
      </c>
    </row>
    <row r="50" spans="1:5" x14ac:dyDescent="0.25">
      <c r="A50">
        <v>1975</v>
      </c>
      <c r="B50">
        <v>4.3997023777574598E-2</v>
      </c>
      <c r="C50">
        <v>3.0975447293569401E-2</v>
      </c>
      <c r="D50">
        <f t="shared" si="1"/>
        <v>0.70403506042055664</v>
      </c>
      <c r="E50">
        <f t="shared" si="2"/>
        <v>3.0975447293569401E-2</v>
      </c>
    </row>
    <row r="51" spans="1:5" x14ac:dyDescent="0.25">
      <c r="A51">
        <v>1976</v>
      </c>
      <c r="B51">
        <v>4.8634484282754999E-2</v>
      </c>
      <c r="C51">
        <v>3.5021397566355701E-2</v>
      </c>
      <c r="D51">
        <f t="shared" si="1"/>
        <v>0.72009394327583576</v>
      </c>
      <c r="E51">
        <f t="shared" si="2"/>
        <v>3.5021397566355701E-2</v>
      </c>
    </row>
    <row r="52" spans="1:5" x14ac:dyDescent="0.25">
      <c r="A52">
        <v>1977</v>
      </c>
      <c r="B52">
        <v>5.49197733938371E-2</v>
      </c>
      <c r="C52">
        <v>3.9371881739613097E-2</v>
      </c>
      <c r="D52">
        <f t="shared" si="1"/>
        <v>0.71689810985329505</v>
      </c>
      <c r="E52">
        <f t="shared" si="2"/>
        <v>3.9371881739613097E-2</v>
      </c>
    </row>
    <row r="53" spans="1:5" x14ac:dyDescent="0.25">
      <c r="A53">
        <v>1978</v>
      </c>
      <c r="B53">
        <v>6.2382082937706099E-2</v>
      </c>
      <c r="C53">
        <v>4.3591851386004202E-2</v>
      </c>
      <c r="D53">
        <f t="shared" si="1"/>
        <v>0.69878800663861185</v>
      </c>
      <c r="E53">
        <f t="shared" si="2"/>
        <v>4.3591851386004202E-2</v>
      </c>
    </row>
    <row r="54" spans="1:5" x14ac:dyDescent="0.25">
      <c r="A54">
        <v>1979</v>
      </c>
      <c r="B54">
        <v>6.8690912457444006E-2</v>
      </c>
      <c r="C54">
        <v>4.7985840392651101E-2</v>
      </c>
      <c r="D54">
        <f t="shared" si="1"/>
        <v>0.6985762552270609</v>
      </c>
      <c r="E54">
        <f t="shared" si="2"/>
        <v>4.7985840392651101E-2</v>
      </c>
    </row>
    <row r="55" spans="1:5" x14ac:dyDescent="0.25">
      <c r="A55">
        <v>1980</v>
      </c>
      <c r="B55">
        <v>7.7353782842755597E-2</v>
      </c>
      <c r="C55">
        <v>5.3206421400559999E-2</v>
      </c>
      <c r="D55">
        <f t="shared" si="1"/>
        <v>0.68783218409263525</v>
      </c>
      <c r="E55">
        <f t="shared" si="2"/>
        <v>5.3206421400559999E-2</v>
      </c>
    </row>
    <row r="56" spans="1:5" x14ac:dyDescent="0.25">
      <c r="A56">
        <v>1981</v>
      </c>
      <c r="B56">
        <v>8.8747340632132896E-2</v>
      </c>
      <c r="C56">
        <v>6.2385942994452902E-2</v>
      </c>
      <c r="D56">
        <f t="shared" si="1"/>
        <v>0.70296126678374771</v>
      </c>
      <c r="E56">
        <f t="shared" si="2"/>
        <v>6.2385942994452902E-2</v>
      </c>
    </row>
    <row r="57" spans="1:5" x14ac:dyDescent="0.25">
      <c r="A57">
        <v>1982</v>
      </c>
      <c r="B57">
        <v>0.10324469870449</v>
      </c>
      <c r="C57">
        <v>7.7612637590842207E-2</v>
      </c>
      <c r="D57">
        <f t="shared" si="1"/>
        <v>0.75173484512737421</v>
      </c>
      <c r="E57">
        <f t="shared" si="2"/>
        <v>7.7612637590842207E-2</v>
      </c>
    </row>
    <row r="58" spans="1:5" x14ac:dyDescent="0.25">
      <c r="A58">
        <v>1983</v>
      </c>
      <c r="B58">
        <v>0.153201810980856</v>
      </c>
      <c r="C58">
        <v>0.118333169425834</v>
      </c>
      <c r="D58">
        <f t="shared" si="1"/>
        <v>0.7724005915349188</v>
      </c>
      <c r="E58">
        <f t="shared" si="2"/>
        <v>0.118333169425834</v>
      </c>
    </row>
    <row r="59" spans="1:5" x14ac:dyDescent="0.25">
      <c r="A59">
        <v>1984</v>
      </c>
      <c r="B59">
        <v>0.20100391057079101</v>
      </c>
      <c r="C59">
        <v>0.14800347146408899</v>
      </c>
      <c r="D59">
        <f t="shared" si="1"/>
        <v>0.73632135336970994</v>
      </c>
      <c r="E59">
        <f t="shared" si="2"/>
        <v>0.14800347146408899</v>
      </c>
    </row>
    <row r="60" spans="1:5" x14ac:dyDescent="0.25">
      <c r="A60">
        <v>1985</v>
      </c>
      <c r="B60">
        <v>0.25729545407697102</v>
      </c>
      <c r="C60">
        <v>0.184068985232026</v>
      </c>
      <c r="D60">
        <f t="shared" si="1"/>
        <v>0.71539929025314608</v>
      </c>
      <c r="E60">
        <f t="shared" si="2"/>
        <v>0.184068985232026</v>
      </c>
    </row>
    <row r="61" spans="1:5" x14ac:dyDescent="0.25">
      <c r="A61">
        <v>1986</v>
      </c>
      <c r="B61">
        <v>0.31652565124646598</v>
      </c>
      <c r="C61">
        <v>0.23440408708157401</v>
      </c>
      <c r="D61">
        <f t="shared" si="1"/>
        <v>0.74055321001157293</v>
      </c>
      <c r="E61">
        <f>C61</f>
        <v>0.23440408708157401</v>
      </c>
    </row>
    <row r="62" spans="1:5" x14ac:dyDescent="0.25">
      <c r="A62">
        <v>1987</v>
      </c>
      <c r="B62">
        <v>0.40990953432516403</v>
      </c>
      <c r="C62">
        <v>0.31053756005684502</v>
      </c>
      <c r="D62">
        <f t="shared" si="1"/>
        <v>0.75757584065002159</v>
      </c>
      <c r="E62">
        <f t="shared" si="2"/>
        <v>0.31053756005684502</v>
      </c>
    </row>
    <row r="63" spans="1:5" x14ac:dyDescent="0.25">
      <c r="A63">
        <v>1988</v>
      </c>
      <c r="B63">
        <v>0.64859351520113595</v>
      </c>
      <c r="C63">
        <v>0.57670018157316305</v>
      </c>
      <c r="D63">
        <f t="shared" si="1"/>
        <v>0.88915502245550826</v>
      </c>
      <c r="E63">
        <f t="shared" si="2"/>
        <v>0.57670018157316305</v>
      </c>
    </row>
    <row r="64" spans="1:5" x14ac:dyDescent="0.25">
      <c r="A64">
        <v>1989</v>
      </c>
      <c r="B64">
        <v>1.13915276673063</v>
      </c>
      <c r="C64">
        <v>0.88954349824016599</v>
      </c>
      <c r="D64">
        <f t="shared" si="1"/>
        <v>0.78088165540180976</v>
      </c>
      <c r="E64">
        <f t="shared" si="2"/>
        <v>0.88954349824016599</v>
      </c>
    </row>
    <row r="65" spans="1:5" x14ac:dyDescent="0.25">
      <c r="A65">
        <v>1990</v>
      </c>
      <c r="B65">
        <v>1.6918808690929299</v>
      </c>
      <c r="C65">
        <v>1.3300735252938301</v>
      </c>
      <c r="D65">
        <f t="shared" si="1"/>
        <v>0.78615081569361556</v>
      </c>
      <c r="E65">
        <f t="shared" si="2"/>
        <v>1.3300735252938301</v>
      </c>
    </row>
    <row r="66" spans="1:5" x14ac:dyDescent="0.25">
      <c r="A66">
        <v>1991</v>
      </c>
      <c r="B66">
        <v>2.5162058733603399</v>
      </c>
      <c r="C66">
        <v>1.9816020345936201</v>
      </c>
      <c r="D66">
        <f t="shared" si="1"/>
        <v>0.7875357321009796</v>
      </c>
      <c r="E66">
        <f t="shared" si="2"/>
        <v>1.9816020345936201</v>
      </c>
    </row>
    <row r="67" spans="1:5" x14ac:dyDescent="0.25">
      <c r="A67">
        <v>1992</v>
      </c>
      <c r="B67">
        <v>3.8902006033997201</v>
      </c>
      <c r="C67">
        <v>3.1749833472671498</v>
      </c>
      <c r="D67">
        <f t="shared" si="1"/>
        <v>0.81614900385663192</v>
      </c>
      <c r="E67">
        <f t="shared" si="2"/>
        <v>3.1749833472671498</v>
      </c>
    </row>
    <row r="68" spans="1:5" x14ac:dyDescent="0.25">
      <c r="A68">
        <v>1993</v>
      </c>
      <c r="B68">
        <v>5.63904237599992</v>
      </c>
      <c r="C68">
        <v>4.1579752454754697</v>
      </c>
      <c r="D68">
        <f t="shared" si="1"/>
        <v>0.73735485003128276</v>
      </c>
      <c r="E68">
        <f t="shared" si="2"/>
        <v>4.1579752454754697</v>
      </c>
    </row>
    <row r="69" spans="1:5" x14ac:dyDescent="0.25">
      <c r="A69">
        <v>1994</v>
      </c>
      <c r="B69">
        <v>7.1791145736264603</v>
      </c>
      <c r="C69">
        <v>5.2134027051134604</v>
      </c>
      <c r="D69">
        <f t="shared" si="1"/>
        <v>0.72619020794927369</v>
      </c>
      <c r="E69">
        <f t="shared" si="2"/>
        <v>5.2134027051134604</v>
      </c>
    </row>
    <row r="70" spans="1:5" x14ac:dyDescent="0.25">
      <c r="A70">
        <v>1995</v>
      </c>
      <c r="B70">
        <v>8.8255605919137992</v>
      </c>
      <c r="C70">
        <v>6.4006933399511103</v>
      </c>
      <c r="D70">
        <f t="shared" si="1"/>
        <v>0.72524496016894235</v>
      </c>
      <c r="E70">
        <f t="shared" si="2"/>
        <v>6.4006933399511103</v>
      </c>
    </row>
    <row r="71" spans="1:5" x14ac:dyDescent="0.25">
      <c r="A71">
        <v>1996</v>
      </c>
      <c r="B71">
        <v>10.9780354387801</v>
      </c>
      <c r="C71">
        <v>8.0405785401673899</v>
      </c>
      <c r="D71">
        <f t="shared" si="1"/>
        <v>0.73242417416179095</v>
      </c>
      <c r="E71">
        <f t="shared" si="2"/>
        <v>8.0405785401673899</v>
      </c>
    </row>
    <row r="72" spans="1:5" x14ac:dyDescent="0.25">
      <c r="A72">
        <v>1997</v>
      </c>
      <c r="B72">
        <v>14.3471720319583</v>
      </c>
      <c r="C72">
        <v>10.506715716579899</v>
      </c>
      <c r="D72">
        <f t="shared" si="1"/>
        <v>0.73231963018051283</v>
      </c>
      <c r="E72">
        <f t="shared" si="2"/>
        <v>10.506715716579899</v>
      </c>
    </row>
    <row r="73" spans="1:5" x14ac:dyDescent="0.25">
      <c r="A73">
        <v>1998</v>
      </c>
      <c r="B73">
        <v>17.829975394598399</v>
      </c>
      <c r="C73">
        <v>15.0666411303004</v>
      </c>
      <c r="D73">
        <f t="shared" si="1"/>
        <v>0.84501749423977601</v>
      </c>
      <c r="E73">
        <f t="shared" si="2"/>
        <v>15.0666411303004</v>
      </c>
    </row>
    <row r="74" spans="1:5" x14ac:dyDescent="0.25">
      <c r="A74">
        <v>1999</v>
      </c>
      <c r="B74">
        <v>29.728146543116502</v>
      </c>
      <c r="C74">
        <v>24.213473764919801</v>
      </c>
      <c r="D74">
        <f t="shared" si="1"/>
        <v>0.81449658255019552</v>
      </c>
      <c r="E74">
        <f t="shared" si="2"/>
        <v>24.213473764919801</v>
      </c>
    </row>
    <row r="75" spans="1:5" x14ac:dyDescent="0.25">
      <c r="A75">
        <v>2000</v>
      </c>
      <c r="B75">
        <v>58.239614587482102</v>
      </c>
      <c r="C75">
        <v>46.2468175095484</v>
      </c>
      <c r="D75">
        <f t="shared" si="1"/>
        <v>0.79407835778309899</v>
      </c>
      <c r="E75">
        <f t="shared" si="2"/>
        <v>46.2468175095484</v>
      </c>
    </row>
    <row r="76" spans="1:5" x14ac:dyDescent="0.25">
      <c r="A76">
        <v>2001</v>
      </c>
      <c r="B76">
        <v>80.179897345365703</v>
      </c>
      <c r="C76">
        <v>56.624020551656898</v>
      </c>
      <c r="D76">
        <f t="shared" si="1"/>
        <v>0.70621218567735788</v>
      </c>
      <c r="E76">
        <f t="shared" ref="E76:E99" si="3">C76</f>
        <v>56.624020551656898</v>
      </c>
    </row>
    <row r="77" spans="1:5" x14ac:dyDescent="0.25">
      <c r="A77">
        <v>2002</v>
      </c>
      <c r="B77">
        <v>90.234695755904198</v>
      </c>
      <c r="C77">
        <v>61.921628573724703</v>
      </c>
      <c r="D77">
        <f t="shared" si="1"/>
        <v>0.68622859594085872</v>
      </c>
      <c r="E77">
        <f t="shared" si="3"/>
        <v>61.921628573724703</v>
      </c>
    </row>
    <row r="78" spans="1:5" x14ac:dyDescent="0.25">
      <c r="A78">
        <v>2003</v>
      </c>
      <c r="B78">
        <v>97.425504011087199</v>
      </c>
      <c r="C78">
        <v>65.680194314141502</v>
      </c>
      <c r="D78">
        <f t="shared" si="1"/>
        <v>0.6741581168178199</v>
      </c>
      <c r="E78">
        <f t="shared" si="3"/>
        <v>65.680194314141502</v>
      </c>
    </row>
    <row r="79" spans="1:5" x14ac:dyDescent="0.25">
      <c r="A79">
        <v>2004</v>
      </c>
      <c r="B79">
        <v>100</v>
      </c>
      <c r="C79">
        <v>66.958052702270393</v>
      </c>
      <c r="D79">
        <f t="shared" si="1"/>
        <v>0.66958052702270399</v>
      </c>
      <c r="E79">
        <f t="shared" si="3"/>
        <v>66.958052702270393</v>
      </c>
    </row>
    <row r="80" spans="1:5" x14ac:dyDescent="0.25">
      <c r="A80">
        <v>2005</v>
      </c>
      <c r="B80">
        <v>102.08</v>
      </c>
      <c r="C80">
        <v>69.056664894734496</v>
      </c>
      <c r="D80">
        <f t="shared" si="1"/>
        <v>0.67649554168039283</v>
      </c>
      <c r="E80">
        <f t="shared" si="3"/>
        <v>69.056664894734496</v>
      </c>
    </row>
    <row r="81" spans="1:5" x14ac:dyDescent="0.25">
      <c r="A81">
        <v>2006</v>
      </c>
      <c r="B81">
        <v>105.45</v>
      </c>
      <c r="C81">
        <v>71.038173151645296</v>
      </c>
      <c r="D81">
        <f t="shared" si="1"/>
        <v>0.67366688621759407</v>
      </c>
      <c r="E81">
        <f t="shared" si="3"/>
        <v>71.038173151645296</v>
      </c>
    </row>
    <row r="82" spans="1:5" x14ac:dyDescent="0.25">
      <c r="A82">
        <v>2007</v>
      </c>
      <c r="B82">
        <v>107.847515121795</v>
      </c>
      <c r="C82">
        <v>73.396431950662901</v>
      </c>
      <c r="D82">
        <f t="shared" si="1"/>
        <v>0.6805574691987516</v>
      </c>
      <c r="E82">
        <f t="shared" si="3"/>
        <v>73.396431950662901</v>
      </c>
    </row>
    <row r="83" spans="1:5" x14ac:dyDescent="0.25">
      <c r="A83">
        <v>2008</v>
      </c>
      <c r="B83">
        <v>116.906826879439</v>
      </c>
      <c r="C83">
        <v>79.877734234298799</v>
      </c>
      <c r="D83">
        <f t="shared" si="1"/>
        <v>0.68325979214775268</v>
      </c>
      <c r="E83">
        <f t="shared" si="3"/>
        <v>79.877734234298799</v>
      </c>
    </row>
    <row r="84" spans="1:5" x14ac:dyDescent="0.25">
      <c r="A84">
        <v>2009</v>
      </c>
      <c r="B84">
        <v>122.93918207738</v>
      </c>
      <c r="C84">
        <v>83.321857359366703</v>
      </c>
      <c r="D84">
        <f t="shared" si="1"/>
        <v>0.67774859041214797</v>
      </c>
      <c r="E84">
        <f t="shared" si="3"/>
        <v>83.321857359366703</v>
      </c>
    </row>
    <row r="85" spans="1:5" x14ac:dyDescent="0.25">
      <c r="A85">
        <v>2010</v>
      </c>
      <c r="B85">
        <v>127.308904514102</v>
      </c>
      <c r="C85">
        <v>86.094837996974903</v>
      </c>
      <c r="D85">
        <f t="shared" si="1"/>
        <v>0.67626721261620926</v>
      </c>
      <c r="E85">
        <f t="shared" si="3"/>
        <v>86.094837996974903</v>
      </c>
    </row>
    <row r="86" spans="1:5" x14ac:dyDescent="0.25">
      <c r="A86">
        <v>2011</v>
      </c>
      <c r="B86">
        <v>133.005383023072</v>
      </c>
      <c r="C86">
        <v>90.752036903797503</v>
      </c>
      <c r="D86">
        <f t="shared" si="1"/>
        <v>0.68231852607089627</v>
      </c>
      <c r="E86">
        <f t="shared" si="3"/>
        <v>90.752036903797503</v>
      </c>
    </row>
    <row r="87" spans="1:5" x14ac:dyDescent="0.25">
      <c r="A87">
        <v>2012</v>
      </c>
      <c r="B87">
        <v>139.79094765668501</v>
      </c>
      <c r="C87">
        <v>94.530869689745202</v>
      </c>
      <c r="D87">
        <f t="shared" si="1"/>
        <v>0.67623026579593115</v>
      </c>
      <c r="E87">
        <f t="shared" si="3"/>
        <v>94.530869689745202</v>
      </c>
    </row>
    <row r="88" spans="1:5" x14ac:dyDescent="0.25">
      <c r="A88">
        <v>2013</v>
      </c>
      <c r="B88">
        <v>143.595743808588</v>
      </c>
      <c r="C88">
        <v>97.083526477855102</v>
      </c>
      <c r="D88">
        <f t="shared" si="1"/>
        <v>0.67608916464311564</v>
      </c>
      <c r="E88">
        <f t="shared" si="3"/>
        <v>97.083526477855102</v>
      </c>
    </row>
    <row r="89" spans="1:5" x14ac:dyDescent="0.25">
      <c r="A89">
        <v>2014</v>
      </c>
      <c r="B89">
        <v>148.749711203125</v>
      </c>
      <c r="C89">
        <v>100.64392618773699</v>
      </c>
      <c r="D89">
        <f t="shared" si="1"/>
        <v>0.67659913672237515</v>
      </c>
      <c r="E89">
        <f t="shared" si="3"/>
        <v>100.64392618773699</v>
      </c>
    </row>
    <row r="90" spans="1:5" x14ac:dyDescent="0.25">
      <c r="A90">
        <v>2015</v>
      </c>
      <c r="C90">
        <v>104.04581683199901</v>
      </c>
      <c r="E90">
        <f t="shared" si="3"/>
        <v>104.04581683199901</v>
      </c>
    </row>
    <row r="91" spans="1:5" x14ac:dyDescent="0.25">
      <c r="A91">
        <v>2016</v>
      </c>
      <c r="C91">
        <v>105.210912990011</v>
      </c>
      <c r="E91">
        <f t="shared" si="3"/>
        <v>105.210912990011</v>
      </c>
    </row>
    <row r="92" spans="1:5" x14ac:dyDescent="0.25">
      <c r="A92">
        <v>2017</v>
      </c>
      <c r="C92">
        <v>105.00396255276</v>
      </c>
      <c r="E92">
        <f t="shared" si="3"/>
        <v>105.00396255276</v>
      </c>
    </row>
    <row r="93" spans="1:5" x14ac:dyDescent="0.25">
      <c r="A93">
        <v>2018</v>
      </c>
      <c r="C93">
        <v>105.28345197589999</v>
      </c>
      <c r="E93">
        <f t="shared" si="3"/>
        <v>105.28345197589999</v>
      </c>
    </row>
    <row r="94" spans="1:5" x14ac:dyDescent="0.25">
      <c r="A94">
        <v>2019</v>
      </c>
      <c r="C94">
        <v>105.214666947918</v>
      </c>
      <c r="E94">
        <f t="shared" si="3"/>
        <v>105.214666947918</v>
      </c>
    </row>
    <row r="95" spans="1:5" x14ac:dyDescent="0.25">
      <c r="A95">
        <v>2020</v>
      </c>
      <c r="C95">
        <v>104.233025480214</v>
      </c>
      <c r="E95">
        <f t="shared" si="3"/>
        <v>104.233025480214</v>
      </c>
    </row>
    <row r="96" spans="1:5" x14ac:dyDescent="0.25">
      <c r="A96">
        <v>2021</v>
      </c>
      <c r="C96">
        <v>106.255853364723</v>
      </c>
      <c r="E96">
        <f t="shared" si="3"/>
        <v>106.255853364723</v>
      </c>
    </row>
    <row r="97" spans="1:5" x14ac:dyDescent="0.25">
      <c r="A97">
        <v>2022</v>
      </c>
      <c r="C97">
        <v>110.22731694308099</v>
      </c>
      <c r="E97">
        <f t="shared" si="3"/>
        <v>110.22731694308099</v>
      </c>
    </row>
    <row r="98" spans="1:5" x14ac:dyDescent="0.25">
      <c r="A98">
        <v>2023</v>
      </c>
      <c r="C98">
        <v>111.715101416755</v>
      </c>
      <c r="E98">
        <f t="shared" si="3"/>
        <v>111.715101416755</v>
      </c>
    </row>
    <row r="99" spans="1:5" x14ac:dyDescent="0.25">
      <c r="A99">
        <v>2024</v>
      </c>
      <c r="C99">
        <v>112.30626377954199</v>
      </c>
      <c r="E99">
        <f t="shared" si="3"/>
        <v>112.30626377954199</v>
      </c>
    </row>
    <row r="102" spans="1:5" x14ac:dyDescent="0.25">
      <c r="C102" s="4" t="s">
        <v>15</v>
      </c>
      <c r="D102" s="4">
        <f>AVERAGE(D44:D89)</f>
        <v>0.72606103733339467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Metadata/LabelInfo.xml><?xml version="1.0" encoding="utf-8"?>
<clbl:labelList xmlns:clbl="http://schemas.microsoft.com/office/2020/mipLabelMetadata">
  <clbl:label id="{9dfb1a05-5f1d-449a-8960-62abcb479e7d}" enabled="0" method="" siteId="{9dfb1a05-5f1d-449a-8960-62abcb479e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ipc chain linking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Jaramillo Vasconez Oscar Eduardo</dc:creator>
  <dc:description/>
  <cp:lastModifiedBy>Jaramillo Vasconez Oscar Eduardo</cp:lastModifiedBy>
  <cp:revision>1</cp:revision>
  <dcterms:created xsi:type="dcterms:W3CDTF">2015-06-05T18:17:20Z</dcterms:created>
  <dcterms:modified xsi:type="dcterms:W3CDTF">2026-05-01T20:52:06Z</dcterms:modified>
  <dc:language>es-EC</dc:language>
</cp:coreProperties>
</file>