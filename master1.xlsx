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dbg-my.sharepoint.com/personal/oscarj_iadb_org/Documents/Desktop/work/github repositories/historia-fiscal-y-monetaria-Ecuador/"/>
    </mc:Choice>
  </mc:AlternateContent>
  <xr:revisionPtr revIDLastSave="34" documentId="8_{FE3B804C-7DFF-4B42-8E55-529E71F85872}" xr6:coauthVersionLast="47" xr6:coauthVersionMax="47" xr10:uidLastSave="{25CD7326-DCBA-45F9-AED2-B32C6E24149B}"/>
  <bookViews>
    <workbookView xWindow="25530" yWindow="1515" windowWidth="22950" windowHeight="16905" tabRatio="500" activeTab="1" xr2:uid="{00000000-000D-0000-FFFF-FFFF00000000}"/>
  </bookViews>
  <sheets>
    <sheet name="metadatos" sheetId="1" r:id="rId1"/>
    <sheet name="datos" sheetId="2" r:id="rId2"/>
    <sheet name="ipc chain linkin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25" i="2" l="1"/>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5" i="2"/>
  <c r="E61" i="3" l="1"/>
  <c r="E15" i="3"/>
  <c r="E99" i="3" l="1"/>
  <c r="E98" i="3"/>
  <c r="E97" i="3"/>
  <c r="E96" i="3"/>
  <c r="E95" i="3"/>
  <c r="E94" i="3"/>
  <c r="E93" i="3"/>
  <c r="E92" i="3"/>
  <c r="E91" i="3"/>
  <c r="E90" i="3"/>
  <c r="E89" i="3"/>
  <c r="D89" i="3"/>
  <c r="E88" i="3"/>
  <c r="D88" i="3"/>
  <c r="E87" i="3"/>
  <c r="D87" i="3"/>
  <c r="E86" i="3"/>
  <c r="D86" i="3"/>
  <c r="E85" i="3"/>
  <c r="D85" i="3"/>
  <c r="E84" i="3"/>
  <c r="D84" i="3"/>
  <c r="E83" i="3"/>
  <c r="D83" i="3"/>
  <c r="E82" i="3"/>
  <c r="D82" i="3"/>
  <c r="E81" i="3"/>
  <c r="D81" i="3"/>
  <c r="E80" i="3"/>
  <c r="D80" i="3"/>
  <c r="E79" i="3"/>
  <c r="D79" i="3"/>
  <c r="E78" i="3"/>
  <c r="D78" i="3"/>
  <c r="E77" i="3"/>
  <c r="D77" i="3"/>
  <c r="E76" i="3"/>
  <c r="D76" i="3"/>
  <c r="E75" i="3"/>
  <c r="D75" i="3"/>
  <c r="E74" i="3"/>
  <c r="D74" i="3"/>
  <c r="E73" i="3"/>
  <c r="D73" i="3"/>
  <c r="E72" i="3"/>
  <c r="D72" i="3"/>
  <c r="E71" i="3"/>
  <c r="D71" i="3"/>
  <c r="E70" i="3"/>
  <c r="D70" i="3"/>
  <c r="E69" i="3"/>
  <c r="D69" i="3"/>
  <c r="E68" i="3"/>
  <c r="D68" i="3"/>
  <c r="E67" i="3"/>
  <c r="D67" i="3"/>
  <c r="E66" i="3"/>
  <c r="D66" i="3"/>
  <c r="E65" i="3"/>
  <c r="D65" i="3"/>
  <c r="E64" i="3"/>
  <c r="D64" i="3"/>
  <c r="E63" i="3"/>
  <c r="D63" i="3"/>
  <c r="E62" i="3"/>
  <c r="D62" i="3"/>
  <c r="D61" i="3"/>
  <c r="E60" i="3"/>
  <c r="D60" i="3"/>
  <c r="E59" i="3"/>
  <c r="D59" i="3"/>
  <c r="E58" i="3"/>
  <c r="D58" i="3"/>
  <c r="E57" i="3"/>
  <c r="D57" i="3"/>
  <c r="E56" i="3"/>
  <c r="D56" i="3"/>
  <c r="E55" i="3"/>
  <c r="D55" i="3"/>
  <c r="E54" i="3"/>
  <c r="D54" i="3"/>
  <c r="E53" i="3"/>
  <c r="D53" i="3"/>
  <c r="E52" i="3"/>
  <c r="D52" i="3"/>
  <c r="E51" i="3"/>
  <c r="D51" i="3"/>
  <c r="E50" i="3"/>
  <c r="D50" i="3"/>
  <c r="E49" i="3"/>
  <c r="D49" i="3"/>
  <c r="E48" i="3"/>
  <c r="D48" i="3"/>
  <c r="E47" i="3"/>
  <c r="D47" i="3"/>
  <c r="E46" i="3"/>
  <c r="D46" i="3"/>
  <c r="E45" i="3"/>
  <c r="D45" i="3"/>
  <c r="E44" i="3"/>
  <c r="D44" i="3"/>
  <c r="D102" i="3" s="1"/>
  <c r="T98" i="2"/>
  <c r="U98" i="2" s="1"/>
  <c r="T97" i="2"/>
  <c r="U97" i="2" s="1"/>
  <c r="T96" i="2"/>
  <c r="U96" i="2" s="1"/>
  <c r="T95" i="2"/>
  <c r="U95" i="2" s="1"/>
  <c r="T94" i="2"/>
  <c r="U94" i="2" s="1"/>
  <c r="T93" i="2"/>
  <c r="U93" i="2" s="1"/>
  <c r="T92" i="2"/>
  <c r="U92" i="2" s="1"/>
  <c r="T91" i="2"/>
  <c r="U91" i="2" s="1"/>
  <c r="T90" i="2"/>
  <c r="U90" i="2" s="1"/>
  <c r="T89" i="2"/>
  <c r="U89" i="2" s="1"/>
  <c r="T88" i="2"/>
  <c r="U88" i="2" s="1"/>
  <c r="T87" i="2"/>
  <c r="U87" i="2" s="1"/>
  <c r="T86" i="2"/>
  <c r="U86" i="2" s="1"/>
  <c r="T85" i="2"/>
  <c r="U85" i="2" s="1"/>
  <c r="T84" i="2"/>
  <c r="U84" i="2" s="1"/>
  <c r="T83" i="2"/>
  <c r="U83" i="2" s="1"/>
  <c r="T82" i="2"/>
  <c r="U82" i="2" s="1"/>
  <c r="T81" i="2"/>
  <c r="U81" i="2" s="1"/>
  <c r="T80" i="2"/>
  <c r="U80" i="2" s="1"/>
  <c r="T79" i="2"/>
  <c r="U79" i="2" s="1"/>
  <c r="T78" i="2"/>
  <c r="U78" i="2" s="1"/>
  <c r="T77" i="2"/>
  <c r="U77" i="2" s="1"/>
  <c r="T76" i="2"/>
  <c r="U76" i="2" s="1"/>
  <c r="T75" i="2"/>
  <c r="U75" i="2" s="1"/>
  <c r="T74" i="2"/>
  <c r="U74" i="2" s="1"/>
  <c r="T73" i="2"/>
  <c r="U73" i="2" s="1"/>
  <c r="T72" i="2"/>
  <c r="U72" i="2" s="1"/>
  <c r="T71" i="2"/>
  <c r="U71" i="2" s="1"/>
  <c r="T70" i="2"/>
  <c r="U70" i="2" s="1"/>
  <c r="T69" i="2"/>
  <c r="U69" i="2" s="1"/>
  <c r="T68" i="2"/>
  <c r="U68" i="2" s="1"/>
  <c r="T67" i="2"/>
  <c r="U67" i="2" s="1"/>
  <c r="T66" i="2"/>
  <c r="U66" i="2" s="1"/>
  <c r="T65" i="2"/>
  <c r="U65" i="2" s="1"/>
  <c r="T64" i="2"/>
  <c r="U64" i="2" s="1"/>
  <c r="T63" i="2"/>
  <c r="U63" i="2" s="1"/>
  <c r="T62" i="2"/>
  <c r="U62" i="2" s="1"/>
  <c r="T61" i="2"/>
  <c r="U61" i="2" s="1"/>
  <c r="T60" i="2"/>
  <c r="U60" i="2" s="1"/>
  <c r="T59" i="2"/>
  <c r="U59" i="2" s="1"/>
  <c r="T58" i="2"/>
  <c r="U58" i="2" s="1"/>
  <c r="T57" i="2"/>
  <c r="U57" i="2" s="1"/>
  <c r="T56" i="2"/>
  <c r="U56" i="2" s="1"/>
  <c r="T55" i="2"/>
  <c r="U55" i="2" s="1"/>
  <c r="T54" i="2"/>
  <c r="U54" i="2" s="1"/>
  <c r="T53" i="2"/>
  <c r="U53" i="2" s="1"/>
  <c r="T52" i="2"/>
  <c r="U52" i="2" s="1"/>
  <c r="T51" i="2"/>
  <c r="U51" i="2" s="1"/>
  <c r="T50" i="2"/>
  <c r="U50" i="2" s="1"/>
  <c r="T49" i="2"/>
  <c r="U49" i="2" s="1"/>
  <c r="T48" i="2"/>
  <c r="U48" i="2" s="1"/>
  <c r="T47" i="2"/>
  <c r="U47" i="2" s="1"/>
  <c r="T46" i="2"/>
  <c r="U46" i="2" s="1"/>
  <c r="T45" i="2"/>
  <c r="U45" i="2" s="1"/>
  <c r="T44" i="2"/>
  <c r="U44" i="2" s="1"/>
  <c r="T43" i="2"/>
  <c r="U43" i="2" s="1"/>
  <c r="T42" i="2"/>
  <c r="U42" i="2" s="1"/>
  <c r="T41" i="2"/>
  <c r="U41" i="2" s="1"/>
  <c r="T40" i="2"/>
  <c r="U40" i="2" s="1"/>
  <c r="T39" i="2"/>
  <c r="U39" i="2" s="1"/>
  <c r="T38" i="2"/>
  <c r="U38" i="2" s="1"/>
  <c r="T37" i="2"/>
  <c r="U37" i="2" s="1"/>
  <c r="T36" i="2"/>
  <c r="U36" i="2" s="1"/>
  <c r="T35" i="2"/>
  <c r="U35" i="2" s="1"/>
  <c r="T34" i="2"/>
  <c r="U34" i="2" s="1"/>
  <c r="T33" i="2"/>
  <c r="U33" i="2" s="1"/>
  <c r="T32" i="2"/>
  <c r="U32" i="2" s="1"/>
  <c r="T31" i="2"/>
  <c r="U31" i="2" s="1"/>
  <c r="T30" i="2"/>
  <c r="U30" i="2" s="1"/>
  <c r="T29" i="2"/>
  <c r="U29" i="2" s="1"/>
  <c r="T28" i="2"/>
  <c r="U28" i="2" s="1"/>
  <c r="T27" i="2"/>
  <c r="U27" i="2" s="1"/>
  <c r="T26" i="2"/>
  <c r="U26" i="2" s="1"/>
  <c r="U25" i="2"/>
  <c r="E42" i="3" l="1"/>
  <c r="E34" i="3"/>
  <c r="E26" i="3"/>
  <c r="E18" i="3"/>
  <c r="E41" i="3"/>
  <c r="E33" i="3"/>
  <c r="E25" i="3"/>
  <c r="E17" i="3"/>
  <c r="E40" i="3"/>
  <c r="E32" i="3"/>
  <c r="E24" i="3"/>
  <c r="E16" i="3"/>
  <c r="E39" i="3"/>
  <c r="E31" i="3"/>
  <c r="E23" i="3"/>
  <c r="E38" i="3"/>
  <c r="E30" i="3"/>
  <c r="E22" i="3"/>
  <c r="E37" i="3"/>
  <c r="E29" i="3"/>
  <c r="E21" i="3"/>
  <c r="E36" i="3"/>
  <c r="E28" i="3"/>
  <c r="E20" i="3"/>
  <c r="E43" i="3"/>
  <c r="E35" i="3"/>
  <c r="E27" i="3"/>
  <c r="E19" i="3"/>
</calcChain>
</file>

<file path=xl/sharedStrings.xml><?xml version="1.0" encoding="utf-8"?>
<sst xmlns="http://schemas.openxmlformats.org/spreadsheetml/2006/main" count="138" uniqueCount="90">
  <si>
    <t>indicador</t>
  </si>
  <si>
    <t>nombre</t>
  </si>
  <si>
    <t>unidades</t>
  </si>
  <si>
    <t>fuentes y notas</t>
  </si>
  <si>
    <t>pib_nominal</t>
  </si>
  <si>
    <t>PIB nominal</t>
  </si>
  <si>
    <t>millones de unidades de moneda</t>
  </si>
  <si>
    <t>Banco Central del Ecuador desde 1950 hasta 1960 calculado desde el porcentaje del PIB del total de ingresos en millones de sucres, CEPALSTAT desde 1960 hasta 1999, Banco central del Ecuador desde 2000</t>
  </si>
  <si>
    <t>poblacion</t>
  </si>
  <si>
    <t>Población</t>
  </si>
  <si>
    <t>millones de personas</t>
  </si>
  <si>
    <t>Bnaco Central del Ecuador</t>
  </si>
  <si>
    <t>Ipc_2004</t>
  </si>
  <si>
    <t>Índice de precios al consumidor año base 2004</t>
  </si>
  <si>
    <t>índice</t>
  </si>
  <si>
    <t>Banco central del Ecuador</t>
  </si>
  <si>
    <t>Ipc_2014</t>
  </si>
  <si>
    <t>Índice de precios al consumidor año base 2014</t>
  </si>
  <si>
    <t>Instituto Nacional de estadísticas y Censos INEC Ecuador</t>
  </si>
  <si>
    <t>ipc_pond_2014</t>
  </si>
  <si>
    <t>Índice de precios al consumidor año base 2014 ponderado</t>
  </si>
  <si>
    <t>Indice ajustado por factor de solapamiento entre ipc año base 2004 e ipc año base 2014</t>
  </si>
  <si>
    <t>tipo_cambio_oficial_prom_compra</t>
  </si>
  <si>
    <t xml:space="preserve">Tipo de cambio oficial promedio precio de compra </t>
  </si>
  <si>
    <t>tipo_cambio_oficial_prom_venta</t>
  </si>
  <si>
    <t>Tipo de cambio oficial promedio precio de venta</t>
  </si>
  <si>
    <t>tipo_cambio_oficial_fin_compra</t>
  </si>
  <si>
    <t>Tipo de cambio oficial al cierre precio de compra</t>
  </si>
  <si>
    <t>tipo_cambio_oficial_fin_venta</t>
  </si>
  <si>
    <t>Tipo de cambio oficial al cierre precio de venta</t>
  </si>
  <si>
    <t>tipo_cambio_int_prom_compra</t>
  </si>
  <si>
    <t>Tipo de cambio mercado de intervención promedio precio de compra</t>
  </si>
  <si>
    <t>tipo_cambio_int_prom_venta</t>
  </si>
  <si>
    <t>Tipo de cambio mercado de intervención promedio precio de venta</t>
  </si>
  <si>
    <t>tipo_cambio_int_fin_compra</t>
  </si>
  <si>
    <t>Tipo de cambio mercado de intervención al cierre precio de compra</t>
  </si>
  <si>
    <t>tipo_cambio_int_fin_venta</t>
  </si>
  <si>
    <t>Tipo de cambio mercado de intervención al cierre precio de venta</t>
  </si>
  <si>
    <t>tipo_cambio_libre_prom_compra</t>
  </si>
  <si>
    <t>Tipo de cambio mercado libre de cambios promedio precio de compra</t>
  </si>
  <si>
    <t>tipo_cambio_libre_prom_venta</t>
  </si>
  <si>
    <t>Tipo de cambio mercado libre de cambios promedio precio de venta</t>
  </si>
  <si>
    <t>tipo_cambio_libre_fin_compra</t>
  </si>
  <si>
    <t>Tipo de cambio mercado libre de cambios al cierre precio de compra</t>
  </si>
  <si>
    <t>tipo_cambio_libre_fin_venta</t>
  </si>
  <si>
    <t>Tipo de cambio mercado libre de cambios al cierre precio de venta</t>
  </si>
  <si>
    <t>ano</t>
  </si>
  <si>
    <t>pib_nominal_usd</t>
  </si>
  <si>
    <t>pib_real_2014</t>
  </si>
  <si>
    <t>pib_percapita</t>
  </si>
  <si>
    <t>solapamiento</t>
  </si>
  <si>
    <t>solapamiento promedio</t>
  </si>
  <si>
    <t>Variables</t>
  </si>
  <si>
    <t>Descripción</t>
  </si>
  <si>
    <t>unidad</t>
  </si>
  <si>
    <t>notas</t>
  </si>
  <si>
    <t>Fuente</t>
  </si>
  <si>
    <t>pib</t>
  </si>
  <si>
    <t>PIB nominal a precios corrientes</t>
  </si>
  <si>
    <t>millones de unidades de la moneda vigente</t>
  </si>
  <si>
    <t>Millones de sucres desde 1950 hasta 1998, millones de dólares desde 1999</t>
  </si>
  <si>
    <t>1960-2017: Martin y cols</t>
  </si>
  <si>
    <t>1950-1959: Banco Central del Ecuador 90 años</t>
  </si>
  <si>
    <t>2017-2024: Banco central del Ecuador</t>
  </si>
  <si>
    <t>pibreal2007</t>
  </si>
  <si>
    <t>PIB real a precios constantes de 2007</t>
  </si>
  <si>
    <t>millones de dólares de 2007</t>
  </si>
  <si>
    <t>var_pibreal2007</t>
  </si>
  <si>
    <t>Tasa de variación annual del PIB real a precios constantes de 2007</t>
  </si>
  <si>
    <t>deflpib</t>
  </si>
  <si>
    <t>Deflactor del PIB</t>
  </si>
  <si>
    <t>promedio_ecsusd</t>
  </si>
  <si>
    <t>Tipo de cambio nominal ECSUSD promedio annual</t>
  </si>
  <si>
    <t>final_ecsusd</t>
  </si>
  <si>
    <t>Tipo de cambio nominal ECSUSD fin de periodo annual</t>
  </si>
  <si>
    <t>pob</t>
  </si>
  <si>
    <t>Población total</t>
  </si>
  <si>
    <t>personas</t>
  </si>
  <si>
    <t>ipc2004</t>
  </si>
  <si>
    <t>índice de precios al consumidor año base 2004</t>
  </si>
  <si>
    <t>Banco Central del Ecuador 90 años</t>
  </si>
  <si>
    <t>índice de precios al consumidor año base 2017</t>
  </si>
  <si>
    <t>Instituto Nacional de Estadísticas y Censo INEC Ecuador</t>
  </si>
  <si>
    <t>pond_ipc2014</t>
  </si>
  <si>
    <t>índice de precios al consumidor año base 2014</t>
  </si>
  <si>
    <t>calculo por solapamiendo (chain linking)</t>
  </si>
  <si>
    <t>ipc2014</t>
  </si>
  <si>
    <t>ipc2007</t>
  </si>
  <si>
    <t>índice de precios al consumidor año base 2007</t>
  </si>
  <si>
    <t>Cambio de año base utilizando IPC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</si>
</sst>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sz val="10"/>
      <name val="Arial"/>
      <family val="2"/>
      <charset val="1"/>
    </font>
    <font>
      <b/>
      <sz val="11"/>
      <color theme="1"/>
      <name val="Calibri"/>
      <family val="2"/>
      <charset val="1"/>
    </font>
    <font>
      <sz val="11"/>
      <color rgb="FF000000"/>
      <name val="Calibri"/>
      <family val="2"/>
      <charset val="1"/>
    </font>
    <font>
      <b/>
      <sz val="11"/>
      <color theme="1"/>
      <name val="Calibri"/>
      <family val="2"/>
      <scheme val="minor"/>
    </font>
    <font>
      <u/>
      <sz val="11"/>
      <color theme="10"/>
      <name val="Calibri"/>
      <family val="2"/>
      <charset val="1"/>
    </font>
  </fonts>
  <fills count="4">
    <fill>
      <patternFill patternType="none"/>
    </fill>
    <fill>
      <patternFill patternType="gray125"/>
    </fill>
    <fill>
      <patternFill patternType="solid">
        <fgColor rgb="FFFFFF00"/>
        <bgColor rgb="FFFFFF00"/>
      </patternFill>
    </fill>
    <fill>
      <patternFill patternType="solid">
        <fgColor theme="5" tint="0.79998168889431442"/>
        <bgColor indexed="64"/>
      </patternFill>
    </fill>
  </fills>
  <borders count="1">
    <border>
      <left/>
      <right/>
      <top/>
      <bottom/>
      <diagonal/>
    </border>
  </borders>
  <cellStyleXfs count="3">
    <xf numFmtId="0" fontId="0" fillId="0" borderId="0"/>
    <xf numFmtId="0" fontId="1" fillId="0" borderId="0" applyBorder="0" applyProtection="0"/>
    <xf numFmtId="0" fontId="5" fillId="0" borderId="0" applyNumberFormat="0" applyFill="0" applyBorder="0" applyAlignment="0" applyProtection="0"/>
  </cellStyleXfs>
  <cellXfs count="11">
    <xf numFmtId="0" fontId="0" fillId="0" borderId="0" xfId="0"/>
    <xf numFmtId="0" fontId="2" fillId="0" borderId="0" xfId="0" applyFont="1"/>
    <xf numFmtId="4" fontId="0" fillId="0" borderId="0" xfId="0" applyNumberFormat="1"/>
    <xf numFmtId="1" fontId="0" fillId="0" borderId="0" xfId="0" applyNumberFormat="1"/>
    <xf numFmtId="0" fontId="3" fillId="0" borderId="0" xfId="0" applyFont="1"/>
    <xf numFmtId="0" fontId="0" fillId="2" borderId="0" xfId="0" applyFill="1"/>
    <xf numFmtId="0" fontId="4" fillId="0" borderId="0" xfId="0" applyFont="1" applyAlignment="1">
      <alignment horizontal="center"/>
    </xf>
    <xf numFmtId="0" fontId="0" fillId="0" borderId="0" xfId="0" applyAlignment="1">
      <alignment horizontal="left"/>
    </xf>
    <xf numFmtId="0" fontId="5" fillId="0" borderId="0" xfId="2"/>
    <xf numFmtId="0" fontId="0" fillId="0" borderId="0" xfId="0" applyAlignment="1">
      <alignment horizontal="left" vertical="center"/>
    </xf>
    <xf numFmtId="0" fontId="0" fillId="3" borderId="0" xfId="0" applyFill="1"/>
  </cellXfs>
  <cellStyles count="3">
    <cellStyle name="ANCLAS,REZONES Y SUS PARTES,DE FUNDICION,DE HIERRO O DE ACERO" xfId="1" xr:uid="{00000000-0005-0000-0000-000006000000}"/>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opLeftCell="A7" zoomScale="130" zoomScaleNormal="130" workbookViewId="0">
      <selection activeCell="A29" sqref="A29"/>
    </sheetView>
  </sheetViews>
  <sheetFormatPr defaultColWidth="8.7109375" defaultRowHeight="15" x14ac:dyDescent="0.25"/>
  <cols>
    <col min="1" max="1" width="12.140625" customWidth="1"/>
    <col min="2" max="2" width="48.42578125" customWidth="1"/>
  </cols>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14</v>
      </c>
      <c r="D5" t="s">
        <v>18</v>
      </c>
    </row>
    <row r="6" spans="1:4" x14ac:dyDescent="0.25">
      <c r="A6" t="s">
        <v>19</v>
      </c>
      <c r="B6" t="s">
        <v>20</v>
      </c>
      <c r="C6" t="s">
        <v>14</v>
      </c>
      <c r="D6" t="s">
        <v>21</v>
      </c>
    </row>
    <row r="7" spans="1:4" x14ac:dyDescent="0.25">
      <c r="A7" t="s">
        <v>22</v>
      </c>
      <c r="B7" t="s">
        <v>23</v>
      </c>
      <c r="C7" t="s">
        <v>0</v>
      </c>
      <c r="D7" t="s">
        <v>15</v>
      </c>
    </row>
    <row r="8" spans="1:4" x14ac:dyDescent="0.25">
      <c r="A8" t="s">
        <v>24</v>
      </c>
      <c r="B8" t="s">
        <v>25</v>
      </c>
      <c r="C8" t="s">
        <v>0</v>
      </c>
      <c r="D8" t="s">
        <v>15</v>
      </c>
    </row>
    <row r="9" spans="1:4" x14ac:dyDescent="0.25">
      <c r="A9" t="s">
        <v>26</v>
      </c>
      <c r="B9" t="s">
        <v>27</v>
      </c>
      <c r="C9" t="s">
        <v>0</v>
      </c>
      <c r="D9" t="s">
        <v>15</v>
      </c>
    </row>
    <row r="10" spans="1:4" x14ac:dyDescent="0.25">
      <c r="A10" t="s">
        <v>28</v>
      </c>
      <c r="B10" t="s">
        <v>29</v>
      </c>
      <c r="C10" t="s">
        <v>0</v>
      </c>
      <c r="D10" t="s">
        <v>15</v>
      </c>
    </row>
    <row r="11" spans="1:4" x14ac:dyDescent="0.25">
      <c r="A11" t="s">
        <v>30</v>
      </c>
      <c r="B11" t="s">
        <v>31</v>
      </c>
      <c r="C11" t="s">
        <v>0</v>
      </c>
      <c r="D11" t="s">
        <v>15</v>
      </c>
    </row>
    <row r="12" spans="1:4" x14ac:dyDescent="0.25">
      <c r="A12" t="s">
        <v>32</v>
      </c>
      <c r="B12" t="s">
        <v>33</v>
      </c>
      <c r="C12" t="s">
        <v>0</v>
      </c>
      <c r="D12" t="s">
        <v>15</v>
      </c>
    </row>
    <row r="13" spans="1:4" x14ac:dyDescent="0.25">
      <c r="A13" t="s">
        <v>34</v>
      </c>
      <c r="B13" t="s">
        <v>35</v>
      </c>
      <c r="C13" t="s">
        <v>0</v>
      </c>
      <c r="D13" t="s">
        <v>15</v>
      </c>
    </row>
    <row r="14" spans="1:4" x14ac:dyDescent="0.25">
      <c r="A14" t="s">
        <v>36</v>
      </c>
      <c r="B14" t="s">
        <v>37</v>
      </c>
      <c r="C14" t="s">
        <v>0</v>
      </c>
      <c r="D14" t="s">
        <v>15</v>
      </c>
    </row>
    <row r="15" spans="1:4" x14ac:dyDescent="0.25">
      <c r="A15" t="s">
        <v>38</v>
      </c>
      <c r="B15" t="s">
        <v>39</v>
      </c>
      <c r="C15" t="s">
        <v>0</v>
      </c>
      <c r="D15" t="s">
        <v>15</v>
      </c>
    </row>
    <row r="16" spans="1:4" x14ac:dyDescent="0.25">
      <c r="A16" t="s">
        <v>40</v>
      </c>
      <c r="B16" t="s">
        <v>41</v>
      </c>
      <c r="C16" t="s">
        <v>0</v>
      </c>
      <c r="D16" t="s">
        <v>15</v>
      </c>
    </row>
    <row r="17" spans="1:5" x14ac:dyDescent="0.25">
      <c r="A17" t="s">
        <v>42</v>
      </c>
      <c r="B17" t="s">
        <v>43</v>
      </c>
      <c r="C17" t="s">
        <v>0</v>
      </c>
      <c r="D17" t="s">
        <v>15</v>
      </c>
    </row>
    <row r="18" spans="1:5" x14ac:dyDescent="0.25">
      <c r="A18" t="s">
        <v>44</v>
      </c>
      <c r="B18" t="s">
        <v>45</v>
      </c>
      <c r="C18" t="s">
        <v>0</v>
      </c>
      <c r="D18" t="s">
        <v>15</v>
      </c>
    </row>
    <row r="21" spans="1:5" x14ac:dyDescent="0.25">
      <c r="A21" s="6" t="s">
        <v>52</v>
      </c>
      <c r="B21" s="6" t="s">
        <v>53</v>
      </c>
      <c r="C21" s="6" t="s">
        <v>54</v>
      </c>
      <c r="D21" s="6" t="s">
        <v>55</v>
      </c>
      <c r="E21" s="6" t="s">
        <v>56</v>
      </c>
    </row>
    <row r="22" spans="1:5" x14ac:dyDescent="0.25">
      <c r="A22" s="9" t="s">
        <v>57</v>
      </c>
      <c r="B22" s="9" t="s">
        <v>58</v>
      </c>
      <c r="C22" s="9" t="s">
        <v>59</v>
      </c>
      <c r="D22" s="9" t="s">
        <v>60</v>
      </c>
      <c r="E22" s="7" t="s">
        <v>61</v>
      </c>
    </row>
    <row r="23" spans="1:5" x14ac:dyDescent="0.25">
      <c r="A23" s="9"/>
      <c r="B23" s="9"/>
      <c r="C23" s="9"/>
      <c r="D23" s="9"/>
      <c r="E23" s="7" t="s">
        <v>62</v>
      </c>
    </row>
    <row r="24" spans="1:5" x14ac:dyDescent="0.25">
      <c r="A24" s="9"/>
      <c r="B24" s="9"/>
      <c r="C24" s="9"/>
      <c r="D24" s="9"/>
      <c r="E24" s="7" t="s">
        <v>63</v>
      </c>
    </row>
    <row r="25" spans="1:5" x14ac:dyDescent="0.25">
      <c r="A25" t="s">
        <v>64</v>
      </c>
      <c r="B25" t="s">
        <v>65</v>
      </c>
      <c r="C25" t="s">
        <v>66</v>
      </c>
      <c r="E25" s="7"/>
    </row>
    <row r="26" spans="1:5" x14ac:dyDescent="0.25">
      <c r="A26" t="s">
        <v>67</v>
      </c>
      <c r="B26" t="s">
        <v>68</v>
      </c>
      <c r="E26" s="7"/>
    </row>
    <row r="27" spans="1:5" x14ac:dyDescent="0.25">
      <c r="A27" t="s">
        <v>69</v>
      </c>
      <c r="B27" t="s">
        <v>70</v>
      </c>
      <c r="E27" s="7"/>
    </row>
    <row r="28" spans="1:5" x14ac:dyDescent="0.25">
      <c r="A28" t="s">
        <v>71</v>
      </c>
      <c r="B28" t="s">
        <v>72</v>
      </c>
      <c r="E28" s="7"/>
    </row>
    <row r="29" spans="1:5" x14ac:dyDescent="0.25">
      <c r="A29" t="s">
        <v>73</v>
      </c>
      <c r="B29" t="s">
        <v>74</v>
      </c>
      <c r="E29" s="7"/>
    </row>
    <row r="30" spans="1:5" x14ac:dyDescent="0.25">
      <c r="A30" t="s">
        <v>75</v>
      </c>
      <c r="B30" t="s">
        <v>76</v>
      </c>
      <c r="C30" t="s">
        <v>77</v>
      </c>
      <c r="E30" s="7"/>
    </row>
    <row r="31" spans="1:5" x14ac:dyDescent="0.25">
      <c r="A31" t="s">
        <v>78</v>
      </c>
      <c r="B31" t="s">
        <v>79</v>
      </c>
      <c r="E31" s="7" t="s">
        <v>80</v>
      </c>
    </row>
    <row r="32" spans="1:5" x14ac:dyDescent="0.25">
      <c r="A32" t="s">
        <v>86</v>
      </c>
      <c r="B32" t="s">
        <v>81</v>
      </c>
      <c r="E32" s="7" t="s">
        <v>82</v>
      </c>
    </row>
    <row r="33" spans="1:5" x14ac:dyDescent="0.25">
      <c r="A33" t="s">
        <v>83</v>
      </c>
      <c r="B33" t="s">
        <v>84</v>
      </c>
      <c r="D33" s="8" t="s">
        <v>85</v>
      </c>
      <c r="E33" s="7"/>
    </row>
    <row r="34" spans="1:5" x14ac:dyDescent="0.25">
      <c r="A34" t="s">
        <v>87</v>
      </c>
      <c r="B34" t="s">
        <v>88</v>
      </c>
      <c r="D34" t="s">
        <v>89</v>
      </c>
    </row>
  </sheetData>
  <mergeCells count="4">
    <mergeCell ref="A22:A24"/>
    <mergeCell ref="B22:B24"/>
    <mergeCell ref="C22:C24"/>
    <mergeCell ref="D22:D24"/>
  </mergeCells>
  <hyperlinks>
    <hyperlink ref="D33" location="'ipc chain linking'!A1" display="calculo por solapamiendo (chain linking)" xr:uid="{1283B962-36F3-4757-9EB3-5A0878802563}"/>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9"/>
  <sheetViews>
    <sheetView tabSelected="1" zoomScale="85" zoomScaleNormal="85" workbookViewId="0">
      <pane xSplit="1" ySplit="1" topLeftCell="M2" activePane="bottomRight" state="frozen"/>
      <selection pane="topRight" activeCell="N1" sqref="N1"/>
      <selection pane="bottomLeft" activeCell="A20" sqref="A20"/>
      <selection pane="bottomRight" activeCell="Q16" sqref="Q16"/>
    </sheetView>
  </sheetViews>
  <sheetFormatPr defaultColWidth="8.7109375" defaultRowHeight="15" x14ac:dyDescent="0.25"/>
  <cols>
    <col min="2" max="2" width="11.5703125" customWidth="1"/>
    <col min="3" max="4" width="12" customWidth="1"/>
    <col min="5" max="7" width="19.85546875" customWidth="1"/>
    <col min="8" max="8" width="29.85546875" customWidth="1"/>
    <col min="9" max="9" width="28.140625" customWidth="1"/>
    <col min="10" max="10" width="27.5703125" customWidth="1"/>
    <col min="11" max="11" width="25.85546875" customWidth="1"/>
    <col min="12" max="12" width="27.140625" customWidth="1"/>
    <col min="13" max="13" width="25.5703125" customWidth="1"/>
    <col min="14" max="14" width="25" customWidth="1"/>
    <col min="15" max="15" width="23.28515625" customWidth="1"/>
    <col min="16" max="16" width="28.5703125" customWidth="1"/>
    <col min="17" max="17" width="27" customWidth="1"/>
    <col min="18" max="18" width="26.28515625" customWidth="1"/>
    <col min="19" max="19" width="24.7109375" customWidth="1"/>
    <col min="20" max="21" width="17.7109375" customWidth="1"/>
    <col min="22" max="22" width="21" customWidth="1"/>
  </cols>
  <sheetData>
    <row r="1" spans="1:23" x14ac:dyDescent="0.25">
      <c r="A1" t="s">
        <v>46</v>
      </c>
      <c r="B1" t="s">
        <v>57</v>
      </c>
      <c r="C1" s="10" t="s">
        <v>78</v>
      </c>
      <c r="D1" s="10" t="s">
        <v>86</v>
      </c>
      <c r="E1" s="10" t="s">
        <v>83</v>
      </c>
      <c r="F1" s="10" t="s">
        <v>87</v>
      </c>
      <c r="H1" t="s">
        <v>22</v>
      </c>
      <c r="I1" t="s">
        <v>24</v>
      </c>
      <c r="J1" t="s">
        <v>26</v>
      </c>
      <c r="K1" t="s">
        <v>28</v>
      </c>
      <c r="L1" t="s">
        <v>30</v>
      </c>
      <c r="M1" t="s">
        <v>32</v>
      </c>
      <c r="N1" t="s">
        <v>34</v>
      </c>
      <c r="O1" t="s">
        <v>36</v>
      </c>
      <c r="P1" t="s">
        <v>38</v>
      </c>
      <c r="Q1" t="s">
        <v>40</v>
      </c>
      <c r="R1" t="s">
        <v>42</v>
      </c>
      <c r="S1" t="s">
        <v>44</v>
      </c>
      <c r="T1" t="s">
        <v>47</v>
      </c>
      <c r="U1" t="s">
        <v>48</v>
      </c>
      <c r="V1" t="s">
        <v>49</v>
      </c>
      <c r="W1" t="s">
        <v>8</v>
      </c>
    </row>
    <row r="2" spans="1:23" x14ac:dyDescent="0.25">
      <c r="A2">
        <v>1927</v>
      </c>
      <c r="I2">
        <v>4.9883333333333297</v>
      </c>
      <c r="W2">
        <v>2257357</v>
      </c>
    </row>
    <row r="3" spans="1:23" x14ac:dyDescent="0.25">
      <c r="A3">
        <v>1928</v>
      </c>
      <c r="I3">
        <v>5.0016666666666696</v>
      </c>
      <c r="W3">
        <v>2297561</v>
      </c>
    </row>
    <row r="4" spans="1:23" x14ac:dyDescent="0.25">
      <c r="A4">
        <v>1929</v>
      </c>
      <c r="I4">
        <v>5.0433333333333303</v>
      </c>
      <c r="W4">
        <v>2338481</v>
      </c>
    </row>
    <row r="5" spans="1:23" x14ac:dyDescent="0.25">
      <c r="A5">
        <v>1930</v>
      </c>
      <c r="I5">
        <v>5.05</v>
      </c>
      <c r="W5">
        <v>2380129</v>
      </c>
    </row>
    <row r="6" spans="1:23" x14ac:dyDescent="0.25">
      <c r="A6">
        <v>1931</v>
      </c>
      <c r="I6">
        <v>5.0599999999999996</v>
      </c>
      <c r="W6">
        <v>2422519</v>
      </c>
    </row>
    <row r="7" spans="1:23" x14ac:dyDescent="0.25">
      <c r="A7">
        <v>1932</v>
      </c>
      <c r="I7">
        <v>5.93545454545455</v>
      </c>
      <c r="W7">
        <v>2465664</v>
      </c>
    </row>
    <row r="8" spans="1:23" x14ac:dyDescent="0.25">
      <c r="A8">
        <v>1933</v>
      </c>
      <c r="I8">
        <v>6</v>
      </c>
      <c r="W8">
        <v>2509578</v>
      </c>
    </row>
    <row r="9" spans="1:23" x14ac:dyDescent="0.25">
      <c r="A9">
        <v>1934</v>
      </c>
      <c r="I9">
        <v>10.795</v>
      </c>
      <c r="W9">
        <v>2554273</v>
      </c>
    </row>
    <row r="10" spans="1:23" x14ac:dyDescent="0.25">
      <c r="A10">
        <v>1935</v>
      </c>
      <c r="I10">
        <v>10.5691666666667</v>
      </c>
      <c r="W10">
        <v>2599765</v>
      </c>
    </row>
    <row r="11" spans="1:23" x14ac:dyDescent="0.25">
      <c r="A11">
        <v>1936</v>
      </c>
      <c r="I11">
        <v>10.5</v>
      </c>
      <c r="W11">
        <v>2646067</v>
      </c>
    </row>
    <row r="12" spans="1:23" x14ac:dyDescent="0.25">
      <c r="A12">
        <v>1937</v>
      </c>
      <c r="H12" s="2"/>
      <c r="I12">
        <v>11.6675</v>
      </c>
      <c r="W12">
        <v>2693193</v>
      </c>
    </row>
    <row r="13" spans="1:23" x14ac:dyDescent="0.25">
      <c r="A13">
        <v>1938</v>
      </c>
      <c r="H13" s="2"/>
      <c r="I13">
        <v>14.13</v>
      </c>
      <c r="W13">
        <v>2741159</v>
      </c>
    </row>
    <row r="14" spans="1:23" x14ac:dyDescent="0.25">
      <c r="A14">
        <v>1939</v>
      </c>
      <c r="H14" s="2"/>
      <c r="I14">
        <v>14.8341666666667</v>
      </c>
      <c r="W14">
        <v>2789979</v>
      </c>
    </row>
    <row r="15" spans="1:23" x14ac:dyDescent="0.25">
      <c r="A15">
        <v>1940</v>
      </c>
      <c r="C15">
        <v>3.4368996637377698E-3</v>
      </c>
      <c r="E15">
        <v>2.4953989350642398E-3</v>
      </c>
      <c r="F15">
        <f>E15/$E$82*100</f>
        <v>3.3998913417775506E-3</v>
      </c>
      <c r="I15">
        <v>16.0425</v>
      </c>
      <c r="W15">
        <v>2839668</v>
      </c>
    </row>
    <row r="16" spans="1:23" x14ac:dyDescent="0.25">
      <c r="A16">
        <v>1941</v>
      </c>
      <c r="C16">
        <v>3.5546017070164598E-3</v>
      </c>
      <c r="E16">
        <v>2.58085780270343E-3</v>
      </c>
      <c r="F16">
        <f t="shared" ref="F16:F79" si="0">E16/$E$82*100</f>
        <v>3.5163259767699378E-3</v>
      </c>
      <c r="I16">
        <v>15</v>
      </c>
      <c r="W16">
        <v>2890243</v>
      </c>
    </row>
    <row r="17" spans="1:23" x14ac:dyDescent="0.25">
      <c r="A17">
        <v>1942</v>
      </c>
      <c r="C17">
        <v>4.5668392792132103E-3</v>
      </c>
      <c r="E17">
        <v>3.3158040644004302E-3</v>
      </c>
      <c r="F17">
        <f t="shared" si="0"/>
        <v>4.5176638377044196E-3</v>
      </c>
      <c r="I17">
        <v>14.3925</v>
      </c>
      <c r="W17">
        <v>2941718</v>
      </c>
    </row>
    <row r="18" spans="1:23" x14ac:dyDescent="0.25">
      <c r="A18">
        <v>1943</v>
      </c>
      <c r="C18">
        <v>5.57907685140995E-3</v>
      </c>
      <c r="E18">
        <v>4.0507503260974404E-3</v>
      </c>
      <c r="F18">
        <f t="shared" si="0"/>
        <v>5.519001698638914E-3</v>
      </c>
      <c r="I18">
        <v>14.1</v>
      </c>
      <c r="W18">
        <v>2994110</v>
      </c>
    </row>
    <row r="19" spans="1:23" x14ac:dyDescent="0.25">
      <c r="A19">
        <v>1944</v>
      </c>
      <c r="C19">
        <v>6.8502589188198099E-3</v>
      </c>
      <c r="E19">
        <v>4.9737060966006498E-3</v>
      </c>
      <c r="F19">
        <f t="shared" si="0"/>
        <v>6.7764957565566346E-3</v>
      </c>
      <c r="I19">
        <v>14.03</v>
      </c>
      <c r="W19">
        <v>3047435</v>
      </c>
    </row>
    <row r="20" spans="1:23" x14ac:dyDescent="0.25">
      <c r="A20">
        <v>1945</v>
      </c>
      <c r="C20">
        <v>8.8982744718690294E-3</v>
      </c>
      <c r="E20">
        <v>6.4606903935224896E-3</v>
      </c>
      <c r="F20">
        <f t="shared" si="0"/>
        <v>8.8024584054240771E-3</v>
      </c>
      <c r="I20">
        <v>13.5</v>
      </c>
      <c r="W20">
        <v>3101710</v>
      </c>
    </row>
    <row r="21" spans="1:23" x14ac:dyDescent="0.25">
      <c r="A21">
        <v>1946</v>
      </c>
      <c r="C21">
        <v>1.0216537356590401E-2</v>
      </c>
      <c r="E21">
        <v>7.4178297110813803E-3</v>
      </c>
      <c r="F21">
        <f t="shared" si="0"/>
        <v>1.0106526317338761E-2</v>
      </c>
      <c r="I21">
        <v>13.5</v>
      </c>
      <c r="W21">
        <v>3156951</v>
      </c>
    </row>
    <row r="22" spans="1:23" x14ac:dyDescent="0.25">
      <c r="A22">
        <v>1947</v>
      </c>
      <c r="C22">
        <v>1.16760426932461E-2</v>
      </c>
      <c r="E22">
        <v>8.4775196698072906E-3</v>
      </c>
      <c r="F22">
        <f t="shared" si="0"/>
        <v>1.1550315791244294E-2</v>
      </c>
      <c r="I22">
        <v>13.5</v>
      </c>
      <c r="J22">
        <v>13.5</v>
      </c>
      <c r="K22">
        <v>13.5</v>
      </c>
      <c r="P22">
        <v>17.748571428571399</v>
      </c>
      <c r="Q22">
        <v>18.068571428571399</v>
      </c>
      <c r="W22">
        <v>3213177</v>
      </c>
    </row>
    <row r="23" spans="1:23" x14ac:dyDescent="0.25">
      <c r="A23">
        <v>1948</v>
      </c>
      <c r="C23">
        <v>1.3064926803934699E-2</v>
      </c>
      <c r="E23">
        <v>9.4859343079496897E-3</v>
      </c>
      <c r="F23">
        <f t="shared" si="0"/>
        <v>1.2924244484154404E-2</v>
      </c>
      <c r="I23">
        <v>13.5</v>
      </c>
      <c r="J23">
        <v>13.5</v>
      </c>
      <c r="K23">
        <v>13.5</v>
      </c>
      <c r="P23">
        <v>17.754166666666698</v>
      </c>
      <c r="Q23">
        <v>18.050833333333301</v>
      </c>
      <c r="W23">
        <v>3270403</v>
      </c>
    </row>
    <row r="24" spans="1:23" x14ac:dyDescent="0.25">
      <c r="A24">
        <v>1949</v>
      </c>
      <c r="C24">
        <v>1.2829522717377299E-2</v>
      </c>
      <c r="E24">
        <v>9.3150165726713207E-3</v>
      </c>
      <c r="F24">
        <f t="shared" si="0"/>
        <v>1.2691375214169643E-2</v>
      </c>
      <c r="I24">
        <v>13.5</v>
      </c>
      <c r="J24">
        <v>13.5</v>
      </c>
      <c r="K24">
        <v>13.5</v>
      </c>
      <c r="P24">
        <v>17.407499999999999</v>
      </c>
      <c r="Q24">
        <v>17.633333333333301</v>
      </c>
      <c r="W24">
        <v>3328649</v>
      </c>
    </row>
    <row r="25" spans="1:23" x14ac:dyDescent="0.25">
      <c r="A25">
        <v>1950</v>
      </c>
      <c r="B25" s="3">
        <v>7234.4262295081999</v>
      </c>
      <c r="C25">
        <v>1.27589014914101E-2</v>
      </c>
      <c r="E25">
        <v>9.2637412520877992E-3</v>
      </c>
      <c r="F25">
        <f t="shared" si="0"/>
        <v>1.26215144331742E-2</v>
      </c>
      <c r="H25">
        <v>14.85</v>
      </c>
      <c r="I25">
        <v>15.15</v>
      </c>
      <c r="J25">
        <v>14.85</v>
      </c>
      <c r="K25">
        <v>15.15</v>
      </c>
      <c r="P25">
        <v>18.179166666666699</v>
      </c>
      <c r="Q25">
        <v>18.378333333333298</v>
      </c>
      <c r="T25">
        <f>B25/Q25</f>
        <v>393.63886258319837</v>
      </c>
      <c r="U25">
        <f t="shared" ref="U25:U56" si="1">T25/E25*$E$89</f>
        <v>4276604.8351706136</v>
      </c>
      <c r="W25">
        <v>3387358</v>
      </c>
    </row>
    <row r="26" spans="1:23" x14ac:dyDescent="0.25">
      <c r="A26">
        <v>1951</v>
      </c>
      <c r="B26" s="3">
        <v>7720.2898550724603</v>
      </c>
      <c r="C26">
        <v>1.4265487645377301E-2</v>
      </c>
      <c r="E26">
        <v>1.03576147578694E-2</v>
      </c>
      <c r="F26">
        <f t="shared" si="0"/>
        <v>1.4111877761076712E-2</v>
      </c>
      <c r="H26">
        <v>14.85</v>
      </c>
      <c r="I26">
        <v>15.15</v>
      </c>
      <c r="J26">
        <v>14.85</v>
      </c>
      <c r="K26">
        <v>15.15</v>
      </c>
      <c r="P26">
        <v>17.664999999999999</v>
      </c>
      <c r="Q26">
        <v>17.858333333333299</v>
      </c>
      <c r="T26">
        <f>B26/Q26</f>
        <v>432.30741138996598</v>
      </c>
      <c r="U26">
        <f t="shared" si="1"/>
        <v>4200688.6932424754</v>
      </c>
      <c r="W26">
        <v>3475951</v>
      </c>
    </row>
    <row r="27" spans="1:23" x14ac:dyDescent="0.25">
      <c r="A27">
        <v>1952</v>
      </c>
      <c r="B27" s="3">
        <v>8769.8412698412703</v>
      </c>
      <c r="C27">
        <v>1.47362958184921E-2</v>
      </c>
      <c r="E27">
        <v>1.06994502284261E-2</v>
      </c>
      <c r="F27">
        <f t="shared" si="0"/>
        <v>1.4577616301046179E-2</v>
      </c>
      <c r="H27">
        <v>14.85</v>
      </c>
      <c r="I27">
        <v>15.15</v>
      </c>
      <c r="J27">
        <v>14.85</v>
      </c>
      <c r="K27">
        <v>15.15</v>
      </c>
      <c r="P27">
        <v>17.342500000000001</v>
      </c>
      <c r="Q27">
        <v>17.438333333333301</v>
      </c>
      <c r="T27">
        <f>B27/Q27</f>
        <v>502.90593155928241</v>
      </c>
      <c r="U27">
        <f t="shared" si="1"/>
        <v>4730563.3817292843</v>
      </c>
      <c r="W27">
        <v>3567080</v>
      </c>
    </row>
    <row r="28" spans="1:23" x14ac:dyDescent="0.25">
      <c r="A28">
        <v>1953</v>
      </c>
      <c r="B28" s="3">
        <v>9344</v>
      </c>
      <c r="C28">
        <v>1.48069170444593E-2</v>
      </c>
      <c r="E28">
        <v>1.0750725549009601E-2</v>
      </c>
      <c r="F28">
        <f t="shared" si="0"/>
        <v>1.4647477082041591E-2</v>
      </c>
      <c r="H28">
        <v>14.85</v>
      </c>
      <c r="I28">
        <v>15.15</v>
      </c>
      <c r="J28">
        <v>14.85</v>
      </c>
      <c r="K28">
        <v>15.15</v>
      </c>
      <c r="P28">
        <v>17.336666666666702</v>
      </c>
      <c r="Q28">
        <v>17.441666666666698</v>
      </c>
      <c r="T28">
        <f>B28/Q28</f>
        <v>535.7286192068791</v>
      </c>
      <c r="U28">
        <f t="shared" si="1"/>
        <v>5015273.7470897976</v>
      </c>
      <c r="W28">
        <v>3661402</v>
      </c>
    </row>
    <row r="29" spans="1:23" x14ac:dyDescent="0.25">
      <c r="A29">
        <v>1954</v>
      </c>
      <c r="B29" s="3">
        <v>10415.189873417699</v>
      </c>
      <c r="C29">
        <v>1.53483464435413E-2</v>
      </c>
      <c r="E29">
        <v>1.11438363401499E-2</v>
      </c>
      <c r="F29">
        <f t="shared" si="0"/>
        <v>1.5183076403006606E-2</v>
      </c>
      <c r="H29">
        <v>14.85</v>
      </c>
      <c r="I29">
        <v>15.15</v>
      </c>
      <c r="J29">
        <v>14.85</v>
      </c>
      <c r="K29">
        <v>15.15</v>
      </c>
      <c r="P29">
        <v>17.328333333333301</v>
      </c>
      <c r="Q29">
        <v>17.422499999999999</v>
      </c>
      <c r="T29">
        <f>B29/Q29</f>
        <v>597.80111197690917</v>
      </c>
      <c r="U29">
        <f t="shared" si="1"/>
        <v>5398953.2107523615</v>
      </c>
      <c r="W29">
        <v>3759571</v>
      </c>
    </row>
    <row r="30" spans="1:23" x14ac:dyDescent="0.25">
      <c r="A30">
        <v>1955</v>
      </c>
      <c r="B30" s="3">
        <v>11048.8636363636</v>
      </c>
      <c r="C30">
        <v>1.6054558703213401E-2</v>
      </c>
      <c r="E30">
        <v>1.1656589545985E-2</v>
      </c>
      <c r="F30">
        <f t="shared" si="0"/>
        <v>1.5881684212960875E-2</v>
      </c>
      <c r="H30">
        <v>14.85</v>
      </c>
      <c r="I30">
        <v>15.15</v>
      </c>
      <c r="J30">
        <v>14.85</v>
      </c>
      <c r="K30">
        <v>15.15</v>
      </c>
      <c r="P30">
        <v>17.375833333333301</v>
      </c>
      <c r="Q30">
        <v>17.4316666666667</v>
      </c>
      <c r="T30">
        <f>B30/Q30</f>
        <v>633.83862528139855</v>
      </c>
      <c r="U30">
        <f t="shared" si="1"/>
        <v>5472613.3716984401</v>
      </c>
      <c r="W30">
        <v>3862242</v>
      </c>
    </row>
    <row r="31" spans="1:23" x14ac:dyDescent="0.25">
      <c r="A31">
        <v>1956</v>
      </c>
      <c r="B31" s="3">
        <v>11188.0952380952</v>
      </c>
      <c r="C31">
        <v>1.55837505300987E-2</v>
      </c>
      <c r="E31">
        <v>1.1314754075428301E-2</v>
      </c>
      <c r="F31">
        <f t="shared" si="0"/>
        <v>1.5415945672991408E-2</v>
      </c>
      <c r="H31">
        <v>14.85</v>
      </c>
      <c r="I31">
        <v>15.15</v>
      </c>
      <c r="J31">
        <v>14.85</v>
      </c>
      <c r="K31">
        <v>15.15</v>
      </c>
      <c r="P31">
        <v>18.393333333333299</v>
      </c>
      <c r="Q31">
        <v>18.488333333333301</v>
      </c>
      <c r="T31">
        <f>B31/Q31</f>
        <v>605.14352680583534</v>
      </c>
      <c r="U31">
        <f t="shared" si="1"/>
        <v>5382708.2797226338</v>
      </c>
      <c r="W31">
        <v>3968978</v>
      </c>
    </row>
    <row r="32" spans="1:23" x14ac:dyDescent="0.25">
      <c r="A32">
        <v>1957</v>
      </c>
      <c r="B32" s="3">
        <v>12034.7368421053</v>
      </c>
      <c r="C32">
        <v>1.5748533390688799E-2</v>
      </c>
      <c r="E32">
        <v>1.14343964901231E-2</v>
      </c>
      <c r="F32">
        <f t="shared" si="0"/>
        <v>1.5578954161980657E-2</v>
      </c>
      <c r="H32">
        <v>14.85</v>
      </c>
      <c r="I32">
        <v>15.15</v>
      </c>
      <c r="J32">
        <v>14.85</v>
      </c>
      <c r="K32">
        <v>15.15</v>
      </c>
      <c r="P32">
        <v>17.63</v>
      </c>
      <c r="Q32">
        <v>17.6875</v>
      </c>
      <c r="T32">
        <f>B32/Q32</f>
        <v>680.40915008369188</v>
      </c>
      <c r="U32">
        <f t="shared" si="1"/>
        <v>5988864.2428689059</v>
      </c>
      <c r="W32">
        <v>4079343</v>
      </c>
    </row>
    <row r="33" spans="1:23" x14ac:dyDescent="0.25">
      <c r="A33">
        <v>1958</v>
      </c>
      <c r="B33" s="3">
        <v>12420.833333333299</v>
      </c>
      <c r="C33">
        <v>1.5913316251279001E-2</v>
      </c>
      <c r="E33">
        <v>1.1554038904817999E-2</v>
      </c>
      <c r="F33">
        <f t="shared" si="0"/>
        <v>1.5741962650970047E-2</v>
      </c>
      <c r="H33">
        <v>14.85</v>
      </c>
      <c r="I33">
        <v>15.15</v>
      </c>
      <c r="J33">
        <v>14.85</v>
      </c>
      <c r="K33">
        <v>15.15</v>
      </c>
      <c r="P33">
        <v>16.648333333333301</v>
      </c>
      <c r="Q33">
        <v>16.706666666666699</v>
      </c>
      <c r="T33">
        <f>B33/Q33</f>
        <v>743.4656823623269</v>
      </c>
      <c r="U33">
        <f t="shared" si="1"/>
        <v>6476116.7826419231</v>
      </c>
      <c r="W33">
        <v>4193992</v>
      </c>
    </row>
    <row r="34" spans="1:23" x14ac:dyDescent="0.25">
      <c r="A34">
        <v>1959</v>
      </c>
      <c r="B34" s="3">
        <v>12916.4835164835</v>
      </c>
      <c r="C34">
        <v>1.58662354339675E-2</v>
      </c>
      <c r="E34">
        <v>1.15198553577623E-2</v>
      </c>
      <c r="F34">
        <f t="shared" si="0"/>
        <v>1.5695388796973058E-2</v>
      </c>
      <c r="H34">
        <v>14.85</v>
      </c>
      <c r="I34">
        <v>15.15</v>
      </c>
      <c r="J34">
        <v>14.85</v>
      </c>
      <c r="K34">
        <v>15.15</v>
      </c>
      <c r="P34">
        <v>17.4316666666667</v>
      </c>
      <c r="Q34">
        <v>17.491666666666699</v>
      </c>
      <c r="T34">
        <f>B34/Q34</f>
        <v>738.43640875560607</v>
      </c>
      <c r="U34">
        <f t="shared" si="1"/>
        <v>6451395.187619186</v>
      </c>
      <c r="W34">
        <v>4313580</v>
      </c>
    </row>
    <row r="35" spans="1:23" x14ac:dyDescent="0.25">
      <c r="A35">
        <v>1960</v>
      </c>
      <c r="B35" s="4">
        <v>14071</v>
      </c>
      <c r="C35">
        <v>1.5960397068590499E-2</v>
      </c>
      <c r="E35">
        <v>1.15882224518737E-2</v>
      </c>
      <c r="F35">
        <f t="shared" si="0"/>
        <v>1.5788536504967032E-2</v>
      </c>
      <c r="H35">
        <v>14.85</v>
      </c>
      <c r="I35">
        <v>15.15</v>
      </c>
      <c r="J35">
        <v>14.85</v>
      </c>
      <c r="K35">
        <v>15.15</v>
      </c>
      <c r="P35">
        <v>17.54</v>
      </c>
      <c r="Q35">
        <v>17.608333333333299</v>
      </c>
      <c r="T35">
        <f>B35/Q35</f>
        <v>799.11026975863854</v>
      </c>
      <c r="U35">
        <f t="shared" si="1"/>
        <v>6940287.463367342</v>
      </c>
      <c r="V35">
        <v>2244.4463810000002</v>
      </c>
      <c r="W35">
        <v>4438761</v>
      </c>
    </row>
    <row r="36" spans="1:23" x14ac:dyDescent="0.25">
      <c r="A36">
        <v>1961</v>
      </c>
      <c r="B36" s="4">
        <v>14966</v>
      </c>
      <c r="C36">
        <v>1.6760770962885599E-2</v>
      </c>
      <c r="E36">
        <v>1.2169342751820101E-2</v>
      </c>
      <c r="F36">
        <f t="shared" si="0"/>
        <v>1.6580292022915142E-2</v>
      </c>
      <c r="H36">
        <v>17.82</v>
      </c>
      <c r="I36">
        <v>18.18</v>
      </c>
      <c r="J36">
        <v>17.82</v>
      </c>
      <c r="K36">
        <v>18.18</v>
      </c>
      <c r="P36">
        <v>20.011666666666699</v>
      </c>
      <c r="Q36">
        <v>20.190833333333298</v>
      </c>
      <c r="T36">
        <f>B36/Q36</f>
        <v>741.22745470304312</v>
      </c>
      <c r="U36">
        <f t="shared" si="1"/>
        <v>6130161.8962371433</v>
      </c>
      <c r="V36">
        <v>2215.0917709999999</v>
      </c>
      <c r="W36">
        <v>4569675</v>
      </c>
    </row>
    <row r="37" spans="1:23" x14ac:dyDescent="0.25">
      <c r="A37">
        <v>1962</v>
      </c>
      <c r="B37" s="4">
        <v>15978</v>
      </c>
      <c r="C37">
        <v>1.7043255866754401E-2</v>
      </c>
      <c r="E37">
        <v>1.23744440341542E-2</v>
      </c>
      <c r="F37">
        <f t="shared" si="0"/>
        <v>1.6859735146896929E-2</v>
      </c>
      <c r="H37">
        <v>17.82</v>
      </c>
      <c r="I37">
        <v>18.18</v>
      </c>
      <c r="J37">
        <v>17.82</v>
      </c>
      <c r="K37">
        <v>18.18</v>
      </c>
      <c r="P37">
        <v>22.624166666666699</v>
      </c>
      <c r="Q37">
        <v>22.732500000000002</v>
      </c>
      <c r="T37">
        <f>B37/Q37</f>
        <v>702.87033982184096</v>
      </c>
      <c r="U37">
        <f t="shared" si="1"/>
        <v>5716590.6125021372</v>
      </c>
      <c r="V37">
        <v>2250.6139360000002</v>
      </c>
      <c r="W37">
        <v>4705884</v>
      </c>
    </row>
    <row r="38" spans="1:23" x14ac:dyDescent="0.25">
      <c r="A38">
        <v>1963</v>
      </c>
      <c r="B38" s="4">
        <v>17388</v>
      </c>
      <c r="C38">
        <v>1.7561144857180699E-2</v>
      </c>
      <c r="E38">
        <v>1.27504630517666E-2</v>
      </c>
      <c r="F38">
        <f t="shared" si="0"/>
        <v>1.737204754086338E-2</v>
      </c>
      <c r="H38">
        <v>17.82</v>
      </c>
      <c r="I38">
        <v>18.18</v>
      </c>
      <c r="J38">
        <v>17.82</v>
      </c>
      <c r="K38">
        <v>18.18</v>
      </c>
      <c r="P38">
        <v>20.489166666666701</v>
      </c>
      <c r="Q38">
        <v>20.6033333333333</v>
      </c>
      <c r="T38">
        <f>B38/Q38</f>
        <v>843.94110985277598</v>
      </c>
      <c r="U38">
        <f t="shared" si="1"/>
        <v>6661526.4419790134</v>
      </c>
      <c r="V38">
        <v>2271.3712999999998</v>
      </c>
      <c r="W38">
        <v>4847182</v>
      </c>
    </row>
    <row r="39" spans="1:23" x14ac:dyDescent="0.25">
      <c r="A39">
        <v>1964</v>
      </c>
      <c r="B39" s="4">
        <v>19357</v>
      </c>
      <c r="C39">
        <v>1.77965489437381E-2</v>
      </c>
      <c r="E39">
        <v>1.2921380787045E-2</v>
      </c>
      <c r="F39">
        <f t="shared" si="0"/>
        <v>1.7604916810848185E-2</v>
      </c>
      <c r="H39">
        <v>17.82</v>
      </c>
      <c r="I39">
        <v>18.18</v>
      </c>
      <c r="J39">
        <v>17.82</v>
      </c>
      <c r="K39">
        <v>18.18</v>
      </c>
      <c r="P39">
        <v>18.5425</v>
      </c>
      <c r="Q39">
        <v>18.586666666666702</v>
      </c>
      <c r="T39">
        <f>B39/Q39</f>
        <v>1041.4454806312749</v>
      </c>
      <c r="U39">
        <f t="shared" si="1"/>
        <v>8111761.7233519023</v>
      </c>
      <c r="V39">
        <v>2378.8251209999999</v>
      </c>
      <c r="W39">
        <v>4993359</v>
      </c>
    </row>
    <row r="40" spans="1:23" x14ac:dyDescent="0.25">
      <c r="A40">
        <v>1965</v>
      </c>
      <c r="B40" s="4">
        <v>20721</v>
      </c>
      <c r="C40">
        <v>1.89264885592135E-2</v>
      </c>
      <c r="E40">
        <v>1.37417859163812E-2</v>
      </c>
      <c r="F40">
        <f t="shared" si="0"/>
        <v>1.8722689306775064E-2</v>
      </c>
      <c r="H40">
        <v>17.82</v>
      </c>
      <c r="I40">
        <v>18.18</v>
      </c>
      <c r="J40">
        <v>17.82</v>
      </c>
      <c r="K40">
        <v>18.18</v>
      </c>
      <c r="P40">
        <v>18.660833333333301</v>
      </c>
      <c r="Q40">
        <v>18.726666666666699</v>
      </c>
      <c r="T40">
        <f>B40/Q40</f>
        <v>1106.4969740121021</v>
      </c>
      <c r="U40">
        <f t="shared" si="1"/>
        <v>8103910.2527915658</v>
      </c>
      <c r="V40">
        <v>2419.5771100000002</v>
      </c>
      <c r="W40">
        <v>5144208</v>
      </c>
    </row>
    <row r="41" spans="1:23" x14ac:dyDescent="0.25">
      <c r="A41">
        <v>1966</v>
      </c>
      <c r="B41" s="4">
        <v>22596</v>
      </c>
      <c r="C41">
        <v>1.9632700818885601E-2</v>
      </c>
      <c r="E41">
        <v>1.42545391222163E-2</v>
      </c>
      <c r="F41">
        <f t="shared" si="0"/>
        <v>1.9421297116729332E-2</v>
      </c>
      <c r="H41">
        <v>17.82</v>
      </c>
      <c r="I41">
        <v>18.18</v>
      </c>
      <c r="J41">
        <v>17.82</v>
      </c>
      <c r="K41">
        <v>18.18</v>
      </c>
      <c r="P41">
        <v>19.8333333333333</v>
      </c>
      <c r="Q41">
        <v>19.933333333333302</v>
      </c>
      <c r="T41">
        <f>B41/Q41</f>
        <v>1133.5785953177276</v>
      </c>
      <c r="U41">
        <f t="shared" si="1"/>
        <v>8003612.0071637612</v>
      </c>
      <c r="V41">
        <v>2341.9673149999999</v>
      </c>
      <c r="W41">
        <v>5299868</v>
      </c>
    </row>
    <row r="42" spans="1:23" x14ac:dyDescent="0.25">
      <c r="A42">
        <v>1967</v>
      </c>
      <c r="B42" s="4">
        <v>25238</v>
      </c>
      <c r="C42">
        <v>2.0574317165115201E-2</v>
      </c>
      <c r="E42">
        <v>1.49382100633298E-2</v>
      </c>
      <c r="F42">
        <f t="shared" si="0"/>
        <v>2.0352774196668401E-2</v>
      </c>
      <c r="H42">
        <v>17.82</v>
      </c>
      <c r="I42">
        <v>18.18</v>
      </c>
      <c r="J42">
        <v>17.82</v>
      </c>
      <c r="K42">
        <v>18.18</v>
      </c>
      <c r="P42">
        <v>20.170000000000002</v>
      </c>
      <c r="Q42">
        <v>20.224166666666701</v>
      </c>
      <c r="T42">
        <f>B42/Q42</f>
        <v>1247.9129754007149</v>
      </c>
      <c r="U42">
        <f t="shared" si="1"/>
        <v>8407624.5314864125</v>
      </c>
      <c r="V42">
        <v>2379.5952259999999</v>
      </c>
      <c r="W42">
        <v>5460478</v>
      </c>
    </row>
    <row r="43" spans="1:23" x14ac:dyDescent="0.25">
      <c r="A43">
        <v>1968</v>
      </c>
      <c r="B43" s="4">
        <v>27412</v>
      </c>
      <c r="C43">
        <v>2.11863677901643E-2</v>
      </c>
      <c r="E43">
        <v>1.53825961750535E-2</v>
      </c>
      <c r="F43">
        <f t="shared" si="0"/>
        <v>2.095823429862869E-2</v>
      </c>
      <c r="H43">
        <v>17.82</v>
      </c>
      <c r="I43">
        <v>18.18</v>
      </c>
      <c r="J43">
        <v>17.82</v>
      </c>
      <c r="K43">
        <v>18.18</v>
      </c>
      <c r="P43">
        <v>22.087499999999999</v>
      </c>
      <c r="Q43">
        <v>24.684166666666702</v>
      </c>
      <c r="T43">
        <f>B43/Q43</f>
        <v>1110.5094358731965</v>
      </c>
      <c r="U43">
        <f t="shared" si="1"/>
        <v>7265745.5492501557</v>
      </c>
      <c r="V43">
        <v>2355.2762980000002</v>
      </c>
      <c r="W43">
        <v>5625829</v>
      </c>
    </row>
    <row r="44" spans="1:23" x14ac:dyDescent="0.25">
      <c r="A44">
        <v>1969</v>
      </c>
      <c r="B44" s="4">
        <v>30144</v>
      </c>
      <c r="C44">
        <v>2.2292766996984001E-2</v>
      </c>
      <c r="D44">
        <v>1.5621985471859799E-2</v>
      </c>
      <c r="E44">
        <v>1.5621985471859799E-2</v>
      </c>
      <c r="F44">
        <f t="shared" si="0"/>
        <v>2.1284393609706943E-2</v>
      </c>
      <c r="H44">
        <v>17.82</v>
      </c>
      <c r="I44">
        <v>18.18</v>
      </c>
      <c r="J44">
        <v>17.82</v>
      </c>
      <c r="K44">
        <v>18.18</v>
      </c>
      <c r="P44">
        <v>21.914166666666699</v>
      </c>
      <c r="Q44">
        <v>22.015000000000001</v>
      </c>
      <c r="T44">
        <f>B44/Q44</f>
        <v>1369.248239836475</v>
      </c>
      <c r="U44">
        <f t="shared" si="1"/>
        <v>8821319.0974364094</v>
      </c>
      <c r="V44">
        <v>2394.658606</v>
      </c>
      <c r="W44">
        <v>5795712</v>
      </c>
    </row>
    <row r="45" spans="1:23" x14ac:dyDescent="0.25">
      <c r="A45">
        <v>1970</v>
      </c>
      <c r="B45" s="4">
        <v>35019</v>
      </c>
      <c r="C45">
        <v>2.3540408655738199E-2</v>
      </c>
      <c r="D45">
        <v>1.7271422152814402E-2</v>
      </c>
      <c r="E45">
        <v>1.7271422152814402E-2</v>
      </c>
      <c r="F45">
        <f t="shared" si="0"/>
        <v>2.3531691791808428E-2</v>
      </c>
      <c r="H45">
        <v>24.75</v>
      </c>
      <c r="I45">
        <v>25.25</v>
      </c>
      <c r="J45">
        <v>24.75</v>
      </c>
      <c r="K45">
        <v>25.25</v>
      </c>
      <c r="P45">
        <v>22.89</v>
      </c>
      <c r="Q45">
        <v>23.1741666666667</v>
      </c>
      <c r="T45">
        <f>B45/Q45</f>
        <v>1511.1222985364429</v>
      </c>
      <c r="U45">
        <f t="shared" si="1"/>
        <v>8805602.6729543358</v>
      </c>
      <c r="V45">
        <v>2486.4424079999999</v>
      </c>
      <c r="W45">
        <v>5969918</v>
      </c>
    </row>
    <row r="46" spans="1:23" x14ac:dyDescent="0.25">
      <c r="A46">
        <v>1971</v>
      </c>
      <c r="B46" s="4">
        <v>40048</v>
      </c>
      <c r="C46">
        <v>2.57767474780333E-2</v>
      </c>
      <c r="D46">
        <v>1.8359043194460099E-2</v>
      </c>
      <c r="E46">
        <v>1.8359043194460099E-2</v>
      </c>
      <c r="F46">
        <f t="shared" si="0"/>
        <v>2.5013536362095985E-2</v>
      </c>
      <c r="H46">
        <v>24.75</v>
      </c>
      <c r="I46">
        <v>25.25</v>
      </c>
      <c r="J46">
        <v>24.75</v>
      </c>
      <c r="K46">
        <v>25.25</v>
      </c>
      <c r="P46">
        <v>25.019166666666699</v>
      </c>
      <c r="Q46">
        <v>25.477499999999999</v>
      </c>
      <c r="T46">
        <f>B46/Q46</f>
        <v>1571.8967716612699</v>
      </c>
      <c r="U46">
        <f t="shared" si="1"/>
        <v>8617108.254833065</v>
      </c>
      <c r="V46">
        <v>2568.3361060000002</v>
      </c>
      <c r="W46">
        <v>6148361</v>
      </c>
    </row>
    <row r="47" spans="1:23" x14ac:dyDescent="0.25">
      <c r="A47">
        <v>1972</v>
      </c>
      <c r="B47" s="4">
        <v>46859</v>
      </c>
      <c r="C47">
        <v>2.77541418051153E-2</v>
      </c>
      <c r="D47">
        <v>1.94031593960419E-2</v>
      </c>
      <c r="E47">
        <v>1.94031593960419E-2</v>
      </c>
      <c r="F47">
        <f t="shared" si="0"/>
        <v>2.6436107151754609E-2</v>
      </c>
      <c r="H47">
        <v>24.75</v>
      </c>
      <c r="I47">
        <v>25.25</v>
      </c>
      <c r="J47">
        <v>24.75</v>
      </c>
      <c r="K47">
        <v>25.25</v>
      </c>
      <c r="P47">
        <v>26.0208333333333</v>
      </c>
      <c r="Q47">
        <v>26.168333333333301</v>
      </c>
      <c r="T47">
        <f>B47/Q47</f>
        <v>1790.675753136745</v>
      </c>
      <c r="U47">
        <f t="shared" si="1"/>
        <v>9288210.9890633896</v>
      </c>
      <c r="V47">
        <v>2621.737881</v>
      </c>
      <c r="W47">
        <v>6331179</v>
      </c>
    </row>
    <row r="48" spans="1:23" x14ac:dyDescent="0.25">
      <c r="A48">
        <v>1973</v>
      </c>
      <c r="B48" s="4">
        <v>62229</v>
      </c>
      <c r="C48">
        <v>3.1073339425574401E-2</v>
      </c>
      <c r="D48">
        <v>2.2840041894583898E-2</v>
      </c>
      <c r="E48">
        <v>2.2840041894583898E-2</v>
      </c>
      <c r="F48">
        <f t="shared" si="0"/>
        <v>3.1118736003320949E-2</v>
      </c>
      <c r="H48">
        <v>24.8</v>
      </c>
      <c r="I48">
        <v>24.95</v>
      </c>
      <c r="J48">
        <v>24.8</v>
      </c>
      <c r="K48">
        <v>24.95</v>
      </c>
      <c r="P48">
        <v>24.699166666666699</v>
      </c>
      <c r="Q48">
        <v>24.952500000000001</v>
      </c>
      <c r="T48">
        <f>B48/Q48</f>
        <v>2493.8984069732492</v>
      </c>
      <c r="U48">
        <f t="shared" si="1"/>
        <v>10989284.886147676</v>
      </c>
      <c r="V48">
        <v>2904.7099579999999</v>
      </c>
      <c r="W48">
        <v>6518503</v>
      </c>
    </row>
    <row r="49" spans="1:23" x14ac:dyDescent="0.25">
      <c r="A49">
        <v>1974</v>
      </c>
      <c r="B49" s="4">
        <v>92763</v>
      </c>
      <c r="C49">
        <v>3.8135462022295799E-2</v>
      </c>
      <c r="D49">
        <v>2.7930108368952E-2</v>
      </c>
      <c r="E49">
        <v>2.7930108368952E-2</v>
      </c>
      <c r="F49">
        <f t="shared" si="0"/>
        <v>3.8053768591539472E-2</v>
      </c>
      <c r="H49">
        <v>24.8</v>
      </c>
      <c r="I49">
        <v>24.95</v>
      </c>
      <c r="J49">
        <v>24.8</v>
      </c>
      <c r="K49">
        <v>24.95</v>
      </c>
      <c r="P49">
        <v>24.7983333333333</v>
      </c>
      <c r="Q49">
        <v>25.059166666666702</v>
      </c>
      <c r="T49">
        <f>B49/Q49</f>
        <v>3701.7591699644122</v>
      </c>
      <c r="U49">
        <f t="shared" si="1"/>
        <v>13338995.028061761</v>
      </c>
      <c r="V49">
        <v>3141.7657509999999</v>
      </c>
      <c r="W49">
        <v>6710462</v>
      </c>
    </row>
    <row r="50" spans="1:23" x14ac:dyDescent="0.25">
      <c r="A50">
        <v>1975</v>
      </c>
      <c r="B50" s="4">
        <v>107740</v>
      </c>
      <c r="C50">
        <v>4.3997023777574598E-2</v>
      </c>
      <c r="D50">
        <v>3.0975447293569401E-2</v>
      </c>
      <c r="E50">
        <v>3.0975447293569401E-2</v>
      </c>
      <c r="F50">
        <f t="shared" si="0"/>
        <v>4.2202933399257209E-2</v>
      </c>
      <c r="H50">
        <v>24.8</v>
      </c>
      <c r="I50">
        <v>24.95</v>
      </c>
      <c r="J50">
        <v>24.8</v>
      </c>
      <c r="K50">
        <v>24.95</v>
      </c>
      <c r="P50">
        <v>25.162500000000001</v>
      </c>
      <c r="Q50">
        <v>25.37</v>
      </c>
      <c r="T50">
        <f>B50/Q50</f>
        <v>4246.7481277098932</v>
      </c>
      <c r="U50">
        <f t="shared" si="1"/>
        <v>13798328.755429346</v>
      </c>
      <c r="V50">
        <v>3392.0878499999999</v>
      </c>
      <c r="W50">
        <v>6907185</v>
      </c>
    </row>
    <row r="51" spans="1:23" x14ac:dyDescent="0.25">
      <c r="A51">
        <v>1976</v>
      </c>
      <c r="B51" s="4">
        <v>132913</v>
      </c>
      <c r="C51">
        <v>4.8634484282754999E-2</v>
      </c>
      <c r="D51">
        <v>3.5021397566355701E-2</v>
      </c>
      <c r="E51">
        <v>3.5021397566355701E-2</v>
      </c>
      <c r="F51">
        <f t="shared" si="0"/>
        <v>4.7715395197817104E-2</v>
      </c>
      <c r="H51">
        <v>24.8</v>
      </c>
      <c r="I51">
        <v>24.95</v>
      </c>
      <c r="J51">
        <v>24.8</v>
      </c>
      <c r="K51">
        <v>24.95</v>
      </c>
      <c r="L51">
        <v>27.01</v>
      </c>
      <c r="M51">
        <v>27.181999999999999</v>
      </c>
      <c r="N51">
        <v>26.85</v>
      </c>
      <c r="O51">
        <v>27</v>
      </c>
      <c r="P51">
        <v>27.184999999999999</v>
      </c>
      <c r="Q51">
        <v>27.46</v>
      </c>
      <c r="T51">
        <f>B51/Q51</f>
        <v>4840.2403495994167</v>
      </c>
      <c r="U51">
        <f t="shared" si="1"/>
        <v>13909804.471766017</v>
      </c>
      <c r="V51">
        <v>3545.5772820000002</v>
      </c>
      <c r="W51">
        <v>7109212</v>
      </c>
    </row>
    <row r="52" spans="1:23" x14ac:dyDescent="0.25">
      <c r="A52">
        <v>1977</v>
      </c>
      <c r="B52" s="4">
        <v>166376</v>
      </c>
      <c r="C52">
        <v>5.49197733938371E-2</v>
      </c>
      <c r="D52">
        <v>3.9371881739613097E-2</v>
      </c>
      <c r="E52">
        <v>3.9371881739613097E-2</v>
      </c>
      <c r="F52">
        <f t="shared" si="0"/>
        <v>5.3642773488061221E-2</v>
      </c>
      <c r="H52">
        <v>24.8</v>
      </c>
      <c r="I52">
        <v>24.95</v>
      </c>
      <c r="J52">
        <v>24.8</v>
      </c>
      <c r="K52">
        <v>24.95</v>
      </c>
      <c r="L52">
        <v>26.828333333333301</v>
      </c>
      <c r="M52">
        <v>27.026666666666699</v>
      </c>
      <c r="N52">
        <v>26.5</v>
      </c>
      <c r="O52">
        <v>26.85</v>
      </c>
      <c r="P52">
        <v>26.23</v>
      </c>
      <c r="Q52">
        <v>26.595833333333299</v>
      </c>
      <c r="T52">
        <f>B52/Q52</f>
        <v>6255.7167476108489</v>
      </c>
      <c r="U52">
        <f t="shared" si="1"/>
        <v>15991104.991166303</v>
      </c>
      <c r="V52">
        <v>3507.2969459999999</v>
      </c>
      <c r="W52">
        <v>7316456</v>
      </c>
    </row>
    <row r="53" spans="1:23" x14ac:dyDescent="0.25">
      <c r="A53">
        <v>1978</v>
      </c>
      <c r="B53" s="4">
        <v>191345</v>
      </c>
      <c r="C53">
        <v>6.2382082937706099E-2</v>
      </c>
      <c r="D53">
        <v>4.3591851386004202E-2</v>
      </c>
      <c r="E53">
        <v>4.3591851386004202E-2</v>
      </c>
      <c r="F53">
        <f t="shared" si="0"/>
        <v>5.9392330427324655E-2</v>
      </c>
      <c r="H53">
        <v>24.8</v>
      </c>
      <c r="I53">
        <v>24.95</v>
      </c>
      <c r="J53">
        <v>24.8</v>
      </c>
      <c r="K53">
        <v>24.95</v>
      </c>
      <c r="L53">
        <v>25.982500000000002</v>
      </c>
      <c r="M53">
        <v>26.501666666666701</v>
      </c>
      <c r="N53">
        <v>26.5</v>
      </c>
      <c r="O53">
        <v>26.85</v>
      </c>
      <c r="P53">
        <v>26.23</v>
      </c>
      <c r="Q53">
        <v>26.595833333333299</v>
      </c>
      <c r="T53">
        <f>B53/Q53</f>
        <v>7194.5480181732819</v>
      </c>
      <c r="U53">
        <f t="shared" si="1"/>
        <v>16610617.275311232</v>
      </c>
      <c r="V53">
        <v>3610.6403089999999</v>
      </c>
      <c r="W53">
        <v>7528109</v>
      </c>
    </row>
    <row r="54" spans="1:23" x14ac:dyDescent="0.25">
      <c r="A54">
        <v>1979</v>
      </c>
      <c r="B54" s="4">
        <v>233963</v>
      </c>
      <c r="C54">
        <v>6.8690912457444006E-2</v>
      </c>
      <c r="D54">
        <v>4.7985840392651101E-2</v>
      </c>
      <c r="E54">
        <v>4.7985840392651101E-2</v>
      </c>
      <c r="F54">
        <f t="shared" si="0"/>
        <v>6.5378982489104093E-2</v>
      </c>
      <c r="H54">
        <v>24.8</v>
      </c>
      <c r="I54">
        <v>24.95</v>
      </c>
      <c r="J54">
        <v>24.8</v>
      </c>
      <c r="K54">
        <v>24.95</v>
      </c>
      <c r="L54">
        <v>26.524166666666702</v>
      </c>
      <c r="M54">
        <v>27.074999999999999</v>
      </c>
      <c r="N54">
        <v>26.65</v>
      </c>
      <c r="O54">
        <v>27.1</v>
      </c>
      <c r="P54">
        <v>27.357500000000002</v>
      </c>
      <c r="Q54">
        <v>27.804166666666699</v>
      </c>
      <c r="R54">
        <v>26.98</v>
      </c>
      <c r="S54">
        <v>27.43</v>
      </c>
      <c r="T54">
        <f>B54/Q54</f>
        <v>8414.6740596433283</v>
      </c>
      <c r="U54">
        <f t="shared" si="1"/>
        <v>17648661.105501998</v>
      </c>
      <c r="V54">
        <v>3648.753526</v>
      </c>
      <c r="W54">
        <v>7743360</v>
      </c>
    </row>
    <row r="55" spans="1:23" x14ac:dyDescent="0.25">
      <c r="A55">
        <v>1980</v>
      </c>
      <c r="B55" s="4">
        <v>293337</v>
      </c>
      <c r="C55">
        <v>7.7353782842755597E-2</v>
      </c>
      <c r="D55">
        <v>5.3206421400559999E-2</v>
      </c>
      <c r="E55">
        <v>5.3206421400559999E-2</v>
      </c>
      <c r="F55">
        <f t="shared" si="0"/>
        <v>7.2491836437397067E-2</v>
      </c>
      <c r="H55">
        <v>24.8</v>
      </c>
      <c r="I55">
        <v>24.95</v>
      </c>
      <c r="J55">
        <v>24.8</v>
      </c>
      <c r="K55">
        <v>24.95</v>
      </c>
      <c r="L55">
        <v>26.745833333333302</v>
      </c>
      <c r="M55">
        <v>27.15</v>
      </c>
      <c r="N55">
        <v>26.75</v>
      </c>
      <c r="O55">
        <v>27.15</v>
      </c>
      <c r="P55">
        <v>27.406666666666698</v>
      </c>
      <c r="Q55">
        <v>27.965</v>
      </c>
      <c r="R55">
        <v>27.94</v>
      </c>
      <c r="S55">
        <v>28.46</v>
      </c>
      <c r="T55">
        <f>B55/Q55</f>
        <v>10489.433220096549</v>
      </c>
      <c r="U55">
        <f t="shared" si="1"/>
        <v>19841547.598303281</v>
      </c>
      <c r="V55">
        <v>3687.394057</v>
      </c>
      <c r="W55">
        <v>7961402</v>
      </c>
    </row>
    <row r="56" spans="1:23" x14ac:dyDescent="0.25">
      <c r="A56">
        <v>1981</v>
      </c>
      <c r="B56" s="4">
        <v>348662</v>
      </c>
      <c r="C56">
        <v>8.8747340632132896E-2</v>
      </c>
      <c r="D56">
        <v>6.2385942994452902E-2</v>
      </c>
      <c r="E56">
        <v>6.2385942994452902E-2</v>
      </c>
      <c r="F56">
        <f t="shared" si="0"/>
        <v>8.4998604613898326E-2</v>
      </c>
      <c r="H56">
        <v>24.8</v>
      </c>
      <c r="I56">
        <v>24.95</v>
      </c>
      <c r="J56">
        <v>24.8</v>
      </c>
      <c r="K56">
        <v>24.95</v>
      </c>
      <c r="L56">
        <v>27.577500000000001</v>
      </c>
      <c r="M56">
        <v>27.872499999999999</v>
      </c>
      <c r="N56">
        <v>30.72</v>
      </c>
      <c r="O56">
        <v>30.77</v>
      </c>
      <c r="P56">
        <v>30.5558333333333</v>
      </c>
      <c r="Q56">
        <v>31.245000000000001</v>
      </c>
      <c r="R56">
        <v>32.869999999999997</v>
      </c>
      <c r="S56">
        <v>33.72</v>
      </c>
      <c r="T56">
        <f>B56/Q56</f>
        <v>11158.969435109617</v>
      </c>
      <c r="U56">
        <f t="shared" si="1"/>
        <v>18002172.320425536</v>
      </c>
      <c r="V56">
        <v>3795.9711200000002</v>
      </c>
      <c r="W56">
        <v>8183120</v>
      </c>
    </row>
    <row r="57" spans="1:23" x14ac:dyDescent="0.25">
      <c r="A57">
        <v>1982</v>
      </c>
      <c r="B57" s="4">
        <v>415715</v>
      </c>
      <c r="C57">
        <v>0.10324469870449</v>
      </c>
      <c r="D57">
        <v>7.7612637590842207E-2</v>
      </c>
      <c r="E57">
        <v>7.7612637590842207E-2</v>
      </c>
      <c r="F57">
        <f t="shared" si="0"/>
        <v>0.10574442861611234</v>
      </c>
      <c r="H57">
        <v>30.002500000000001</v>
      </c>
      <c r="I57">
        <v>30.247499999999999</v>
      </c>
      <c r="J57">
        <v>33</v>
      </c>
      <c r="K57">
        <v>33.299999999999997</v>
      </c>
      <c r="L57">
        <v>30</v>
      </c>
      <c r="M57">
        <v>34.106000000000002</v>
      </c>
      <c r="N57">
        <v>30</v>
      </c>
      <c r="O57">
        <v>35.299999999999997</v>
      </c>
      <c r="P57">
        <v>50.310833333333299</v>
      </c>
      <c r="Q57">
        <v>51.0283333333333</v>
      </c>
      <c r="R57">
        <v>64.58</v>
      </c>
      <c r="S57">
        <v>65.16</v>
      </c>
      <c r="T57">
        <f>B57/Q57</f>
        <v>8146.7485383937083</v>
      </c>
      <c r="U57">
        <f t="shared" ref="U57:U88" si="2">T57/E57*$E$89</f>
        <v>10564268.706993356</v>
      </c>
      <c r="V57">
        <v>3723.8629769999998</v>
      </c>
      <c r="W57">
        <v>8409053</v>
      </c>
    </row>
    <row r="58" spans="1:23" x14ac:dyDescent="0.25">
      <c r="A58">
        <v>1983</v>
      </c>
      <c r="B58" s="4">
        <v>560271</v>
      </c>
      <c r="C58">
        <v>0.153201810980856</v>
      </c>
      <c r="D58">
        <v>0.118333169425834</v>
      </c>
      <c r="E58">
        <v>0.118333169425834</v>
      </c>
      <c r="F58">
        <f t="shared" si="0"/>
        <v>0.16122468937642306</v>
      </c>
      <c r="H58">
        <v>44.197499999999998</v>
      </c>
      <c r="I58">
        <v>45.005000000000003</v>
      </c>
      <c r="J58">
        <v>54.1</v>
      </c>
      <c r="K58">
        <v>55.18</v>
      </c>
      <c r="L58">
        <v>82.361000000000004</v>
      </c>
      <c r="M58">
        <v>83.22</v>
      </c>
      <c r="N58">
        <v>87</v>
      </c>
      <c r="O58">
        <v>87.9</v>
      </c>
      <c r="P58">
        <v>83.196666666666701</v>
      </c>
      <c r="Q58">
        <v>84.783333333333402</v>
      </c>
      <c r="R58">
        <v>86.88</v>
      </c>
      <c r="S58">
        <v>88.78</v>
      </c>
      <c r="T58">
        <f>B58/Q58</f>
        <v>6608.2681344603834</v>
      </c>
      <c r="U58">
        <f t="shared" si="2"/>
        <v>5620419.4781603422</v>
      </c>
      <c r="V58">
        <v>3619.347213</v>
      </c>
      <c r="W58">
        <v>8637873</v>
      </c>
    </row>
    <row r="59" spans="1:23" x14ac:dyDescent="0.25">
      <c r="A59">
        <v>1984</v>
      </c>
      <c r="B59" s="4">
        <v>812629</v>
      </c>
      <c r="C59">
        <v>0.20100391057079101</v>
      </c>
      <c r="D59">
        <v>0.14800347146408899</v>
      </c>
      <c r="E59">
        <v>0.14800347146408899</v>
      </c>
      <c r="F59">
        <f t="shared" si="0"/>
        <v>0.20164940928406022</v>
      </c>
      <c r="H59">
        <v>62.3</v>
      </c>
      <c r="I59">
        <v>63.554166666666703</v>
      </c>
      <c r="J59">
        <v>66.5</v>
      </c>
      <c r="K59">
        <v>67.849999999999994</v>
      </c>
      <c r="L59">
        <v>91.554166666666703</v>
      </c>
      <c r="M59">
        <v>92.696666666666701</v>
      </c>
      <c r="N59">
        <v>95</v>
      </c>
      <c r="O59">
        <v>96.5</v>
      </c>
      <c r="P59">
        <v>96.752499999999998</v>
      </c>
      <c r="Q59">
        <v>98.685833333333306</v>
      </c>
      <c r="R59">
        <v>116.93</v>
      </c>
      <c r="S59">
        <v>119.28</v>
      </c>
      <c r="T59">
        <f>B59/Q59</f>
        <v>8234.5051214713385</v>
      </c>
      <c r="U59">
        <f t="shared" si="2"/>
        <v>5599550.5878319154</v>
      </c>
      <c r="V59">
        <v>3622.792175</v>
      </c>
      <c r="W59">
        <v>8868249</v>
      </c>
    </row>
    <row r="60" spans="1:23" x14ac:dyDescent="0.25">
      <c r="A60">
        <v>1985</v>
      </c>
      <c r="B60" s="4">
        <v>1109940</v>
      </c>
      <c r="C60">
        <v>0.25729545407697102</v>
      </c>
      <c r="D60">
        <v>0.184068985232026</v>
      </c>
      <c r="E60">
        <v>0.184068985232026</v>
      </c>
      <c r="F60">
        <f t="shared" si="0"/>
        <v>0.25078737527153533</v>
      </c>
      <c r="H60">
        <v>70.379166666666706</v>
      </c>
      <c r="I60">
        <v>71.75</v>
      </c>
      <c r="J60">
        <v>95</v>
      </c>
      <c r="K60">
        <v>96.5</v>
      </c>
      <c r="L60">
        <v>95</v>
      </c>
      <c r="M60">
        <v>96.5</v>
      </c>
      <c r="N60">
        <v>95</v>
      </c>
      <c r="O60">
        <v>96.5</v>
      </c>
      <c r="P60">
        <v>116.29</v>
      </c>
      <c r="Q60">
        <v>117.23583333333301</v>
      </c>
      <c r="R60">
        <v>123.815</v>
      </c>
      <c r="S60">
        <v>126.37</v>
      </c>
      <c r="T60">
        <f>B60/Q60</f>
        <v>9467.5831479283479</v>
      </c>
      <c r="U60">
        <f t="shared" si="2"/>
        <v>5176617.5508342888</v>
      </c>
      <c r="V60">
        <v>3672.847667</v>
      </c>
      <c r="W60">
        <v>9098852</v>
      </c>
    </row>
    <row r="61" spans="1:23" x14ac:dyDescent="0.25">
      <c r="A61">
        <v>1986</v>
      </c>
      <c r="B61" s="4">
        <v>1383232</v>
      </c>
      <c r="C61">
        <v>0.31652565124646598</v>
      </c>
      <c r="D61">
        <v>0.23440408708157401</v>
      </c>
      <c r="E61">
        <v>0.23440408708157401</v>
      </c>
      <c r="F61">
        <f t="shared" si="0"/>
        <v>0.31936714204191896</v>
      </c>
      <c r="H61">
        <v>95</v>
      </c>
      <c r="I61">
        <v>96.5</v>
      </c>
      <c r="J61">
        <v>95</v>
      </c>
      <c r="L61">
        <v>122.083333333333</v>
      </c>
      <c r="M61">
        <v>123.448333333333</v>
      </c>
      <c r="N61">
        <v>146</v>
      </c>
      <c r="O61">
        <v>147</v>
      </c>
      <c r="P61">
        <v>150.854166666667</v>
      </c>
      <c r="Q61">
        <v>151.39500000000001</v>
      </c>
      <c r="R61">
        <v>144.25</v>
      </c>
      <c r="S61">
        <v>147.25</v>
      </c>
      <c r="T61">
        <f>B61/Q61</f>
        <v>9136.5765051685976</v>
      </c>
      <c r="U61">
        <f t="shared" si="2"/>
        <v>3922887.7910938244</v>
      </c>
      <c r="V61">
        <v>3707.1075270000001</v>
      </c>
      <c r="W61">
        <v>9329636</v>
      </c>
    </row>
    <row r="62" spans="1:23" x14ac:dyDescent="0.25">
      <c r="A62">
        <v>1987</v>
      </c>
      <c r="B62" s="4">
        <v>1794501</v>
      </c>
      <c r="C62">
        <v>0.40990953432516403</v>
      </c>
      <c r="D62">
        <v>0.31053756005684502</v>
      </c>
      <c r="E62">
        <v>0.31053756005684502</v>
      </c>
      <c r="F62">
        <f t="shared" si="0"/>
        <v>0.42309626204389394</v>
      </c>
      <c r="H62">
        <v>95</v>
      </c>
      <c r="J62">
        <v>95</v>
      </c>
      <c r="L62">
        <v>169.97166666666701</v>
      </c>
      <c r="M62">
        <v>170.97166666666701</v>
      </c>
      <c r="N62">
        <v>221</v>
      </c>
      <c r="O62">
        <v>222</v>
      </c>
      <c r="P62">
        <v>193.23333333333301</v>
      </c>
      <c r="Q62">
        <v>193.80166666666699</v>
      </c>
      <c r="R62">
        <v>245.59</v>
      </c>
      <c r="S62">
        <v>249.13</v>
      </c>
      <c r="T62">
        <f>B62/Q62</f>
        <v>9259.4714527738688</v>
      </c>
      <c r="U62">
        <f t="shared" si="2"/>
        <v>3000956.0236766259</v>
      </c>
      <c r="V62">
        <v>3607.5470719999998</v>
      </c>
      <c r="W62">
        <v>9561489</v>
      </c>
    </row>
    <row r="63" spans="1:23" x14ac:dyDescent="0.25">
      <c r="A63">
        <v>1988</v>
      </c>
      <c r="B63" s="4">
        <v>3019724</v>
      </c>
      <c r="C63">
        <v>0.64859351520113595</v>
      </c>
      <c r="D63">
        <v>0.57670018157316305</v>
      </c>
      <c r="E63">
        <v>0.57670018157316305</v>
      </c>
      <c r="F63">
        <f t="shared" si="0"/>
        <v>0.78573326556367362</v>
      </c>
      <c r="H63">
        <v>194.45083333333301</v>
      </c>
      <c r="J63">
        <v>390</v>
      </c>
      <c r="L63">
        <v>294.33583333333303</v>
      </c>
      <c r="M63">
        <v>308.88249999999999</v>
      </c>
      <c r="N63">
        <v>410.88</v>
      </c>
      <c r="O63">
        <v>454.13</v>
      </c>
      <c r="P63">
        <v>435.02583333333303</v>
      </c>
      <c r="Q63">
        <v>436.19083333333299</v>
      </c>
      <c r="R63">
        <v>498.32</v>
      </c>
      <c r="S63">
        <v>512.83000000000004</v>
      </c>
      <c r="T63">
        <f>B63/Q63</f>
        <v>6922.9423665864961</v>
      </c>
      <c r="U63">
        <f t="shared" si="2"/>
        <v>1208170.419929537</v>
      </c>
      <c r="V63">
        <v>3727.8547250000001</v>
      </c>
      <c r="W63">
        <v>9804403</v>
      </c>
    </row>
    <row r="64" spans="1:23" x14ac:dyDescent="0.25">
      <c r="A64">
        <v>1989</v>
      </c>
      <c r="B64" s="4">
        <v>5170485</v>
      </c>
      <c r="C64">
        <v>1.13915276673063</v>
      </c>
      <c r="D64">
        <v>0.88954349824016599</v>
      </c>
      <c r="E64">
        <v>0.88954349824016599</v>
      </c>
      <c r="F64">
        <f t="shared" si="0"/>
        <v>1.2119710380991235</v>
      </c>
      <c r="H64">
        <v>390</v>
      </c>
      <c r="J64">
        <v>390</v>
      </c>
      <c r="L64">
        <v>510.91166666666697</v>
      </c>
      <c r="M64">
        <v>542.09333333333302</v>
      </c>
      <c r="N64">
        <v>642</v>
      </c>
      <c r="O64">
        <v>654.84</v>
      </c>
      <c r="P64">
        <v>567.24083333333294</v>
      </c>
      <c r="Q64">
        <v>568.17666666666696</v>
      </c>
      <c r="R64">
        <v>653.53</v>
      </c>
      <c r="S64">
        <v>664.5</v>
      </c>
      <c r="T64">
        <f>B64/Q64</f>
        <v>9100.1361079007074</v>
      </c>
      <c r="U64">
        <f t="shared" si="2"/>
        <v>1029599.371535898</v>
      </c>
      <c r="V64">
        <v>3675.4543159999998</v>
      </c>
      <c r="W64">
        <v>10039775</v>
      </c>
    </row>
    <row r="65" spans="1:23" x14ac:dyDescent="0.25">
      <c r="A65">
        <v>1990</v>
      </c>
      <c r="B65" s="4">
        <v>8204222</v>
      </c>
      <c r="C65">
        <v>1.6918808690929299</v>
      </c>
      <c r="D65">
        <v>1.3300735252938301</v>
      </c>
      <c r="E65">
        <v>1.3300735252938301</v>
      </c>
      <c r="F65">
        <f t="shared" si="0"/>
        <v>1.8121773633191132</v>
      </c>
      <c r="H65">
        <v>390</v>
      </c>
      <c r="J65">
        <v>390</v>
      </c>
      <c r="L65">
        <v>760.30166666666696</v>
      </c>
      <c r="M65">
        <v>775.506666666667</v>
      </c>
      <c r="N65">
        <v>869.5</v>
      </c>
      <c r="O65">
        <v>886.89</v>
      </c>
      <c r="P65">
        <v>821.14083333333303</v>
      </c>
      <c r="Q65">
        <v>821.90833333333296</v>
      </c>
      <c r="R65">
        <v>883.7</v>
      </c>
      <c r="S65">
        <v>898.1</v>
      </c>
      <c r="T65">
        <f>B65/Q65</f>
        <v>9981.9185026716332</v>
      </c>
      <c r="U65">
        <f t="shared" si="2"/>
        <v>755311.2289585321</v>
      </c>
      <c r="V65">
        <v>3720.9366329999998</v>
      </c>
      <c r="W65">
        <v>10271874</v>
      </c>
    </row>
    <row r="66" spans="1:23" x14ac:dyDescent="0.25">
      <c r="A66">
        <v>1991</v>
      </c>
      <c r="B66" s="4">
        <v>12295991</v>
      </c>
      <c r="C66">
        <v>2.5162058733603399</v>
      </c>
      <c r="D66">
        <v>1.9816020345936201</v>
      </c>
      <c r="E66">
        <v>1.9816020345936201</v>
      </c>
      <c r="F66">
        <f t="shared" si="0"/>
        <v>2.69986153540223</v>
      </c>
      <c r="H66">
        <v>390</v>
      </c>
      <c r="J66">
        <v>390</v>
      </c>
      <c r="L66">
        <v>1039.62333333333</v>
      </c>
      <c r="M66">
        <v>1060.4166666666699</v>
      </c>
      <c r="N66">
        <v>1258</v>
      </c>
      <c r="O66">
        <v>1283.1600000000001</v>
      </c>
      <c r="P66">
        <v>1099.4608333333299</v>
      </c>
      <c r="Q66">
        <v>1100.8475000000001</v>
      </c>
      <c r="R66">
        <v>1290.77</v>
      </c>
      <c r="S66">
        <v>1310.25</v>
      </c>
      <c r="T66">
        <f>B66/Q66</f>
        <v>11169.567991933487</v>
      </c>
      <c r="U66">
        <f t="shared" si="2"/>
        <v>567293.10775036633</v>
      </c>
      <c r="V66">
        <v>3790.5088139999998</v>
      </c>
      <c r="W66">
        <v>10503491</v>
      </c>
    </row>
    <row r="67" spans="1:23" x14ac:dyDescent="0.25">
      <c r="A67">
        <v>1992</v>
      </c>
      <c r="B67" s="4">
        <v>19413602</v>
      </c>
      <c r="C67">
        <v>3.8902006033997201</v>
      </c>
      <c r="D67">
        <v>3.1749833472671498</v>
      </c>
      <c r="E67">
        <v>3.1749833472671498</v>
      </c>
      <c r="F67">
        <f t="shared" si="0"/>
        <v>4.3258006729828153</v>
      </c>
      <c r="H67">
        <v>390</v>
      </c>
      <c r="J67">
        <v>390</v>
      </c>
      <c r="L67">
        <v>1529.625</v>
      </c>
      <c r="M67">
        <v>1576.865</v>
      </c>
      <c r="N67">
        <v>1700</v>
      </c>
      <c r="O67">
        <v>2000</v>
      </c>
      <c r="P67">
        <v>1573.76</v>
      </c>
      <c r="Q67">
        <v>1598.0216666666699</v>
      </c>
      <c r="R67">
        <v>1843.5</v>
      </c>
      <c r="S67">
        <v>1846.2</v>
      </c>
      <c r="T67">
        <f>B67/Q67</f>
        <v>12148.52239174894</v>
      </c>
      <c r="U67">
        <f t="shared" si="2"/>
        <v>385096.50513211713</v>
      </c>
      <c r="V67">
        <v>3782.1885649999999</v>
      </c>
      <c r="W67">
        <v>10735969</v>
      </c>
    </row>
    <row r="68" spans="1:23" x14ac:dyDescent="0.25">
      <c r="A68">
        <v>1993</v>
      </c>
      <c r="B68" s="4">
        <v>27451088</v>
      </c>
      <c r="C68">
        <v>5.63904237599992</v>
      </c>
      <c r="D68">
        <v>4.1579752454754697</v>
      </c>
      <c r="E68">
        <v>4.1579752454754697</v>
      </c>
      <c r="F68">
        <f t="shared" si="0"/>
        <v>5.6650917966563572</v>
      </c>
      <c r="H68">
        <v>394.40583333333302</v>
      </c>
      <c r="J68">
        <v>2029</v>
      </c>
      <c r="L68">
        <v>1705.9166666666699</v>
      </c>
      <c r="M68">
        <v>1989.43916666667</v>
      </c>
      <c r="N68">
        <v>1779</v>
      </c>
      <c r="O68">
        <v>2029</v>
      </c>
      <c r="P68">
        <v>1918.5775000000001</v>
      </c>
      <c r="Q68">
        <v>1919.3391666666701</v>
      </c>
      <c r="R68">
        <v>2044</v>
      </c>
      <c r="S68">
        <v>2046</v>
      </c>
      <c r="T68">
        <f>B68/Q68</f>
        <v>14302.364312022299</v>
      </c>
      <c r="U68">
        <f t="shared" si="2"/>
        <v>346189.19381389767</v>
      </c>
      <c r="V68">
        <v>3770.3463149999998</v>
      </c>
      <c r="W68">
        <v>10965121</v>
      </c>
    </row>
    <row r="69" spans="1:23" x14ac:dyDescent="0.25">
      <c r="A69">
        <v>1994</v>
      </c>
      <c r="B69" s="4">
        <v>36478366</v>
      </c>
      <c r="C69">
        <v>7.1791145736264603</v>
      </c>
      <c r="D69">
        <v>5.2134027051134604</v>
      </c>
      <c r="E69">
        <v>5.2134027051134604</v>
      </c>
      <c r="F69">
        <f t="shared" si="0"/>
        <v>7.103073768787441</v>
      </c>
      <c r="H69">
        <v>2192.7224999999999</v>
      </c>
      <c r="J69">
        <v>2297</v>
      </c>
      <c r="L69">
        <v>1975.0225</v>
      </c>
      <c r="M69">
        <v>2192.7224999999999</v>
      </c>
      <c r="N69">
        <v>2251</v>
      </c>
      <c r="O69">
        <v>2297</v>
      </c>
      <c r="P69">
        <v>2196.2350000000001</v>
      </c>
      <c r="Q69">
        <v>2197.2166666666699</v>
      </c>
      <c r="R69">
        <v>2268</v>
      </c>
      <c r="S69">
        <v>2270</v>
      </c>
      <c r="T69">
        <f>B69/Q69</f>
        <v>16602.079600706929</v>
      </c>
      <c r="U69">
        <f t="shared" si="2"/>
        <v>320500.55758355581</v>
      </c>
      <c r="V69">
        <v>3844.784439</v>
      </c>
      <c r="W69">
        <v>11186758</v>
      </c>
    </row>
    <row r="70" spans="1:23" x14ac:dyDescent="0.25">
      <c r="A70">
        <v>1995</v>
      </c>
      <c r="B70" s="4">
        <v>46005438</v>
      </c>
      <c r="C70">
        <v>8.8255605919137992</v>
      </c>
      <c r="D70">
        <v>6.4006933399511103</v>
      </c>
      <c r="E70">
        <v>6.4006933399511103</v>
      </c>
      <c r="F70">
        <f t="shared" si="0"/>
        <v>8.7207145767707868</v>
      </c>
      <c r="H70">
        <v>2552.0948809523802</v>
      </c>
      <c r="J70">
        <v>2922</v>
      </c>
      <c r="L70">
        <v>2501.0607142857102</v>
      </c>
      <c r="M70">
        <v>2552.0832142857098</v>
      </c>
      <c r="N70">
        <v>2864</v>
      </c>
      <c r="O70">
        <v>2922</v>
      </c>
      <c r="P70">
        <v>2563.7725</v>
      </c>
      <c r="Q70">
        <v>2565.21583333333</v>
      </c>
      <c r="R70">
        <v>2922</v>
      </c>
      <c r="S70">
        <v>2925</v>
      </c>
      <c r="T70">
        <f>B70/Q70</f>
        <v>17934.334180457223</v>
      </c>
      <c r="U70">
        <f t="shared" si="2"/>
        <v>281997.85704745736</v>
      </c>
      <c r="V70">
        <v>3847.5072919999998</v>
      </c>
      <c r="W70">
        <v>11396692</v>
      </c>
    </row>
    <row r="71" spans="1:23" x14ac:dyDescent="0.25">
      <c r="A71">
        <v>1996</v>
      </c>
      <c r="B71" s="4">
        <v>60726745</v>
      </c>
      <c r="C71">
        <v>10.9780354387801</v>
      </c>
      <c r="D71">
        <v>8.0405785401673899</v>
      </c>
      <c r="E71">
        <v>8.0405785401673899</v>
      </c>
      <c r="F71">
        <f t="shared" si="0"/>
        <v>10.954999209733069</v>
      </c>
      <c r="H71">
        <v>3176.5478227931499</v>
      </c>
      <c r="J71">
        <v>3627</v>
      </c>
      <c r="L71">
        <v>3112.9526000690098</v>
      </c>
      <c r="M71">
        <v>3176.5478227931499</v>
      </c>
      <c r="N71">
        <v>3554</v>
      </c>
      <c r="O71">
        <v>3627</v>
      </c>
      <c r="P71">
        <v>3188.7592857142899</v>
      </c>
      <c r="Q71">
        <v>3190.1924206349199</v>
      </c>
      <c r="R71">
        <v>3634</v>
      </c>
      <c r="S71">
        <v>3635</v>
      </c>
      <c r="T71">
        <f>B71/Q71</f>
        <v>19035.448961387105</v>
      </c>
      <c r="U71">
        <f t="shared" si="2"/>
        <v>238266.72554092051</v>
      </c>
      <c r="V71">
        <v>3832.76269</v>
      </c>
      <c r="W71">
        <v>11591131</v>
      </c>
    </row>
    <row r="72" spans="1:23" x14ac:dyDescent="0.25">
      <c r="A72">
        <v>1997</v>
      </c>
      <c r="B72" s="4">
        <v>79040013</v>
      </c>
      <c r="C72">
        <v>14.3471720319583</v>
      </c>
      <c r="D72">
        <v>10.506715716579899</v>
      </c>
      <c r="E72">
        <v>10.506715716579899</v>
      </c>
      <c r="F72">
        <f t="shared" si="0"/>
        <v>14.315022457280371</v>
      </c>
      <c r="H72">
        <v>3983.0687905452</v>
      </c>
      <c r="J72">
        <v>4438</v>
      </c>
      <c r="L72">
        <v>3903.4035369220101</v>
      </c>
      <c r="M72">
        <v>3983.0687905452</v>
      </c>
      <c r="N72">
        <v>4349</v>
      </c>
      <c r="O72">
        <v>4438</v>
      </c>
      <c r="P72">
        <v>3997.6966666666699</v>
      </c>
      <c r="Q72">
        <v>3998.7991666666699</v>
      </c>
      <c r="R72">
        <v>4425</v>
      </c>
      <c r="S72">
        <v>4428</v>
      </c>
      <c r="T72">
        <f>B72/Q72</f>
        <v>19765.93714904827</v>
      </c>
      <c r="U72">
        <f t="shared" si="2"/>
        <v>189338.09318939276</v>
      </c>
      <c r="V72">
        <v>3917.6559969999998</v>
      </c>
      <c r="W72">
        <v>11772866</v>
      </c>
    </row>
    <row r="73" spans="1:23" x14ac:dyDescent="0.25">
      <c r="A73">
        <v>1998</v>
      </c>
      <c r="B73" s="4">
        <v>107421048</v>
      </c>
      <c r="C73">
        <v>17.829975394598399</v>
      </c>
      <c r="D73">
        <v>15.0666411303004</v>
      </c>
      <c r="E73">
        <v>15.0666411303004</v>
      </c>
      <c r="F73">
        <f t="shared" si="0"/>
        <v>20.527756908439638</v>
      </c>
      <c r="H73">
        <v>5402.9445291423599</v>
      </c>
      <c r="J73">
        <v>6521</v>
      </c>
      <c r="L73">
        <v>5294.8471901509402</v>
      </c>
      <c r="M73">
        <v>5402.9445291423599</v>
      </c>
      <c r="N73">
        <v>6391</v>
      </c>
      <c r="O73">
        <v>6521</v>
      </c>
      <c r="P73">
        <v>5436.7242077030496</v>
      </c>
      <c r="Q73">
        <v>5446.4394336384403</v>
      </c>
      <c r="R73">
        <v>6765</v>
      </c>
      <c r="S73">
        <v>6825</v>
      </c>
      <c r="T73">
        <f>B73/Q73</f>
        <v>19723.169477758871</v>
      </c>
      <c r="U73">
        <f t="shared" si="2"/>
        <v>131749.15337405488</v>
      </c>
      <c r="V73">
        <v>3966.1734889999998</v>
      </c>
      <c r="W73">
        <v>11947588</v>
      </c>
    </row>
    <row r="74" spans="1:23" x14ac:dyDescent="0.25">
      <c r="A74">
        <v>1999</v>
      </c>
      <c r="B74" s="4">
        <v>19635</v>
      </c>
      <c r="C74">
        <v>29.728146543116502</v>
      </c>
      <c r="D74">
        <v>24.213473764919801</v>
      </c>
      <c r="E74">
        <v>24.213473764919801</v>
      </c>
      <c r="F74">
        <f t="shared" si="0"/>
        <v>32.989987553068119</v>
      </c>
      <c r="H74">
        <v>11547.8216154973</v>
      </c>
      <c r="J74">
        <v>18287</v>
      </c>
      <c r="L74">
        <v>11316.8428634869</v>
      </c>
      <c r="M74">
        <v>11547.8216154973</v>
      </c>
      <c r="N74">
        <v>17921</v>
      </c>
      <c r="O74">
        <v>18287</v>
      </c>
      <c r="P74">
        <v>11649.2644706873</v>
      </c>
      <c r="Q74">
        <v>11786.802467956901</v>
      </c>
      <c r="R74">
        <v>19858</v>
      </c>
      <c r="S74">
        <v>20243</v>
      </c>
      <c r="T74">
        <f t="shared" ref="T74:T98" si="3">B74</f>
        <v>19635</v>
      </c>
      <c r="U74">
        <f t="shared" si="2"/>
        <v>81613.382279713594</v>
      </c>
      <c r="V74">
        <v>3706.6497770000001</v>
      </c>
      <c r="W74">
        <v>12120984</v>
      </c>
    </row>
    <row r="75" spans="1:23" x14ac:dyDescent="0.25">
      <c r="A75">
        <v>2000</v>
      </c>
      <c r="B75" s="4">
        <v>18319</v>
      </c>
      <c r="C75">
        <v>58.239614587482102</v>
      </c>
      <c r="D75">
        <v>46.2468175095484</v>
      </c>
      <c r="E75">
        <v>46.2468175095484</v>
      </c>
      <c r="F75">
        <f t="shared" si="0"/>
        <v>63.009626327115633</v>
      </c>
      <c r="L75">
        <v>24500</v>
      </c>
      <c r="M75">
        <v>25000</v>
      </c>
      <c r="N75">
        <v>24500</v>
      </c>
      <c r="O75">
        <v>25000</v>
      </c>
      <c r="P75">
        <v>25000</v>
      </c>
      <c r="Q75">
        <v>25000</v>
      </c>
      <c r="R75">
        <v>25000</v>
      </c>
      <c r="S75">
        <v>25000</v>
      </c>
      <c r="T75">
        <f t="shared" si="3"/>
        <v>18319</v>
      </c>
      <c r="U75">
        <f t="shared" si="2"/>
        <v>39866.442343897361</v>
      </c>
      <c r="V75">
        <v>3678.9023160000002</v>
      </c>
      <c r="W75">
        <v>12298745</v>
      </c>
    </row>
    <row r="76" spans="1:23" x14ac:dyDescent="0.25">
      <c r="A76">
        <v>2001</v>
      </c>
      <c r="B76" s="4">
        <v>24468</v>
      </c>
      <c r="C76">
        <v>80.179897345365703</v>
      </c>
      <c r="D76">
        <v>56.624020551656898</v>
      </c>
      <c r="E76">
        <v>56.624020551656898</v>
      </c>
      <c r="F76">
        <f t="shared" si="0"/>
        <v>77.148192421287703</v>
      </c>
      <c r="T76">
        <f t="shared" si="3"/>
        <v>24468</v>
      </c>
      <c r="U76">
        <f t="shared" si="2"/>
        <v>43489.592614056986</v>
      </c>
      <c r="V76">
        <v>3759.8948610000002</v>
      </c>
      <c r="W76">
        <v>12156608</v>
      </c>
    </row>
    <row r="77" spans="1:23" x14ac:dyDescent="0.25">
      <c r="A77">
        <v>2002</v>
      </c>
      <c r="B77" s="4">
        <v>28549</v>
      </c>
      <c r="C77">
        <v>90.234695755904198</v>
      </c>
      <c r="D77">
        <v>61.921628573724703</v>
      </c>
      <c r="E77">
        <v>61.921628573724703</v>
      </c>
      <c r="F77">
        <f t="shared" si="0"/>
        <v>84.365992907323388</v>
      </c>
      <c r="T77">
        <f t="shared" si="3"/>
        <v>28549</v>
      </c>
      <c r="U77">
        <f t="shared" si="2"/>
        <v>46401.936042633868</v>
      </c>
      <c r="V77">
        <v>3848.266846</v>
      </c>
      <c r="W77">
        <v>12660727</v>
      </c>
    </row>
    <row r="78" spans="1:23" x14ac:dyDescent="0.25">
      <c r="A78">
        <v>2003</v>
      </c>
      <c r="B78" s="4">
        <v>32433</v>
      </c>
      <c r="C78">
        <v>97.425504011087199</v>
      </c>
      <c r="D78">
        <v>65.680194314141502</v>
      </c>
      <c r="E78">
        <v>65.680194314141502</v>
      </c>
      <c r="F78">
        <f t="shared" si="0"/>
        <v>89.486903611733808</v>
      </c>
      <c r="T78">
        <f t="shared" si="3"/>
        <v>32433</v>
      </c>
      <c r="U78">
        <f t="shared" si="2"/>
        <v>49698.15470451596</v>
      </c>
      <c r="V78">
        <v>3888.3419009999998</v>
      </c>
      <c r="W78">
        <v>12842576</v>
      </c>
    </row>
    <row r="79" spans="1:23" x14ac:dyDescent="0.25">
      <c r="A79">
        <v>2004</v>
      </c>
      <c r="B79" s="4">
        <v>36592</v>
      </c>
      <c r="C79">
        <v>100</v>
      </c>
      <c r="D79">
        <v>66.958052702270393</v>
      </c>
      <c r="E79">
        <v>66.958052702270393</v>
      </c>
      <c r="F79">
        <f t="shared" si="0"/>
        <v>91.227939727750822</v>
      </c>
      <c r="T79">
        <f t="shared" si="3"/>
        <v>36592</v>
      </c>
      <c r="U79">
        <f t="shared" si="2"/>
        <v>55001.040180142481</v>
      </c>
      <c r="V79">
        <v>4139.0805730000002</v>
      </c>
      <c r="W79">
        <v>13026890</v>
      </c>
    </row>
    <row r="80" spans="1:23" x14ac:dyDescent="0.25">
      <c r="A80">
        <v>2005</v>
      </c>
      <c r="B80" s="4">
        <v>41507</v>
      </c>
      <c r="C80">
        <v>102.08</v>
      </c>
      <c r="D80">
        <v>69.056664894734496</v>
      </c>
      <c r="E80">
        <v>69.056664894734496</v>
      </c>
      <c r="F80">
        <f t="shared" ref="F80:F99" si="4">E80/$E$82*100</f>
        <v>94.087223396846326</v>
      </c>
      <c r="T80">
        <f t="shared" si="3"/>
        <v>41507</v>
      </c>
      <c r="U80">
        <f t="shared" si="2"/>
        <v>60492.748247286472</v>
      </c>
      <c r="V80">
        <v>4286.5152470000003</v>
      </c>
      <c r="W80">
        <v>13215089</v>
      </c>
    </row>
    <row r="81" spans="1:23" x14ac:dyDescent="0.25">
      <c r="A81">
        <v>2006</v>
      </c>
      <c r="B81" s="4">
        <v>46802</v>
      </c>
      <c r="C81">
        <v>105.45</v>
      </c>
      <c r="D81">
        <v>71.038173151645296</v>
      </c>
      <c r="E81">
        <v>71.038173151645296</v>
      </c>
      <c r="F81">
        <f t="shared" si="4"/>
        <v>96.786957163526935</v>
      </c>
      <c r="T81">
        <f t="shared" si="3"/>
        <v>46802</v>
      </c>
      <c r="U81">
        <f t="shared" si="2"/>
        <v>66307.125091509646</v>
      </c>
      <c r="V81">
        <v>4400.8596020000005</v>
      </c>
      <c r="W81">
        <v>13408270</v>
      </c>
    </row>
    <row r="82" spans="1:23" x14ac:dyDescent="0.25">
      <c r="A82">
        <v>2007</v>
      </c>
      <c r="B82" s="4">
        <v>51008</v>
      </c>
      <c r="C82">
        <v>107.847515121795</v>
      </c>
      <c r="D82">
        <v>73.396431950662901</v>
      </c>
      <c r="E82">
        <v>73.396431950662901</v>
      </c>
      <c r="F82">
        <f t="shared" si="4"/>
        <v>100</v>
      </c>
      <c r="T82">
        <f t="shared" si="3"/>
        <v>51008</v>
      </c>
      <c r="U82">
        <f t="shared" si="2"/>
        <v>69944.072900368323</v>
      </c>
      <c r="V82">
        <v>4421.9024280000003</v>
      </c>
      <c r="W82">
        <v>13605486</v>
      </c>
    </row>
    <row r="83" spans="1:23" x14ac:dyDescent="0.25">
      <c r="A83">
        <v>2008</v>
      </c>
      <c r="B83" s="4">
        <v>61763</v>
      </c>
      <c r="C83">
        <v>116.906826879439</v>
      </c>
      <c r="D83">
        <v>79.877734234298799</v>
      </c>
      <c r="E83">
        <v>79.877734234298799</v>
      </c>
      <c r="F83">
        <f t="shared" si="4"/>
        <v>108.83054136472552</v>
      </c>
      <c r="T83">
        <f t="shared" si="3"/>
        <v>61763</v>
      </c>
      <c r="U83">
        <f t="shared" si="2"/>
        <v>77819.818910988513</v>
      </c>
      <c r="V83">
        <v>4624.1965790000004</v>
      </c>
      <c r="W83">
        <v>13805092</v>
      </c>
    </row>
    <row r="84" spans="1:23" x14ac:dyDescent="0.25">
      <c r="A84">
        <v>2009</v>
      </c>
      <c r="B84" s="4">
        <v>62520</v>
      </c>
      <c r="C84">
        <v>122.93918207738</v>
      </c>
      <c r="D84">
        <v>83.321857359366703</v>
      </c>
      <c r="E84">
        <v>83.321857359366703</v>
      </c>
      <c r="F84">
        <f t="shared" si="4"/>
        <v>113.52303530963968</v>
      </c>
      <c r="T84">
        <f t="shared" si="3"/>
        <v>62520</v>
      </c>
      <c r="U84">
        <f t="shared" si="2"/>
        <v>75517.498825294329</v>
      </c>
      <c r="V84">
        <v>4573.2470839999996</v>
      </c>
      <c r="W84">
        <v>14005449</v>
      </c>
    </row>
    <row r="85" spans="1:23" x14ac:dyDescent="0.25">
      <c r="A85">
        <v>2010</v>
      </c>
      <c r="B85" s="4">
        <v>69555</v>
      </c>
      <c r="C85">
        <v>127.308904514102</v>
      </c>
      <c r="D85">
        <v>86.094837996974903</v>
      </c>
      <c r="E85">
        <v>86.094837996974903</v>
      </c>
      <c r="F85">
        <f t="shared" si="4"/>
        <v>117.30112174233194</v>
      </c>
      <c r="T85">
        <f t="shared" si="3"/>
        <v>69555</v>
      </c>
      <c r="U85">
        <f t="shared" si="2"/>
        <v>81309.036045041576</v>
      </c>
      <c r="V85">
        <v>4657.302361</v>
      </c>
      <c r="W85">
        <v>14204900</v>
      </c>
    </row>
    <row r="86" spans="1:23" x14ac:dyDescent="0.25">
      <c r="A86">
        <v>2011</v>
      </c>
      <c r="B86" s="4">
        <v>79277</v>
      </c>
      <c r="C86">
        <v>133.005383023072</v>
      </c>
      <c r="D86">
        <v>90.752036903797503</v>
      </c>
      <c r="E86">
        <v>90.752036903797503</v>
      </c>
      <c r="F86">
        <f t="shared" si="4"/>
        <v>123.64638783095212</v>
      </c>
      <c r="T86">
        <f t="shared" si="3"/>
        <v>79277</v>
      </c>
      <c r="U86">
        <f t="shared" si="2"/>
        <v>87918.120723209431</v>
      </c>
      <c r="V86">
        <v>4943.4227039999996</v>
      </c>
      <c r="W86">
        <v>15266431</v>
      </c>
    </row>
    <row r="87" spans="1:23" x14ac:dyDescent="0.25">
      <c r="A87">
        <v>2012</v>
      </c>
      <c r="B87" s="4">
        <v>87925</v>
      </c>
      <c r="C87">
        <v>139.79094765668501</v>
      </c>
      <c r="D87">
        <v>94.530869689745202</v>
      </c>
      <c r="E87">
        <v>94.530869689745202</v>
      </c>
      <c r="F87">
        <f t="shared" si="4"/>
        <v>128.79491165631714</v>
      </c>
      <c r="T87">
        <f t="shared" si="3"/>
        <v>87925</v>
      </c>
      <c r="U87">
        <f t="shared" si="2"/>
        <v>93610.872713855249</v>
      </c>
      <c r="V87">
        <v>5140.2629070000003</v>
      </c>
      <c r="W87">
        <v>15520973</v>
      </c>
    </row>
    <row r="88" spans="1:23" x14ac:dyDescent="0.25">
      <c r="A88">
        <v>2013</v>
      </c>
      <c r="B88" s="4">
        <v>95130</v>
      </c>
      <c r="C88">
        <v>143.595743808588</v>
      </c>
      <c r="D88">
        <v>97.083526477855102</v>
      </c>
      <c r="E88">
        <v>97.083526477855102</v>
      </c>
      <c r="F88">
        <f t="shared" si="4"/>
        <v>132.27281476450338</v>
      </c>
      <c r="T88">
        <f t="shared" si="3"/>
        <v>95130</v>
      </c>
      <c r="U88">
        <f t="shared" si="2"/>
        <v>98618.756915709309</v>
      </c>
      <c r="V88">
        <v>5311.2121209999996</v>
      </c>
      <c r="W88">
        <v>15774749</v>
      </c>
    </row>
    <row r="89" spans="1:23" x14ac:dyDescent="0.25">
      <c r="A89">
        <v>2014</v>
      </c>
      <c r="B89" s="4">
        <v>101726</v>
      </c>
      <c r="C89">
        <v>148.749711203125</v>
      </c>
      <c r="D89">
        <v>100.64392618773699</v>
      </c>
      <c r="E89">
        <v>100.64392618773699</v>
      </c>
      <c r="F89">
        <f t="shared" si="4"/>
        <v>137.12373137619261</v>
      </c>
      <c r="T89">
        <f t="shared" si="3"/>
        <v>101726</v>
      </c>
      <c r="U89">
        <f t="shared" ref="U89:U120" si="5">T89/E89*$E$89</f>
        <v>101726</v>
      </c>
      <c r="V89">
        <v>5428.7140310000004</v>
      </c>
      <c r="W89">
        <v>16027466</v>
      </c>
    </row>
    <row r="90" spans="1:23" x14ac:dyDescent="0.25">
      <c r="A90">
        <v>2015</v>
      </c>
      <c r="B90" s="4">
        <v>99290</v>
      </c>
      <c r="D90">
        <v>104.04581683199901</v>
      </c>
      <c r="E90">
        <v>104.04581683199901</v>
      </c>
      <c r="F90">
        <f t="shared" si="4"/>
        <v>141.75868508422676</v>
      </c>
      <c r="T90">
        <f t="shared" si="3"/>
        <v>99290</v>
      </c>
      <c r="U90">
        <f t="shared" si="5"/>
        <v>96043.605936755994</v>
      </c>
      <c r="V90">
        <v>5352.8764570000003</v>
      </c>
      <c r="W90">
        <v>16278844</v>
      </c>
    </row>
    <row r="91" spans="1:23" x14ac:dyDescent="0.25">
      <c r="A91">
        <v>2016</v>
      </c>
      <c r="B91" s="4">
        <v>99938</v>
      </c>
      <c r="D91">
        <v>105.210912990011</v>
      </c>
      <c r="E91">
        <v>105.210912990011</v>
      </c>
      <c r="F91">
        <f t="shared" si="4"/>
        <v>143.3460867154057</v>
      </c>
      <c r="T91">
        <f t="shared" si="3"/>
        <v>99938</v>
      </c>
      <c r="U91">
        <f t="shared" si="5"/>
        <v>95599.899378356378</v>
      </c>
      <c r="V91">
        <v>5459.9339861400003</v>
      </c>
      <c r="W91">
        <v>16528730</v>
      </c>
    </row>
    <row r="92" spans="1:23" x14ac:dyDescent="0.25">
      <c r="A92">
        <v>2017</v>
      </c>
      <c r="B92" s="4">
        <v>104296</v>
      </c>
      <c r="D92">
        <v>105.00396255276</v>
      </c>
      <c r="E92">
        <v>105.00396255276</v>
      </c>
      <c r="F92">
        <f t="shared" si="4"/>
        <v>143.06412418432507</v>
      </c>
      <c r="T92">
        <f t="shared" si="3"/>
        <v>104296</v>
      </c>
      <c r="U92">
        <f t="shared" si="5"/>
        <v>99965.360072978627</v>
      </c>
      <c r="W92">
        <v>16759519</v>
      </c>
    </row>
    <row r="93" spans="1:23" x14ac:dyDescent="0.25">
      <c r="A93">
        <v>2018</v>
      </c>
      <c r="B93" s="4">
        <v>107562</v>
      </c>
      <c r="D93">
        <v>105.28345197589999</v>
      </c>
      <c r="E93">
        <v>105.28345197589999</v>
      </c>
      <c r="F93">
        <f t="shared" si="4"/>
        <v>143.44491847597109</v>
      </c>
      <c r="T93">
        <f t="shared" si="3"/>
        <v>107562</v>
      </c>
      <c r="U93">
        <f t="shared" si="5"/>
        <v>102822.06543800805</v>
      </c>
      <c r="W93">
        <v>17049547</v>
      </c>
    </row>
    <row r="94" spans="1:23" x14ac:dyDescent="0.25">
      <c r="A94">
        <v>2019</v>
      </c>
      <c r="B94" s="4">
        <v>107595</v>
      </c>
      <c r="D94">
        <v>105.214666947918</v>
      </c>
      <c r="E94">
        <v>105.214666947918</v>
      </c>
      <c r="F94">
        <f t="shared" si="4"/>
        <v>143.35120134810276</v>
      </c>
      <c r="T94">
        <f t="shared" si="3"/>
        <v>107595</v>
      </c>
      <c r="U94">
        <f t="shared" si="5"/>
        <v>102920.8526937588</v>
      </c>
      <c r="W94">
        <v>17340021</v>
      </c>
    </row>
    <row r="95" spans="1:23" x14ac:dyDescent="0.25">
      <c r="A95">
        <v>2020</v>
      </c>
      <c r="B95" s="4">
        <v>95865</v>
      </c>
      <c r="D95">
        <v>104.233025480214</v>
      </c>
      <c r="E95">
        <v>104.233025480214</v>
      </c>
      <c r="F95">
        <f t="shared" si="4"/>
        <v>142.01375013744465</v>
      </c>
      <c r="T95">
        <f t="shared" si="3"/>
        <v>95865</v>
      </c>
      <c r="U95">
        <f t="shared" si="5"/>
        <v>92564.040423242623</v>
      </c>
      <c r="W95">
        <v>17546065</v>
      </c>
    </row>
    <row r="96" spans="1:23" x14ac:dyDescent="0.25">
      <c r="A96">
        <v>2021</v>
      </c>
      <c r="B96" s="4">
        <v>107435</v>
      </c>
      <c r="D96">
        <v>106.255853364723</v>
      </c>
      <c r="E96">
        <v>106.255853364723</v>
      </c>
      <c r="F96">
        <f t="shared" si="4"/>
        <v>144.769780411326</v>
      </c>
      <c r="T96">
        <f t="shared" si="3"/>
        <v>107435</v>
      </c>
      <c r="U96">
        <f t="shared" si="5"/>
        <v>101760.79592401392</v>
      </c>
      <c r="W96">
        <v>17682454</v>
      </c>
    </row>
    <row r="97" spans="1:23" x14ac:dyDescent="0.25">
      <c r="A97">
        <v>2022</v>
      </c>
      <c r="B97" s="4">
        <v>116586</v>
      </c>
      <c r="D97">
        <v>110.22731694308099</v>
      </c>
      <c r="E97">
        <v>110.22731694308099</v>
      </c>
      <c r="F97">
        <f t="shared" si="4"/>
        <v>150.18075676645401</v>
      </c>
      <c r="T97">
        <f t="shared" si="3"/>
        <v>116586</v>
      </c>
      <c r="U97">
        <f t="shared" si="5"/>
        <v>106449.77219741745</v>
      </c>
      <c r="W97">
        <v>17823897</v>
      </c>
    </row>
    <row r="98" spans="1:23" x14ac:dyDescent="0.25">
      <c r="A98">
        <v>2023</v>
      </c>
      <c r="B98" s="4">
        <v>118844</v>
      </c>
      <c r="D98">
        <v>111.715101416755</v>
      </c>
      <c r="E98">
        <v>111.715101416755</v>
      </c>
      <c r="F98">
        <f t="shared" si="4"/>
        <v>152.2078096273807</v>
      </c>
      <c r="T98">
        <f t="shared" si="3"/>
        <v>118844</v>
      </c>
      <c r="U98">
        <f t="shared" si="5"/>
        <v>107066.33760493115</v>
      </c>
      <c r="W98">
        <v>17980083</v>
      </c>
    </row>
    <row r="99" spans="1:23" x14ac:dyDescent="0.25">
      <c r="A99">
        <v>2024</v>
      </c>
      <c r="D99">
        <v>112.30626377954199</v>
      </c>
      <c r="E99">
        <v>112.30626377954199</v>
      </c>
      <c r="F99">
        <f t="shared" si="4"/>
        <v>153.01324709494637</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2"/>
  <sheetViews>
    <sheetView zoomScale="85" zoomScaleNormal="85" workbookViewId="0">
      <selection activeCell="H3" sqref="H3"/>
    </sheetView>
  </sheetViews>
  <sheetFormatPr defaultColWidth="11.5703125" defaultRowHeight="15" x14ac:dyDescent="0.25"/>
  <cols>
    <col min="2" max="2" width="20.85546875" customWidth="1"/>
    <col min="3" max="3" width="19.85546875" customWidth="1"/>
    <col min="4" max="4" width="18.7109375" customWidth="1"/>
    <col min="5" max="5" width="20.85546875" customWidth="1"/>
  </cols>
  <sheetData>
    <row r="1" spans="1:5" x14ac:dyDescent="0.25">
      <c r="A1" t="s">
        <v>46</v>
      </c>
      <c r="B1" t="s">
        <v>78</v>
      </c>
      <c r="C1" t="s">
        <v>86</v>
      </c>
      <c r="D1" t="s">
        <v>50</v>
      </c>
      <c r="E1" t="s">
        <v>83</v>
      </c>
    </row>
    <row r="2" spans="1:5" x14ac:dyDescent="0.25">
      <c r="A2">
        <v>1927</v>
      </c>
    </row>
    <row r="3" spans="1:5" x14ac:dyDescent="0.25">
      <c r="A3">
        <v>1928</v>
      </c>
    </row>
    <row r="4" spans="1:5" x14ac:dyDescent="0.25">
      <c r="A4">
        <v>1929</v>
      </c>
    </row>
    <row r="5" spans="1:5" x14ac:dyDescent="0.25">
      <c r="A5">
        <v>1930</v>
      </c>
    </row>
    <row r="6" spans="1:5" x14ac:dyDescent="0.25">
      <c r="A6">
        <v>1931</v>
      </c>
    </row>
    <row r="7" spans="1:5" x14ac:dyDescent="0.25">
      <c r="A7">
        <v>1932</v>
      </c>
    </row>
    <row r="8" spans="1:5" x14ac:dyDescent="0.25">
      <c r="A8">
        <v>1933</v>
      </c>
    </row>
    <row r="9" spans="1:5" x14ac:dyDescent="0.25">
      <c r="A9">
        <v>1934</v>
      </c>
    </row>
    <row r="10" spans="1:5" x14ac:dyDescent="0.25">
      <c r="A10">
        <v>1935</v>
      </c>
    </row>
    <row r="11" spans="1:5" x14ac:dyDescent="0.25">
      <c r="A11">
        <v>1936</v>
      </c>
    </row>
    <row r="12" spans="1:5" x14ac:dyDescent="0.25">
      <c r="A12">
        <v>1937</v>
      </c>
    </row>
    <row r="13" spans="1:5" x14ac:dyDescent="0.25">
      <c r="A13">
        <v>1938</v>
      </c>
    </row>
    <row r="14" spans="1:5" x14ac:dyDescent="0.25">
      <c r="A14">
        <v>1939</v>
      </c>
    </row>
    <row r="15" spans="1:5" x14ac:dyDescent="0.25">
      <c r="A15">
        <v>1940</v>
      </c>
      <c r="B15">
        <v>3.4368996637377698E-3</v>
      </c>
      <c r="E15">
        <f>B15*$D$102</f>
        <v>2.4953989350642402E-3</v>
      </c>
    </row>
    <row r="16" spans="1:5" x14ac:dyDescent="0.25">
      <c r="A16">
        <v>1941</v>
      </c>
      <c r="B16">
        <v>3.5546017070164598E-3</v>
      </c>
      <c r="E16">
        <f t="shared" ref="E15:E43" si="0">B16*$D$102</f>
        <v>2.5808578027034261E-3</v>
      </c>
    </row>
    <row r="17" spans="1:5" x14ac:dyDescent="0.25">
      <c r="A17">
        <v>1942</v>
      </c>
      <c r="B17">
        <v>4.5668392792132103E-3</v>
      </c>
      <c r="E17">
        <f t="shared" si="0"/>
        <v>3.3158040644004358E-3</v>
      </c>
    </row>
    <row r="18" spans="1:5" x14ac:dyDescent="0.25">
      <c r="A18">
        <v>1943</v>
      </c>
      <c r="B18">
        <v>5.57907685140995E-3</v>
      </c>
      <c r="E18">
        <f t="shared" si="0"/>
        <v>4.0507503260974378E-3</v>
      </c>
    </row>
    <row r="19" spans="1:5" x14ac:dyDescent="0.25">
      <c r="A19">
        <v>1944</v>
      </c>
      <c r="B19">
        <v>6.8502589188198099E-3</v>
      </c>
      <c r="E19">
        <f t="shared" si="0"/>
        <v>4.9737060966006498E-3</v>
      </c>
    </row>
    <row r="20" spans="1:5" x14ac:dyDescent="0.25">
      <c r="A20">
        <v>1945</v>
      </c>
      <c r="B20">
        <v>8.8982744718690294E-3</v>
      </c>
      <c r="E20">
        <f t="shared" si="0"/>
        <v>6.4606903935224922E-3</v>
      </c>
    </row>
    <row r="21" spans="1:5" x14ac:dyDescent="0.25">
      <c r="A21">
        <v>1946</v>
      </c>
      <c r="B21">
        <v>1.0216537356590401E-2</v>
      </c>
      <c r="E21">
        <f t="shared" si="0"/>
        <v>7.4178297110814046E-3</v>
      </c>
    </row>
    <row r="22" spans="1:5" x14ac:dyDescent="0.25">
      <c r="A22">
        <v>1947</v>
      </c>
      <c r="B22">
        <v>1.16760426932461E-2</v>
      </c>
      <c r="E22">
        <f t="shared" si="0"/>
        <v>8.4775196698072663E-3</v>
      </c>
    </row>
    <row r="23" spans="1:5" x14ac:dyDescent="0.25">
      <c r="A23">
        <v>1948</v>
      </c>
      <c r="B23">
        <v>1.3064926803934699E-2</v>
      </c>
      <c r="E23">
        <f t="shared" si="0"/>
        <v>9.4859343079497001E-3</v>
      </c>
    </row>
    <row r="24" spans="1:5" x14ac:dyDescent="0.25">
      <c r="A24">
        <v>1949</v>
      </c>
      <c r="B24">
        <v>1.2829522717377299E-2</v>
      </c>
      <c r="E24">
        <f t="shared" si="0"/>
        <v>9.3150165726713138E-3</v>
      </c>
    </row>
    <row r="25" spans="1:5" x14ac:dyDescent="0.25">
      <c r="A25">
        <v>1950</v>
      </c>
      <c r="B25">
        <v>1.27589014914101E-2</v>
      </c>
      <c r="E25">
        <f t="shared" si="0"/>
        <v>9.2637412520878131E-3</v>
      </c>
    </row>
    <row r="26" spans="1:5" x14ac:dyDescent="0.25">
      <c r="A26">
        <v>1951</v>
      </c>
      <c r="B26">
        <v>1.4265487645377301E-2</v>
      </c>
      <c r="E26">
        <f t="shared" si="0"/>
        <v>1.0357614757869369E-2</v>
      </c>
    </row>
    <row r="27" spans="1:5" x14ac:dyDescent="0.25">
      <c r="A27">
        <v>1952</v>
      </c>
      <c r="B27">
        <v>1.47362958184921E-2</v>
      </c>
      <c r="E27">
        <f t="shared" si="0"/>
        <v>1.069945022842614E-2</v>
      </c>
    </row>
    <row r="28" spans="1:5" x14ac:dyDescent="0.25">
      <c r="A28">
        <v>1953</v>
      </c>
      <c r="B28">
        <v>1.48069170444593E-2</v>
      </c>
      <c r="E28">
        <f t="shared" si="0"/>
        <v>1.0750725549009642E-2</v>
      </c>
    </row>
    <row r="29" spans="1:5" x14ac:dyDescent="0.25">
      <c r="A29">
        <v>1954</v>
      </c>
      <c r="B29">
        <v>1.53483464435413E-2</v>
      </c>
      <c r="E29">
        <f t="shared" si="0"/>
        <v>1.1143836340149914E-2</v>
      </c>
    </row>
    <row r="30" spans="1:5" x14ac:dyDescent="0.25">
      <c r="A30">
        <v>1955</v>
      </c>
      <c r="B30">
        <v>1.6054558703213401E-2</v>
      </c>
      <c r="E30">
        <f t="shared" si="0"/>
        <v>1.1656589545985E-2</v>
      </c>
    </row>
    <row r="31" spans="1:5" x14ac:dyDescent="0.25">
      <c r="A31">
        <v>1956</v>
      </c>
      <c r="B31">
        <v>1.55837505300987E-2</v>
      </c>
      <c r="E31">
        <f t="shared" si="0"/>
        <v>1.1314754075428301E-2</v>
      </c>
    </row>
    <row r="32" spans="1:5" x14ac:dyDescent="0.25">
      <c r="A32">
        <v>1957</v>
      </c>
      <c r="B32">
        <v>1.5748533390688799E-2</v>
      </c>
      <c r="E32">
        <f t="shared" si="0"/>
        <v>1.1434396490123113E-2</v>
      </c>
    </row>
    <row r="33" spans="1:5" x14ac:dyDescent="0.25">
      <c r="A33">
        <v>1958</v>
      </c>
      <c r="B33">
        <v>1.5913316251279001E-2</v>
      </c>
      <c r="E33">
        <f t="shared" si="0"/>
        <v>1.1554038904817999E-2</v>
      </c>
    </row>
    <row r="34" spans="1:5" x14ac:dyDescent="0.25">
      <c r="A34">
        <v>1959</v>
      </c>
      <c r="B34">
        <v>1.58662354339675E-2</v>
      </c>
      <c r="E34">
        <f t="shared" si="0"/>
        <v>1.1519855357762307E-2</v>
      </c>
    </row>
    <row r="35" spans="1:5" x14ac:dyDescent="0.25">
      <c r="A35">
        <v>1960</v>
      </c>
      <c r="B35">
        <v>1.5960397068590499E-2</v>
      </c>
      <c r="E35">
        <f t="shared" si="0"/>
        <v>1.158822245187369E-2</v>
      </c>
    </row>
    <row r="36" spans="1:5" x14ac:dyDescent="0.25">
      <c r="A36">
        <v>1961</v>
      </c>
      <c r="B36">
        <v>1.6760770962885599E-2</v>
      </c>
      <c r="E36">
        <f t="shared" si="0"/>
        <v>1.2169342751820158E-2</v>
      </c>
    </row>
    <row r="37" spans="1:5" x14ac:dyDescent="0.25">
      <c r="A37">
        <v>1962</v>
      </c>
      <c r="B37">
        <v>1.7043255866754401E-2</v>
      </c>
      <c r="E37">
        <f t="shared" si="0"/>
        <v>1.2374444034154166E-2</v>
      </c>
    </row>
    <row r="38" spans="1:5" x14ac:dyDescent="0.25">
      <c r="A38">
        <v>1963</v>
      </c>
      <c r="B38">
        <v>1.7561144857180699E-2</v>
      </c>
      <c r="E38">
        <f t="shared" si="0"/>
        <v>1.2750463051766628E-2</v>
      </c>
    </row>
    <row r="39" spans="1:5" x14ac:dyDescent="0.25">
      <c r="A39">
        <v>1964</v>
      </c>
      <c r="B39">
        <v>1.77965489437381E-2</v>
      </c>
      <c r="E39">
        <f t="shared" si="0"/>
        <v>1.2921380787045014E-2</v>
      </c>
    </row>
    <row r="40" spans="1:5" x14ac:dyDescent="0.25">
      <c r="A40">
        <v>1965</v>
      </c>
      <c r="B40">
        <v>1.89264885592135E-2</v>
      </c>
      <c r="E40">
        <f t="shared" si="0"/>
        <v>1.374178591638118E-2</v>
      </c>
    </row>
    <row r="41" spans="1:5" x14ac:dyDescent="0.25">
      <c r="A41">
        <v>1966</v>
      </c>
      <c r="B41">
        <v>1.9632700818885601E-2</v>
      </c>
      <c r="E41">
        <f t="shared" si="0"/>
        <v>1.4254539122216267E-2</v>
      </c>
    </row>
    <row r="42" spans="1:5" x14ac:dyDescent="0.25">
      <c r="A42">
        <v>1967</v>
      </c>
      <c r="B42">
        <v>2.0574317165115201E-2</v>
      </c>
      <c r="E42">
        <f t="shared" si="0"/>
        <v>1.4938210063329811E-2</v>
      </c>
    </row>
    <row r="43" spans="1:5" x14ac:dyDescent="0.25">
      <c r="A43">
        <v>1968</v>
      </c>
      <c r="B43">
        <v>2.11863677901643E-2</v>
      </c>
      <c r="E43">
        <f t="shared" si="0"/>
        <v>1.5382596175053512E-2</v>
      </c>
    </row>
    <row r="44" spans="1:5" x14ac:dyDescent="0.25">
      <c r="A44">
        <v>1969</v>
      </c>
      <c r="B44">
        <v>2.2292766996984001E-2</v>
      </c>
      <c r="C44">
        <v>1.5621985471859799E-2</v>
      </c>
      <c r="D44">
        <f t="shared" ref="D44:D89" si="1">C44/B44</f>
        <v>0.70076475809276184</v>
      </c>
      <c r="E44">
        <f t="shared" ref="E44:E75" si="2">C44</f>
        <v>1.5621985471859799E-2</v>
      </c>
    </row>
    <row r="45" spans="1:5" x14ac:dyDescent="0.25">
      <c r="A45">
        <v>1970</v>
      </c>
      <c r="B45">
        <v>2.3540408655738199E-2</v>
      </c>
      <c r="C45">
        <v>1.7271422152814402E-2</v>
      </c>
      <c r="D45">
        <f t="shared" si="1"/>
        <v>0.73369253717710325</v>
      </c>
      <c r="E45">
        <f t="shared" si="2"/>
        <v>1.7271422152814402E-2</v>
      </c>
    </row>
    <row r="46" spans="1:5" x14ac:dyDescent="0.25">
      <c r="A46">
        <v>1971</v>
      </c>
      <c r="B46">
        <v>2.57767474780333E-2</v>
      </c>
      <c r="C46">
        <v>1.8359043194460099E-2</v>
      </c>
      <c r="D46">
        <f t="shared" si="1"/>
        <v>0.71223272874537424</v>
      </c>
      <c r="E46">
        <f t="shared" si="2"/>
        <v>1.8359043194460099E-2</v>
      </c>
    </row>
    <row r="47" spans="1:5" x14ac:dyDescent="0.25">
      <c r="A47">
        <v>1972</v>
      </c>
      <c r="B47">
        <v>2.77541418051153E-2</v>
      </c>
      <c r="C47">
        <v>1.94031593960419E-2</v>
      </c>
      <c r="D47">
        <f t="shared" si="1"/>
        <v>0.69910860628613458</v>
      </c>
      <c r="E47">
        <f t="shared" si="2"/>
        <v>1.94031593960419E-2</v>
      </c>
    </row>
    <row r="48" spans="1:5" x14ac:dyDescent="0.25">
      <c r="A48">
        <v>1973</v>
      </c>
      <c r="B48">
        <v>3.1073339425574401E-2</v>
      </c>
      <c r="C48">
        <v>2.2840041894583898E-2</v>
      </c>
      <c r="D48">
        <f t="shared" si="1"/>
        <v>0.7350366042661568</v>
      </c>
      <c r="E48">
        <f t="shared" si="2"/>
        <v>2.2840041894583898E-2</v>
      </c>
    </row>
    <row r="49" spans="1:5" x14ac:dyDescent="0.25">
      <c r="A49">
        <v>1974</v>
      </c>
      <c r="B49">
        <v>3.8135462022295799E-2</v>
      </c>
      <c r="C49">
        <v>2.7930108368952E-2</v>
      </c>
      <c r="D49">
        <f t="shared" si="1"/>
        <v>0.73239202799280978</v>
      </c>
      <c r="E49">
        <f t="shared" si="2"/>
        <v>2.7930108368952E-2</v>
      </c>
    </row>
    <row r="50" spans="1:5" x14ac:dyDescent="0.25">
      <c r="A50">
        <v>1975</v>
      </c>
      <c r="B50">
        <v>4.3997023777574598E-2</v>
      </c>
      <c r="C50">
        <v>3.0975447293569401E-2</v>
      </c>
      <c r="D50">
        <f t="shared" si="1"/>
        <v>0.70403506042055664</v>
      </c>
      <c r="E50">
        <f t="shared" si="2"/>
        <v>3.0975447293569401E-2</v>
      </c>
    </row>
    <row r="51" spans="1:5" x14ac:dyDescent="0.25">
      <c r="A51">
        <v>1976</v>
      </c>
      <c r="B51">
        <v>4.8634484282754999E-2</v>
      </c>
      <c r="C51">
        <v>3.5021397566355701E-2</v>
      </c>
      <c r="D51">
        <f t="shared" si="1"/>
        <v>0.72009394327583576</v>
      </c>
      <c r="E51">
        <f t="shared" si="2"/>
        <v>3.5021397566355701E-2</v>
      </c>
    </row>
    <row r="52" spans="1:5" x14ac:dyDescent="0.25">
      <c r="A52">
        <v>1977</v>
      </c>
      <c r="B52">
        <v>5.49197733938371E-2</v>
      </c>
      <c r="C52">
        <v>3.9371881739613097E-2</v>
      </c>
      <c r="D52">
        <f t="shared" si="1"/>
        <v>0.71689810985329505</v>
      </c>
      <c r="E52">
        <f t="shared" si="2"/>
        <v>3.9371881739613097E-2</v>
      </c>
    </row>
    <row r="53" spans="1:5" x14ac:dyDescent="0.25">
      <c r="A53">
        <v>1978</v>
      </c>
      <c r="B53">
        <v>6.2382082937706099E-2</v>
      </c>
      <c r="C53">
        <v>4.3591851386004202E-2</v>
      </c>
      <c r="D53">
        <f t="shared" si="1"/>
        <v>0.69878800663861185</v>
      </c>
      <c r="E53">
        <f t="shared" si="2"/>
        <v>4.3591851386004202E-2</v>
      </c>
    </row>
    <row r="54" spans="1:5" x14ac:dyDescent="0.25">
      <c r="A54">
        <v>1979</v>
      </c>
      <c r="B54">
        <v>6.8690912457444006E-2</v>
      </c>
      <c r="C54">
        <v>4.7985840392651101E-2</v>
      </c>
      <c r="D54">
        <f t="shared" si="1"/>
        <v>0.6985762552270609</v>
      </c>
      <c r="E54">
        <f t="shared" si="2"/>
        <v>4.7985840392651101E-2</v>
      </c>
    </row>
    <row r="55" spans="1:5" x14ac:dyDescent="0.25">
      <c r="A55">
        <v>1980</v>
      </c>
      <c r="B55">
        <v>7.7353782842755597E-2</v>
      </c>
      <c r="C55">
        <v>5.3206421400559999E-2</v>
      </c>
      <c r="D55">
        <f t="shared" si="1"/>
        <v>0.68783218409263525</v>
      </c>
      <c r="E55">
        <f t="shared" si="2"/>
        <v>5.3206421400559999E-2</v>
      </c>
    </row>
    <row r="56" spans="1:5" x14ac:dyDescent="0.25">
      <c r="A56">
        <v>1981</v>
      </c>
      <c r="B56">
        <v>8.8747340632132896E-2</v>
      </c>
      <c r="C56">
        <v>6.2385942994452902E-2</v>
      </c>
      <c r="D56">
        <f t="shared" si="1"/>
        <v>0.70296126678374771</v>
      </c>
      <c r="E56">
        <f t="shared" si="2"/>
        <v>6.2385942994452902E-2</v>
      </c>
    </row>
    <row r="57" spans="1:5" x14ac:dyDescent="0.25">
      <c r="A57">
        <v>1982</v>
      </c>
      <c r="B57">
        <v>0.10324469870449</v>
      </c>
      <c r="C57">
        <v>7.7612637590842207E-2</v>
      </c>
      <c r="D57">
        <f t="shared" si="1"/>
        <v>0.75173484512737421</v>
      </c>
      <c r="E57">
        <f t="shared" si="2"/>
        <v>7.7612637590842207E-2</v>
      </c>
    </row>
    <row r="58" spans="1:5" x14ac:dyDescent="0.25">
      <c r="A58">
        <v>1983</v>
      </c>
      <c r="B58">
        <v>0.153201810980856</v>
      </c>
      <c r="C58">
        <v>0.118333169425834</v>
      </c>
      <c r="D58">
        <f t="shared" si="1"/>
        <v>0.7724005915349188</v>
      </c>
      <c r="E58">
        <f t="shared" si="2"/>
        <v>0.118333169425834</v>
      </c>
    </row>
    <row r="59" spans="1:5" x14ac:dyDescent="0.25">
      <c r="A59">
        <v>1984</v>
      </c>
      <c r="B59">
        <v>0.20100391057079101</v>
      </c>
      <c r="C59">
        <v>0.14800347146408899</v>
      </c>
      <c r="D59">
        <f t="shared" si="1"/>
        <v>0.73632135336970994</v>
      </c>
      <c r="E59">
        <f t="shared" si="2"/>
        <v>0.14800347146408899</v>
      </c>
    </row>
    <row r="60" spans="1:5" x14ac:dyDescent="0.25">
      <c r="A60">
        <v>1985</v>
      </c>
      <c r="B60">
        <v>0.25729545407697102</v>
      </c>
      <c r="C60">
        <v>0.184068985232026</v>
      </c>
      <c r="D60">
        <f t="shared" si="1"/>
        <v>0.71539929025314608</v>
      </c>
      <c r="E60">
        <f t="shared" si="2"/>
        <v>0.184068985232026</v>
      </c>
    </row>
    <row r="61" spans="1:5" x14ac:dyDescent="0.25">
      <c r="A61">
        <v>1986</v>
      </c>
      <c r="B61">
        <v>0.31652565124646598</v>
      </c>
      <c r="C61">
        <v>0.23440408708157401</v>
      </c>
      <c r="D61">
        <f t="shared" si="1"/>
        <v>0.74055321001157293</v>
      </c>
      <c r="E61">
        <f>C61</f>
        <v>0.23440408708157401</v>
      </c>
    </row>
    <row r="62" spans="1:5" x14ac:dyDescent="0.25">
      <c r="A62">
        <v>1987</v>
      </c>
      <c r="B62">
        <v>0.40990953432516403</v>
      </c>
      <c r="C62">
        <v>0.31053756005684502</v>
      </c>
      <c r="D62">
        <f t="shared" si="1"/>
        <v>0.75757584065002159</v>
      </c>
      <c r="E62">
        <f t="shared" si="2"/>
        <v>0.31053756005684502</v>
      </c>
    </row>
    <row r="63" spans="1:5" x14ac:dyDescent="0.25">
      <c r="A63">
        <v>1988</v>
      </c>
      <c r="B63">
        <v>0.64859351520113595</v>
      </c>
      <c r="C63">
        <v>0.57670018157316305</v>
      </c>
      <c r="D63">
        <f t="shared" si="1"/>
        <v>0.88915502245550826</v>
      </c>
      <c r="E63">
        <f t="shared" si="2"/>
        <v>0.57670018157316305</v>
      </c>
    </row>
    <row r="64" spans="1:5" x14ac:dyDescent="0.25">
      <c r="A64">
        <v>1989</v>
      </c>
      <c r="B64">
        <v>1.13915276673063</v>
      </c>
      <c r="C64">
        <v>0.88954349824016599</v>
      </c>
      <c r="D64">
        <f t="shared" si="1"/>
        <v>0.78088165540180976</v>
      </c>
      <c r="E64">
        <f t="shared" si="2"/>
        <v>0.88954349824016599</v>
      </c>
    </row>
    <row r="65" spans="1:5" x14ac:dyDescent="0.25">
      <c r="A65">
        <v>1990</v>
      </c>
      <c r="B65">
        <v>1.6918808690929299</v>
      </c>
      <c r="C65">
        <v>1.3300735252938301</v>
      </c>
      <c r="D65">
        <f t="shared" si="1"/>
        <v>0.78615081569361556</v>
      </c>
      <c r="E65">
        <f t="shared" si="2"/>
        <v>1.3300735252938301</v>
      </c>
    </row>
    <row r="66" spans="1:5" x14ac:dyDescent="0.25">
      <c r="A66">
        <v>1991</v>
      </c>
      <c r="B66">
        <v>2.5162058733603399</v>
      </c>
      <c r="C66">
        <v>1.9816020345936201</v>
      </c>
      <c r="D66">
        <f t="shared" si="1"/>
        <v>0.7875357321009796</v>
      </c>
      <c r="E66">
        <f t="shared" si="2"/>
        <v>1.9816020345936201</v>
      </c>
    </row>
    <row r="67" spans="1:5" x14ac:dyDescent="0.25">
      <c r="A67">
        <v>1992</v>
      </c>
      <c r="B67">
        <v>3.8902006033997201</v>
      </c>
      <c r="C67">
        <v>3.1749833472671498</v>
      </c>
      <c r="D67">
        <f t="shared" si="1"/>
        <v>0.81614900385663192</v>
      </c>
      <c r="E67">
        <f t="shared" si="2"/>
        <v>3.1749833472671498</v>
      </c>
    </row>
    <row r="68" spans="1:5" x14ac:dyDescent="0.25">
      <c r="A68">
        <v>1993</v>
      </c>
      <c r="B68">
        <v>5.63904237599992</v>
      </c>
      <c r="C68">
        <v>4.1579752454754697</v>
      </c>
      <c r="D68">
        <f t="shared" si="1"/>
        <v>0.73735485003128276</v>
      </c>
      <c r="E68">
        <f t="shared" si="2"/>
        <v>4.1579752454754697</v>
      </c>
    </row>
    <row r="69" spans="1:5" x14ac:dyDescent="0.25">
      <c r="A69">
        <v>1994</v>
      </c>
      <c r="B69">
        <v>7.1791145736264603</v>
      </c>
      <c r="C69">
        <v>5.2134027051134604</v>
      </c>
      <c r="D69">
        <f t="shared" si="1"/>
        <v>0.72619020794927369</v>
      </c>
      <c r="E69">
        <f t="shared" si="2"/>
        <v>5.2134027051134604</v>
      </c>
    </row>
    <row r="70" spans="1:5" x14ac:dyDescent="0.25">
      <c r="A70">
        <v>1995</v>
      </c>
      <c r="B70">
        <v>8.8255605919137992</v>
      </c>
      <c r="C70">
        <v>6.4006933399511103</v>
      </c>
      <c r="D70">
        <f t="shared" si="1"/>
        <v>0.72524496016894235</v>
      </c>
      <c r="E70">
        <f t="shared" si="2"/>
        <v>6.4006933399511103</v>
      </c>
    </row>
    <row r="71" spans="1:5" x14ac:dyDescent="0.25">
      <c r="A71">
        <v>1996</v>
      </c>
      <c r="B71">
        <v>10.9780354387801</v>
      </c>
      <c r="C71">
        <v>8.0405785401673899</v>
      </c>
      <c r="D71">
        <f t="shared" si="1"/>
        <v>0.73242417416179095</v>
      </c>
      <c r="E71">
        <f t="shared" si="2"/>
        <v>8.0405785401673899</v>
      </c>
    </row>
    <row r="72" spans="1:5" x14ac:dyDescent="0.25">
      <c r="A72">
        <v>1997</v>
      </c>
      <c r="B72">
        <v>14.3471720319583</v>
      </c>
      <c r="C72">
        <v>10.506715716579899</v>
      </c>
      <c r="D72">
        <f t="shared" si="1"/>
        <v>0.73231963018051283</v>
      </c>
      <c r="E72">
        <f t="shared" si="2"/>
        <v>10.506715716579899</v>
      </c>
    </row>
    <row r="73" spans="1:5" x14ac:dyDescent="0.25">
      <c r="A73">
        <v>1998</v>
      </c>
      <c r="B73">
        <v>17.829975394598399</v>
      </c>
      <c r="C73">
        <v>15.0666411303004</v>
      </c>
      <c r="D73">
        <f t="shared" si="1"/>
        <v>0.84501749423977601</v>
      </c>
      <c r="E73">
        <f t="shared" si="2"/>
        <v>15.0666411303004</v>
      </c>
    </row>
    <row r="74" spans="1:5" x14ac:dyDescent="0.25">
      <c r="A74">
        <v>1999</v>
      </c>
      <c r="B74">
        <v>29.728146543116502</v>
      </c>
      <c r="C74">
        <v>24.213473764919801</v>
      </c>
      <c r="D74">
        <f t="shared" si="1"/>
        <v>0.81449658255019552</v>
      </c>
      <c r="E74">
        <f t="shared" si="2"/>
        <v>24.213473764919801</v>
      </c>
    </row>
    <row r="75" spans="1:5" x14ac:dyDescent="0.25">
      <c r="A75">
        <v>2000</v>
      </c>
      <c r="B75">
        <v>58.239614587482102</v>
      </c>
      <c r="C75">
        <v>46.2468175095484</v>
      </c>
      <c r="D75">
        <f t="shared" si="1"/>
        <v>0.79407835778309899</v>
      </c>
      <c r="E75">
        <f t="shared" si="2"/>
        <v>46.2468175095484</v>
      </c>
    </row>
    <row r="76" spans="1:5" x14ac:dyDescent="0.25">
      <c r="A76">
        <v>2001</v>
      </c>
      <c r="B76">
        <v>80.179897345365703</v>
      </c>
      <c r="C76">
        <v>56.624020551656898</v>
      </c>
      <c r="D76">
        <f t="shared" si="1"/>
        <v>0.70621218567735788</v>
      </c>
      <c r="E76">
        <f t="shared" ref="E76:E99" si="3">C76</f>
        <v>56.624020551656898</v>
      </c>
    </row>
    <row r="77" spans="1:5" x14ac:dyDescent="0.25">
      <c r="A77">
        <v>2002</v>
      </c>
      <c r="B77">
        <v>90.234695755904198</v>
      </c>
      <c r="C77">
        <v>61.921628573724703</v>
      </c>
      <c r="D77">
        <f t="shared" si="1"/>
        <v>0.68622859594085872</v>
      </c>
      <c r="E77">
        <f t="shared" si="3"/>
        <v>61.921628573724703</v>
      </c>
    </row>
    <row r="78" spans="1:5" x14ac:dyDescent="0.25">
      <c r="A78">
        <v>2003</v>
      </c>
      <c r="B78">
        <v>97.425504011087199</v>
      </c>
      <c r="C78">
        <v>65.680194314141502</v>
      </c>
      <c r="D78">
        <f t="shared" si="1"/>
        <v>0.6741581168178199</v>
      </c>
      <c r="E78">
        <f t="shared" si="3"/>
        <v>65.680194314141502</v>
      </c>
    </row>
    <row r="79" spans="1:5" x14ac:dyDescent="0.25">
      <c r="A79">
        <v>2004</v>
      </c>
      <c r="B79">
        <v>100</v>
      </c>
      <c r="C79">
        <v>66.958052702270393</v>
      </c>
      <c r="D79">
        <f t="shared" si="1"/>
        <v>0.66958052702270399</v>
      </c>
      <c r="E79">
        <f t="shared" si="3"/>
        <v>66.958052702270393</v>
      </c>
    </row>
    <row r="80" spans="1:5" x14ac:dyDescent="0.25">
      <c r="A80">
        <v>2005</v>
      </c>
      <c r="B80">
        <v>102.08</v>
      </c>
      <c r="C80">
        <v>69.056664894734496</v>
      </c>
      <c r="D80">
        <f t="shared" si="1"/>
        <v>0.67649554168039283</v>
      </c>
      <c r="E80">
        <f t="shared" si="3"/>
        <v>69.056664894734496</v>
      </c>
    </row>
    <row r="81" spans="1:5" x14ac:dyDescent="0.25">
      <c r="A81">
        <v>2006</v>
      </c>
      <c r="B81">
        <v>105.45</v>
      </c>
      <c r="C81">
        <v>71.038173151645296</v>
      </c>
      <c r="D81">
        <f t="shared" si="1"/>
        <v>0.67366688621759407</v>
      </c>
      <c r="E81">
        <f t="shared" si="3"/>
        <v>71.038173151645296</v>
      </c>
    </row>
    <row r="82" spans="1:5" x14ac:dyDescent="0.25">
      <c r="A82">
        <v>2007</v>
      </c>
      <c r="B82">
        <v>107.847515121795</v>
      </c>
      <c r="C82">
        <v>73.396431950662901</v>
      </c>
      <c r="D82">
        <f t="shared" si="1"/>
        <v>0.6805574691987516</v>
      </c>
      <c r="E82">
        <f t="shared" si="3"/>
        <v>73.396431950662901</v>
      </c>
    </row>
    <row r="83" spans="1:5" x14ac:dyDescent="0.25">
      <c r="A83">
        <v>2008</v>
      </c>
      <c r="B83">
        <v>116.906826879439</v>
      </c>
      <c r="C83">
        <v>79.877734234298799</v>
      </c>
      <c r="D83">
        <f t="shared" si="1"/>
        <v>0.68325979214775268</v>
      </c>
      <c r="E83">
        <f t="shared" si="3"/>
        <v>79.877734234298799</v>
      </c>
    </row>
    <row r="84" spans="1:5" x14ac:dyDescent="0.25">
      <c r="A84">
        <v>2009</v>
      </c>
      <c r="B84">
        <v>122.93918207738</v>
      </c>
      <c r="C84">
        <v>83.321857359366703</v>
      </c>
      <c r="D84">
        <f t="shared" si="1"/>
        <v>0.67774859041214797</v>
      </c>
      <c r="E84">
        <f t="shared" si="3"/>
        <v>83.321857359366703</v>
      </c>
    </row>
    <row r="85" spans="1:5" x14ac:dyDescent="0.25">
      <c r="A85">
        <v>2010</v>
      </c>
      <c r="B85">
        <v>127.308904514102</v>
      </c>
      <c r="C85">
        <v>86.094837996974903</v>
      </c>
      <c r="D85">
        <f t="shared" si="1"/>
        <v>0.67626721261620926</v>
      </c>
      <c r="E85">
        <f t="shared" si="3"/>
        <v>86.094837996974903</v>
      </c>
    </row>
    <row r="86" spans="1:5" x14ac:dyDescent="0.25">
      <c r="A86">
        <v>2011</v>
      </c>
      <c r="B86">
        <v>133.005383023072</v>
      </c>
      <c r="C86">
        <v>90.752036903797503</v>
      </c>
      <c r="D86">
        <f t="shared" si="1"/>
        <v>0.68231852607089627</v>
      </c>
      <c r="E86">
        <f t="shared" si="3"/>
        <v>90.752036903797503</v>
      </c>
    </row>
    <row r="87" spans="1:5" x14ac:dyDescent="0.25">
      <c r="A87">
        <v>2012</v>
      </c>
      <c r="B87">
        <v>139.79094765668501</v>
      </c>
      <c r="C87">
        <v>94.530869689745202</v>
      </c>
      <c r="D87">
        <f t="shared" si="1"/>
        <v>0.67623026579593115</v>
      </c>
      <c r="E87">
        <f t="shared" si="3"/>
        <v>94.530869689745202</v>
      </c>
    </row>
    <row r="88" spans="1:5" x14ac:dyDescent="0.25">
      <c r="A88">
        <v>2013</v>
      </c>
      <c r="B88">
        <v>143.595743808588</v>
      </c>
      <c r="C88">
        <v>97.083526477855102</v>
      </c>
      <c r="D88">
        <f t="shared" si="1"/>
        <v>0.67608916464311564</v>
      </c>
      <c r="E88">
        <f t="shared" si="3"/>
        <v>97.083526477855102</v>
      </c>
    </row>
    <row r="89" spans="1:5" x14ac:dyDescent="0.25">
      <c r="A89">
        <v>2014</v>
      </c>
      <c r="B89">
        <v>148.749711203125</v>
      </c>
      <c r="C89">
        <v>100.64392618773699</v>
      </c>
      <c r="D89">
        <f t="shared" si="1"/>
        <v>0.67659913672237515</v>
      </c>
      <c r="E89">
        <f t="shared" si="3"/>
        <v>100.64392618773699</v>
      </c>
    </row>
    <row r="90" spans="1:5" x14ac:dyDescent="0.25">
      <c r="A90">
        <v>2015</v>
      </c>
      <c r="C90">
        <v>104.04581683199901</v>
      </c>
      <c r="E90">
        <f t="shared" si="3"/>
        <v>104.04581683199901</v>
      </c>
    </row>
    <row r="91" spans="1:5" x14ac:dyDescent="0.25">
      <c r="A91">
        <v>2016</v>
      </c>
      <c r="C91">
        <v>105.210912990011</v>
      </c>
      <c r="E91">
        <f t="shared" si="3"/>
        <v>105.210912990011</v>
      </c>
    </row>
    <row r="92" spans="1:5" x14ac:dyDescent="0.25">
      <c r="A92">
        <v>2017</v>
      </c>
      <c r="C92">
        <v>105.00396255276</v>
      </c>
      <c r="E92">
        <f t="shared" si="3"/>
        <v>105.00396255276</v>
      </c>
    </row>
    <row r="93" spans="1:5" x14ac:dyDescent="0.25">
      <c r="A93">
        <v>2018</v>
      </c>
      <c r="C93">
        <v>105.28345197589999</v>
      </c>
      <c r="E93">
        <f t="shared" si="3"/>
        <v>105.28345197589999</v>
      </c>
    </row>
    <row r="94" spans="1:5" x14ac:dyDescent="0.25">
      <c r="A94">
        <v>2019</v>
      </c>
      <c r="C94">
        <v>105.214666947918</v>
      </c>
      <c r="E94">
        <f t="shared" si="3"/>
        <v>105.214666947918</v>
      </c>
    </row>
    <row r="95" spans="1:5" x14ac:dyDescent="0.25">
      <c r="A95">
        <v>2020</v>
      </c>
      <c r="C95">
        <v>104.233025480214</v>
      </c>
      <c r="E95">
        <f t="shared" si="3"/>
        <v>104.233025480214</v>
      </c>
    </row>
    <row r="96" spans="1:5" x14ac:dyDescent="0.25">
      <c r="A96">
        <v>2021</v>
      </c>
      <c r="C96">
        <v>106.255853364723</v>
      </c>
      <c r="E96">
        <f t="shared" si="3"/>
        <v>106.255853364723</v>
      </c>
    </row>
    <row r="97" spans="1:5" x14ac:dyDescent="0.25">
      <c r="A97">
        <v>2022</v>
      </c>
      <c r="C97">
        <v>110.22731694308099</v>
      </c>
      <c r="E97">
        <f t="shared" si="3"/>
        <v>110.22731694308099</v>
      </c>
    </row>
    <row r="98" spans="1:5" x14ac:dyDescent="0.25">
      <c r="A98">
        <v>2023</v>
      </c>
      <c r="C98">
        <v>111.715101416755</v>
      </c>
      <c r="E98">
        <f t="shared" si="3"/>
        <v>111.715101416755</v>
      </c>
    </row>
    <row r="99" spans="1:5" x14ac:dyDescent="0.25">
      <c r="A99">
        <v>2024</v>
      </c>
      <c r="C99">
        <v>112.30626377954199</v>
      </c>
      <c r="E99">
        <f t="shared" si="3"/>
        <v>112.30626377954199</v>
      </c>
    </row>
    <row r="102" spans="1:5" x14ac:dyDescent="0.25">
      <c r="C102" s="5" t="s">
        <v>51</v>
      </c>
      <c r="D102" s="5">
        <f>AVERAGE(D44:D89)</f>
        <v>0.72606103733339467</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Metadata/LabelInfo.xml><?xml version="1.0" encoding="utf-8"?>
<clbl:labelList xmlns:clbl="http://schemas.microsoft.com/office/2020/mipLabelMetadata">
  <clbl:label id="{9dfb1a05-5f1d-449a-8960-62abcb479e7d}" enabled="0" method="" siteId="{9dfb1a05-5f1d-449a-8960-62abcb479e7d}" removed="1"/>
</clbl:labelLis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metadatos</vt:lpstr>
      <vt:lpstr>datos</vt:lpstr>
      <vt:lpstr>ipc chain linking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Jaramillo Vasconez Oscar Eduardo</dc:creator>
  <dc:description/>
  <cp:lastModifiedBy>Jaramillo Vasconez Oscar Eduardo</cp:lastModifiedBy>
  <cp:revision>1</cp:revision>
  <dcterms:created xsi:type="dcterms:W3CDTF">2015-06-05T18:17:20Z</dcterms:created>
  <dcterms:modified xsi:type="dcterms:W3CDTF">2026-03-26T21:14:22Z</dcterms:modified>
  <dc:language>es-EC</dc:language>
</cp:coreProperties>
</file>